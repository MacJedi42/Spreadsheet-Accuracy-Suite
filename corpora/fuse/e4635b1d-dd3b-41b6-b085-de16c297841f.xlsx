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Enter Data Here" sheetId="10" r:id="rId1"/>
    <sheet name="Page 1" sheetId="1" r:id="rId2"/>
    <sheet name="Page 2" sheetId="14" r:id="rId3"/>
    <sheet name="Page 3" sheetId="15" r:id="rId4"/>
    <sheet name="Page 4" sheetId="16" r:id="rId5"/>
    <sheet name="Certification Page" sheetId="9" r:id="rId6"/>
    <sheet name="Formulas &amp; Weather Codes" sheetId="7" r:id="rId7"/>
    <sheet name="Dropdown Menu" sheetId="8" state="hidden" r:id="rId8"/>
  </sheets>
  <definedNames>
    <definedName name="County">'Dropdown Menu'!$B$1:$B$101</definedName>
    <definedName name="Flow" localSheetId="5">'Dropdown Menu'!#REF!</definedName>
    <definedName name="Flow" localSheetId="2">'Dropdown Menu'!#REF!</definedName>
    <definedName name="Flow" localSheetId="3">'Dropdown Menu'!#REF!</definedName>
    <definedName name="Flow" localSheetId="4">'Dropdown Menu'!#REF!</definedName>
    <definedName name="Flow">'Dropdown Menu'!#REF!</definedName>
    <definedName name="Month">'Dropdown Menu'!$A$1:$A$13</definedName>
    <definedName name="Parameters" localSheetId="5">'Formulas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'Formulas &amp; Weather Codes'!#REF!</definedName>
    <definedName name="PCS" localSheetId="5">'Formulas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'Formulas &amp; Weather Codes'!#REF!</definedName>
    <definedName name="PCSCODE" localSheetId="5">'Formulas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'Formulas &amp; Weather Codes'!#REF!</definedName>
    <definedName name="PPI" localSheetId="5">'Dropdown Menu'!#REF!</definedName>
    <definedName name="PPI" localSheetId="2">'Dropdown Menu'!#REF!</definedName>
    <definedName name="PPI" localSheetId="3">'Dropdown Menu'!#REF!</definedName>
    <definedName name="PPI" localSheetId="4">'Dropdown Menu'!#REF!</definedName>
    <definedName name="PPI">'Dropdown Menu'!#REF!</definedName>
    <definedName name="_xlnm.Print_Area" localSheetId="5">'Certification Page'!$A$1:$V$23</definedName>
    <definedName name="_xlnm.Print_Area" localSheetId="6">'Formulas &amp; Weather Codes'!#REF!</definedName>
    <definedName name="_xlnm.Print_Area" localSheetId="1">'Page 1'!$A$1:$V$42</definedName>
    <definedName name="_xlnm.Print_Area" localSheetId="2">'Page 2'!$A$1:$V$42</definedName>
    <definedName name="_xlnm.Print_Area" localSheetId="3">'Page 3'!$A$1:$V$42</definedName>
    <definedName name="_xlnm.Print_Area" localSheetId="4">'Page 4'!$A$1:$V$42</definedName>
    <definedName name="SamplingType" localSheetId="5">'Dropdown Menu'!#REF!</definedName>
    <definedName name="SamplingType" localSheetId="2">'Dropdown Menu'!#REF!</definedName>
    <definedName name="SamplingType" localSheetId="3">'Dropdown Menu'!#REF!</definedName>
    <definedName name="SamplingType" localSheetId="4">'Dropdown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E40" i="16"/>
  <c r="D40"/>
  <c r="C40"/>
  <c r="E39"/>
  <c r="D39"/>
  <c r="C39"/>
  <c r="E38"/>
  <c r="D38"/>
  <c r="C38"/>
  <c r="E37"/>
  <c r="D37"/>
  <c r="C37"/>
  <c r="E36"/>
  <c r="D36"/>
  <c r="C36"/>
  <c r="E35"/>
  <c r="D35"/>
  <c r="C35"/>
  <c r="E34"/>
  <c r="D34"/>
  <c r="C34"/>
  <c r="E33"/>
  <c r="D33"/>
  <c r="C33"/>
  <c r="E32"/>
  <c r="D32"/>
  <c r="C32"/>
  <c r="E31"/>
  <c r="D31"/>
  <c r="C31"/>
  <c r="E30"/>
  <c r="D30"/>
  <c r="C30"/>
  <c r="E29"/>
  <c r="D29"/>
  <c r="C29"/>
  <c r="E28"/>
  <c r="D28"/>
  <c r="C28"/>
  <c r="E27"/>
  <c r="D27"/>
  <c r="C27"/>
  <c r="E26"/>
  <c r="D26"/>
  <c r="C26"/>
  <c r="E25"/>
  <c r="D25"/>
  <c r="C25"/>
  <c r="E24"/>
  <c r="D24"/>
  <c r="C24"/>
  <c r="E23"/>
  <c r="D23"/>
  <c r="C23"/>
  <c r="E22"/>
  <c r="D22"/>
  <c r="C22"/>
  <c r="E21"/>
  <c r="D21"/>
  <c r="C21"/>
  <c r="E20"/>
  <c r="D20"/>
  <c r="C20"/>
  <c r="E19"/>
  <c r="D19"/>
  <c r="C19"/>
  <c r="E18"/>
  <c r="D18"/>
  <c r="C18"/>
  <c r="E17"/>
  <c r="D17"/>
  <c r="C17"/>
  <c r="E16"/>
  <c r="D16"/>
  <c r="C16"/>
  <c r="E15"/>
  <c r="D15"/>
  <c r="C15"/>
  <c r="E14"/>
  <c r="D14"/>
  <c r="C14"/>
  <c r="E13"/>
  <c r="D13"/>
  <c r="C13"/>
  <c r="E12"/>
  <c r="D12"/>
  <c r="C12"/>
  <c r="E11"/>
  <c r="D11"/>
  <c r="C11"/>
  <c r="E10"/>
  <c r="D10"/>
  <c r="C10"/>
  <c r="E40" i="15"/>
  <c r="D40"/>
  <c r="C40"/>
  <c r="E39"/>
  <c r="D39"/>
  <c r="C39"/>
  <c r="E38"/>
  <c r="D38"/>
  <c r="C38"/>
  <c r="E37"/>
  <c r="D37"/>
  <c r="C37"/>
  <c r="E36"/>
  <c r="D36"/>
  <c r="C36"/>
  <c r="E35"/>
  <c r="D35"/>
  <c r="C35"/>
  <c r="E34"/>
  <c r="D34"/>
  <c r="C34"/>
  <c r="E33"/>
  <c r="D33"/>
  <c r="C33"/>
  <c r="E32"/>
  <c r="D32"/>
  <c r="C32"/>
  <c r="E31"/>
  <c r="D31"/>
  <c r="C31"/>
  <c r="E30"/>
  <c r="D30"/>
  <c r="C30"/>
  <c r="E29"/>
  <c r="D29"/>
  <c r="C29"/>
  <c r="E28"/>
  <c r="D28"/>
  <c r="C28"/>
  <c r="E27"/>
  <c r="D27"/>
  <c r="C27"/>
  <c r="E26"/>
  <c r="D26"/>
  <c r="C26"/>
  <c r="E25"/>
  <c r="D25"/>
  <c r="C25"/>
  <c r="E24"/>
  <c r="D24"/>
  <c r="C24"/>
  <c r="E23"/>
  <c r="D23"/>
  <c r="C23"/>
  <c r="E22"/>
  <c r="D22"/>
  <c r="C22"/>
  <c r="E21"/>
  <c r="D21"/>
  <c r="C21"/>
  <c r="E20"/>
  <c r="D20"/>
  <c r="C20"/>
  <c r="E19"/>
  <c r="D19"/>
  <c r="C19"/>
  <c r="E18"/>
  <c r="D18"/>
  <c r="C18"/>
  <c r="E17"/>
  <c r="D17"/>
  <c r="C17"/>
  <c r="E16"/>
  <c r="D16"/>
  <c r="C16"/>
  <c r="E15"/>
  <c r="D15"/>
  <c r="C15"/>
  <c r="E14"/>
  <c r="D14"/>
  <c r="C14"/>
  <c r="E13"/>
  <c r="D13"/>
  <c r="C13"/>
  <c r="E12"/>
  <c r="D12"/>
  <c r="C12"/>
  <c r="E11"/>
  <c r="D11"/>
  <c r="C11"/>
  <c r="E10"/>
  <c r="D10"/>
  <c r="C10"/>
  <c r="E40" i="14"/>
  <c r="D40"/>
  <c r="C40"/>
  <c r="E39"/>
  <c r="D39"/>
  <c r="C39"/>
  <c r="E38"/>
  <c r="D38"/>
  <c r="C38"/>
  <c r="E37"/>
  <c r="D37"/>
  <c r="C37"/>
  <c r="E36"/>
  <c r="D36"/>
  <c r="C36"/>
  <c r="E35"/>
  <c r="D35"/>
  <c r="C35"/>
  <c r="E34"/>
  <c r="D34"/>
  <c r="C34"/>
  <c r="E33"/>
  <c r="D33"/>
  <c r="C33"/>
  <c r="E32"/>
  <c r="D32"/>
  <c r="C32"/>
  <c r="E31"/>
  <c r="D31"/>
  <c r="C31"/>
  <c r="E30"/>
  <c r="D30"/>
  <c r="C30"/>
  <c r="E29"/>
  <c r="D29"/>
  <c r="C29"/>
  <c r="E28"/>
  <c r="D28"/>
  <c r="C28"/>
  <c r="E27"/>
  <c r="D27"/>
  <c r="C27"/>
  <c r="E26"/>
  <c r="D26"/>
  <c r="C26"/>
  <c r="E25"/>
  <c r="D25"/>
  <c r="C25"/>
  <c r="E24"/>
  <c r="D24"/>
  <c r="C24"/>
  <c r="E23"/>
  <c r="D23"/>
  <c r="C23"/>
  <c r="E22"/>
  <c r="D22"/>
  <c r="C22"/>
  <c r="E21"/>
  <c r="D21"/>
  <c r="C21"/>
  <c r="E20"/>
  <c r="D20"/>
  <c r="C20"/>
  <c r="E19"/>
  <c r="D19"/>
  <c r="C19"/>
  <c r="E18"/>
  <c r="D18"/>
  <c r="C18"/>
  <c r="E17"/>
  <c r="D17"/>
  <c r="C17"/>
  <c r="E16"/>
  <c r="D16"/>
  <c r="C16"/>
  <c r="E15"/>
  <c r="D15"/>
  <c r="C15"/>
  <c r="E14"/>
  <c r="D14"/>
  <c r="C14"/>
  <c r="E13"/>
  <c r="D13"/>
  <c r="C13"/>
  <c r="E12"/>
  <c r="D12"/>
  <c r="C12"/>
  <c r="E11"/>
  <c r="D11"/>
  <c r="C11"/>
  <c r="E10"/>
  <c r="D10"/>
  <c r="C10"/>
  <c r="T40" i="16"/>
  <c r="S40"/>
  <c r="U40" s="1"/>
  <c r="T39"/>
  <c r="S39"/>
  <c r="U39" s="1"/>
  <c r="T38"/>
  <c r="S38"/>
  <c r="U38" s="1"/>
  <c r="T37"/>
  <c r="S37"/>
  <c r="U37" s="1"/>
  <c r="T36"/>
  <c r="S36"/>
  <c r="U36" s="1"/>
  <c r="T35"/>
  <c r="S35"/>
  <c r="U35" s="1"/>
  <c r="T34"/>
  <c r="S34"/>
  <c r="U34" s="1"/>
  <c r="T33"/>
  <c r="S33"/>
  <c r="U33" s="1"/>
  <c r="T32"/>
  <c r="S32"/>
  <c r="U32" s="1"/>
  <c r="T31"/>
  <c r="S31"/>
  <c r="U31" s="1"/>
  <c r="T30"/>
  <c r="S30"/>
  <c r="U30" s="1"/>
  <c r="T29"/>
  <c r="S29"/>
  <c r="U29" s="1"/>
  <c r="T28"/>
  <c r="S28"/>
  <c r="U28" s="1"/>
  <c r="T27"/>
  <c r="S27"/>
  <c r="U27" s="1"/>
  <c r="T26"/>
  <c r="S26"/>
  <c r="U26" s="1"/>
  <c r="T25"/>
  <c r="S25"/>
  <c r="U25" s="1"/>
  <c r="T24"/>
  <c r="S24"/>
  <c r="U24" s="1"/>
  <c r="T23"/>
  <c r="S23"/>
  <c r="U23" s="1"/>
  <c r="T22"/>
  <c r="S22"/>
  <c r="U22" s="1"/>
  <c r="T21"/>
  <c r="S21"/>
  <c r="U21" s="1"/>
  <c r="T20"/>
  <c r="S20"/>
  <c r="U20" s="1"/>
  <c r="T19"/>
  <c r="S19"/>
  <c r="U19" s="1"/>
  <c r="T18"/>
  <c r="S18"/>
  <c r="U18" s="1"/>
  <c r="T17"/>
  <c r="S17"/>
  <c r="U17" s="1"/>
  <c r="T16"/>
  <c r="S16"/>
  <c r="U16" s="1"/>
  <c r="T15"/>
  <c r="S15"/>
  <c r="U15" s="1"/>
  <c r="T14"/>
  <c r="S14"/>
  <c r="U14" s="1"/>
  <c r="T13"/>
  <c r="S13"/>
  <c r="U13" s="1"/>
  <c r="T12"/>
  <c r="S12"/>
  <c r="U12" s="1"/>
  <c r="T11"/>
  <c r="S11"/>
  <c r="U11" s="1"/>
  <c r="T10"/>
  <c r="S10"/>
  <c r="P40"/>
  <c r="O40"/>
  <c r="Q40" s="1"/>
  <c r="P39"/>
  <c r="O39"/>
  <c r="Q39" s="1"/>
  <c r="P38"/>
  <c r="O38"/>
  <c r="Q38" s="1"/>
  <c r="P37"/>
  <c r="O37"/>
  <c r="Q37" s="1"/>
  <c r="P36"/>
  <c r="O36"/>
  <c r="Q36" s="1"/>
  <c r="P35"/>
  <c r="O35"/>
  <c r="Q35" s="1"/>
  <c r="P34"/>
  <c r="O34"/>
  <c r="Q34" s="1"/>
  <c r="P33"/>
  <c r="O33"/>
  <c r="Q33" s="1"/>
  <c r="P32"/>
  <c r="O32"/>
  <c r="Q32" s="1"/>
  <c r="P31"/>
  <c r="O31"/>
  <c r="Q31" s="1"/>
  <c r="P30"/>
  <c r="O30"/>
  <c r="Q30" s="1"/>
  <c r="P29"/>
  <c r="O29"/>
  <c r="Q29" s="1"/>
  <c r="P28"/>
  <c r="O28"/>
  <c r="Q28" s="1"/>
  <c r="P27"/>
  <c r="O27"/>
  <c r="Q27" s="1"/>
  <c r="P26"/>
  <c r="O26"/>
  <c r="Q26" s="1"/>
  <c r="P25"/>
  <c r="O25"/>
  <c r="Q25" s="1"/>
  <c r="P24"/>
  <c r="O24"/>
  <c r="Q24" s="1"/>
  <c r="P23"/>
  <c r="O23"/>
  <c r="Q23" s="1"/>
  <c r="P22"/>
  <c r="O22"/>
  <c r="Q22" s="1"/>
  <c r="P21"/>
  <c r="O21"/>
  <c r="Q21" s="1"/>
  <c r="P20"/>
  <c r="O20"/>
  <c r="Q20" s="1"/>
  <c r="P19"/>
  <c r="O19"/>
  <c r="Q19" s="1"/>
  <c r="P18"/>
  <c r="O18"/>
  <c r="Q18" s="1"/>
  <c r="P17"/>
  <c r="O17"/>
  <c r="Q17" s="1"/>
  <c r="P16"/>
  <c r="O16"/>
  <c r="Q16" s="1"/>
  <c r="P15"/>
  <c r="O15"/>
  <c r="Q15" s="1"/>
  <c r="P14"/>
  <c r="O14"/>
  <c r="Q14" s="1"/>
  <c r="P13"/>
  <c r="O13"/>
  <c r="Q13" s="1"/>
  <c r="P12"/>
  <c r="O12"/>
  <c r="Q12" s="1"/>
  <c r="P11"/>
  <c r="O11"/>
  <c r="Q11" s="1"/>
  <c r="P10"/>
  <c r="O10"/>
  <c r="L40"/>
  <c r="K40"/>
  <c r="M40" s="1"/>
  <c r="L39"/>
  <c r="K39"/>
  <c r="M39" s="1"/>
  <c r="L38"/>
  <c r="K38"/>
  <c r="M38" s="1"/>
  <c r="L37"/>
  <c r="K37"/>
  <c r="M37" s="1"/>
  <c r="L36"/>
  <c r="K36"/>
  <c r="M36" s="1"/>
  <c r="L35"/>
  <c r="K35"/>
  <c r="M35" s="1"/>
  <c r="L34"/>
  <c r="K34"/>
  <c r="M34" s="1"/>
  <c r="L33"/>
  <c r="K33"/>
  <c r="M33" s="1"/>
  <c r="L32"/>
  <c r="K32"/>
  <c r="M32" s="1"/>
  <c r="L31"/>
  <c r="K31"/>
  <c r="M31" s="1"/>
  <c r="L30"/>
  <c r="K30"/>
  <c r="M30" s="1"/>
  <c r="L29"/>
  <c r="K29"/>
  <c r="M29" s="1"/>
  <c r="L28"/>
  <c r="K28"/>
  <c r="M28" s="1"/>
  <c r="L27"/>
  <c r="K27"/>
  <c r="M27" s="1"/>
  <c r="L26"/>
  <c r="K26"/>
  <c r="M26" s="1"/>
  <c r="L25"/>
  <c r="K25"/>
  <c r="M25" s="1"/>
  <c r="L24"/>
  <c r="K24"/>
  <c r="M24" s="1"/>
  <c r="L23"/>
  <c r="K23"/>
  <c r="M23" s="1"/>
  <c r="L22"/>
  <c r="K22"/>
  <c r="M22" s="1"/>
  <c r="L21"/>
  <c r="K21"/>
  <c r="M21" s="1"/>
  <c r="L20"/>
  <c r="K20"/>
  <c r="M20" s="1"/>
  <c r="L19"/>
  <c r="K19"/>
  <c r="M19" s="1"/>
  <c r="L18"/>
  <c r="K18"/>
  <c r="M18" s="1"/>
  <c r="L17"/>
  <c r="K17"/>
  <c r="M17" s="1"/>
  <c r="L16"/>
  <c r="K16"/>
  <c r="M16" s="1"/>
  <c r="L15"/>
  <c r="K15"/>
  <c r="M15" s="1"/>
  <c r="L14"/>
  <c r="K14"/>
  <c r="M14" s="1"/>
  <c r="L13"/>
  <c r="K13"/>
  <c r="M13" s="1"/>
  <c r="L12"/>
  <c r="K12"/>
  <c r="M12" s="1"/>
  <c r="L11"/>
  <c r="K11"/>
  <c r="M11" s="1"/>
  <c r="L10"/>
  <c r="K10"/>
  <c r="H40"/>
  <c r="G40"/>
  <c r="I40" s="1"/>
  <c r="H39"/>
  <c r="G39"/>
  <c r="I39" s="1"/>
  <c r="H38"/>
  <c r="G38"/>
  <c r="I38" s="1"/>
  <c r="H37"/>
  <c r="G37"/>
  <c r="I37" s="1"/>
  <c r="H36"/>
  <c r="G36"/>
  <c r="I36" s="1"/>
  <c r="H35"/>
  <c r="G35"/>
  <c r="I35" s="1"/>
  <c r="H34"/>
  <c r="G34"/>
  <c r="I34" s="1"/>
  <c r="H33"/>
  <c r="G33"/>
  <c r="I33" s="1"/>
  <c r="H32"/>
  <c r="G32"/>
  <c r="I32" s="1"/>
  <c r="H31"/>
  <c r="G31"/>
  <c r="I31" s="1"/>
  <c r="H30"/>
  <c r="G30"/>
  <c r="I30" s="1"/>
  <c r="H29"/>
  <c r="G29"/>
  <c r="I29" s="1"/>
  <c r="H28"/>
  <c r="G28"/>
  <c r="I28" s="1"/>
  <c r="H27"/>
  <c r="G27"/>
  <c r="I27" s="1"/>
  <c r="H26"/>
  <c r="G26"/>
  <c r="I26" s="1"/>
  <c r="H25"/>
  <c r="G25"/>
  <c r="I25" s="1"/>
  <c r="H24"/>
  <c r="G24"/>
  <c r="I24" s="1"/>
  <c r="H23"/>
  <c r="G23"/>
  <c r="I23" s="1"/>
  <c r="H22"/>
  <c r="G22"/>
  <c r="I22" s="1"/>
  <c r="H21"/>
  <c r="G21"/>
  <c r="I21" s="1"/>
  <c r="H20"/>
  <c r="G20"/>
  <c r="I20" s="1"/>
  <c r="H19"/>
  <c r="G19"/>
  <c r="I19" s="1"/>
  <c r="H18"/>
  <c r="G18"/>
  <c r="I18" s="1"/>
  <c r="H17"/>
  <c r="G17"/>
  <c r="I17" s="1"/>
  <c r="H16"/>
  <c r="G16"/>
  <c r="I16" s="1"/>
  <c r="H15"/>
  <c r="G15"/>
  <c r="I15" s="1"/>
  <c r="H14"/>
  <c r="G14"/>
  <c r="I14" s="1"/>
  <c r="H13"/>
  <c r="G13"/>
  <c r="I13" s="1"/>
  <c r="H12"/>
  <c r="G12"/>
  <c r="I12" s="1"/>
  <c r="H11"/>
  <c r="G11"/>
  <c r="I11" s="1"/>
  <c r="H10"/>
  <c r="G10"/>
  <c r="T40" i="15"/>
  <c r="S40"/>
  <c r="U40" s="1"/>
  <c r="T39"/>
  <c r="S39"/>
  <c r="U39" s="1"/>
  <c r="T38"/>
  <c r="S38"/>
  <c r="U38" s="1"/>
  <c r="T37"/>
  <c r="S37"/>
  <c r="U37" s="1"/>
  <c r="T36"/>
  <c r="S36"/>
  <c r="U36" s="1"/>
  <c r="T35"/>
  <c r="S35"/>
  <c r="U35" s="1"/>
  <c r="T34"/>
  <c r="S34"/>
  <c r="U34" s="1"/>
  <c r="T33"/>
  <c r="S33"/>
  <c r="U33" s="1"/>
  <c r="T32"/>
  <c r="S32"/>
  <c r="U32" s="1"/>
  <c r="T31"/>
  <c r="S31"/>
  <c r="U31" s="1"/>
  <c r="T30"/>
  <c r="S30"/>
  <c r="U30" s="1"/>
  <c r="T29"/>
  <c r="S29"/>
  <c r="U29" s="1"/>
  <c r="T28"/>
  <c r="S28"/>
  <c r="U28" s="1"/>
  <c r="T27"/>
  <c r="S27"/>
  <c r="U27" s="1"/>
  <c r="T26"/>
  <c r="S26"/>
  <c r="U26" s="1"/>
  <c r="T25"/>
  <c r="S25"/>
  <c r="U25" s="1"/>
  <c r="T24"/>
  <c r="S24"/>
  <c r="U24" s="1"/>
  <c r="T23"/>
  <c r="S23"/>
  <c r="U23" s="1"/>
  <c r="T22"/>
  <c r="S22"/>
  <c r="U22" s="1"/>
  <c r="T21"/>
  <c r="S21"/>
  <c r="U21" s="1"/>
  <c r="T20"/>
  <c r="S20"/>
  <c r="U20" s="1"/>
  <c r="T19"/>
  <c r="S19"/>
  <c r="U19" s="1"/>
  <c r="T18"/>
  <c r="S18"/>
  <c r="U18" s="1"/>
  <c r="T17"/>
  <c r="S17"/>
  <c r="U17" s="1"/>
  <c r="T16"/>
  <c r="S16"/>
  <c r="U16" s="1"/>
  <c r="T15"/>
  <c r="S15"/>
  <c r="U15" s="1"/>
  <c r="T14"/>
  <c r="S14"/>
  <c r="U14" s="1"/>
  <c r="T13"/>
  <c r="S13"/>
  <c r="U13" s="1"/>
  <c r="T12"/>
  <c r="S12"/>
  <c r="U12" s="1"/>
  <c r="T11"/>
  <c r="S11"/>
  <c r="U11" s="1"/>
  <c r="T10"/>
  <c r="S10"/>
  <c r="P40"/>
  <c r="O40"/>
  <c r="Q40" s="1"/>
  <c r="P39"/>
  <c r="O39"/>
  <c r="Q39" s="1"/>
  <c r="P38"/>
  <c r="O38"/>
  <c r="Q38" s="1"/>
  <c r="P37"/>
  <c r="O37"/>
  <c r="Q37" s="1"/>
  <c r="P36"/>
  <c r="O36"/>
  <c r="Q36" s="1"/>
  <c r="P35"/>
  <c r="O35"/>
  <c r="Q35" s="1"/>
  <c r="P34"/>
  <c r="O34"/>
  <c r="Q34" s="1"/>
  <c r="P33"/>
  <c r="O33"/>
  <c r="Q33" s="1"/>
  <c r="P32"/>
  <c r="O32"/>
  <c r="Q32" s="1"/>
  <c r="P31"/>
  <c r="O31"/>
  <c r="Q31" s="1"/>
  <c r="P30"/>
  <c r="O30"/>
  <c r="Q30" s="1"/>
  <c r="P29"/>
  <c r="O29"/>
  <c r="Q29" s="1"/>
  <c r="P28"/>
  <c r="O28"/>
  <c r="Q28" s="1"/>
  <c r="P27"/>
  <c r="O27"/>
  <c r="Q27" s="1"/>
  <c r="P26"/>
  <c r="O26"/>
  <c r="Q26" s="1"/>
  <c r="P25"/>
  <c r="O25"/>
  <c r="Q25" s="1"/>
  <c r="P24"/>
  <c r="O24"/>
  <c r="Q24" s="1"/>
  <c r="P23"/>
  <c r="O23"/>
  <c r="Q23" s="1"/>
  <c r="P22"/>
  <c r="O22"/>
  <c r="Q22" s="1"/>
  <c r="P21"/>
  <c r="O21"/>
  <c r="Q21" s="1"/>
  <c r="P20"/>
  <c r="O20"/>
  <c r="Q20" s="1"/>
  <c r="P19"/>
  <c r="O19"/>
  <c r="Q19" s="1"/>
  <c r="P18"/>
  <c r="O18"/>
  <c r="Q18" s="1"/>
  <c r="P17"/>
  <c r="O17"/>
  <c r="Q17" s="1"/>
  <c r="P16"/>
  <c r="O16"/>
  <c r="Q16" s="1"/>
  <c r="P15"/>
  <c r="O15"/>
  <c r="Q15" s="1"/>
  <c r="P14"/>
  <c r="O14"/>
  <c r="Q14" s="1"/>
  <c r="P13"/>
  <c r="O13"/>
  <c r="Q13" s="1"/>
  <c r="P12"/>
  <c r="O12"/>
  <c r="Q12" s="1"/>
  <c r="P11"/>
  <c r="O11"/>
  <c r="Q11" s="1"/>
  <c r="P10"/>
  <c r="O10"/>
  <c r="L40"/>
  <c r="K40"/>
  <c r="M40" s="1"/>
  <c r="L39"/>
  <c r="K39"/>
  <c r="M39" s="1"/>
  <c r="L38"/>
  <c r="K38"/>
  <c r="M38" s="1"/>
  <c r="L37"/>
  <c r="K37"/>
  <c r="M37" s="1"/>
  <c r="L36"/>
  <c r="K36"/>
  <c r="M36" s="1"/>
  <c r="L35"/>
  <c r="K35"/>
  <c r="M35" s="1"/>
  <c r="L34"/>
  <c r="K34"/>
  <c r="M34" s="1"/>
  <c r="L33"/>
  <c r="K33"/>
  <c r="M33" s="1"/>
  <c r="L32"/>
  <c r="K32"/>
  <c r="M32" s="1"/>
  <c r="L31"/>
  <c r="K31"/>
  <c r="M31" s="1"/>
  <c r="L30"/>
  <c r="K30"/>
  <c r="M30" s="1"/>
  <c r="L29"/>
  <c r="K29"/>
  <c r="M29" s="1"/>
  <c r="L28"/>
  <c r="K28"/>
  <c r="M28" s="1"/>
  <c r="L27"/>
  <c r="K27"/>
  <c r="M27" s="1"/>
  <c r="L26"/>
  <c r="K26"/>
  <c r="M26" s="1"/>
  <c r="L25"/>
  <c r="K25"/>
  <c r="M25" s="1"/>
  <c r="L24"/>
  <c r="K24"/>
  <c r="M24" s="1"/>
  <c r="L23"/>
  <c r="K23"/>
  <c r="M23" s="1"/>
  <c r="L22"/>
  <c r="K22"/>
  <c r="M22" s="1"/>
  <c r="L21"/>
  <c r="K21"/>
  <c r="M21" s="1"/>
  <c r="L20"/>
  <c r="K20"/>
  <c r="M20" s="1"/>
  <c r="L19"/>
  <c r="K19"/>
  <c r="M19" s="1"/>
  <c r="L18"/>
  <c r="K18"/>
  <c r="M18" s="1"/>
  <c r="L17"/>
  <c r="K17"/>
  <c r="M17" s="1"/>
  <c r="L16"/>
  <c r="K16"/>
  <c r="M16" s="1"/>
  <c r="L15"/>
  <c r="K15"/>
  <c r="M15" s="1"/>
  <c r="L14"/>
  <c r="K14"/>
  <c r="M14" s="1"/>
  <c r="L13"/>
  <c r="K13"/>
  <c r="M13" s="1"/>
  <c r="L12"/>
  <c r="K12"/>
  <c r="M12" s="1"/>
  <c r="L11"/>
  <c r="K11"/>
  <c r="M11" s="1"/>
  <c r="L10"/>
  <c r="K10"/>
  <c r="CV68" i="10"/>
  <c r="CT68"/>
  <c r="CR68"/>
  <c r="V40" i="16" s="1"/>
  <c r="CP68" i="10"/>
  <c r="CN68"/>
  <c r="CL68"/>
  <c r="R40" i="16" s="1"/>
  <c r="CJ68" i="10"/>
  <c r="CH68"/>
  <c r="CF68"/>
  <c r="N40" i="16" s="1"/>
  <c r="CD68" i="10"/>
  <c r="CB68"/>
  <c r="J40" i="16" s="1"/>
  <c r="BZ68" i="10"/>
  <c r="CV67"/>
  <c r="CT67"/>
  <c r="CR67"/>
  <c r="V39" i="16" s="1"/>
  <c r="CP67" i="10"/>
  <c r="CN67"/>
  <c r="CL67"/>
  <c r="R39" i="16" s="1"/>
  <c r="CJ67" i="10"/>
  <c r="CH67"/>
  <c r="CF67"/>
  <c r="N39" i="16" s="1"/>
  <c r="CD67" i="10"/>
  <c r="CB67"/>
  <c r="BZ67"/>
  <c r="J39" i="16" s="1"/>
  <c r="CV66" i="10"/>
  <c r="CT66"/>
  <c r="CR66"/>
  <c r="V38" i="16" s="1"/>
  <c r="CP66" i="10"/>
  <c r="CN66"/>
  <c r="CL66"/>
  <c r="R38" i="16" s="1"/>
  <c r="CJ66" i="10"/>
  <c r="CH66"/>
  <c r="CF66"/>
  <c r="N38" i="16" s="1"/>
  <c r="CD66" i="10"/>
  <c r="CB66"/>
  <c r="J38" i="16" s="1"/>
  <c r="BZ66" i="10"/>
  <c r="CV65"/>
  <c r="CT65"/>
  <c r="CR65"/>
  <c r="V37" i="16" s="1"/>
  <c r="CP65" i="10"/>
  <c r="CN65"/>
  <c r="CL65"/>
  <c r="R37" i="16" s="1"/>
  <c r="CJ65" i="10"/>
  <c r="CH65"/>
  <c r="CF65"/>
  <c r="N37" i="16" s="1"/>
  <c r="CD65" i="10"/>
  <c r="CB65"/>
  <c r="BZ65"/>
  <c r="J37" i="16" s="1"/>
  <c r="CV64" i="10"/>
  <c r="CT64"/>
  <c r="CR64"/>
  <c r="V36" i="16" s="1"/>
  <c r="CP64" i="10"/>
  <c r="CN64"/>
  <c r="CL64"/>
  <c r="R36" i="16" s="1"/>
  <c r="CJ64" i="10"/>
  <c r="CH64"/>
  <c r="CF64"/>
  <c r="N36" i="16" s="1"/>
  <c r="CD64" i="10"/>
  <c r="CB64"/>
  <c r="J36" i="16" s="1"/>
  <c r="BZ64" i="10"/>
  <c r="CV63"/>
  <c r="CT63"/>
  <c r="CR63"/>
  <c r="V35" i="16" s="1"/>
  <c r="CP63" i="10"/>
  <c r="CN63"/>
  <c r="CL63"/>
  <c r="R35" i="16" s="1"/>
  <c r="CJ63" i="10"/>
  <c r="CH63"/>
  <c r="CF63"/>
  <c r="N35" i="16" s="1"/>
  <c r="CD63" i="10"/>
  <c r="CB63"/>
  <c r="BZ63"/>
  <c r="J35" i="16" s="1"/>
  <c r="CV62" i="10"/>
  <c r="CT62"/>
  <c r="CR62"/>
  <c r="V34" i="16" s="1"/>
  <c r="CP62" i="10"/>
  <c r="CN62"/>
  <c r="CL62"/>
  <c r="R34" i="16" s="1"/>
  <c r="CJ62" i="10"/>
  <c r="CH62"/>
  <c r="CF62"/>
  <c r="N34" i="16" s="1"/>
  <c r="CD62" i="10"/>
  <c r="CB62"/>
  <c r="J34" i="16" s="1"/>
  <c r="BZ62" i="10"/>
  <c r="CV61"/>
  <c r="CT61"/>
  <c r="CR61"/>
  <c r="V33" i="16" s="1"/>
  <c r="CP61" i="10"/>
  <c r="CN61"/>
  <c r="CL61"/>
  <c r="R33" i="16" s="1"/>
  <c r="CJ61" i="10"/>
  <c r="CH61"/>
  <c r="CF61"/>
  <c r="N33" i="16" s="1"/>
  <c r="CD61" i="10"/>
  <c r="CB61"/>
  <c r="BZ61"/>
  <c r="J33" i="16" s="1"/>
  <c r="CV60" i="10"/>
  <c r="CT60"/>
  <c r="CR60"/>
  <c r="V32" i="16" s="1"/>
  <c r="CP60" i="10"/>
  <c r="CN60"/>
  <c r="CL60"/>
  <c r="R32" i="16" s="1"/>
  <c r="CJ60" i="10"/>
  <c r="CH60"/>
  <c r="CF60"/>
  <c r="N32" i="16" s="1"/>
  <c r="CD60" i="10"/>
  <c r="CB60"/>
  <c r="J32" i="16" s="1"/>
  <c r="BZ60" i="10"/>
  <c r="CV59"/>
  <c r="CT59"/>
  <c r="CR59"/>
  <c r="V31" i="16" s="1"/>
  <c r="CP59" i="10"/>
  <c r="CN59"/>
  <c r="CL59"/>
  <c r="R31" i="16" s="1"/>
  <c r="CJ59" i="10"/>
  <c r="CH59"/>
  <c r="CF59"/>
  <c r="N31" i="16" s="1"/>
  <c r="CD59" i="10"/>
  <c r="CB59"/>
  <c r="BZ59"/>
  <c r="J31" i="16" s="1"/>
  <c r="CV58" i="10"/>
  <c r="CT58"/>
  <c r="CR58"/>
  <c r="V30" i="16" s="1"/>
  <c r="CP58" i="10"/>
  <c r="CN58"/>
  <c r="CL58"/>
  <c r="R30" i="16" s="1"/>
  <c r="CJ58" i="10"/>
  <c r="CH58"/>
  <c r="CF58"/>
  <c r="N30" i="16" s="1"/>
  <c r="CD58" i="10"/>
  <c r="CB58"/>
  <c r="J30" i="16" s="1"/>
  <c r="BZ58" i="10"/>
  <c r="CV57"/>
  <c r="CT57"/>
  <c r="CR57"/>
  <c r="V29" i="16" s="1"/>
  <c r="CP57" i="10"/>
  <c r="CN57"/>
  <c r="CL57"/>
  <c r="R29" i="16" s="1"/>
  <c r="CJ57" i="10"/>
  <c r="CH57"/>
  <c r="CF57"/>
  <c r="N29" i="16" s="1"/>
  <c r="CD57" i="10"/>
  <c r="CB57"/>
  <c r="BZ57"/>
  <c r="J29" i="16" s="1"/>
  <c r="CV56" i="10"/>
  <c r="CT56"/>
  <c r="CR56"/>
  <c r="V28" i="16" s="1"/>
  <c r="CP56" i="10"/>
  <c r="CN56"/>
  <c r="CL56"/>
  <c r="R28" i="16" s="1"/>
  <c r="CJ56" i="10"/>
  <c r="CH56"/>
  <c r="CF56"/>
  <c r="N28" i="16" s="1"/>
  <c r="CD56" i="10"/>
  <c r="CB56"/>
  <c r="J28" i="16" s="1"/>
  <c r="BZ56" i="10"/>
  <c r="CV55"/>
  <c r="CT55"/>
  <c r="CR55"/>
  <c r="V27" i="16" s="1"/>
  <c r="CP55" i="10"/>
  <c r="CN55"/>
  <c r="CL55"/>
  <c r="R27" i="16" s="1"/>
  <c r="CJ55" i="10"/>
  <c r="CH55"/>
  <c r="CF55"/>
  <c r="N27" i="16" s="1"/>
  <c r="CD55" i="10"/>
  <c r="CB55"/>
  <c r="BZ55"/>
  <c r="J27" i="16" s="1"/>
  <c r="CV54" i="10"/>
  <c r="CT54"/>
  <c r="CR54"/>
  <c r="V26" i="16" s="1"/>
  <c r="CP54" i="10"/>
  <c r="CN54"/>
  <c r="CL54"/>
  <c r="R26" i="16" s="1"/>
  <c r="CJ54" i="10"/>
  <c r="CH54"/>
  <c r="CF54"/>
  <c r="N26" i="16" s="1"/>
  <c r="CD54" i="10"/>
  <c r="CB54"/>
  <c r="J26" i="16" s="1"/>
  <c r="BZ54" i="10"/>
  <c r="CV53"/>
  <c r="CT53"/>
  <c r="CR53"/>
  <c r="V25" i="16" s="1"/>
  <c r="CP53" i="10"/>
  <c r="CN53"/>
  <c r="CL53"/>
  <c r="R25" i="16" s="1"/>
  <c r="CJ53" i="10"/>
  <c r="CH53"/>
  <c r="CF53"/>
  <c r="N25" i="16" s="1"/>
  <c r="CD53" i="10"/>
  <c r="CB53"/>
  <c r="BZ53"/>
  <c r="J25" i="16" s="1"/>
  <c r="CV52" i="10"/>
  <c r="CT52"/>
  <c r="CR52"/>
  <c r="V24" i="16" s="1"/>
  <c r="CP52" i="10"/>
  <c r="CN52"/>
  <c r="CL52"/>
  <c r="R24" i="16" s="1"/>
  <c r="CJ52" i="10"/>
  <c r="CH52"/>
  <c r="CF52"/>
  <c r="N24" i="16" s="1"/>
  <c r="CD52" i="10"/>
  <c r="CB52"/>
  <c r="J24" i="16" s="1"/>
  <c r="BZ52" i="10"/>
  <c r="CV51"/>
  <c r="CT51"/>
  <c r="CR51"/>
  <c r="V23" i="16" s="1"/>
  <c r="CP51" i="10"/>
  <c r="CN51"/>
  <c r="CL51"/>
  <c r="R23" i="16" s="1"/>
  <c r="CJ51" i="10"/>
  <c r="CH51"/>
  <c r="CF51"/>
  <c r="N23" i="16" s="1"/>
  <c r="CD51" i="10"/>
  <c r="CB51"/>
  <c r="BZ51"/>
  <c r="J23" i="16" s="1"/>
  <c r="CV50" i="10"/>
  <c r="CT50"/>
  <c r="CR50"/>
  <c r="V22" i="16" s="1"/>
  <c r="CP50" i="10"/>
  <c r="CN50"/>
  <c r="CL50"/>
  <c r="R22" i="16" s="1"/>
  <c r="CJ50" i="10"/>
  <c r="CH50"/>
  <c r="CF50"/>
  <c r="N22" i="16" s="1"/>
  <c r="CD50" i="10"/>
  <c r="CB50"/>
  <c r="J22" i="16" s="1"/>
  <c r="BZ50" i="10"/>
  <c r="CV49"/>
  <c r="CT49"/>
  <c r="CR49"/>
  <c r="V21" i="16" s="1"/>
  <c r="CP49" i="10"/>
  <c r="CN49"/>
  <c r="CL49"/>
  <c r="R21" i="16" s="1"/>
  <c r="CJ49" i="10"/>
  <c r="CH49"/>
  <c r="CF49"/>
  <c r="N21" i="16" s="1"/>
  <c r="CD49" i="10"/>
  <c r="CB49"/>
  <c r="BZ49"/>
  <c r="J21" i="16" s="1"/>
  <c r="CV48" i="10"/>
  <c r="CT48"/>
  <c r="CR48"/>
  <c r="V20" i="16" s="1"/>
  <c r="CP48" i="10"/>
  <c r="CN48"/>
  <c r="CL48"/>
  <c r="R20" i="16" s="1"/>
  <c r="CJ48" i="10"/>
  <c r="CH48"/>
  <c r="CF48"/>
  <c r="N20" i="16" s="1"/>
  <c r="CD48" i="10"/>
  <c r="CB48"/>
  <c r="BZ48"/>
  <c r="J20" i="16" s="1"/>
  <c r="CV47" i="10"/>
  <c r="CT47"/>
  <c r="CR47"/>
  <c r="V19" i="16" s="1"/>
  <c r="CP47" i="10"/>
  <c r="CN47"/>
  <c r="CL47"/>
  <c r="R19" i="16" s="1"/>
  <c r="CJ47" i="10"/>
  <c r="CH47"/>
  <c r="CF47"/>
  <c r="N19" i="16" s="1"/>
  <c r="CD47" i="10"/>
  <c r="CB47"/>
  <c r="BZ47"/>
  <c r="J19" i="16" s="1"/>
  <c r="CV46" i="10"/>
  <c r="CT46"/>
  <c r="CR46"/>
  <c r="V18" i="16" s="1"/>
  <c r="CP46" i="10"/>
  <c r="CN46"/>
  <c r="CL46"/>
  <c r="R18" i="16" s="1"/>
  <c r="CJ46" i="10"/>
  <c r="CH46"/>
  <c r="CF46"/>
  <c r="N18" i="16" s="1"/>
  <c r="CD46" i="10"/>
  <c r="CB46"/>
  <c r="BZ46"/>
  <c r="J18" i="16" s="1"/>
  <c r="CV45" i="10"/>
  <c r="CT45"/>
  <c r="CR45"/>
  <c r="V17" i="16" s="1"/>
  <c r="CP45" i="10"/>
  <c r="CN45"/>
  <c r="CL45"/>
  <c r="R17" i="16" s="1"/>
  <c r="CJ45" i="10"/>
  <c r="CH45"/>
  <c r="CF45"/>
  <c r="N17" i="16" s="1"/>
  <c r="CD45" i="10"/>
  <c r="CB45"/>
  <c r="BZ45"/>
  <c r="J17" i="16" s="1"/>
  <c r="CV44" i="10"/>
  <c r="CT44"/>
  <c r="CR44"/>
  <c r="V16" i="16" s="1"/>
  <c r="CP44" i="10"/>
  <c r="CN44"/>
  <c r="CL44"/>
  <c r="R16" i="16" s="1"/>
  <c r="CJ44" i="10"/>
  <c r="CH44"/>
  <c r="CF44"/>
  <c r="N16" i="16" s="1"/>
  <c r="CD44" i="10"/>
  <c r="CB44"/>
  <c r="BZ44"/>
  <c r="J16" i="16" s="1"/>
  <c r="CV43" i="10"/>
  <c r="CT43"/>
  <c r="CR43"/>
  <c r="V15" i="16" s="1"/>
  <c r="CP43" i="10"/>
  <c r="CN43"/>
  <c r="CL43"/>
  <c r="R15" i="16" s="1"/>
  <c r="CJ43" i="10"/>
  <c r="CH43"/>
  <c r="CF43"/>
  <c r="N15" i="16" s="1"/>
  <c r="CD43" i="10"/>
  <c r="CB43"/>
  <c r="BZ43"/>
  <c r="J15" i="16" s="1"/>
  <c r="CV42" i="10"/>
  <c r="CT42"/>
  <c r="CR42"/>
  <c r="V14" i="16" s="1"/>
  <c r="CP42" i="10"/>
  <c r="CN42"/>
  <c r="CL42"/>
  <c r="R14" i="16" s="1"/>
  <c r="CJ42" i="10"/>
  <c r="CH42"/>
  <c r="CF42"/>
  <c r="N14" i="16" s="1"/>
  <c r="CD42" i="10"/>
  <c r="CB42"/>
  <c r="BZ42"/>
  <c r="J14" i="16" s="1"/>
  <c r="CV41" i="10"/>
  <c r="CT41"/>
  <c r="CR41"/>
  <c r="V13" i="16" s="1"/>
  <c r="CP41" i="10"/>
  <c r="CN41"/>
  <c r="CL41"/>
  <c r="R13" i="16" s="1"/>
  <c r="CJ41" i="10"/>
  <c r="CH41"/>
  <c r="CF41"/>
  <c r="N13" i="16" s="1"/>
  <c r="CD41" i="10"/>
  <c r="CB41"/>
  <c r="BZ41"/>
  <c r="J13" i="16" s="1"/>
  <c r="CV40" i="10"/>
  <c r="CT40"/>
  <c r="CR40"/>
  <c r="V12" i="16" s="1"/>
  <c r="CP40" i="10"/>
  <c r="CN40"/>
  <c r="CL40"/>
  <c r="R12" i="16" s="1"/>
  <c r="CJ40" i="10"/>
  <c r="CH40"/>
  <c r="CF40"/>
  <c r="N12" i="16" s="1"/>
  <c r="CD40" i="10"/>
  <c r="CB40"/>
  <c r="BZ40"/>
  <c r="J12" i="16" s="1"/>
  <c r="CV39" i="10"/>
  <c r="CT39"/>
  <c r="CR39"/>
  <c r="V11" i="16" s="1"/>
  <c r="CP39" i="10"/>
  <c r="CN39"/>
  <c r="CL39"/>
  <c r="R11" i="16" s="1"/>
  <c r="CJ39" i="10"/>
  <c r="CH39"/>
  <c r="CF39"/>
  <c r="N11" i="16" s="1"/>
  <c r="CD39" i="10"/>
  <c r="CB39"/>
  <c r="BZ39"/>
  <c r="J11" i="16" s="1"/>
  <c r="CV38" i="10"/>
  <c r="CT38"/>
  <c r="CR38"/>
  <c r="V10" i="16" s="1"/>
  <c r="CP38" i="10"/>
  <c r="CN38"/>
  <c r="CL38"/>
  <c r="R10" i="16" s="1"/>
  <c r="CJ38" i="10"/>
  <c r="CH38"/>
  <c r="CF38"/>
  <c r="N10" i="16" s="1"/>
  <c r="CD38" i="10"/>
  <c r="CB38"/>
  <c r="BZ38"/>
  <c r="J10" i="16" s="1"/>
  <c r="BX68" i="10"/>
  <c r="BV68"/>
  <c r="BT68"/>
  <c r="V40" i="15" s="1"/>
  <c r="BX67" i="10"/>
  <c r="BV67"/>
  <c r="BT67"/>
  <c r="V39" i="15" s="1"/>
  <c r="BX66" i="10"/>
  <c r="BV66"/>
  <c r="BT66"/>
  <c r="V38" i="15" s="1"/>
  <c r="BX65" i="10"/>
  <c r="BV65"/>
  <c r="BT65"/>
  <c r="V37" i="15" s="1"/>
  <c r="BX64" i="10"/>
  <c r="BV64"/>
  <c r="BT64"/>
  <c r="V36" i="15" s="1"/>
  <c r="BX63" i="10"/>
  <c r="BV63"/>
  <c r="BT63"/>
  <c r="V35" i="15" s="1"/>
  <c r="BX62" i="10"/>
  <c r="BV62"/>
  <c r="BT62"/>
  <c r="V34" i="15" s="1"/>
  <c r="BX61" i="10"/>
  <c r="BV61"/>
  <c r="BT61"/>
  <c r="V33" i="15" s="1"/>
  <c r="BX60" i="10"/>
  <c r="BV60"/>
  <c r="BT60"/>
  <c r="V32" i="15" s="1"/>
  <c r="BX59" i="10"/>
  <c r="BV59"/>
  <c r="BT59"/>
  <c r="V31" i="15" s="1"/>
  <c r="BX58" i="10"/>
  <c r="BV58"/>
  <c r="BT58"/>
  <c r="V30" i="15" s="1"/>
  <c r="BX57" i="10"/>
  <c r="BV57"/>
  <c r="BT57"/>
  <c r="V29" i="15" s="1"/>
  <c r="BX56" i="10"/>
  <c r="BV56"/>
  <c r="BT56"/>
  <c r="V28" i="15" s="1"/>
  <c r="BX55" i="10"/>
  <c r="BV55"/>
  <c r="BT55"/>
  <c r="V27" i="15" s="1"/>
  <c r="BX54" i="10"/>
  <c r="BV54"/>
  <c r="BT54"/>
  <c r="V26" i="15" s="1"/>
  <c r="BX53" i="10"/>
  <c r="BV53"/>
  <c r="BT53"/>
  <c r="V25" i="15" s="1"/>
  <c r="BX52" i="10"/>
  <c r="BV52"/>
  <c r="BT52"/>
  <c r="V24" i="15" s="1"/>
  <c r="BX51" i="10"/>
  <c r="BV51"/>
  <c r="BT51"/>
  <c r="V23" i="15" s="1"/>
  <c r="BX50" i="10"/>
  <c r="BV50"/>
  <c r="BT50"/>
  <c r="V22" i="15" s="1"/>
  <c r="BX49" i="10"/>
  <c r="BV49"/>
  <c r="BT49"/>
  <c r="V21" i="15" s="1"/>
  <c r="BX48" i="10"/>
  <c r="BV48"/>
  <c r="BT48"/>
  <c r="V20" i="15" s="1"/>
  <c r="BX47" i="10"/>
  <c r="BV47"/>
  <c r="BT47"/>
  <c r="V19" i="15" s="1"/>
  <c r="BX46" i="10"/>
  <c r="BV46"/>
  <c r="BT46"/>
  <c r="V18" i="15" s="1"/>
  <c r="BX45" i="10"/>
  <c r="BV45"/>
  <c r="V17" i="15" s="1"/>
  <c r="BT45" i="10"/>
  <c r="BX44"/>
  <c r="BV44"/>
  <c r="BT44"/>
  <c r="V16" i="15" s="1"/>
  <c r="BX43" i="10"/>
  <c r="BV43"/>
  <c r="V15" i="15" s="1"/>
  <c r="BT43" i="10"/>
  <c r="BX42"/>
  <c r="BV42"/>
  <c r="BT42"/>
  <c r="V14" i="15" s="1"/>
  <c r="BX41" i="10"/>
  <c r="BV41"/>
  <c r="V13" i="15" s="1"/>
  <c r="BT41" i="10"/>
  <c r="BX40"/>
  <c r="BV40"/>
  <c r="BT40"/>
  <c r="V12" i="15" s="1"/>
  <c r="BX39" i="10"/>
  <c r="BV39"/>
  <c r="V11" i="15" s="1"/>
  <c r="BT39" i="10"/>
  <c r="BX38"/>
  <c r="BV38"/>
  <c r="BT38"/>
  <c r="V10" i="15" s="1"/>
  <c r="BR68" i="10"/>
  <c r="BP68"/>
  <c r="R40" i="15" s="1"/>
  <c r="BN68" i="10"/>
  <c r="BR67"/>
  <c r="BP67"/>
  <c r="BN67"/>
  <c r="R39" i="15" s="1"/>
  <c r="BR66" i="10"/>
  <c r="BP66"/>
  <c r="R38" i="15" s="1"/>
  <c r="BN66" i="10"/>
  <c r="BR65"/>
  <c r="BP65"/>
  <c r="BN65"/>
  <c r="R37" i="15" s="1"/>
  <c r="BR64" i="10"/>
  <c r="BP64"/>
  <c r="R36" i="15" s="1"/>
  <c r="BN64" i="10"/>
  <c r="BR63"/>
  <c r="BP63"/>
  <c r="BN63"/>
  <c r="R35" i="15" s="1"/>
  <c r="BR62" i="10"/>
  <c r="BP62"/>
  <c r="R34" i="15" s="1"/>
  <c r="BN62" i="10"/>
  <c r="BR61"/>
  <c r="BP61"/>
  <c r="BN61"/>
  <c r="R33" i="15" s="1"/>
  <c r="BR60" i="10"/>
  <c r="BP60"/>
  <c r="R32" i="15" s="1"/>
  <c r="BN60" i="10"/>
  <c r="BR59"/>
  <c r="BP59"/>
  <c r="BN59"/>
  <c r="R31" i="15" s="1"/>
  <c r="BR58" i="10"/>
  <c r="BP58"/>
  <c r="R30" i="15" s="1"/>
  <c r="BN58" i="10"/>
  <c r="BR57"/>
  <c r="BP57"/>
  <c r="BN57"/>
  <c r="R29" i="15" s="1"/>
  <c r="BR56" i="10"/>
  <c r="BP56"/>
  <c r="R28" i="15" s="1"/>
  <c r="BN56" i="10"/>
  <c r="BR55"/>
  <c r="BP55"/>
  <c r="BN55"/>
  <c r="R27" i="15" s="1"/>
  <c r="BR54" i="10"/>
  <c r="BP54"/>
  <c r="R26" i="15" s="1"/>
  <c r="BN54" i="10"/>
  <c r="BR53"/>
  <c r="BP53"/>
  <c r="BN53"/>
  <c r="R25" i="15" s="1"/>
  <c r="BR52" i="10"/>
  <c r="BP52"/>
  <c r="R24" i="15" s="1"/>
  <c r="BN52" i="10"/>
  <c r="BR51"/>
  <c r="BP51"/>
  <c r="BN51"/>
  <c r="R23" i="15" s="1"/>
  <c r="BR50" i="10"/>
  <c r="BP50"/>
  <c r="R22" i="15" s="1"/>
  <c r="BN50" i="10"/>
  <c r="BR49"/>
  <c r="BP49"/>
  <c r="BN49"/>
  <c r="R21" i="15" s="1"/>
  <c r="BR48" i="10"/>
  <c r="BP48"/>
  <c r="R20" i="15" s="1"/>
  <c r="BN48" i="10"/>
  <c r="BR47"/>
  <c r="BP47"/>
  <c r="BN47"/>
  <c r="R19" i="15" s="1"/>
  <c r="BR46" i="10"/>
  <c r="BP46"/>
  <c r="R18" i="15" s="1"/>
  <c r="BN46" i="10"/>
  <c r="BR45"/>
  <c r="BP45"/>
  <c r="BN45"/>
  <c r="R17" i="15" s="1"/>
  <c r="BR44" i="10"/>
  <c r="BP44"/>
  <c r="R16" i="15" s="1"/>
  <c r="BN44" i="10"/>
  <c r="BR43"/>
  <c r="BP43"/>
  <c r="BN43"/>
  <c r="R15" i="15" s="1"/>
  <c r="BR42" i="10"/>
  <c r="BP42"/>
  <c r="R14" i="15" s="1"/>
  <c r="BN42" i="10"/>
  <c r="BR41"/>
  <c r="BP41"/>
  <c r="BN41"/>
  <c r="R13" i="15" s="1"/>
  <c r="BR40" i="10"/>
  <c r="BP40"/>
  <c r="R12" i="15" s="1"/>
  <c r="BN40" i="10"/>
  <c r="BR39"/>
  <c r="BP39"/>
  <c r="BN39"/>
  <c r="R11" i="15" s="1"/>
  <c r="BR38" i="10"/>
  <c r="BP38"/>
  <c r="R10" i="15" s="1"/>
  <c r="BN38" i="10"/>
  <c r="B40" i="16"/>
  <c r="B39"/>
  <c r="B38"/>
  <c r="B37"/>
  <c r="B36"/>
  <c r="B35"/>
  <c r="B34"/>
  <c r="B33"/>
  <c r="B32"/>
  <c r="B31"/>
  <c r="B30"/>
  <c r="B29"/>
  <c r="B28"/>
  <c r="B27"/>
  <c r="B26"/>
  <c r="B25"/>
  <c r="B24"/>
  <c r="B23"/>
  <c r="B22"/>
  <c r="B21"/>
  <c r="B20"/>
  <c r="B19"/>
  <c r="B18"/>
  <c r="B17"/>
  <c r="B16"/>
  <c r="B15"/>
  <c r="B14"/>
  <c r="B13"/>
  <c r="B12"/>
  <c r="B11"/>
  <c r="S41"/>
  <c r="O41"/>
  <c r="K41"/>
  <c r="G41"/>
  <c r="B10"/>
  <c r="BL68" i="10"/>
  <c r="BJ68"/>
  <c r="BH68"/>
  <c r="N40" i="15" s="1"/>
  <c r="BL67" i="10"/>
  <c r="BJ67"/>
  <c r="BH67"/>
  <c r="N39" i="15" s="1"/>
  <c r="BL66" i="10"/>
  <c r="BJ66"/>
  <c r="BH66"/>
  <c r="N38" i="15" s="1"/>
  <c r="BL65" i="10"/>
  <c r="BJ65"/>
  <c r="BH65"/>
  <c r="N37" i="15" s="1"/>
  <c r="BL64" i="10"/>
  <c r="BJ64"/>
  <c r="BH64"/>
  <c r="N36" i="15" s="1"/>
  <c r="BL63" i="10"/>
  <c r="BJ63"/>
  <c r="BH63"/>
  <c r="N35" i="15" s="1"/>
  <c r="BL62" i="10"/>
  <c r="BJ62"/>
  <c r="BH62"/>
  <c r="N34" i="15" s="1"/>
  <c r="BL61" i="10"/>
  <c r="BJ61"/>
  <c r="BH61"/>
  <c r="N33" i="15" s="1"/>
  <c r="BL60" i="10"/>
  <c r="BJ60"/>
  <c r="BH60"/>
  <c r="N32" i="15" s="1"/>
  <c r="BL59" i="10"/>
  <c r="BJ59"/>
  <c r="BH59"/>
  <c r="N31" i="15" s="1"/>
  <c r="BL58" i="10"/>
  <c r="BJ58"/>
  <c r="BH58"/>
  <c r="N30" i="15" s="1"/>
  <c r="BL57" i="10"/>
  <c r="BJ57"/>
  <c r="BH57"/>
  <c r="N29" i="15" s="1"/>
  <c r="BL56" i="10"/>
  <c r="BJ56"/>
  <c r="BH56"/>
  <c r="N28" i="15" s="1"/>
  <c r="BL55" i="10"/>
  <c r="BJ55"/>
  <c r="BH55"/>
  <c r="N27" i="15" s="1"/>
  <c r="BL54" i="10"/>
  <c r="BJ54"/>
  <c r="BH54"/>
  <c r="N26" i="15" s="1"/>
  <c r="BL53" i="10"/>
  <c r="BJ53"/>
  <c r="BH53"/>
  <c r="N25" i="15" s="1"/>
  <c r="BL52" i="10"/>
  <c r="BJ52"/>
  <c r="BH52"/>
  <c r="N24" i="15" s="1"/>
  <c r="BL51" i="10"/>
  <c r="BJ51"/>
  <c r="BH51"/>
  <c r="N23" i="15" s="1"/>
  <c r="BL50" i="10"/>
  <c r="BJ50"/>
  <c r="BH50"/>
  <c r="N22" i="15" s="1"/>
  <c r="BL49" i="10"/>
  <c r="BJ49"/>
  <c r="BH49"/>
  <c r="N21" i="15" s="1"/>
  <c r="BL48" i="10"/>
  <c r="BJ48"/>
  <c r="BH48"/>
  <c r="N20" i="15" s="1"/>
  <c r="BL47" i="10"/>
  <c r="BJ47"/>
  <c r="BH47"/>
  <c r="N19" i="15" s="1"/>
  <c r="BL46" i="10"/>
  <c r="BJ46"/>
  <c r="BH46"/>
  <c r="N18" i="15" s="1"/>
  <c r="BL45" i="10"/>
  <c r="BJ45"/>
  <c r="BH45"/>
  <c r="N17" i="15" s="1"/>
  <c r="BL44" i="10"/>
  <c r="BJ44"/>
  <c r="BH44"/>
  <c r="N16" i="15" s="1"/>
  <c r="BL43" i="10"/>
  <c r="BJ43"/>
  <c r="BH43"/>
  <c r="N15" i="15" s="1"/>
  <c r="BL42" i="10"/>
  <c r="BJ42"/>
  <c r="BH42"/>
  <c r="N14" i="15" s="1"/>
  <c r="BL41" i="10"/>
  <c r="BJ41"/>
  <c r="BH41"/>
  <c r="N13" i="15" s="1"/>
  <c r="BL40" i="10"/>
  <c r="BJ40"/>
  <c r="BH40"/>
  <c r="N12" i="15" s="1"/>
  <c r="BL39" i="10"/>
  <c r="BJ39"/>
  <c r="BH39"/>
  <c r="N11" i="15" s="1"/>
  <c r="BL38" i="10"/>
  <c r="BJ38"/>
  <c r="BH38"/>
  <c r="N10" i="15" s="1"/>
  <c r="BF68" i="10"/>
  <c r="BD68"/>
  <c r="BB68"/>
  <c r="BF67"/>
  <c r="BD67"/>
  <c r="BB67"/>
  <c r="J39" i="15" s="1"/>
  <c r="BF66" i="10"/>
  <c r="BD66"/>
  <c r="J38" i="15" s="1"/>
  <c r="BB66" i="10"/>
  <c r="BF65"/>
  <c r="BD65"/>
  <c r="BB65"/>
  <c r="J37" i="15" s="1"/>
  <c r="BF64" i="10"/>
  <c r="BD64"/>
  <c r="BB64"/>
  <c r="BF63"/>
  <c r="BD63"/>
  <c r="BB63"/>
  <c r="J35" i="15" s="1"/>
  <c r="BF62" i="10"/>
  <c r="BD62"/>
  <c r="J34" i="15" s="1"/>
  <c r="BB62" i="10"/>
  <c r="BF61"/>
  <c r="BD61"/>
  <c r="BB61"/>
  <c r="J33" i="15" s="1"/>
  <c r="BF60" i="10"/>
  <c r="BD60"/>
  <c r="BB60"/>
  <c r="BF59"/>
  <c r="BD59"/>
  <c r="BB59"/>
  <c r="J31" i="15" s="1"/>
  <c r="BF58" i="10"/>
  <c r="BD58"/>
  <c r="J30" i="15" s="1"/>
  <c r="BB58" i="10"/>
  <c r="BF57"/>
  <c r="BD57"/>
  <c r="BB57"/>
  <c r="J29" i="15" s="1"/>
  <c r="BF56" i="10"/>
  <c r="BD56"/>
  <c r="BB56"/>
  <c r="BF55"/>
  <c r="BD55"/>
  <c r="BB55"/>
  <c r="J27" i="15" s="1"/>
  <c r="BF54" i="10"/>
  <c r="BD54"/>
  <c r="J26" i="15" s="1"/>
  <c r="BB54" i="10"/>
  <c r="BF53"/>
  <c r="BD53"/>
  <c r="BB53"/>
  <c r="J25" i="15" s="1"/>
  <c r="BF52" i="10"/>
  <c r="BD52"/>
  <c r="BB52"/>
  <c r="BF51"/>
  <c r="BD51"/>
  <c r="BB51"/>
  <c r="J23" i="15" s="1"/>
  <c r="BF50" i="10"/>
  <c r="BD50"/>
  <c r="J22" i="15" s="1"/>
  <c r="BB50" i="10"/>
  <c r="BF49"/>
  <c r="BD49"/>
  <c r="BB49"/>
  <c r="J21" i="15" s="1"/>
  <c r="BF48" i="10"/>
  <c r="BD48"/>
  <c r="BB48"/>
  <c r="BF47"/>
  <c r="BD47"/>
  <c r="BB47"/>
  <c r="J19" i="15" s="1"/>
  <c r="BF46" i="10"/>
  <c r="BD46"/>
  <c r="J18" i="15" s="1"/>
  <c r="BB46" i="10"/>
  <c r="BF45"/>
  <c r="BD45"/>
  <c r="BB45"/>
  <c r="J17" i="15" s="1"/>
  <c r="BF44" i="10"/>
  <c r="BD44"/>
  <c r="BB44"/>
  <c r="BF43"/>
  <c r="BD43"/>
  <c r="BB43"/>
  <c r="J15" i="15" s="1"/>
  <c r="BF42" i="10"/>
  <c r="BD42"/>
  <c r="J14" i="15" s="1"/>
  <c r="BB42" i="10"/>
  <c r="BF41"/>
  <c r="BD41"/>
  <c r="BB41"/>
  <c r="J13" i="15" s="1"/>
  <c r="BF40" i="10"/>
  <c r="BD40"/>
  <c r="BB40"/>
  <c r="BF39"/>
  <c r="BD39"/>
  <c r="BB39"/>
  <c r="J11" i="15" s="1"/>
  <c r="BF38" i="10"/>
  <c r="BD38"/>
  <c r="J10" i="15" s="1"/>
  <c r="BB38" i="10"/>
  <c r="J40" i="15"/>
  <c r="H40"/>
  <c r="G40"/>
  <c r="I40" s="1"/>
  <c r="H39"/>
  <c r="G39"/>
  <c r="I39" s="1"/>
  <c r="H38"/>
  <c r="G38"/>
  <c r="I38" s="1"/>
  <c r="H37"/>
  <c r="G37"/>
  <c r="I37" s="1"/>
  <c r="J36"/>
  <c r="H36"/>
  <c r="G36"/>
  <c r="I36" s="1"/>
  <c r="H35"/>
  <c r="G35"/>
  <c r="I35" s="1"/>
  <c r="H34"/>
  <c r="G34"/>
  <c r="I34" s="1"/>
  <c r="H33"/>
  <c r="G33"/>
  <c r="I33" s="1"/>
  <c r="J32"/>
  <c r="H32"/>
  <c r="G32"/>
  <c r="I32" s="1"/>
  <c r="H31"/>
  <c r="G31"/>
  <c r="I31" s="1"/>
  <c r="H30"/>
  <c r="G30"/>
  <c r="I30" s="1"/>
  <c r="H29"/>
  <c r="G29"/>
  <c r="I29" s="1"/>
  <c r="J28"/>
  <c r="H28"/>
  <c r="G28"/>
  <c r="I28" s="1"/>
  <c r="H27"/>
  <c r="G27"/>
  <c r="I27" s="1"/>
  <c r="H26"/>
  <c r="G26"/>
  <c r="I26" s="1"/>
  <c r="H25"/>
  <c r="G25"/>
  <c r="I25" s="1"/>
  <c r="J24"/>
  <c r="H24"/>
  <c r="G24"/>
  <c r="I24" s="1"/>
  <c r="H23"/>
  <c r="G23"/>
  <c r="I23" s="1"/>
  <c r="H22"/>
  <c r="G22"/>
  <c r="I22" s="1"/>
  <c r="H21"/>
  <c r="G21"/>
  <c r="I21" s="1"/>
  <c r="J20"/>
  <c r="H20"/>
  <c r="G20"/>
  <c r="I20" s="1"/>
  <c r="H19"/>
  <c r="G19"/>
  <c r="I19" s="1"/>
  <c r="H18"/>
  <c r="G18"/>
  <c r="I18" s="1"/>
  <c r="H17"/>
  <c r="G17"/>
  <c r="I17" s="1"/>
  <c r="J16"/>
  <c r="H16"/>
  <c r="G16"/>
  <c r="I16" s="1"/>
  <c r="H15"/>
  <c r="G15"/>
  <c r="I15" s="1"/>
  <c r="H14"/>
  <c r="G14"/>
  <c r="I14" s="1"/>
  <c r="H13"/>
  <c r="G13"/>
  <c r="I13" s="1"/>
  <c r="J12"/>
  <c r="H12"/>
  <c r="G12"/>
  <c r="I12" s="1"/>
  <c r="H11"/>
  <c r="G11"/>
  <c r="I11" s="1"/>
  <c r="H10"/>
  <c r="G10"/>
  <c r="B40"/>
  <c r="B39"/>
  <c r="B38"/>
  <c r="B37"/>
  <c r="B36"/>
  <c r="B35"/>
  <c r="B34"/>
  <c r="B33"/>
  <c r="B32"/>
  <c r="B31"/>
  <c r="B30"/>
  <c r="B29"/>
  <c r="B28"/>
  <c r="B27"/>
  <c r="B26"/>
  <c r="B25"/>
  <c r="B24"/>
  <c r="B23"/>
  <c r="B22"/>
  <c r="B21"/>
  <c r="B20"/>
  <c r="B19"/>
  <c r="B18"/>
  <c r="B17"/>
  <c r="B16"/>
  <c r="B15"/>
  <c r="B14"/>
  <c r="B13"/>
  <c r="B12"/>
  <c r="B11"/>
  <c r="S41"/>
  <c r="O41"/>
  <c r="K41"/>
  <c r="B10"/>
  <c r="AZ68" i="10"/>
  <c r="AX68"/>
  <c r="AV68"/>
  <c r="V40" i="14" s="1"/>
  <c r="AZ67" i="10"/>
  <c r="AX67"/>
  <c r="AV67"/>
  <c r="AZ66"/>
  <c r="AX66"/>
  <c r="AV66"/>
  <c r="AZ65"/>
  <c r="AX65"/>
  <c r="AV65"/>
  <c r="AZ64"/>
  <c r="AX64"/>
  <c r="AV64"/>
  <c r="V36" i="14" s="1"/>
  <c r="AZ63" i="10"/>
  <c r="AX63"/>
  <c r="AV63"/>
  <c r="AZ62"/>
  <c r="AX62"/>
  <c r="AV62"/>
  <c r="AZ61"/>
  <c r="AX61"/>
  <c r="AV61"/>
  <c r="AZ60"/>
  <c r="AX60"/>
  <c r="AV60"/>
  <c r="V32" i="14" s="1"/>
  <c r="AZ59" i="10"/>
  <c r="AX59"/>
  <c r="AV59"/>
  <c r="AZ58"/>
  <c r="AX58"/>
  <c r="AV58"/>
  <c r="AZ57"/>
  <c r="AX57"/>
  <c r="AV57"/>
  <c r="AZ56"/>
  <c r="AX56"/>
  <c r="AV56"/>
  <c r="V28" i="14" s="1"/>
  <c r="AZ55" i="10"/>
  <c r="AX55"/>
  <c r="AV55"/>
  <c r="AZ54"/>
  <c r="AX54"/>
  <c r="AV54"/>
  <c r="AZ53"/>
  <c r="AX53"/>
  <c r="AV53"/>
  <c r="AZ52"/>
  <c r="AX52"/>
  <c r="AV52"/>
  <c r="V24" i="14" s="1"/>
  <c r="AZ51" i="10"/>
  <c r="AX51"/>
  <c r="AV51"/>
  <c r="AZ50"/>
  <c r="AX50"/>
  <c r="AV50"/>
  <c r="AZ49"/>
  <c r="AX49"/>
  <c r="AV49"/>
  <c r="AZ48"/>
  <c r="AX48"/>
  <c r="AV48"/>
  <c r="V20" i="14" s="1"/>
  <c r="AZ47" i="10"/>
  <c r="AX47"/>
  <c r="AV47"/>
  <c r="AZ46"/>
  <c r="AX46"/>
  <c r="AV46"/>
  <c r="AZ45"/>
  <c r="AX45"/>
  <c r="AV45"/>
  <c r="AZ44"/>
  <c r="AX44"/>
  <c r="AV44"/>
  <c r="V16" i="14" s="1"/>
  <c r="AZ43" i="10"/>
  <c r="AX43"/>
  <c r="AV43"/>
  <c r="AZ42"/>
  <c r="AX42"/>
  <c r="AV42"/>
  <c r="AZ41"/>
  <c r="AX41"/>
  <c r="AV41"/>
  <c r="AZ40"/>
  <c r="AX40"/>
  <c r="AV40"/>
  <c r="V12" i="14" s="1"/>
  <c r="AZ39" i="10"/>
  <c r="AX39"/>
  <c r="AV39"/>
  <c r="AZ38"/>
  <c r="AX38"/>
  <c r="AV38"/>
  <c r="T40" i="14"/>
  <c r="S40"/>
  <c r="U40" s="1"/>
  <c r="T39"/>
  <c r="S39"/>
  <c r="U39" s="1"/>
  <c r="V38"/>
  <c r="T38"/>
  <c r="S38"/>
  <c r="U38" s="1"/>
  <c r="T37"/>
  <c r="S37"/>
  <c r="U37" s="1"/>
  <c r="T36"/>
  <c r="S36"/>
  <c r="U36" s="1"/>
  <c r="T35"/>
  <c r="S35"/>
  <c r="U35" s="1"/>
  <c r="V34"/>
  <c r="T34"/>
  <c r="S34"/>
  <c r="U34" s="1"/>
  <c r="T33"/>
  <c r="S33"/>
  <c r="U33" s="1"/>
  <c r="T32"/>
  <c r="S32"/>
  <c r="U32" s="1"/>
  <c r="T31"/>
  <c r="S31"/>
  <c r="U31" s="1"/>
  <c r="V30"/>
  <c r="T30"/>
  <c r="S30"/>
  <c r="U30" s="1"/>
  <c r="T29"/>
  <c r="S29"/>
  <c r="U29" s="1"/>
  <c r="T28"/>
  <c r="S28"/>
  <c r="U28" s="1"/>
  <c r="T27"/>
  <c r="S27"/>
  <c r="U27" s="1"/>
  <c r="V26"/>
  <c r="T26"/>
  <c r="S26"/>
  <c r="U26" s="1"/>
  <c r="T25"/>
  <c r="S25"/>
  <c r="U25" s="1"/>
  <c r="T24"/>
  <c r="S24"/>
  <c r="U24" s="1"/>
  <c r="T23"/>
  <c r="S23"/>
  <c r="U23" s="1"/>
  <c r="V22"/>
  <c r="T22"/>
  <c r="S22"/>
  <c r="U22" s="1"/>
  <c r="T21"/>
  <c r="S21"/>
  <c r="U21" s="1"/>
  <c r="T20"/>
  <c r="S20"/>
  <c r="U20" s="1"/>
  <c r="T19"/>
  <c r="S19"/>
  <c r="U19" s="1"/>
  <c r="V18"/>
  <c r="T18"/>
  <c r="S18"/>
  <c r="U18" s="1"/>
  <c r="T17"/>
  <c r="S17"/>
  <c r="U17" s="1"/>
  <c r="T16"/>
  <c r="S16"/>
  <c r="U16" s="1"/>
  <c r="T15"/>
  <c r="S15"/>
  <c r="U15" s="1"/>
  <c r="V14"/>
  <c r="T14"/>
  <c r="S14"/>
  <c r="U14" s="1"/>
  <c r="T13"/>
  <c r="S13"/>
  <c r="U13" s="1"/>
  <c r="T12"/>
  <c r="S12"/>
  <c r="U12" s="1"/>
  <c r="T11"/>
  <c r="S11"/>
  <c r="U11" s="1"/>
  <c r="V10"/>
  <c r="T10"/>
  <c r="S10"/>
  <c r="AT68" i="10"/>
  <c r="AR68"/>
  <c r="AP68"/>
  <c r="AT67"/>
  <c r="AR67"/>
  <c r="AP67"/>
  <c r="R39" i="14" s="1"/>
  <c r="AT66" i="10"/>
  <c r="AR66"/>
  <c r="R38" i="14" s="1"/>
  <c r="AP66" i="10"/>
  <c r="AT65"/>
  <c r="AR65"/>
  <c r="AP65"/>
  <c r="R37" i="14" s="1"/>
  <c r="AT64" i="10"/>
  <c r="AR64"/>
  <c r="AP64"/>
  <c r="AT63"/>
  <c r="AR63"/>
  <c r="AP63"/>
  <c r="R35" i="14" s="1"/>
  <c r="AT62" i="10"/>
  <c r="AR62"/>
  <c r="R34" i="14" s="1"/>
  <c r="AP62" i="10"/>
  <c r="AT61"/>
  <c r="AR61"/>
  <c r="AP61"/>
  <c r="R33" i="14" s="1"/>
  <c r="AT60" i="10"/>
  <c r="AR60"/>
  <c r="AP60"/>
  <c r="AT59"/>
  <c r="AR59"/>
  <c r="AP59"/>
  <c r="R31" i="14" s="1"/>
  <c r="AT58" i="10"/>
  <c r="AR58"/>
  <c r="R30" i="14" s="1"/>
  <c r="AP58" i="10"/>
  <c r="AT57"/>
  <c r="AR57"/>
  <c r="AP57"/>
  <c r="R29" i="14" s="1"/>
  <c r="AT56" i="10"/>
  <c r="AR56"/>
  <c r="AP56"/>
  <c r="AT55"/>
  <c r="AR55"/>
  <c r="AP55"/>
  <c r="R27" i="14" s="1"/>
  <c r="AT54" i="10"/>
  <c r="AR54"/>
  <c r="R26" i="14" s="1"/>
  <c r="AP54" i="10"/>
  <c r="AT53"/>
  <c r="AR53"/>
  <c r="AP53"/>
  <c r="R25" i="14" s="1"/>
  <c r="AT52" i="10"/>
  <c r="AR52"/>
  <c r="AP52"/>
  <c r="AT51"/>
  <c r="AR51"/>
  <c r="AP51"/>
  <c r="R23" i="14" s="1"/>
  <c r="AT50" i="10"/>
  <c r="AR50"/>
  <c r="R22" i="14" s="1"/>
  <c r="AP50" i="10"/>
  <c r="AT49"/>
  <c r="AR49"/>
  <c r="AP49"/>
  <c r="R21" i="14" s="1"/>
  <c r="AT48" i="10"/>
  <c r="AR48"/>
  <c r="AP48"/>
  <c r="AT47"/>
  <c r="AR47"/>
  <c r="AP47"/>
  <c r="R19" i="14" s="1"/>
  <c r="AT46" i="10"/>
  <c r="AR46"/>
  <c r="R18" i="14" s="1"/>
  <c r="AP46" i="10"/>
  <c r="AT45"/>
  <c r="AR45"/>
  <c r="AP45"/>
  <c r="R17" i="14" s="1"/>
  <c r="AT44" i="10"/>
  <c r="AR44"/>
  <c r="AP44"/>
  <c r="AT43"/>
  <c r="AR43"/>
  <c r="AP43"/>
  <c r="R15" i="14" s="1"/>
  <c r="AT42" i="10"/>
  <c r="AR42"/>
  <c r="R14" i="14" s="1"/>
  <c r="AP42" i="10"/>
  <c r="AT41"/>
  <c r="AR41"/>
  <c r="AP41"/>
  <c r="R13" i="14" s="1"/>
  <c r="AT40" i="10"/>
  <c r="AR40"/>
  <c r="AP40"/>
  <c r="AT39"/>
  <c r="AR39"/>
  <c r="AP39"/>
  <c r="R11" i="14" s="1"/>
  <c r="AT38" i="10"/>
  <c r="AR38"/>
  <c r="R10" i="14" s="1"/>
  <c r="AP38" i="10"/>
  <c r="R40" i="14"/>
  <c r="P40"/>
  <c r="O40"/>
  <c r="Q40" s="1"/>
  <c r="P39"/>
  <c r="O39"/>
  <c r="Q39" s="1"/>
  <c r="P38"/>
  <c r="O38"/>
  <c r="Q38" s="1"/>
  <c r="P37"/>
  <c r="O37"/>
  <c r="Q37" s="1"/>
  <c r="R36"/>
  <c r="P36"/>
  <c r="O36"/>
  <c r="Q36" s="1"/>
  <c r="P35"/>
  <c r="O35"/>
  <c r="Q35" s="1"/>
  <c r="P34"/>
  <c r="O34"/>
  <c r="Q34" s="1"/>
  <c r="P33"/>
  <c r="O33"/>
  <c r="Q33" s="1"/>
  <c r="R32"/>
  <c r="P32"/>
  <c r="O32"/>
  <c r="Q32" s="1"/>
  <c r="P31"/>
  <c r="O31"/>
  <c r="Q31" s="1"/>
  <c r="P30"/>
  <c r="O30"/>
  <c r="Q30" s="1"/>
  <c r="P29"/>
  <c r="O29"/>
  <c r="Q29" s="1"/>
  <c r="R28"/>
  <c r="P28"/>
  <c r="O28"/>
  <c r="Q28" s="1"/>
  <c r="P27"/>
  <c r="O27"/>
  <c r="Q27" s="1"/>
  <c r="P26"/>
  <c r="O26"/>
  <c r="Q26" s="1"/>
  <c r="P25"/>
  <c r="O25"/>
  <c r="Q25" s="1"/>
  <c r="R24"/>
  <c r="P24"/>
  <c r="O24"/>
  <c r="Q24" s="1"/>
  <c r="P23"/>
  <c r="O23"/>
  <c r="Q23" s="1"/>
  <c r="P22"/>
  <c r="O22"/>
  <c r="Q22" s="1"/>
  <c r="P21"/>
  <c r="O21"/>
  <c r="Q21" s="1"/>
  <c r="R20"/>
  <c r="P20"/>
  <c r="O20"/>
  <c r="Q20" s="1"/>
  <c r="P19"/>
  <c r="O19"/>
  <c r="Q19" s="1"/>
  <c r="P18"/>
  <c r="O18"/>
  <c r="Q18" s="1"/>
  <c r="P17"/>
  <c r="O17"/>
  <c r="Q17" s="1"/>
  <c r="R16"/>
  <c r="P16"/>
  <c r="O16"/>
  <c r="Q16" s="1"/>
  <c r="P15"/>
  <c r="O15"/>
  <c r="Q15" s="1"/>
  <c r="P14"/>
  <c r="O14"/>
  <c r="Q14" s="1"/>
  <c r="P13"/>
  <c r="O13"/>
  <c r="Q13" s="1"/>
  <c r="R12"/>
  <c r="P12"/>
  <c r="O12"/>
  <c r="Q12" s="1"/>
  <c r="P11"/>
  <c r="O11"/>
  <c r="Q11" s="1"/>
  <c r="P10"/>
  <c r="O10"/>
  <c r="AN68" i="10"/>
  <c r="AL68"/>
  <c r="AJ68"/>
  <c r="N40" i="14" s="1"/>
  <c r="AN67" i="10"/>
  <c r="AL67"/>
  <c r="AJ67"/>
  <c r="AN66"/>
  <c r="AL66"/>
  <c r="AJ66"/>
  <c r="AN65"/>
  <c r="AL65"/>
  <c r="AJ65"/>
  <c r="AN64"/>
  <c r="AL64"/>
  <c r="AJ64"/>
  <c r="N36" i="14" s="1"/>
  <c r="AN63" i="10"/>
  <c r="AL63"/>
  <c r="AJ63"/>
  <c r="AN62"/>
  <c r="AL62"/>
  <c r="AJ62"/>
  <c r="AN61"/>
  <c r="AL61"/>
  <c r="AJ61"/>
  <c r="AN60"/>
  <c r="AL60"/>
  <c r="AJ60"/>
  <c r="N32" i="14" s="1"/>
  <c r="AN59" i="10"/>
  <c r="AL59"/>
  <c r="AJ59"/>
  <c r="AN58"/>
  <c r="AL58"/>
  <c r="AJ58"/>
  <c r="AN57"/>
  <c r="AL57"/>
  <c r="AJ57"/>
  <c r="AN56"/>
  <c r="AL56"/>
  <c r="AJ56"/>
  <c r="N28" i="14" s="1"/>
  <c r="AN55" i="10"/>
  <c r="AL55"/>
  <c r="AJ55"/>
  <c r="AN54"/>
  <c r="AL54"/>
  <c r="AJ54"/>
  <c r="AN53"/>
  <c r="AL53"/>
  <c r="AJ53"/>
  <c r="AN52"/>
  <c r="AL52"/>
  <c r="AJ52"/>
  <c r="N24" i="14" s="1"/>
  <c r="AN51" i="10"/>
  <c r="AL51"/>
  <c r="AJ51"/>
  <c r="AN50"/>
  <c r="AL50"/>
  <c r="AJ50"/>
  <c r="AN49"/>
  <c r="AL49"/>
  <c r="AJ49"/>
  <c r="AN48"/>
  <c r="AL48"/>
  <c r="AJ48"/>
  <c r="N20" i="14" s="1"/>
  <c r="AN47" i="10"/>
  <c r="AL47"/>
  <c r="AJ47"/>
  <c r="AN46"/>
  <c r="AL46"/>
  <c r="AJ46"/>
  <c r="AN45"/>
  <c r="AL45"/>
  <c r="AJ45"/>
  <c r="AN44"/>
  <c r="AL44"/>
  <c r="AJ44"/>
  <c r="N16" i="14" s="1"/>
  <c r="AN43" i="10"/>
  <c r="AL43"/>
  <c r="AJ43"/>
  <c r="AN42"/>
  <c r="AL42"/>
  <c r="AJ42"/>
  <c r="AN41"/>
  <c r="AL41"/>
  <c r="AJ41"/>
  <c r="AN40"/>
  <c r="AL40"/>
  <c r="AJ40"/>
  <c r="N12" i="14" s="1"/>
  <c r="AN39" i="10"/>
  <c r="AL39"/>
  <c r="AJ39"/>
  <c r="AN38"/>
  <c r="AL38"/>
  <c r="AJ38"/>
  <c r="N10" i="14" s="1"/>
  <c r="L40"/>
  <c r="K40"/>
  <c r="M40" s="1"/>
  <c r="L39"/>
  <c r="K39"/>
  <c r="M39" s="1"/>
  <c r="N38"/>
  <c r="L38"/>
  <c r="K38"/>
  <c r="M38" s="1"/>
  <c r="L37"/>
  <c r="K37"/>
  <c r="M37" s="1"/>
  <c r="L36"/>
  <c r="K36"/>
  <c r="M36" s="1"/>
  <c r="L35"/>
  <c r="K35"/>
  <c r="M35" s="1"/>
  <c r="N34"/>
  <c r="L34"/>
  <c r="K34"/>
  <c r="M34" s="1"/>
  <c r="L33"/>
  <c r="K33"/>
  <c r="M33" s="1"/>
  <c r="L32"/>
  <c r="K32"/>
  <c r="M32" s="1"/>
  <c r="L31"/>
  <c r="K31"/>
  <c r="M31" s="1"/>
  <c r="N30"/>
  <c r="L30"/>
  <c r="K30"/>
  <c r="M30" s="1"/>
  <c r="L29"/>
  <c r="K29"/>
  <c r="M29" s="1"/>
  <c r="L28"/>
  <c r="K28"/>
  <c r="M28" s="1"/>
  <c r="L27"/>
  <c r="K27"/>
  <c r="M27" s="1"/>
  <c r="N26"/>
  <c r="L26"/>
  <c r="K26"/>
  <c r="M26" s="1"/>
  <c r="L25"/>
  <c r="K25"/>
  <c r="M25" s="1"/>
  <c r="L24"/>
  <c r="K24"/>
  <c r="M24" s="1"/>
  <c r="L23"/>
  <c r="K23"/>
  <c r="M23" s="1"/>
  <c r="N22"/>
  <c r="L22"/>
  <c r="K22"/>
  <c r="M22" s="1"/>
  <c r="L21"/>
  <c r="K21"/>
  <c r="M21" s="1"/>
  <c r="L20"/>
  <c r="K20"/>
  <c r="M20" s="1"/>
  <c r="L19"/>
  <c r="K19"/>
  <c r="M19" s="1"/>
  <c r="N18"/>
  <c r="L18"/>
  <c r="K18"/>
  <c r="M18" s="1"/>
  <c r="L17"/>
  <c r="K17"/>
  <c r="M17" s="1"/>
  <c r="L16"/>
  <c r="K16"/>
  <c r="M16" s="1"/>
  <c r="L15"/>
  <c r="K15"/>
  <c r="M15" s="1"/>
  <c r="N14"/>
  <c r="L14"/>
  <c r="K14"/>
  <c r="M14" s="1"/>
  <c r="L13"/>
  <c r="K13"/>
  <c r="M13" s="1"/>
  <c r="L12"/>
  <c r="K12"/>
  <c r="M12" s="1"/>
  <c r="L11"/>
  <c r="K11"/>
  <c r="M11" s="1"/>
  <c r="L10"/>
  <c r="K10"/>
  <c r="H40"/>
  <c r="G40"/>
  <c r="I40" s="1"/>
  <c r="H39"/>
  <c r="G39"/>
  <c r="I39" s="1"/>
  <c r="H38"/>
  <c r="G38"/>
  <c r="I38" s="1"/>
  <c r="H37"/>
  <c r="G37"/>
  <c r="I37" s="1"/>
  <c r="H36"/>
  <c r="G36"/>
  <c r="I36" s="1"/>
  <c r="H35"/>
  <c r="G35"/>
  <c r="I35" s="1"/>
  <c r="H34"/>
  <c r="G34"/>
  <c r="I34" s="1"/>
  <c r="H33"/>
  <c r="G33"/>
  <c r="I33" s="1"/>
  <c r="H32"/>
  <c r="G32"/>
  <c r="I32" s="1"/>
  <c r="H31"/>
  <c r="G31"/>
  <c r="I31" s="1"/>
  <c r="H30"/>
  <c r="G30"/>
  <c r="I30" s="1"/>
  <c r="H29"/>
  <c r="G29"/>
  <c r="I29" s="1"/>
  <c r="H28"/>
  <c r="G28"/>
  <c r="I28" s="1"/>
  <c r="H27"/>
  <c r="G27"/>
  <c r="I27" s="1"/>
  <c r="H26"/>
  <c r="G26"/>
  <c r="I26" s="1"/>
  <c r="H25"/>
  <c r="G25"/>
  <c r="I25" s="1"/>
  <c r="H24"/>
  <c r="G24"/>
  <c r="I24" s="1"/>
  <c r="H23"/>
  <c r="G23"/>
  <c r="I23" s="1"/>
  <c r="H22"/>
  <c r="G22"/>
  <c r="I22" s="1"/>
  <c r="H21"/>
  <c r="G21"/>
  <c r="I21" s="1"/>
  <c r="H20"/>
  <c r="G20"/>
  <c r="I20" s="1"/>
  <c r="H19"/>
  <c r="G19"/>
  <c r="I19" s="1"/>
  <c r="H18"/>
  <c r="G18"/>
  <c r="I18" s="1"/>
  <c r="H17"/>
  <c r="G17"/>
  <c r="I17" s="1"/>
  <c r="H16"/>
  <c r="G16"/>
  <c r="I16" s="1"/>
  <c r="H15"/>
  <c r="G15"/>
  <c r="I15" s="1"/>
  <c r="H14"/>
  <c r="G14"/>
  <c r="I14" s="1"/>
  <c r="H13"/>
  <c r="G13"/>
  <c r="I13" s="1"/>
  <c r="H12"/>
  <c r="G12"/>
  <c r="I12" s="1"/>
  <c r="H11"/>
  <c r="G11"/>
  <c r="I11" s="1"/>
  <c r="AH68" i="10"/>
  <c r="AF68"/>
  <c r="AD68"/>
  <c r="J40" i="14" s="1"/>
  <c r="AH67" i="10"/>
  <c r="AF67"/>
  <c r="AD67"/>
  <c r="J39" i="14" s="1"/>
  <c r="AH66" i="10"/>
  <c r="AF66"/>
  <c r="AD66"/>
  <c r="J38" i="14" s="1"/>
  <c r="AH65" i="10"/>
  <c r="AF65"/>
  <c r="AD65"/>
  <c r="J37" i="14" s="1"/>
  <c r="AH64" i="10"/>
  <c r="AF64"/>
  <c r="AD64"/>
  <c r="J36" i="14" s="1"/>
  <c r="AH63" i="10"/>
  <c r="AF63"/>
  <c r="AD63"/>
  <c r="J35" i="14" s="1"/>
  <c r="AH62" i="10"/>
  <c r="AF62"/>
  <c r="AD62"/>
  <c r="J34" i="14" s="1"/>
  <c r="AH61" i="10"/>
  <c r="AF61"/>
  <c r="AD61"/>
  <c r="J33" i="14" s="1"/>
  <c r="AH60" i="10"/>
  <c r="AF60"/>
  <c r="AD60"/>
  <c r="J32" i="14" s="1"/>
  <c r="AH59" i="10"/>
  <c r="AF59"/>
  <c r="AD59"/>
  <c r="J31" i="14" s="1"/>
  <c r="AH58" i="10"/>
  <c r="AF58"/>
  <c r="AD58"/>
  <c r="J30" i="14" s="1"/>
  <c r="AH57" i="10"/>
  <c r="AF57"/>
  <c r="AD57"/>
  <c r="J29" i="14" s="1"/>
  <c r="AH56" i="10"/>
  <c r="AF56"/>
  <c r="AD56"/>
  <c r="J28" i="14" s="1"/>
  <c r="AH55" i="10"/>
  <c r="AF55"/>
  <c r="AD55"/>
  <c r="J27" i="14" s="1"/>
  <c r="AH54" i="10"/>
  <c r="AF54"/>
  <c r="AD54"/>
  <c r="J26" i="14" s="1"/>
  <c r="AH53" i="10"/>
  <c r="AF53"/>
  <c r="AD53"/>
  <c r="J25" i="14" s="1"/>
  <c r="AH52" i="10"/>
  <c r="AF52"/>
  <c r="AD52"/>
  <c r="J24" i="14" s="1"/>
  <c r="AH51" i="10"/>
  <c r="AF51"/>
  <c r="AD51"/>
  <c r="J23" i="14" s="1"/>
  <c r="AH50" i="10"/>
  <c r="AF50"/>
  <c r="AD50"/>
  <c r="J22" i="14" s="1"/>
  <c r="AH49" i="10"/>
  <c r="AF49"/>
  <c r="AD49"/>
  <c r="J21" i="14" s="1"/>
  <c r="AH48" i="10"/>
  <c r="AF48"/>
  <c r="AD48"/>
  <c r="J20" i="14" s="1"/>
  <c r="AH47" i="10"/>
  <c r="AF47"/>
  <c r="AD47"/>
  <c r="J19" i="14" s="1"/>
  <c r="AH46" i="10"/>
  <c r="AF46"/>
  <c r="AD46"/>
  <c r="J18" i="14" s="1"/>
  <c r="AH45" i="10"/>
  <c r="AF45"/>
  <c r="AD45"/>
  <c r="J17" i="14" s="1"/>
  <c r="AH44" i="10"/>
  <c r="AF44"/>
  <c r="AD44"/>
  <c r="J16" i="14" s="1"/>
  <c r="AH43" i="10"/>
  <c r="AF43"/>
  <c r="AD43"/>
  <c r="J15" i="14" s="1"/>
  <c r="AH42" i="10"/>
  <c r="AF42"/>
  <c r="AD42"/>
  <c r="J14" i="14" s="1"/>
  <c r="AH41" i="10"/>
  <c r="AF41"/>
  <c r="AD41"/>
  <c r="J13" i="14" s="1"/>
  <c r="AH40" i="10"/>
  <c r="AF40"/>
  <c r="AD40"/>
  <c r="J12" i="14" s="1"/>
  <c r="AH39" i="10"/>
  <c r="AF39"/>
  <c r="AD39"/>
  <c r="J11" i="14" s="1"/>
  <c r="AH38" i="10"/>
  <c r="AF38"/>
  <c r="AD38"/>
  <c r="J10" i="14" s="1"/>
  <c r="H10"/>
  <c r="G10"/>
  <c r="B40"/>
  <c r="B39"/>
  <c r="B38"/>
  <c r="B37"/>
  <c r="B36"/>
  <c r="B35"/>
  <c r="B34"/>
  <c r="B33"/>
  <c r="B32"/>
  <c r="B31"/>
  <c r="B30"/>
  <c r="B29"/>
  <c r="B28"/>
  <c r="B27"/>
  <c r="B26"/>
  <c r="B25"/>
  <c r="B24"/>
  <c r="B23"/>
  <c r="B22"/>
  <c r="B21"/>
  <c r="B20"/>
  <c r="B19"/>
  <c r="B18"/>
  <c r="B17"/>
  <c r="B16"/>
  <c r="B15"/>
  <c r="B14"/>
  <c r="B13"/>
  <c r="B12"/>
  <c r="B11"/>
  <c r="S41"/>
  <c r="O41"/>
  <c r="K41"/>
  <c r="G41"/>
  <c r="B10"/>
  <c r="T40" i="1"/>
  <c r="S40"/>
  <c r="U40" s="1"/>
  <c r="P40"/>
  <c r="O40"/>
  <c r="Q40" s="1"/>
  <c r="L40"/>
  <c r="K40"/>
  <c r="M40" s="1"/>
  <c r="T39"/>
  <c r="S39"/>
  <c r="U39" s="1"/>
  <c r="P39"/>
  <c r="O39"/>
  <c r="Q39" s="1"/>
  <c r="L39"/>
  <c r="K39"/>
  <c r="M39" s="1"/>
  <c r="T38"/>
  <c r="S38"/>
  <c r="U38" s="1"/>
  <c r="P38"/>
  <c r="O38"/>
  <c r="Q38" s="1"/>
  <c r="L38"/>
  <c r="K38"/>
  <c r="M38" s="1"/>
  <c r="T37"/>
  <c r="S37"/>
  <c r="U37" s="1"/>
  <c r="P37"/>
  <c r="O37"/>
  <c r="Q37" s="1"/>
  <c r="L37"/>
  <c r="K37"/>
  <c r="M37" s="1"/>
  <c r="T36"/>
  <c r="S36"/>
  <c r="U36" s="1"/>
  <c r="P36"/>
  <c r="O36"/>
  <c r="Q36" s="1"/>
  <c r="L36"/>
  <c r="K36"/>
  <c r="M36" s="1"/>
  <c r="T35"/>
  <c r="S35"/>
  <c r="U35" s="1"/>
  <c r="P35"/>
  <c r="O35"/>
  <c r="Q35" s="1"/>
  <c r="L35"/>
  <c r="K35"/>
  <c r="M35" s="1"/>
  <c r="T34"/>
  <c r="S34"/>
  <c r="U34" s="1"/>
  <c r="P34"/>
  <c r="O34"/>
  <c r="Q34" s="1"/>
  <c r="L34"/>
  <c r="K34"/>
  <c r="M34" s="1"/>
  <c r="T33"/>
  <c r="S33"/>
  <c r="U33" s="1"/>
  <c r="P33"/>
  <c r="O33"/>
  <c r="Q33" s="1"/>
  <c r="L33"/>
  <c r="K33"/>
  <c r="M33" s="1"/>
  <c r="T32"/>
  <c r="S32"/>
  <c r="U32" s="1"/>
  <c r="P32"/>
  <c r="O32"/>
  <c r="Q32" s="1"/>
  <c r="L32"/>
  <c r="K32"/>
  <c r="M32" s="1"/>
  <c r="T31"/>
  <c r="S31"/>
  <c r="U31" s="1"/>
  <c r="P31"/>
  <c r="O31"/>
  <c r="Q31" s="1"/>
  <c r="L31"/>
  <c r="K31"/>
  <c r="M31" s="1"/>
  <c r="T30"/>
  <c r="S30"/>
  <c r="U30" s="1"/>
  <c r="P30"/>
  <c r="O30"/>
  <c r="Q30" s="1"/>
  <c r="L30"/>
  <c r="K30"/>
  <c r="M30" s="1"/>
  <c r="T29"/>
  <c r="S29"/>
  <c r="U29" s="1"/>
  <c r="P29"/>
  <c r="O29"/>
  <c r="Q29" s="1"/>
  <c r="L29"/>
  <c r="K29"/>
  <c r="M29" s="1"/>
  <c r="T28"/>
  <c r="S28"/>
  <c r="U28" s="1"/>
  <c r="P28"/>
  <c r="O28"/>
  <c r="Q28" s="1"/>
  <c r="L28"/>
  <c r="K28"/>
  <c r="M28" s="1"/>
  <c r="T27"/>
  <c r="S27"/>
  <c r="U27" s="1"/>
  <c r="P27"/>
  <c r="O27"/>
  <c r="Q27" s="1"/>
  <c r="L27"/>
  <c r="K27"/>
  <c r="M27" s="1"/>
  <c r="T26"/>
  <c r="S26"/>
  <c r="U26" s="1"/>
  <c r="P26"/>
  <c r="O26"/>
  <c r="Q26" s="1"/>
  <c r="L26"/>
  <c r="K26"/>
  <c r="M26" s="1"/>
  <c r="T25"/>
  <c r="S25"/>
  <c r="U25" s="1"/>
  <c r="P25"/>
  <c r="O25"/>
  <c r="Q25" s="1"/>
  <c r="L25"/>
  <c r="K25"/>
  <c r="M25" s="1"/>
  <c r="T24"/>
  <c r="S24"/>
  <c r="U24" s="1"/>
  <c r="P24"/>
  <c r="O24"/>
  <c r="Q24" s="1"/>
  <c r="L24"/>
  <c r="K24"/>
  <c r="M24" s="1"/>
  <c r="T23"/>
  <c r="S23"/>
  <c r="U23" s="1"/>
  <c r="P23"/>
  <c r="O23"/>
  <c r="Q23" s="1"/>
  <c r="L23"/>
  <c r="K23"/>
  <c r="M23" s="1"/>
  <c r="T22"/>
  <c r="S22"/>
  <c r="U22" s="1"/>
  <c r="P22"/>
  <c r="O22"/>
  <c r="Q22" s="1"/>
  <c r="L22"/>
  <c r="K22"/>
  <c r="M22" s="1"/>
  <c r="T21"/>
  <c r="S21"/>
  <c r="U21" s="1"/>
  <c r="P21"/>
  <c r="O21"/>
  <c r="Q21" s="1"/>
  <c r="L21"/>
  <c r="K21"/>
  <c r="M21" s="1"/>
  <c r="T20"/>
  <c r="S20"/>
  <c r="U20" s="1"/>
  <c r="P20"/>
  <c r="O20"/>
  <c r="Q20" s="1"/>
  <c r="L20"/>
  <c r="K20"/>
  <c r="M20" s="1"/>
  <c r="T19"/>
  <c r="S19"/>
  <c r="U19" s="1"/>
  <c r="P19"/>
  <c r="O19"/>
  <c r="Q19" s="1"/>
  <c r="L19"/>
  <c r="K19"/>
  <c r="M19" s="1"/>
  <c r="T18"/>
  <c r="S18"/>
  <c r="U18" s="1"/>
  <c r="P18"/>
  <c r="O18"/>
  <c r="Q18" s="1"/>
  <c r="L18"/>
  <c r="K18"/>
  <c r="M18" s="1"/>
  <c r="T17"/>
  <c r="S17"/>
  <c r="U17" s="1"/>
  <c r="P17"/>
  <c r="O17"/>
  <c r="Q17" s="1"/>
  <c r="L17"/>
  <c r="K17"/>
  <c r="M17" s="1"/>
  <c r="T16"/>
  <c r="S16"/>
  <c r="U16" s="1"/>
  <c r="P16"/>
  <c r="O16"/>
  <c r="Q16" s="1"/>
  <c r="L16"/>
  <c r="K16"/>
  <c r="M16" s="1"/>
  <c r="T15"/>
  <c r="S15"/>
  <c r="U15" s="1"/>
  <c r="P15"/>
  <c r="O15"/>
  <c r="Q15" s="1"/>
  <c r="L15"/>
  <c r="K15"/>
  <c r="M15" s="1"/>
  <c r="T14"/>
  <c r="S14"/>
  <c r="U14" s="1"/>
  <c r="P14"/>
  <c r="O14"/>
  <c r="Q14" s="1"/>
  <c r="L14"/>
  <c r="K14"/>
  <c r="M14" s="1"/>
  <c r="T13"/>
  <c r="S13"/>
  <c r="U13" s="1"/>
  <c r="P13"/>
  <c r="O13"/>
  <c r="Q13" s="1"/>
  <c r="L13"/>
  <c r="K13"/>
  <c r="M13" s="1"/>
  <c r="T12"/>
  <c r="S12"/>
  <c r="U12" s="1"/>
  <c r="P12"/>
  <c r="O12"/>
  <c r="Q12" s="1"/>
  <c r="L12"/>
  <c r="K12"/>
  <c r="M12" s="1"/>
  <c r="T11"/>
  <c r="S11"/>
  <c r="U11" s="1"/>
  <c r="P11"/>
  <c r="O11"/>
  <c r="Q11" s="1"/>
  <c r="L11"/>
  <c r="K11"/>
  <c r="M11" s="1"/>
  <c r="T10"/>
  <c r="S10"/>
  <c r="P10"/>
  <c r="O10"/>
  <c r="AB68" i="10"/>
  <c r="Z68"/>
  <c r="X68"/>
  <c r="V40" i="1" s="1"/>
  <c r="V68" i="10"/>
  <c r="T68"/>
  <c r="R68"/>
  <c r="R40" i="1" s="1"/>
  <c r="P68" i="10"/>
  <c r="N68"/>
  <c r="L68"/>
  <c r="N40" i="1" s="1"/>
  <c r="J68" i="10"/>
  <c r="H68"/>
  <c r="F68"/>
  <c r="AB67"/>
  <c r="Z67"/>
  <c r="X67"/>
  <c r="V39" i="1" s="1"/>
  <c r="V67" i="10"/>
  <c r="T67"/>
  <c r="R67"/>
  <c r="R39" i="1" s="1"/>
  <c r="P67" i="10"/>
  <c r="N67"/>
  <c r="L67"/>
  <c r="N39" i="1" s="1"/>
  <c r="J67" i="10"/>
  <c r="H67"/>
  <c r="F67"/>
  <c r="AB66"/>
  <c r="Z66"/>
  <c r="X66"/>
  <c r="V38" i="1" s="1"/>
  <c r="V66" i="10"/>
  <c r="T66"/>
  <c r="R66"/>
  <c r="R38" i="1" s="1"/>
  <c r="P66" i="10"/>
  <c r="N66"/>
  <c r="L66"/>
  <c r="N38" i="1" s="1"/>
  <c r="J66" i="10"/>
  <c r="H66"/>
  <c r="F66"/>
  <c r="AB65"/>
  <c r="Z65"/>
  <c r="X65"/>
  <c r="V37" i="1" s="1"/>
  <c r="V65" i="10"/>
  <c r="T65"/>
  <c r="R65"/>
  <c r="R37" i="1" s="1"/>
  <c r="P65" i="10"/>
  <c r="N65"/>
  <c r="L65"/>
  <c r="N37" i="1" s="1"/>
  <c r="J65" i="10"/>
  <c r="H65"/>
  <c r="F65"/>
  <c r="AB64"/>
  <c r="Z64"/>
  <c r="X64"/>
  <c r="V36" i="1" s="1"/>
  <c r="V64" i="10"/>
  <c r="T64"/>
  <c r="R64"/>
  <c r="R36" i="1" s="1"/>
  <c r="P64" i="10"/>
  <c r="N64"/>
  <c r="L64"/>
  <c r="N36" i="1" s="1"/>
  <c r="J64" i="10"/>
  <c r="H64"/>
  <c r="F64"/>
  <c r="AB63"/>
  <c r="Z63"/>
  <c r="X63"/>
  <c r="V35" i="1" s="1"/>
  <c r="V63" i="10"/>
  <c r="T63"/>
  <c r="R63"/>
  <c r="R35" i="1" s="1"/>
  <c r="P63" i="10"/>
  <c r="N63"/>
  <c r="L63"/>
  <c r="N35" i="1" s="1"/>
  <c r="J63" i="10"/>
  <c r="H63"/>
  <c r="F63"/>
  <c r="AB62"/>
  <c r="Z62"/>
  <c r="X62"/>
  <c r="V34" i="1" s="1"/>
  <c r="V62" i="10"/>
  <c r="T62"/>
  <c r="R62"/>
  <c r="R34" i="1" s="1"/>
  <c r="P62" i="10"/>
  <c r="N62"/>
  <c r="L62"/>
  <c r="N34" i="1" s="1"/>
  <c r="J62" i="10"/>
  <c r="H62"/>
  <c r="F62"/>
  <c r="AB61"/>
  <c r="Z61"/>
  <c r="X61"/>
  <c r="V33" i="1" s="1"/>
  <c r="V61" i="10"/>
  <c r="T61"/>
  <c r="R61"/>
  <c r="R33" i="1" s="1"/>
  <c r="P61" i="10"/>
  <c r="N61"/>
  <c r="L61"/>
  <c r="N33" i="1" s="1"/>
  <c r="J61" i="10"/>
  <c r="H61"/>
  <c r="F61"/>
  <c r="AB60"/>
  <c r="Z60"/>
  <c r="X60"/>
  <c r="V32" i="1" s="1"/>
  <c r="V60" i="10"/>
  <c r="T60"/>
  <c r="R60"/>
  <c r="R32" i="1" s="1"/>
  <c r="P60" i="10"/>
  <c r="N60"/>
  <c r="L60"/>
  <c r="N32" i="1" s="1"/>
  <c r="J60" i="10"/>
  <c r="H60"/>
  <c r="F60"/>
  <c r="AB59"/>
  <c r="Z59"/>
  <c r="X59"/>
  <c r="V31" i="1" s="1"/>
  <c r="V59" i="10"/>
  <c r="T59"/>
  <c r="R59"/>
  <c r="R31" i="1" s="1"/>
  <c r="P59" i="10"/>
  <c r="N59"/>
  <c r="L59"/>
  <c r="N31" i="1" s="1"/>
  <c r="J59" i="10"/>
  <c r="H59"/>
  <c r="F59"/>
  <c r="AB58"/>
  <c r="Z58"/>
  <c r="X58"/>
  <c r="V30" i="1" s="1"/>
  <c r="V58" i="10"/>
  <c r="T58"/>
  <c r="R58"/>
  <c r="R30" i="1" s="1"/>
  <c r="P58" i="10"/>
  <c r="N58"/>
  <c r="L58"/>
  <c r="N30" i="1" s="1"/>
  <c r="J58" i="10"/>
  <c r="H58"/>
  <c r="F58"/>
  <c r="AB57"/>
  <c r="Z57"/>
  <c r="X57"/>
  <c r="V29" i="1" s="1"/>
  <c r="V57" i="10"/>
  <c r="T57"/>
  <c r="R57"/>
  <c r="R29" i="1" s="1"/>
  <c r="P57" i="10"/>
  <c r="N57"/>
  <c r="L57"/>
  <c r="N29" i="1" s="1"/>
  <c r="J57" i="10"/>
  <c r="H57"/>
  <c r="F57"/>
  <c r="AB56"/>
  <c r="Z56"/>
  <c r="X56"/>
  <c r="V28" i="1" s="1"/>
  <c r="V56" i="10"/>
  <c r="T56"/>
  <c r="R56"/>
  <c r="R28" i="1" s="1"/>
  <c r="P56" i="10"/>
  <c r="N56"/>
  <c r="L56"/>
  <c r="N28" i="1" s="1"/>
  <c r="J56" i="10"/>
  <c r="H56"/>
  <c r="F56"/>
  <c r="AB55"/>
  <c r="Z55"/>
  <c r="X55"/>
  <c r="V27" i="1" s="1"/>
  <c r="V55" i="10"/>
  <c r="T55"/>
  <c r="R55"/>
  <c r="R27" i="1" s="1"/>
  <c r="P55" i="10"/>
  <c r="N55"/>
  <c r="L55"/>
  <c r="N27" i="1" s="1"/>
  <c r="J55" i="10"/>
  <c r="H55"/>
  <c r="F55"/>
  <c r="AB54"/>
  <c r="Z54"/>
  <c r="X54"/>
  <c r="V26" i="1" s="1"/>
  <c r="V54" i="10"/>
  <c r="T54"/>
  <c r="R54"/>
  <c r="R26" i="1" s="1"/>
  <c r="P54" i="10"/>
  <c r="N54"/>
  <c r="L54"/>
  <c r="N26" i="1" s="1"/>
  <c r="J54" i="10"/>
  <c r="H54"/>
  <c r="F54"/>
  <c r="AB53"/>
  <c r="Z53"/>
  <c r="X53"/>
  <c r="V25" i="1" s="1"/>
  <c r="V53" i="10"/>
  <c r="T53"/>
  <c r="R53"/>
  <c r="R25" i="1" s="1"/>
  <c r="P53" i="10"/>
  <c r="N53"/>
  <c r="L53"/>
  <c r="N25" i="1" s="1"/>
  <c r="J53" i="10"/>
  <c r="H53"/>
  <c r="F53"/>
  <c r="AB52"/>
  <c r="Z52"/>
  <c r="X52"/>
  <c r="V24" i="1" s="1"/>
  <c r="V52" i="10"/>
  <c r="T52"/>
  <c r="R52"/>
  <c r="R24" i="1" s="1"/>
  <c r="P52" i="10"/>
  <c r="N52"/>
  <c r="L52"/>
  <c r="N24" i="1" s="1"/>
  <c r="J52" i="10"/>
  <c r="H52"/>
  <c r="F52"/>
  <c r="AB51"/>
  <c r="Z51"/>
  <c r="X51"/>
  <c r="V23" i="1" s="1"/>
  <c r="V51" i="10"/>
  <c r="T51"/>
  <c r="R51"/>
  <c r="R23" i="1" s="1"/>
  <c r="P51" i="10"/>
  <c r="N51"/>
  <c r="L51"/>
  <c r="N23" i="1" s="1"/>
  <c r="J51" i="10"/>
  <c r="H51"/>
  <c r="F51"/>
  <c r="AB50"/>
  <c r="Z50"/>
  <c r="X50"/>
  <c r="V22" i="1" s="1"/>
  <c r="V50" i="10"/>
  <c r="T50"/>
  <c r="R50"/>
  <c r="R22" i="1" s="1"/>
  <c r="P50" i="10"/>
  <c r="N50"/>
  <c r="L50"/>
  <c r="N22" i="1" s="1"/>
  <c r="J50" i="10"/>
  <c r="H50"/>
  <c r="F50"/>
  <c r="AB49"/>
  <c r="Z49"/>
  <c r="X49"/>
  <c r="V21" i="1" s="1"/>
  <c r="V49" i="10"/>
  <c r="T49"/>
  <c r="R49"/>
  <c r="R21" i="1" s="1"/>
  <c r="P49" i="10"/>
  <c r="N49"/>
  <c r="L49"/>
  <c r="N21" i="1" s="1"/>
  <c r="J49" i="10"/>
  <c r="H49"/>
  <c r="F49"/>
  <c r="AB48"/>
  <c r="Z48"/>
  <c r="X48"/>
  <c r="V20" i="1" s="1"/>
  <c r="V48" i="10"/>
  <c r="T48"/>
  <c r="R48"/>
  <c r="R20" i="1" s="1"/>
  <c r="P48" i="10"/>
  <c r="N48"/>
  <c r="L48"/>
  <c r="N20" i="1" s="1"/>
  <c r="J48" i="10"/>
  <c r="H48"/>
  <c r="F48"/>
  <c r="AB47"/>
  <c r="Z47"/>
  <c r="X47"/>
  <c r="V19" i="1" s="1"/>
  <c r="V47" i="10"/>
  <c r="T47"/>
  <c r="R47"/>
  <c r="R19" i="1" s="1"/>
  <c r="P47" i="10"/>
  <c r="N47"/>
  <c r="L47"/>
  <c r="N19" i="1" s="1"/>
  <c r="J47" i="10"/>
  <c r="H47"/>
  <c r="F47"/>
  <c r="AB46"/>
  <c r="Z46"/>
  <c r="X46"/>
  <c r="V18" i="1" s="1"/>
  <c r="V46" i="10"/>
  <c r="T46"/>
  <c r="R46"/>
  <c r="R18" i="1" s="1"/>
  <c r="P46" i="10"/>
  <c r="N46"/>
  <c r="L46"/>
  <c r="N18" i="1" s="1"/>
  <c r="J46" i="10"/>
  <c r="H46"/>
  <c r="F46"/>
  <c r="AB45"/>
  <c r="Z45"/>
  <c r="X45"/>
  <c r="V17" i="1" s="1"/>
  <c r="V45" i="10"/>
  <c r="T45"/>
  <c r="R45"/>
  <c r="R17" i="1" s="1"/>
  <c r="P45" i="10"/>
  <c r="N45"/>
  <c r="L45"/>
  <c r="N17" i="1" s="1"/>
  <c r="J45" i="10"/>
  <c r="H45"/>
  <c r="F45"/>
  <c r="AB44"/>
  <c r="Z44"/>
  <c r="X44"/>
  <c r="V16" i="1" s="1"/>
  <c r="V44" i="10"/>
  <c r="T44"/>
  <c r="R44"/>
  <c r="R16" i="1" s="1"/>
  <c r="P44" i="10"/>
  <c r="N44"/>
  <c r="L44"/>
  <c r="N16" i="1" s="1"/>
  <c r="J44" i="10"/>
  <c r="H44"/>
  <c r="F44"/>
  <c r="J16" i="1" s="1"/>
  <c r="AB43" i="10"/>
  <c r="Z43"/>
  <c r="X43"/>
  <c r="V15" i="1" s="1"/>
  <c r="V43" i="10"/>
  <c r="T43"/>
  <c r="R43"/>
  <c r="R15" i="1" s="1"/>
  <c r="P43" i="10"/>
  <c r="N43"/>
  <c r="L43"/>
  <c r="N15" i="1" s="1"/>
  <c r="J43" i="10"/>
  <c r="H43"/>
  <c r="F43"/>
  <c r="AB42"/>
  <c r="Z42"/>
  <c r="X42"/>
  <c r="V14" i="1" s="1"/>
  <c r="V42" i="10"/>
  <c r="T42"/>
  <c r="R42"/>
  <c r="R14" i="1" s="1"/>
  <c r="P42" i="10"/>
  <c r="N42"/>
  <c r="L42"/>
  <c r="N14" i="1" s="1"/>
  <c r="J42" i="10"/>
  <c r="H42"/>
  <c r="F42"/>
  <c r="AB41"/>
  <c r="Z41"/>
  <c r="X41"/>
  <c r="V13" i="1" s="1"/>
  <c r="V41" i="10"/>
  <c r="T41"/>
  <c r="R41"/>
  <c r="R13" i="1" s="1"/>
  <c r="P41" i="10"/>
  <c r="N41"/>
  <c r="L41"/>
  <c r="N13" i="1" s="1"/>
  <c r="J41" i="10"/>
  <c r="H41"/>
  <c r="F41"/>
  <c r="AB40"/>
  <c r="Z40"/>
  <c r="X40"/>
  <c r="V12" i="1" s="1"/>
  <c r="V40" i="10"/>
  <c r="T40"/>
  <c r="R40"/>
  <c r="R12" i="1" s="1"/>
  <c r="P40" i="10"/>
  <c r="N40"/>
  <c r="L40"/>
  <c r="N12" i="1" s="1"/>
  <c r="J40" i="10"/>
  <c r="H40"/>
  <c r="F40"/>
  <c r="AB39"/>
  <c r="Z39"/>
  <c r="X39"/>
  <c r="V11" i="1" s="1"/>
  <c r="V39" i="10"/>
  <c r="T39"/>
  <c r="R39"/>
  <c r="R11" i="1" s="1"/>
  <c r="P39" i="10"/>
  <c r="N39"/>
  <c r="L39"/>
  <c r="J39"/>
  <c r="H39"/>
  <c r="F39"/>
  <c r="AB38"/>
  <c r="Z38"/>
  <c r="X38"/>
  <c r="V10" i="1" s="1"/>
  <c r="V38" i="10"/>
  <c r="T38"/>
  <c r="R38"/>
  <c r="R10" i="1" s="1"/>
  <c r="P38" i="10"/>
  <c r="N38"/>
  <c r="L38"/>
  <c r="N10" i="1" s="1"/>
  <c r="L10"/>
  <c r="K10"/>
  <c r="J14"/>
  <c r="J18"/>
  <c r="J21"/>
  <c r="J23"/>
  <c r="J25"/>
  <c r="J26"/>
  <c r="J28"/>
  <c r="J30"/>
  <c r="J32"/>
  <c r="J34"/>
  <c r="J36"/>
  <c r="J39"/>
  <c r="M10"/>
  <c r="J40"/>
  <c r="H40"/>
  <c r="G40"/>
  <c r="I40" s="1"/>
  <c r="H39"/>
  <c r="G39"/>
  <c r="I39" s="1"/>
  <c r="J38"/>
  <c r="H38"/>
  <c r="G38"/>
  <c r="I38" s="1"/>
  <c r="J37"/>
  <c r="H37"/>
  <c r="G37"/>
  <c r="I37" s="1"/>
  <c r="H36"/>
  <c r="G36"/>
  <c r="I36" s="1"/>
  <c r="J35"/>
  <c r="H35"/>
  <c r="G35"/>
  <c r="I35" s="1"/>
  <c r="H34"/>
  <c r="G34"/>
  <c r="I34" s="1"/>
  <c r="J33"/>
  <c r="H33"/>
  <c r="G33"/>
  <c r="I33" s="1"/>
  <c r="H32"/>
  <c r="G32"/>
  <c r="I32" s="1"/>
  <c r="J31"/>
  <c r="H31"/>
  <c r="G31"/>
  <c r="I31" s="1"/>
  <c r="H30"/>
  <c r="G30"/>
  <c r="I30" s="1"/>
  <c r="J29"/>
  <c r="H29"/>
  <c r="G29"/>
  <c r="I29" s="1"/>
  <c r="H28"/>
  <c r="G28"/>
  <c r="I28" s="1"/>
  <c r="J27"/>
  <c r="H27"/>
  <c r="G27"/>
  <c r="I27" s="1"/>
  <c r="H26"/>
  <c r="G26"/>
  <c r="I26" s="1"/>
  <c r="H25"/>
  <c r="G25"/>
  <c r="I25" s="1"/>
  <c r="J24"/>
  <c r="H24"/>
  <c r="G24"/>
  <c r="I24" s="1"/>
  <c r="H23"/>
  <c r="G23"/>
  <c r="I23" s="1"/>
  <c r="J22"/>
  <c r="H22"/>
  <c r="G22"/>
  <c r="I22" s="1"/>
  <c r="H21"/>
  <c r="G21"/>
  <c r="I21" s="1"/>
  <c r="J20"/>
  <c r="H20"/>
  <c r="G20"/>
  <c r="I20" s="1"/>
  <c r="J19"/>
  <c r="H19"/>
  <c r="G19"/>
  <c r="I19" s="1"/>
  <c r="H18"/>
  <c r="G18"/>
  <c r="I18" s="1"/>
  <c r="J17"/>
  <c r="H17"/>
  <c r="G17"/>
  <c r="I17" s="1"/>
  <c r="H16"/>
  <c r="G16"/>
  <c r="I16" s="1"/>
  <c r="J15"/>
  <c r="H15"/>
  <c r="G15"/>
  <c r="I15" s="1"/>
  <c r="H14"/>
  <c r="G14"/>
  <c r="I14" s="1"/>
  <c r="H13"/>
  <c r="G13"/>
  <c r="I13" s="1"/>
  <c r="H12"/>
  <c r="G12"/>
  <c r="I12" s="1"/>
  <c r="J11"/>
  <c r="H11"/>
  <c r="G11"/>
  <c r="I11" s="1"/>
  <c r="J38" i="10"/>
  <c r="H38"/>
  <c r="F38"/>
  <c r="H10" i="1"/>
  <c r="G10"/>
  <c r="I10" s="1"/>
  <c r="E40"/>
  <c r="D40"/>
  <c r="C40"/>
  <c r="B40"/>
  <c r="E39"/>
  <c r="D39"/>
  <c r="C39"/>
  <c r="B39"/>
  <c r="E38"/>
  <c r="D38"/>
  <c r="C38"/>
  <c r="B38"/>
  <c r="E37"/>
  <c r="D37"/>
  <c r="C37"/>
  <c r="B37"/>
  <c r="E36"/>
  <c r="D36"/>
  <c r="C36"/>
  <c r="B36"/>
  <c r="E35"/>
  <c r="D35"/>
  <c r="C35"/>
  <c r="B35"/>
  <c r="E34"/>
  <c r="D34"/>
  <c r="C34"/>
  <c r="B34"/>
  <c r="E33"/>
  <c r="D33"/>
  <c r="C33"/>
  <c r="B33"/>
  <c r="E32"/>
  <c r="D32"/>
  <c r="C32"/>
  <c r="B32"/>
  <c r="E31"/>
  <c r="D31"/>
  <c r="C31"/>
  <c r="B31"/>
  <c r="E30"/>
  <c r="D30"/>
  <c r="C30"/>
  <c r="B30"/>
  <c r="E29"/>
  <c r="D29"/>
  <c r="C29"/>
  <c r="B29"/>
  <c r="E28"/>
  <c r="D28"/>
  <c r="C28"/>
  <c r="B28"/>
  <c r="E27"/>
  <c r="D27"/>
  <c r="C27"/>
  <c r="B27"/>
  <c r="E26"/>
  <c r="D26"/>
  <c r="C26"/>
  <c r="B26"/>
  <c r="E25"/>
  <c r="D25"/>
  <c r="C25"/>
  <c r="B25"/>
  <c r="E24"/>
  <c r="D24"/>
  <c r="C24"/>
  <c r="B24"/>
  <c r="E23"/>
  <c r="D23"/>
  <c r="C23"/>
  <c r="B23"/>
  <c r="E22"/>
  <c r="D22"/>
  <c r="C22"/>
  <c r="B22"/>
  <c r="E21"/>
  <c r="D21"/>
  <c r="C21"/>
  <c r="B21"/>
  <c r="E20"/>
  <c r="D20"/>
  <c r="C20"/>
  <c r="B20"/>
  <c r="E19"/>
  <c r="D19"/>
  <c r="C19"/>
  <c r="B19"/>
  <c r="E18"/>
  <c r="D18"/>
  <c r="C18"/>
  <c r="B18"/>
  <c r="E17"/>
  <c r="D17"/>
  <c r="C17"/>
  <c r="B17"/>
  <c r="E16"/>
  <c r="D16"/>
  <c r="C16"/>
  <c r="B16"/>
  <c r="E15"/>
  <c r="D15"/>
  <c r="C15"/>
  <c r="B15"/>
  <c r="E14"/>
  <c r="D14"/>
  <c r="C14"/>
  <c r="B14"/>
  <c r="E13"/>
  <c r="D13"/>
  <c r="C13"/>
  <c r="B13"/>
  <c r="E12"/>
  <c r="D12"/>
  <c r="C12"/>
  <c r="B12"/>
  <c r="E11"/>
  <c r="D11"/>
  <c r="C11"/>
  <c r="B11"/>
  <c r="E10"/>
  <c r="D10"/>
  <c r="C10"/>
  <c r="B10"/>
  <c r="S41"/>
  <c r="O41"/>
  <c r="K41"/>
  <c r="J12" l="1"/>
  <c r="J13"/>
  <c r="N11" i="14"/>
  <c r="N13"/>
  <c r="N15"/>
  <c r="N17"/>
  <c r="N19"/>
  <c r="N21"/>
  <c r="N23"/>
  <c r="N25"/>
  <c r="N27"/>
  <c r="N29"/>
  <c r="N31"/>
  <c r="N33"/>
  <c r="N35"/>
  <c r="N37"/>
  <c r="N39"/>
  <c r="V11"/>
  <c r="V13"/>
  <c r="V15"/>
  <c r="V17"/>
  <c r="V19"/>
  <c r="V21"/>
  <c r="V23"/>
  <c r="V25"/>
  <c r="V27"/>
  <c r="V29"/>
  <c r="V31"/>
  <c r="V33"/>
  <c r="V35"/>
  <c r="V37"/>
  <c r="V39"/>
  <c r="G41" i="15"/>
  <c r="J10" i="1"/>
  <c r="I10" i="16"/>
  <c r="I41" s="1"/>
  <c r="M10"/>
  <c r="M41" s="1"/>
  <c r="Q10"/>
  <c r="Q41" s="1"/>
  <c r="U10"/>
  <c r="U41" s="1"/>
  <c r="I10" i="15"/>
  <c r="I41" s="1"/>
  <c r="M10"/>
  <c r="M41" s="1"/>
  <c r="Q10"/>
  <c r="Q41" s="1"/>
  <c r="U10"/>
  <c r="U41" s="1"/>
  <c r="I10" i="14"/>
  <c r="I41" s="1"/>
  <c r="M10"/>
  <c r="M41" s="1"/>
  <c r="Q10"/>
  <c r="Q41" s="1"/>
  <c r="U10"/>
  <c r="U41" s="1"/>
  <c r="N11" i="1"/>
  <c r="G41"/>
  <c r="M41"/>
  <c r="U10"/>
  <c r="Q10"/>
  <c r="U41" l="1"/>
  <c r="Q41"/>
  <c r="I41"/>
  <c r="C3" i="8"/>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<sst xmlns="http://schemas.openxmlformats.org/spreadsheetml/2006/main" count="664" uniqueCount="214">
  <si>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</si>
  <si>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</si>
  <si>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</si>
  <si>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</si>
  <si>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</si>
  <si>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</si>
  <si>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</si>
  <si>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</si>
  <si>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</si>
  <si>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</si>
  <si>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</si>
  <si>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</si>
  <si>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</si>
  <si>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</si>
  <si>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</si>
  <si>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</si>
  <si>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</si>
  <si>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</si>
  <si>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</si>
  <si>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</si>
  <si>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</si>
  <si>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</si>
  <si>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</si>
  <si>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</si>
  <si>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</si>
  <si>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</si>
  <si>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</si>
  <si>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</si>
  <si>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</si>
  <si>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</si>
  <si>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</si>
  <si>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</si>
  <si>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</si>
  <si>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</si>
  <si>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</si>
  <si>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</si>
  <si>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</si>
  <si>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</si>
  <si>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</si>
  <si>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</si>
  <si>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</si>
  <si>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</si>
  <si>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</si>
  <si>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</si>
  <si>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</si>
  <si>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</si>
  <si>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</si>
  <si>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</si>
  <si>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</si>
  <si>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</si>
  <si>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</si>
  <si>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</si>
  <si>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</si>
  <si>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</si>
  <si>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</si>
  <si>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</si>
  <si>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</si>
  <si>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</si>
  <si>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</si>
  <si>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</si>
  <si>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</si>
  <si>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</si>
  <si>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</si>
  <si>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</si>
  <si>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</si>
  <si>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</si>
  <si>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</si>
  <si>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</si>
  <si>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</si>
  <si>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</si>
  <si>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</si>
  <si>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</si>
  <si>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</si>
  <si>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</si>
  <si>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</si>
  <si>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</si>
  <si>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</si>
  <si>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</si>
  <si>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</si>
  <si>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</si>
  <si>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</si>
  <si>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</si>
  <si>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</si>
  <si>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</si>
  <si>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</si>
  <si>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</si>
  <si>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</si>
  <si>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</si>
  <si>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</si>
  <si>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</si>
  <si>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</si>
  <si>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</si>
  <si>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</si>
  <si>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</si>
  <si>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</si>
  <si>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</si>
  <si>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</si>
  <si>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</si>
  <si>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</si>
  <si>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</si>
  <si>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</si>
  <si>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</si>
  <si>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</si>
  <si>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</si>
  <si>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</si>
  <si>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</si>
  <si>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</si>
  <si>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</si>
  <si>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</si>
  <si>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</si>
  <si>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</si>
  <si>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</si>
  <si>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</si>
  <si>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</si>
  <si>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</si>
  <si>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</si>
  <si>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</si>
  <si>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</si>
  <si>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</si>
  <si>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</si>
  <si>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</si>
  <si>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</si>
  <si>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</si>
  <si>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</si>
  <si>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</si>
  <si>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</si>
  <si>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</si>
  <si>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</si>
  <si>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</si>
  <si>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</si>
  <si>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</si>
  <si>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</si>
  <si>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</si>
  <si>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</si>
  <si>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</si>
  <si>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</si>
  <si>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</si>
  <si>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</si>
  <si>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</si>
  <si>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</si>
  <si>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</si>
  <si>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</si>
  <si>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</si>
  <si>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</si>
  <si>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</si>
  <si>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</si>
  <si>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</si>
  <si>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</si>
  <si>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</si>
  <si>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</si>
  <si>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</si>
  <si>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</si>
  <si>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</si>
  <si>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</si>
  <si>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</si>
  <si>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</si>
  <si>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</si>
  <si>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</si>
  <si>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</si>
  <si>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</si>
  <si>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</si>
  <si>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</si>
  <si>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</si>
  <si>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</si>
  <si>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</si>
  <si>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</si>
  <si>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</si>
  <si>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</si>
  <si>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</si>
  <si>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</si>
  <si>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</si>
  <si>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</si>
  <si>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</si>
  <si>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</si>
  <si>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Did irrigation occur    at this facility?</t>
  </si>
  <si>
    <t>Formulas</t>
  </si>
  <si>
    <t>If Time Irrigated is &lt; 60 minutes:</t>
  </si>
  <si>
    <t>If Time Irrigated is ≥ 60 minutes:</t>
  </si>
  <si>
    <t xml:space="preserve"> Permit No.:</t>
  </si>
  <si>
    <t>Freeboard</t>
  </si>
  <si>
    <t>Weather</t>
  </si>
  <si>
    <t>Storage</t>
  </si>
  <si>
    <t>5-Day Upset (if applicable)</t>
  </si>
  <si>
    <t>Division of Water Resources</t>
  </si>
  <si>
    <t>WQ0017824</t>
  </si>
  <si>
    <t>Uwharrie Middle School</t>
  </si>
  <si>
    <t>Hardwood Forest</t>
  </si>
  <si>
    <t>Zone 1</t>
  </si>
  <si>
    <t>Dose 1</t>
  </si>
  <si>
    <t>Dose 2</t>
  </si>
  <si>
    <t>Dose 3</t>
  </si>
  <si>
    <t>Vol</t>
  </si>
  <si>
    <t>Time</t>
  </si>
  <si>
    <t>Zone 2</t>
  </si>
  <si>
    <t>Zone 3</t>
  </si>
  <si>
    <t>Zone 4</t>
  </si>
  <si>
    <t>Zone 5</t>
  </si>
  <si>
    <t>Zone 6</t>
  </si>
  <si>
    <t>Zone 7</t>
  </si>
  <si>
    <t>Zone 8</t>
  </si>
  <si>
    <t>Zone 9</t>
  </si>
  <si>
    <t>Zone 10</t>
  </si>
  <si>
    <t>Zone 11</t>
  </si>
  <si>
    <t>Zone 12</t>
  </si>
  <si>
    <t>Zone 13</t>
  </si>
  <si>
    <t>Zone 14</t>
  </si>
  <si>
    <t>Zone 15</t>
  </si>
  <si>
    <t>Zone 16</t>
  </si>
  <si>
    <t>Total Time   Irrigated</t>
  </si>
  <si>
    <t>Total Time    Irrigated</t>
  </si>
  <si>
    <t>Total Volume Applied</t>
  </si>
  <si>
    <t>Temp</t>
  </si>
  <si>
    <t>Precip</t>
  </si>
  <si>
    <t>Mixed Forest</t>
  </si>
</sst>
</file>

<file path=xl/styles.xml><?xml version="1.0" encoding="utf-8"?>
<styleSheet xmlns="http://schemas.openxmlformats.org/spreadsheetml/2006/main">
  <numFmts count="4">
    <numFmt numFmtId="164" formatCode="00000"/>
    <numFmt numFmtId="165" formatCode="hh:mm"/>
    <numFmt numFmtId="166" formatCode="m/d/yy;@"/>
    <numFmt numFmtId="167" formatCode="0.0"/>
  </numFmts>
  <fonts count="18">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
      <b/>
      <sz val="8"/>
      <name val="Trebuchet MS"/>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
      <patternFill patternType="solid">
        <fgColor theme="0" tint="-0.24994659260841701"/>
        <bgColor indexed="64"/>
      </patternFill>
    </fill>
  </fills>
  <borders count="9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medium">
        <color indexed="64"/>
      </left>
      <right style="thin">
        <color indexed="64"/>
      </right>
      <top style="thin">
        <color indexed="64"/>
      </top>
      <bottom style="thick">
        <color indexed="64"/>
      </bottom>
      <diagonal/>
    </border>
    <border>
      <left style="thin">
        <color indexed="64"/>
      </left>
      <right style="double">
        <color indexed="64"/>
      </right>
      <top style="thin">
        <color indexed="64"/>
      </top>
      <bottom/>
      <diagonal/>
    </border>
    <border>
      <left style="double">
        <color indexed="64"/>
      </left>
      <right style="thin">
        <color indexed="64"/>
      </right>
      <top style="thin">
        <color indexed="64"/>
      </top>
      <bottom/>
      <diagonal/>
    </border>
    <border>
      <left style="thin">
        <color indexed="64"/>
      </left>
      <right/>
      <top style="medium">
        <color indexed="64"/>
      </top>
      <bottom/>
      <diagonal/>
    </border>
    <border>
      <left style="double">
        <color indexed="64"/>
      </left>
      <right style="thin">
        <color indexed="64"/>
      </right>
      <top/>
      <bottom/>
      <diagonal/>
    </border>
  </borders>
  <cellStyleXfs count="1">
    <xf numFmtId="0" fontId="0" fillId="0" borderId="0"/>
  </cellStyleXfs>
  <cellXfs count="338">
    <xf numFmtId="0" fontId="0" fillId="0" borderId="0" xfId="0"/>
    <xf numFmtId="0" fontId="3" fillId="0" borderId="0" xfId="0" applyFont="1" applyProtection="1"/>
    <xf numFmtId="0" fontId="3" fillId="0" borderId="0" xfId="0" applyFont="1" applyAlignment="1" applyProtection="1">
      <alignment horizontal="left"/>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59"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9"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4" xfId="0" applyNumberFormat="1" applyFont="1" applyFill="1" applyBorder="1" applyAlignment="1" applyProtection="1">
      <alignment horizontal="center" vertical="center"/>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4" xfId="0" applyNumberFormat="1" applyFont="1" applyFill="1" applyBorder="1" applyAlignment="1" applyProtection="1">
      <alignment horizontal="center" vertical="center"/>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xf>
    <xf numFmtId="2" fontId="3" fillId="3" borderId="61"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7" xfId="0" applyFont="1" applyFill="1" applyBorder="1" applyAlignment="1">
      <alignment horizontal="center" vertical="center"/>
    </xf>
    <xf numFmtId="0" fontId="14" fillId="2" borderId="68" xfId="0" applyFont="1" applyFill="1" applyBorder="1"/>
    <xf numFmtId="0" fontId="8" fillId="2" borderId="0" xfId="0" applyFont="1" applyFill="1" applyBorder="1" applyAlignment="1">
      <alignment horizontal="center" vertical="center"/>
    </xf>
    <xf numFmtId="0" fontId="8" fillId="2" borderId="69" xfId="0" applyFont="1" applyFill="1" applyBorder="1" applyAlignment="1">
      <alignment horizontal="center" vertical="center"/>
    </xf>
    <xf numFmtId="0" fontId="0" fillId="2" borderId="68" xfId="0" applyFill="1" applyBorder="1"/>
    <xf numFmtId="0" fontId="8" fillId="2" borderId="68" xfId="0" applyFont="1" applyFill="1" applyBorder="1" applyAlignment="1">
      <alignment horizontal="center" vertical="center"/>
    </xf>
    <xf numFmtId="0" fontId="8" fillId="2" borderId="70"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3"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3"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2" borderId="75" xfId="0" applyNumberFormat="1" applyFont="1" applyFill="1" applyBorder="1" applyAlignment="1" applyProtection="1">
      <alignment horizontal="center" vertical="center"/>
    </xf>
    <xf numFmtId="2" fontId="3" fillId="3" borderId="76" xfId="0" applyNumberFormat="1" applyFont="1" applyFill="1" applyBorder="1" applyAlignment="1" applyProtection="1">
      <alignment horizontal="center" vertical="center"/>
    </xf>
    <xf numFmtId="2" fontId="3" fillId="0" borderId="65" xfId="0" applyNumberFormat="1" applyFont="1" applyFill="1" applyBorder="1" applyAlignment="1" applyProtection="1">
      <alignment horizontal="center" vertical="center"/>
    </xf>
    <xf numFmtId="2" fontId="3" fillId="0" borderId="76" xfId="0" applyNumberFormat="1" applyFont="1" applyFill="1" applyBorder="1" applyAlignment="1" applyProtection="1">
      <alignment horizontal="center" vertical="center"/>
    </xf>
    <xf numFmtId="2" fontId="3" fillId="0" borderId="61"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6"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68" xfId="0" applyFont="1" applyFill="1" applyBorder="1" applyAlignment="1">
      <alignment horizontal="left" vertical="center"/>
    </xf>
    <xf numFmtId="0" fontId="0" fillId="0" borderId="68" xfId="0" applyBorder="1"/>
    <xf numFmtId="0" fontId="4" fillId="2" borderId="5" xfId="0" applyFont="1" applyFill="1" applyBorder="1" applyAlignment="1" applyProtection="1">
      <alignment horizontal="center" vertical="center" textRotation="90" wrapText="1"/>
    </xf>
    <xf numFmtId="164" fontId="4" fillId="2" borderId="5" xfId="0" applyNumberFormat="1" applyFont="1" applyFill="1" applyBorder="1" applyAlignment="1" applyProtection="1">
      <alignment horizontal="center" vertical="center"/>
    </xf>
    <xf numFmtId="0" fontId="4" fillId="2" borderId="77"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165" fontId="3" fillId="3" borderId="16" xfId="0" applyNumberFormat="1" applyFont="1" applyFill="1" applyBorder="1" applyAlignment="1" applyProtection="1">
      <alignment horizontal="center" vertical="center"/>
      <protection locked="0"/>
    </xf>
    <xf numFmtId="0" fontId="3" fillId="3" borderId="85" xfId="0" applyNumberFormat="1" applyFont="1" applyFill="1" applyBorder="1" applyAlignment="1" applyProtection="1">
      <alignment horizontal="center" vertical="center"/>
      <protection locked="0"/>
    </xf>
    <xf numFmtId="165" fontId="3" fillId="3" borderId="94" xfId="0" applyNumberFormat="1" applyFont="1" applyFill="1" applyBorder="1" applyAlignment="1" applyProtection="1">
      <alignment horizontal="center" vertical="center"/>
      <protection locked="0"/>
    </xf>
    <xf numFmtId="0" fontId="3" fillId="3" borderId="78" xfId="0" applyNumberFormat="1" applyFont="1" applyFill="1" applyBorder="1" applyAlignment="1" applyProtection="1">
      <alignment horizontal="center" vertical="center"/>
      <protection locked="0"/>
    </xf>
    <xf numFmtId="0" fontId="3" fillId="3" borderId="87" xfId="0" applyNumberFormat="1" applyFont="1" applyFill="1" applyBorder="1" applyAlignment="1" applyProtection="1">
      <alignment horizontal="center" vertical="center"/>
      <protection locked="0"/>
    </xf>
    <xf numFmtId="0" fontId="17" fillId="3" borderId="10" xfId="0" applyFont="1" applyFill="1" applyBorder="1" applyAlignment="1" applyProtection="1">
      <alignment horizontal="center" vertical="center"/>
    </xf>
    <xf numFmtId="0" fontId="17" fillId="3" borderId="80" xfId="0" applyFont="1" applyFill="1" applyBorder="1" applyAlignment="1" applyProtection="1">
      <alignment horizontal="center" vertical="center"/>
    </xf>
    <xf numFmtId="0" fontId="8" fillId="0" borderId="86" xfId="0" applyFont="1" applyBorder="1" applyAlignment="1" applyProtection="1">
      <alignment horizontal="center" vertical="center"/>
    </xf>
    <xf numFmtId="0" fontId="8" fillId="0" borderId="78" xfId="0" applyFont="1" applyBorder="1" applyAlignment="1" applyProtection="1">
      <alignment horizontal="center" vertical="center"/>
    </xf>
    <xf numFmtId="0" fontId="8" fillId="0" borderId="87" xfId="0" applyFont="1" applyBorder="1" applyAlignment="1" applyProtection="1">
      <alignment horizontal="center" vertical="center"/>
    </xf>
    <xf numFmtId="0" fontId="8" fillId="6" borderId="86" xfId="0" applyFont="1" applyFill="1" applyBorder="1" applyAlignment="1" applyProtection="1">
      <alignment horizontal="center" vertical="center"/>
    </xf>
    <xf numFmtId="0" fontId="8" fillId="6" borderId="78" xfId="0" applyFont="1" applyFill="1" applyBorder="1" applyAlignment="1" applyProtection="1">
      <alignment horizontal="center" vertical="center"/>
    </xf>
    <xf numFmtId="0" fontId="8" fillId="6" borderId="87" xfId="0" applyFont="1" applyFill="1" applyBorder="1" applyAlignment="1" applyProtection="1">
      <alignment horizontal="center" vertical="center"/>
    </xf>
    <xf numFmtId="0" fontId="8" fillId="3" borderId="86" xfId="0" applyFont="1" applyFill="1" applyBorder="1" applyAlignment="1" applyProtection="1">
      <alignment horizontal="center" vertical="center"/>
    </xf>
    <xf numFmtId="0" fontId="8" fillId="3" borderId="78" xfId="0" applyFont="1" applyFill="1" applyBorder="1" applyAlignment="1" applyProtection="1">
      <alignment horizontal="center" vertical="center"/>
    </xf>
    <xf numFmtId="0" fontId="8" fillId="3" borderId="87" xfId="0" applyFont="1" applyFill="1" applyBorder="1" applyAlignment="1" applyProtection="1">
      <alignment horizontal="center" vertical="center"/>
    </xf>
    <xf numFmtId="0" fontId="8" fillId="0" borderId="88"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0" borderId="89" xfId="0" applyFont="1" applyBorder="1" applyAlignment="1" applyProtection="1">
      <alignment horizontal="center" vertical="center"/>
      <protection locked="0"/>
    </xf>
    <xf numFmtId="0" fontId="8" fillId="6" borderId="88" xfId="0" applyFont="1" applyFill="1" applyBorder="1" applyAlignment="1" applyProtection="1">
      <alignment horizontal="center" vertical="center"/>
      <protection locked="0"/>
    </xf>
    <xf numFmtId="0" fontId="8" fillId="6" borderId="18" xfId="0" applyFont="1" applyFill="1" applyBorder="1" applyAlignment="1" applyProtection="1">
      <alignment horizontal="center" vertical="center"/>
      <protection locked="0"/>
    </xf>
    <xf numFmtId="0" fontId="8" fillId="6" borderId="89" xfId="0" applyFont="1" applyFill="1" applyBorder="1" applyAlignment="1" applyProtection="1">
      <alignment horizontal="center" vertical="center"/>
      <protection locked="0"/>
    </xf>
    <xf numFmtId="0" fontId="8" fillId="3" borderId="88"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8" fillId="3" borderId="89" xfId="0" applyFont="1" applyFill="1" applyBorder="1" applyAlignment="1" applyProtection="1">
      <alignment horizontal="center" vertical="center"/>
      <protection locked="0"/>
    </xf>
    <xf numFmtId="0" fontId="8" fillId="0" borderId="84"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85" xfId="0" applyFont="1" applyBorder="1" applyAlignment="1" applyProtection="1">
      <alignment horizontal="center" vertical="center"/>
      <protection locked="0"/>
    </xf>
    <xf numFmtId="0" fontId="8" fillId="6" borderId="84"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5" xfId="0" applyFont="1" applyFill="1" applyBorder="1" applyAlignment="1" applyProtection="1">
      <alignment horizontal="center" vertical="center"/>
      <protection locked="0"/>
    </xf>
    <xf numFmtId="0" fontId="8" fillId="3" borderId="84" xfId="0" applyFont="1" applyFill="1" applyBorder="1" applyAlignment="1" applyProtection="1">
      <alignment horizontal="center" vertical="center"/>
      <protection locked="0"/>
    </xf>
    <xf numFmtId="0" fontId="8" fillId="3" borderId="7" xfId="0" applyFont="1" applyFill="1" applyBorder="1" applyAlignment="1" applyProtection="1">
      <alignment horizontal="center" vertical="center"/>
      <protection locked="0"/>
    </xf>
    <xf numFmtId="0" fontId="8" fillId="3" borderId="85" xfId="0" applyFont="1" applyFill="1" applyBorder="1" applyAlignment="1" applyProtection="1">
      <alignment horizontal="center" vertical="center"/>
      <protection locked="0"/>
    </xf>
    <xf numFmtId="0" fontId="8" fillId="0" borderId="86" xfId="0" applyFont="1" applyBorder="1" applyAlignment="1" applyProtection="1">
      <alignment horizontal="center" vertical="center"/>
      <protection locked="0"/>
    </xf>
    <xf numFmtId="0" fontId="8" fillId="0" borderId="78" xfId="0" applyFont="1" applyBorder="1" applyAlignment="1" applyProtection="1">
      <alignment horizontal="center" vertical="center"/>
      <protection locked="0"/>
    </xf>
    <xf numFmtId="0" fontId="8" fillId="0" borderId="87" xfId="0" applyFont="1" applyBorder="1" applyAlignment="1" applyProtection="1">
      <alignment horizontal="center" vertical="center"/>
      <protection locked="0"/>
    </xf>
    <xf numFmtId="0" fontId="8" fillId="6" borderId="86" xfId="0" applyFont="1" applyFill="1" applyBorder="1" applyAlignment="1" applyProtection="1">
      <alignment horizontal="center" vertical="center"/>
      <protection locked="0"/>
    </xf>
    <xf numFmtId="0" fontId="8" fillId="6" borderId="78" xfId="0" applyFont="1" applyFill="1" applyBorder="1" applyAlignment="1" applyProtection="1">
      <alignment horizontal="center" vertical="center"/>
      <protection locked="0"/>
    </xf>
    <xf numFmtId="0" fontId="8" fillId="6" borderId="87" xfId="0" applyFont="1" applyFill="1" applyBorder="1" applyAlignment="1" applyProtection="1">
      <alignment horizontal="center" vertical="center"/>
      <protection locked="0"/>
    </xf>
    <xf numFmtId="0" fontId="8" fillId="3" borderId="86" xfId="0" applyFont="1" applyFill="1" applyBorder="1" applyAlignment="1" applyProtection="1">
      <alignment horizontal="center" vertical="center"/>
      <protection locked="0"/>
    </xf>
    <xf numFmtId="0" fontId="8" fillId="3" borderId="78" xfId="0" applyFont="1" applyFill="1" applyBorder="1" applyAlignment="1" applyProtection="1">
      <alignment horizontal="center" vertical="center"/>
      <protection locked="0"/>
    </xf>
    <xf numFmtId="0" fontId="8" fillId="3" borderId="87" xfId="0" applyFont="1" applyFill="1" applyBorder="1" applyAlignment="1" applyProtection="1">
      <alignment horizontal="center" vertical="center"/>
      <protection locked="0"/>
    </xf>
    <xf numFmtId="0" fontId="3" fillId="3" borderId="64" xfId="0" applyNumberFormat="1" applyFont="1" applyFill="1" applyBorder="1" applyAlignment="1" applyProtection="1">
      <alignment horizontal="center" vertical="center"/>
    </xf>
    <xf numFmtId="2" fontId="3" fillId="3" borderId="75" xfId="0" applyNumberFormat="1" applyFont="1" applyFill="1" applyBorder="1" applyAlignment="1" applyProtection="1">
      <alignment horizontal="center" vertical="center"/>
    </xf>
    <xf numFmtId="3" fontId="3" fillId="3" borderId="60" xfId="0" applyNumberFormat="1" applyFont="1" applyFill="1" applyBorder="1" applyAlignment="1" applyProtection="1">
      <alignment horizontal="center" vertical="center"/>
    </xf>
    <xf numFmtId="3" fontId="3" fillId="3" borderId="7" xfId="0" applyNumberFormat="1" applyFont="1" applyFill="1" applyBorder="1" applyAlignment="1" applyProtection="1">
      <alignment horizontal="center" vertical="center"/>
    </xf>
    <xf numFmtId="2" fontId="3" fillId="3" borderId="79" xfId="0" applyNumberFormat="1" applyFont="1" applyFill="1" applyBorder="1" applyAlignment="1" applyProtection="1">
      <alignment horizontal="center" vertical="center"/>
    </xf>
    <xf numFmtId="2" fontId="3" fillId="3" borderId="95" xfId="0" applyNumberFormat="1" applyFont="1" applyFill="1" applyBorder="1" applyAlignment="1" applyProtection="1">
      <alignment horizontal="center" vertical="center"/>
    </xf>
    <xf numFmtId="3" fontId="3" fillId="3" borderId="96" xfId="0" applyNumberFormat="1" applyFont="1" applyFill="1" applyBorder="1" applyAlignment="1" applyProtection="1">
      <alignment horizontal="center" vertical="center"/>
    </xf>
    <xf numFmtId="3" fontId="3" fillId="3" borderId="79" xfId="0" applyNumberFormat="1" applyFont="1" applyFill="1" applyBorder="1" applyAlignment="1" applyProtection="1">
      <alignment horizontal="center" vertical="center"/>
    </xf>
    <xf numFmtId="3" fontId="3" fillId="3" borderId="57" xfId="0" applyNumberFormat="1" applyFont="1" applyFill="1" applyBorder="1" applyAlignment="1" applyProtection="1">
      <alignment horizontal="center" vertical="center"/>
    </xf>
    <xf numFmtId="3" fontId="3" fillId="3" borderId="18" xfId="0" applyNumberFormat="1" applyFont="1" applyFill="1" applyBorder="1" applyAlignment="1" applyProtection="1">
      <alignment horizontal="center" vertical="center"/>
    </xf>
    <xf numFmtId="2" fontId="3" fillId="3" borderId="58" xfId="0" applyNumberFormat="1" applyFont="1" applyFill="1" applyBorder="1" applyAlignment="1" applyProtection="1">
      <alignment horizontal="center" vertical="center"/>
    </xf>
    <xf numFmtId="2" fontId="3" fillId="0" borderId="4" xfId="0" applyNumberFormat="1" applyFont="1" applyFill="1" applyBorder="1" applyAlignment="1" applyProtection="1">
      <alignment horizontal="center" vertical="center"/>
    </xf>
    <xf numFmtId="165" fontId="3" fillId="2" borderId="12"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3" fontId="3" fillId="3" borderId="44" xfId="0" applyNumberFormat="1" applyFont="1" applyFill="1" applyBorder="1" applyAlignment="1" applyProtection="1">
      <alignment horizontal="center" vertical="center"/>
    </xf>
    <xf numFmtId="3" fontId="3" fillId="3" borderId="64" xfId="0" applyNumberFormat="1" applyFont="1" applyFill="1" applyBorder="1" applyAlignment="1" applyProtection="1">
      <alignment horizontal="center" vertical="center"/>
    </xf>
    <xf numFmtId="3" fontId="3" fillId="2" borderId="74" xfId="0" applyNumberFormat="1" applyFont="1" applyFill="1" applyBorder="1" applyAlignment="1" applyProtection="1">
      <alignment horizontal="center" vertical="center"/>
    </xf>
    <xf numFmtId="0" fontId="3" fillId="2" borderId="64" xfId="0" applyNumberFormat="1" applyFont="1" applyFill="1" applyBorder="1" applyAlignment="1" applyProtection="1">
      <alignment horizontal="center" vertical="center"/>
    </xf>
    <xf numFmtId="3" fontId="3" fillId="3" borderId="74" xfId="0" applyNumberFormat="1" applyFont="1" applyFill="1" applyBorder="1" applyAlignment="1" applyProtection="1">
      <alignment horizontal="center" vertical="center"/>
    </xf>
    <xf numFmtId="0" fontId="3" fillId="2" borderId="97"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center" vertical="center"/>
    </xf>
    <xf numFmtId="3" fontId="3" fillId="2" borderId="60"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3" borderId="7" xfId="0" applyNumberFormat="1" applyFont="1" applyFill="1" applyBorder="1" applyAlignment="1" applyProtection="1">
      <alignment horizontal="center" vertical="center"/>
    </xf>
    <xf numFmtId="0" fontId="3" fillId="2" borderId="10" xfId="0" applyNumberFormat="1" applyFont="1" applyFill="1" applyBorder="1" applyAlignment="1" applyProtection="1">
      <alignment horizontal="center" vertical="center"/>
    </xf>
    <xf numFmtId="0" fontId="3" fillId="2" borderId="72" xfId="0" applyNumberFormat="1" applyFont="1" applyFill="1" applyBorder="1" applyAlignment="1" applyProtection="1">
      <alignment horizontal="center" vertical="center"/>
    </xf>
    <xf numFmtId="3" fontId="3" fillId="3" borderId="51" xfId="0" applyNumberFormat="1" applyFont="1" applyFill="1" applyBorder="1" applyAlignment="1" applyProtection="1">
      <alignment horizontal="center" vertical="center"/>
    </xf>
    <xf numFmtId="3" fontId="3" fillId="2" borderId="98" xfId="0" applyNumberFormat="1" applyFont="1" applyFill="1" applyBorder="1" applyAlignment="1" applyProtection="1">
      <alignment horizontal="center" vertical="center"/>
    </xf>
    <xf numFmtId="0" fontId="3" fillId="2" borderId="75" xfId="0" applyNumberFormat="1" applyFont="1" applyFill="1" applyBorder="1" applyAlignment="1" applyProtection="1">
      <alignment horizontal="center" vertical="center"/>
    </xf>
    <xf numFmtId="0"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xf>
    <xf numFmtId="0" fontId="3" fillId="2" borderId="70" xfId="0" applyNumberFormat="1" applyFont="1" applyFill="1" applyBorder="1" applyAlignment="1" applyProtection="1">
      <alignment horizontal="center" vertical="center"/>
    </xf>
    <xf numFmtId="3" fontId="3" fillId="3" borderId="36" xfId="0" applyNumberFormat="1" applyFont="1" applyFill="1" applyBorder="1" applyAlignment="1" applyProtection="1">
      <alignment horizontal="center" vertical="center"/>
    </xf>
    <xf numFmtId="3" fontId="3" fillId="3" borderId="75" xfId="0" applyNumberFormat="1" applyFont="1" applyFill="1" applyBorder="1" applyAlignment="1" applyProtection="1">
      <alignment horizontal="center" vertical="center"/>
    </xf>
    <xf numFmtId="3" fontId="3" fillId="3" borderId="55" xfId="0" applyNumberFormat="1" applyFont="1" applyFill="1" applyBorder="1" applyAlignment="1" applyProtection="1">
      <alignment horizontal="center" vertical="center"/>
    </xf>
    <xf numFmtId="3" fontId="3" fillId="3" borderId="98" xfId="0" applyNumberFormat="1" applyFont="1" applyFill="1" applyBorder="1" applyAlignment="1" applyProtection="1">
      <alignment horizontal="center" vertical="center"/>
    </xf>
    <xf numFmtId="0" fontId="3" fillId="3" borderId="75" xfId="0" applyNumberFormat="1" applyFont="1" applyFill="1" applyBorder="1" applyAlignment="1" applyProtection="1">
      <alignment horizontal="center" vertical="center"/>
    </xf>
    <xf numFmtId="0" fontId="3" fillId="2" borderId="68" xfId="0" applyNumberFormat="1" applyFont="1" applyFill="1" applyBorder="1" applyAlignment="1" applyProtection="1">
      <alignment horizontal="center" vertical="center"/>
    </xf>
    <xf numFmtId="0" fontId="8" fillId="0" borderId="0" xfId="0" applyFont="1" applyProtection="1"/>
    <xf numFmtId="0" fontId="17" fillId="3" borderId="70" xfId="0" applyFont="1" applyFill="1" applyBorder="1" applyAlignment="1" applyProtection="1">
      <alignment horizontal="center" vertical="center"/>
    </xf>
    <xf numFmtId="0" fontId="17" fillId="0" borderId="0" xfId="0" applyFont="1" applyAlignment="1" applyProtection="1">
      <alignment horizontal="center" vertical="center"/>
    </xf>
    <xf numFmtId="0" fontId="8" fillId="0" borderId="0" xfId="0" applyFont="1" applyAlignment="1" applyProtection="1">
      <alignment horizontal="center" vertical="center"/>
    </xf>
    <xf numFmtId="0" fontId="8" fillId="6" borderId="81" xfId="0" applyFont="1" applyFill="1" applyBorder="1" applyAlignment="1" applyProtection="1">
      <alignment horizontal="center" vertical="center"/>
    </xf>
    <xf numFmtId="0" fontId="8" fillId="6" borderId="82" xfId="0" applyFont="1" applyFill="1" applyBorder="1" applyAlignment="1" applyProtection="1">
      <alignment horizontal="center" vertical="center"/>
    </xf>
    <xf numFmtId="0" fontId="8" fillId="6" borderId="83" xfId="0" applyFont="1" applyFill="1" applyBorder="1" applyAlignment="1" applyProtection="1">
      <alignment horizontal="center" vertical="center"/>
    </xf>
    <xf numFmtId="0" fontId="8" fillId="6" borderId="84" xfId="0" applyFont="1" applyFill="1" applyBorder="1" applyAlignment="1" applyProtection="1">
      <alignment horizontal="center" vertical="center"/>
    </xf>
    <xf numFmtId="0" fontId="8" fillId="6" borderId="7" xfId="0" applyFont="1" applyFill="1" applyBorder="1" applyAlignment="1" applyProtection="1">
      <alignment horizontal="center" vertical="center"/>
    </xf>
    <xf numFmtId="0" fontId="8" fillId="6" borderId="85" xfId="0" applyFont="1" applyFill="1" applyBorder="1" applyAlignment="1" applyProtection="1">
      <alignment horizontal="center" vertical="center"/>
    </xf>
    <xf numFmtId="0" fontId="17" fillId="3" borderId="10" xfId="0" applyFont="1" applyFill="1" applyBorder="1" applyAlignment="1" applyProtection="1">
      <alignment horizontal="center" vertical="center"/>
    </xf>
    <xf numFmtId="0" fontId="17" fillId="3" borderId="80" xfId="0" applyFont="1" applyFill="1" applyBorder="1" applyAlignment="1" applyProtection="1">
      <alignment horizontal="center" vertical="center"/>
    </xf>
    <xf numFmtId="0" fontId="8" fillId="0" borderId="81" xfId="0" applyFont="1" applyBorder="1" applyAlignment="1" applyProtection="1">
      <alignment horizontal="center" vertical="center"/>
    </xf>
    <xf numFmtId="0" fontId="8" fillId="0" borderId="82" xfId="0" applyFont="1" applyBorder="1" applyAlignment="1" applyProtection="1">
      <alignment horizontal="center" vertical="center"/>
    </xf>
    <xf numFmtId="0" fontId="8" fillId="0" borderId="83" xfId="0" applyFont="1" applyBorder="1" applyAlignment="1" applyProtection="1">
      <alignment horizontal="center" vertical="center"/>
    </xf>
    <xf numFmtId="0" fontId="8" fillId="0" borderId="84" xfId="0" applyFont="1" applyBorder="1" applyAlignment="1" applyProtection="1">
      <alignment horizontal="center" vertical="center"/>
    </xf>
    <xf numFmtId="0" fontId="8" fillId="0" borderId="7" xfId="0" applyFont="1" applyBorder="1" applyAlignment="1" applyProtection="1">
      <alignment horizontal="center" vertical="center"/>
    </xf>
    <xf numFmtId="0" fontId="8" fillId="0" borderId="85" xfId="0" applyFont="1" applyBorder="1" applyAlignment="1" applyProtection="1">
      <alignment horizontal="center" vertical="center"/>
    </xf>
    <xf numFmtId="0" fontId="8" fillId="3" borderId="81" xfId="0" applyFont="1" applyFill="1" applyBorder="1" applyAlignment="1" applyProtection="1">
      <alignment horizontal="center" vertical="center"/>
    </xf>
    <xf numFmtId="0" fontId="8" fillId="3" borderId="82" xfId="0" applyFont="1" applyFill="1" applyBorder="1" applyAlignment="1" applyProtection="1">
      <alignment horizontal="center" vertical="center"/>
    </xf>
    <xf numFmtId="0" fontId="8" fillId="3" borderId="83" xfId="0" applyFont="1" applyFill="1" applyBorder="1" applyAlignment="1" applyProtection="1">
      <alignment horizontal="center" vertical="center"/>
    </xf>
    <xf numFmtId="0" fontId="8" fillId="3" borderId="84" xfId="0" applyFont="1" applyFill="1" applyBorder="1" applyAlignment="1" applyProtection="1">
      <alignment horizontal="center" vertical="center"/>
    </xf>
    <xf numFmtId="0" fontId="8" fillId="3" borderId="7" xfId="0" applyFont="1" applyFill="1" applyBorder="1" applyAlignment="1" applyProtection="1">
      <alignment horizontal="center" vertical="center"/>
    </xf>
    <xf numFmtId="0" fontId="8" fillId="3" borderId="85" xfId="0" applyFont="1" applyFill="1" applyBorder="1" applyAlignment="1" applyProtection="1">
      <alignment horizontal="center" vertical="center"/>
    </xf>
    <xf numFmtId="0" fontId="17" fillId="3" borderId="79" xfId="0" applyFont="1" applyFill="1" applyBorder="1" applyAlignment="1" applyProtection="1">
      <alignment horizontal="center" vertical="center" textRotation="90"/>
    </xf>
    <xf numFmtId="0" fontId="17" fillId="3" borderId="75" xfId="0" applyFont="1" applyFill="1" applyBorder="1" applyAlignment="1" applyProtection="1">
      <alignment horizontal="center" vertical="center" textRotation="90"/>
    </xf>
    <xf numFmtId="0" fontId="17" fillId="3" borderId="92" xfId="0" applyFont="1" applyFill="1" applyBorder="1" applyAlignment="1" applyProtection="1">
      <alignment horizontal="center" vertical="center" textRotation="90"/>
    </xf>
    <xf numFmtId="0" fontId="17" fillId="3" borderId="90" xfId="0" applyFont="1" applyFill="1" applyBorder="1" applyAlignment="1" applyProtection="1">
      <alignment horizontal="center" vertical="center" textRotation="90"/>
    </xf>
    <xf numFmtId="0" fontId="17" fillId="3" borderId="91" xfId="0" applyFont="1" applyFill="1" applyBorder="1" applyAlignment="1" applyProtection="1">
      <alignment horizontal="center" vertical="center" textRotation="90"/>
    </xf>
    <xf numFmtId="0" fontId="17" fillId="3" borderId="93" xfId="0" applyFont="1" applyFill="1" applyBorder="1" applyAlignment="1" applyProtection="1">
      <alignment horizontal="center" vertical="center" textRotation="90"/>
    </xf>
    <xf numFmtId="0" fontId="4" fillId="2" borderId="30" xfId="0" applyFont="1" applyFill="1" applyBorder="1" applyAlignment="1" applyProtection="1">
      <alignment horizontal="right" vertical="center"/>
    </xf>
    <xf numFmtId="0" fontId="3" fillId="2" borderId="72" xfId="0" applyFont="1" applyFill="1" applyBorder="1" applyAlignment="1" applyProtection="1">
      <alignment horizontal="right" vertical="center"/>
    </xf>
    <xf numFmtId="0" fontId="0" fillId="0" borderId="72"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3"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1" xfId="0" applyFont="1" applyBorder="1" applyAlignment="1">
      <alignment horizontal="center" vertical="center"/>
    </xf>
    <xf numFmtId="1" fontId="3" fillId="2" borderId="64" xfId="0" applyNumberFormat="1" applyFont="1" applyFill="1" applyBorder="1" applyAlignment="1" applyProtection="1">
      <alignment horizontal="center" vertical="center"/>
    </xf>
    <xf numFmtId="1" fontId="3" fillId="2" borderId="7" xfId="0" applyNumberFormat="1" applyFont="1" applyFill="1" applyBorder="1" applyAlignment="1" applyProtection="1">
      <alignment horizontal="center" vertical="center"/>
    </xf>
    <xf numFmtId="1" fontId="3" fillId="2" borderId="18" xfId="0" applyNumberFormat="1" applyFont="1" applyFill="1" applyBorder="1" applyAlignment="1" applyProtection="1">
      <alignment horizontal="center" vertical="center"/>
    </xf>
    <xf numFmtId="2" fontId="3" fillId="2" borderId="45" xfId="0" applyNumberFormat="1" applyFont="1" applyFill="1" applyBorder="1" applyAlignment="1" applyProtection="1">
      <alignment horizontal="center" vertical="center"/>
    </xf>
    <xf numFmtId="167" fontId="3" fillId="2" borderId="16" xfId="0" applyNumberFormat="1" applyFont="1" applyFill="1" applyBorder="1" applyAlignment="1" applyProtection="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W68"/>
  <sheetViews>
    <sheetView tabSelected="1" workbookViewId="0">
      <pane xSplit="1" topLeftCell="B1" activePane="topRight" state="frozen"/>
      <selection pane="topRight" sqref="A1:A3"/>
    </sheetView>
  </sheetViews>
  <sheetFormatPr defaultRowHeight="16.5" customHeight="1"/>
  <cols>
    <col min="1" max="1" width="3.85546875" style="179" bestFit="1" customWidth="1"/>
    <col min="2" max="5" width="3.85546875" style="179" customWidth="1"/>
    <col min="6" max="6" width="4.42578125" style="180" customWidth="1"/>
    <col min="7" max="101" width="4.42578125" style="180" bestFit="1" customWidth="1"/>
    <col min="102" max="16384" width="9.140625" style="177"/>
  </cols>
  <sheetData>
    <row r="1" spans="1:101" ht="16.5" customHeight="1" thickTop="1">
      <c r="A1" s="187" t="s">
        <v>8</v>
      </c>
      <c r="B1" s="201" t="s">
        <v>180</v>
      </c>
      <c r="C1" s="201" t="s">
        <v>211</v>
      </c>
      <c r="D1" s="201" t="s">
        <v>212</v>
      </c>
      <c r="E1" s="204" t="s">
        <v>179</v>
      </c>
      <c r="F1" s="189" t="s">
        <v>187</v>
      </c>
      <c r="G1" s="190"/>
      <c r="H1" s="190"/>
      <c r="I1" s="190"/>
      <c r="J1" s="190"/>
      <c r="K1" s="191"/>
      <c r="L1" s="181" t="s">
        <v>193</v>
      </c>
      <c r="M1" s="182"/>
      <c r="N1" s="182"/>
      <c r="O1" s="182"/>
      <c r="P1" s="182"/>
      <c r="Q1" s="183"/>
      <c r="R1" s="189" t="s">
        <v>194</v>
      </c>
      <c r="S1" s="190"/>
      <c r="T1" s="190"/>
      <c r="U1" s="190"/>
      <c r="V1" s="190"/>
      <c r="W1" s="191"/>
      <c r="X1" s="181" t="s">
        <v>195</v>
      </c>
      <c r="Y1" s="182"/>
      <c r="Z1" s="182"/>
      <c r="AA1" s="182"/>
      <c r="AB1" s="182"/>
      <c r="AC1" s="183"/>
      <c r="AD1" s="189" t="s">
        <v>196</v>
      </c>
      <c r="AE1" s="190"/>
      <c r="AF1" s="190"/>
      <c r="AG1" s="190"/>
      <c r="AH1" s="190"/>
      <c r="AI1" s="191"/>
      <c r="AJ1" s="195" t="s">
        <v>197</v>
      </c>
      <c r="AK1" s="196"/>
      <c r="AL1" s="196"/>
      <c r="AM1" s="196"/>
      <c r="AN1" s="196"/>
      <c r="AO1" s="197"/>
      <c r="AP1" s="189" t="s">
        <v>198</v>
      </c>
      <c r="AQ1" s="190"/>
      <c r="AR1" s="190"/>
      <c r="AS1" s="190"/>
      <c r="AT1" s="190"/>
      <c r="AU1" s="191"/>
      <c r="AV1" s="195" t="s">
        <v>199</v>
      </c>
      <c r="AW1" s="196"/>
      <c r="AX1" s="196"/>
      <c r="AY1" s="196"/>
      <c r="AZ1" s="196"/>
      <c r="BA1" s="197"/>
      <c r="BB1" s="189" t="s">
        <v>200</v>
      </c>
      <c r="BC1" s="190"/>
      <c r="BD1" s="190"/>
      <c r="BE1" s="190"/>
      <c r="BF1" s="190"/>
      <c r="BG1" s="191"/>
      <c r="BH1" s="195" t="s">
        <v>201</v>
      </c>
      <c r="BI1" s="196"/>
      <c r="BJ1" s="196"/>
      <c r="BK1" s="196"/>
      <c r="BL1" s="196"/>
      <c r="BM1" s="197"/>
      <c r="BN1" s="189" t="s">
        <v>202</v>
      </c>
      <c r="BO1" s="190"/>
      <c r="BP1" s="190"/>
      <c r="BQ1" s="190"/>
      <c r="BR1" s="190"/>
      <c r="BS1" s="191"/>
      <c r="BT1" s="195" t="s">
        <v>203</v>
      </c>
      <c r="BU1" s="196"/>
      <c r="BV1" s="196"/>
      <c r="BW1" s="196"/>
      <c r="BX1" s="196"/>
      <c r="BY1" s="197"/>
      <c r="BZ1" s="189" t="s">
        <v>204</v>
      </c>
      <c r="CA1" s="190"/>
      <c r="CB1" s="190"/>
      <c r="CC1" s="190"/>
      <c r="CD1" s="190"/>
      <c r="CE1" s="191"/>
      <c r="CF1" s="195" t="s">
        <v>205</v>
      </c>
      <c r="CG1" s="196"/>
      <c r="CH1" s="196"/>
      <c r="CI1" s="196"/>
      <c r="CJ1" s="196"/>
      <c r="CK1" s="197"/>
      <c r="CL1" s="189" t="s">
        <v>206</v>
      </c>
      <c r="CM1" s="190"/>
      <c r="CN1" s="190"/>
      <c r="CO1" s="190"/>
      <c r="CP1" s="190"/>
      <c r="CQ1" s="191"/>
      <c r="CR1" s="195" t="s">
        <v>207</v>
      </c>
      <c r="CS1" s="196"/>
      <c r="CT1" s="196"/>
      <c r="CU1" s="196"/>
      <c r="CV1" s="196"/>
      <c r="CW1" s="197"/>
    </row>
    <row r="2" spans="1:101" ht="16.5" customHeight="1">
      <c r="A2" s="187"/>
      <c r="B2" s="202"/>
      <c r="C2" s="202"/>
      <c r="D2" s="202"/>
      <c r="E2" s="205"/>
      <c r="F2" s="192" t="s">
        <v>188</v>
      </c>
      <c r="G2" s="193"/>
      <c r="H2" s="193" t="s">
        <v>189</v>
      </c>
      <c r="I2" s="193"/>
      <c r="J2" s="193" t="s">
        <v>190</v>
      </c>
      <c r="K2" s="194"/>
      <c r="L2" s="184" t="s">
        <v>188</v>
      </c>
      <c r="M2" s="185"/>
      <c r="N2" s="185" t="s">
        <v>189</v>
      </c>
      <c r="O2" s="185"/>
      <c r="P2" s="185" t="s">
        <v>190</v>
      </c>
      <c r="Q2" s="186"/>
      <c r="R2" s="192" t="s">
        <v>188</v>
      </c>
      <c r="S2" s="193"/>
      <c r="T2" s="193" t="s">
        <v>189</v>
      </c>
      <c r="U2" s="193"/>
      <c r="V2" s="193" t="s">
        <v>190</v>
      </c>
      <c r="W2" s="194"/>
      <c r="X2" s="184" t="s">
        <v>188</v>
      </c>
      <c r="Y2" s="185"/>
      <c r="Z2" s="185" t="s">
        <v>189</v>
      </c>
      <c r="AA2" s="185"/>
      <c r="AB2" s="185" t="s">
        <v>190</v>
      </c>
      <c r="AC2" s="186"/>
      <c r="AD2" s="192" t="s">
        <v>188</v>
      </c>
      <c r="AE2" s="193"/>
      <c r="AF2" s="193" t="s">
        <v>189</v>
      </c>
      <c r="AG2" s="193"/>
      <c r="AH2" s="193" t="s">
        <v>190</v>
      </c>
      <c r="AI2" s="194"/>
      <c r="AJ2" s="198" t="s">
        <v>188</v>
      </c>
      <c r="AK2" s="199"/>
      <c r="AL2" s="199" t="s">
        <v>189</v>
      </c>
      <c r="AM2" s="199"/>
      <c r="AN2" s="199" t="s">
        <v>190</v>
      </c>
      <c r="AO2" s="200"/>
      <c r="AP2" s="192" t="s">
        <v>188</v>
      </c>
      <c r="AQ2" s="193"/>
      <c r="AR2" s="193" t="s">
        <v>189</v>
      </c>
      <c r="AS2" s="193"/>
      <c r="AT2" s="193" t="s">
        <v>190</v>
      </c>
      <c r="AU2" s="194"/>
      <c r="AV2" s="198" t="s">
        <v>188</v>
      </c>
      <c r="AW2" s="199"/>
      <c r="AX2" s="199" t="s">
        <v>189</v>
      </c>
      <c r="AY2" s="199"/>
      <c r="AZ2" s="199" t="s">
        <v>190</v>
      </c>
      <c r="BA2" s="200"/>
      <c r="BB2" s="192" t="s">
        <v>188</v>
      </c>
      <c r="BC2" s="193"/>
      <c r="BD2" s="193" t="s">
        <v>189</v>
      </c>
      <c r="BE2" s="193"/>
      <c r="BF2" s="193" t="s">
        <v>190</v>
      </c>
      <c r="BG2" s="194"/>
      <c r="BH2" s="198" t="s">
        <v>188</v>
      </c>
      <c r="BI2" s="199"/>
      <c r="BJ2" s="199" t="s">
        <v>189</v>
      </c>
      <c r="BK2" s="199"/>
      <c r="BL2" s="199" t="s">
        <v>190</v>
      </c>
      <c r="BM2" s="200"/>
      <c r="BN2" s="192" t="s">
        <v>188</v>
      </c>
      <c r="BO2" s="193"/>
      <c r="BP2" s="193" t="s">
        <v>189</v>
      </c>
      <c r="BQ2" s="193"/>
      <c r="BR2" s="193" t="s">
        <v>190</v>
      </c>
      <c r="BS2" s="194"/>
      <c r="BT2" s="198" t="s">
        <v>188</v>
      </c>
      <c r="BU2" s="199"/>
      <c r="BV2" s="199" t="s">
        <v>189</v>
      </c>
      <c r="BW2" s="199"/>
      <c r="BX2" s="199" t="s">
        <v>190</v>
      </c>
      <c r="BY2" s="200"/>
      <c r="BZ2" s="192" t="s">
        <v>188</v>
      </c>
      <c r="CA2" s="193"/>
      <c r="CB2" s="193" t="s">
        <v>189</v>
      </c>
      <c r="CC2" s="193"/>
      <c r="CD2" s="193" t="s">
        <v>190</v>
      </c>
      <c r="CE2" s="194"/>
      <c r="CF2" s="198" t="s">
        <v>188</v>
      </c>
      <c r="CG2" s="199"/>
      <c r="CH2" s="199" t="s">
        <v>189</v>
      </c>
      <c r="CI2" s="199"/>
      <c r="CJ2" s="199" t="s">
        <v>190</v>
      </c>
      <c r="CK2" s="200"/>
      <c r="CL2" s="192" t="s">
        <v>188</v>
      </c>
      <c r="CM2" s="193"/>
      <c r="CN2" s="193" t="s">
        <v>189</v>
      </c>
      <c r="CO2" s="193"/>
      <c r="CP2" s="193" t="s">
        <v>190</v>
      </c>
      <c r="CQ2" s="194"/>
      <c r="CR2" s="198" t="s">
        <v>188</v>
      </c>
      <c r="CS2" s="199"/>
      <c r="CT2" s="199" t="s">
        <v>189</v>
      </c>
      <c r="CU2" s="199"/>
      <c r="CV2" s="199" t="s">
        <v>190</v>
      </c>
      <c r="CW2" s="200"/>
    </row>
    <row r="3" spans="1:101" ht="16.5" customHeight="1" thickBot="1">
      <c r="A3" s="188"/>
      <c r="B3" s="203"/>
      <c r="C3" s="203"/>
      <c r="D3" s="203"/>
      <c r="E3" s="206"/>
      <c r="F3" s="103" t="s">
        <v>191</v>
      </c>
      <c r="G3" s="104" t="s">
        <v>192</v>
      </c>
      <c r="H3" s="104" t="s">
        <v>191</v>
      </c>
      <c r="I3" s="104" t="s">
        <v>192</v>
      </c>
      <c r="J3" s="104" t="s">
        <v>191</v>
      </c>
      <c r="K3" s="105" t="s">
        <v>192</v>
      </c>
      <c r="L3" s="106" t="s">
        <v>191</v>
      </c>
      <c r="M3" s="107" t="s">
        <v>192</v>
      </c>
      <c r="N3" s="107" t="s">
        <v>191</v>
      </c>
      <c r="O3" s="107" t="s">
        <v>192</v>
      </c>
      <c r="P3" s="107" t="s">
        <v>191</v>
      </c>
      <c r="Q3" s="108" t="s">
        <v>192</v>
      </c>
      <c r="R3" s="103" t="s">
        <v>191</v>
      </c>
      <c r="S3" s="104" t="s">
        <v>192</v>
      </c>
      <c r="T3" s="104" t="s">
        <v>191</v>
      </c>
      <c r="U3" s="104" t="s">
        <v>192</v>
      </c>
      <c r="V3" s="104" t="s">
        <v>191</v>
      </c>
      <c r="W3" s="105" t="s">
        <v>192</v>
      </c>
      <c r="X3" s="106" t="s">
        <v>191</v>
      </c>
      <c r="Y3" s="107" t="s">
        <v>192</v>
      </c>
      <c r="Z3" s="107" t="s">
        <v>191</v>
      </c>
      <c r="AA3" s="107" t="s">
        <v>192</v>
      </c>
      <c r="AB3" s="107" t="s">
        <v>191</v>
      </c>
      <c r="AC3" s="108" t="s">
        <v>192</v>
      </c>
      <c r="AD3" s="103" t="s">
        <v>191</v>
      </c>
      <c r="AE3" s="104" t="s">
        <v>192</v>
      </c>
      <c r="AF3" s="104" t="s">
        <v>191</v>
      </c>
      <c r="AG3" s="104" t="s">
        <v>192</v>
      </c>
      <c r="AH3" s="104" t="s">
        <v>191</v>
      </c>
      <c r="AI3" s="105" t="s">
        <v>192</v>
      </c>
      <c r="AJ3" s="109" t="s">
        <v>191</v>
      </c>
      <c r="AK3" s="110" t="s">
        <v>192</v>
      </c>
      <c r="AL3" s="110" t="s">
        <v>191</v>
      </c>
      <c r="AM3" s="110" t="s">
        <v>192</v>
      </c>
      <c r="AN3" s="110" t="s">
        <v>191</v>
      </c>
      <c r="AO3" s="111" t="s">
        <v>192</v>
      </c>
      <c r="AP3" s="103" t="s">
        <v>191</v>
      </c>
      <c r="AQ3" s="104" t="s">
        <v>192</v>
      </c>
      <c r="AR3" s="104" t="s">
        <v>191</v>
      </c>
      <c r="AS3" s="104" t="s">
        <v>192</v>
      </c>
      <c r="AT3" s="104" t="s">
        <v>191</v>
      </c>
      <c r="AU3" s="105" t="s">
        <v>192</v>
      </c>
      <c r="AV3" s="109" t="s">
        <v>191</v>
      </c>
      <c r="AW3" s="110" t="s">
        <v>192</v>
      </c>
      <c r="AX3" s="110" t="s">
        <v>191</v>
      </c>
      <c r="AY3" s="110" t="s">
        <v>192</v>
      </c>
      <c r="AZ3" s="110" t="s">
        <v>191</v>
      </c>
      <c r="BA3" s="111" t="s">
        <v>192</v>
      </c>
      <c r="BB3" s="103" t="s">
        <v>191</v>
      </c>
      <c r="BC3" s="104" t="s">
        <v>192</v>
      </c>
      <c r="BD3" s="104" t="s">
        <v>191</v>
      </c>
      <c r="BE3" s="104" t="s">
        <v>192</v>
      </c>
      <c r="BF3" s="104" t="s">
        <v>191</v>
      </c>
      <c r="BG3" s="105" t="s">
        <v>192</v>
      </c>
      <c r="BH3" s="109" t="s">
        <v>191</v>
      </c>
      <c r="BI3" s="110" t="s">
        <v>192</v>
      </c>
      <c r="BJ3" s="110" t="s">
        <v>191</v>
      </c>
      <c r="BK3" s="110" t="s">
        <v>192</v>
      </c>
      <c r="BL3" s="110" t="s">
        <v>191</v>
      </c>
      <c r="BM3" s="111" t="s">
        <v>192</v>
      </c>
      <c r="BN3" s="103" t="s">
        <v>191</v>
      </c>
      <c r="BO3" s="104" t="s">
        <v>192</v>
      </c>
      <c r="BP3" s="104" t="s">
        <v>191</v>
      </c>
      <c r="BQ3" s="104" t="s">
        <v>192</v>
      </c>
      <c r="BR3" s="104" t="s">
        <v>191</v>
      </c>
      <c r="BS3" s="105" t="s">
        <v>192</v>
      </c>
      <c r="BT3" s="109" t="s">
        <v>191</v>
      </c>
      <c r="BU3" s="110" t="s">
        <v>192</v>
      </c>
      <c r="BV3" s="110" t="s">
        <v>191</v>
      </c>
      <c r="BW3" s="110" t="s">
        <v>192</v>
      </c>
      <c r="BX3" s="110" t="s">
        <v>191</v>
      </c>
      <c r="BY3" s="111" t="s">
        <v>192</v>
      </c>
      <c r="BZ3" s="103" t="s">
        <v>191</v>
      </c>
      <c r="CA3" s="104" t="s">
        <v>192</v>
      </c>
      <c r="CB3" s="104" t="s">
        <v>191</v>
      </c>
      <c r="CC3" s="104" t="s">
        <v>192</v>
      </c>
      <c r="CD3" s="104" t="s">
        <v>191</v>
      </c>
      <c r="CE3" s="105" t="s">
        <v>192</v>
      </c>
      <c r="CF3" s="109" t="s">
        <v>191</v>
      </c>
      <c r="CG3" s="110" t="s">
        <v>192</v>
      </c>
      <c r="CH3" s="110" t="s">
        <v>191</v>
      </c>
      <c r="CI3" s="110" t="s">
        <v>192</v>
      </c>
      <c r="CJ3" s="110" t="s">
        <v>191</v>
      </c>
      <c r="CK3" s="111" t="s">
        <v>192</v>
      </c>
      <c r="CL3" s="103" t="s">
        <v>191</v>
      </c>
      <c r="CM3" s="104" t="s">
        <v>192</v>
      </c>
      <c r="CN3" s="104" t="s">
        <v>191</v>
      </c>
      <c r="CO3" s="104" t="s">
        <v>192</v>
      </c>
      <c r="CP3" s="104" t="s">
        <v>191</v>
      </c>
      <c r="CQ3" s="105" t="s">
        <v>192</v>
      </c>
      <c r="CR3" s="109" t="s">
        <v>191</v>
      </c>
      <c r="CS3" s="110" t="s">
        <v>192</v>
      </c>
      <c r="CT3" s="110" t="s">
        <v>191</v>
      </c>
      <c r="CU3" s="110" t="s">
        <v>192</v>
      </c>
      <c r="CV3" s="110" t="s">
        <v>191</v>
      </c>
      <c r="CW3" s="111" t="s">
        <v>192</v>
      </c>
    </row>
    <row r="4" spans="1:101" ht="16.5" customHeight="1" thickTop="1">
      <c r="A4" s="178">
        <v>1</v>
      </c>
      <c r="B4" s="96"/>
      <c r="C4" s="11"/>
      <c r="D4" s="11"/>
      <c r="E4" s="97"/>
      <c r="F4" s="112"/>
      <c r="G4" s="113"/>
      <c r="H4" s="113"/>
      <c r="I4" s="113"/>
      <c r="J4" s="113"/>
      <c r="K4" s="114"/>
      <c r="L4" s="115"/>
      <c r="M4" s="116"/>
      <c r="N4" s="116"/>
      <c r="O4" s="116"/>
      <c r="P4" s="116"/>
      <c r="Q4" s="117"/>
      <c r="R4" s="112"/>
      <c r="S4" s="113"/>
      <c r="T4" s="113"/>
      <c r="U4" s="113"/>
      <c r="V4" s="113"/>
      <c r="W4" s="114"/>
      <c r="X4" s="115"/>
      <c r="Y4" s="116"/>
      <c r="Z4" s="116"/>
      <c r="AA4" s="116"/>
      <c r="AB4" s="116"/>
      <c r="AC4" s="117"/>
      <c r="AD4" s="112"/>
      <c r="AE4" s="113"/>
      <c r="AF4" s="113"/>
      <c r="AG4" s="113"/>
      <c r="AH4" s="113"/>
      <c r="AI4" s="114"/>
      <c r="AJ4" s="118"/>
      <c r="AK4" s="119"/>
      <c r="AL4" s="119"/>
      <c r="AM4" s="119"/>
      <c r="AN4" s="119"/>
      <c r="AO4" s="120"/>
      <c r="AP4" s="112"/>
      <c r="AQ4" s="113"/>
      <c r="AR4" s="113"/>
      <c r="AS4" s="113"/>
      <c r="AT4" s="113"/>
      <c r="AU4" s="114"/>
      <c r="AV4" s="118"/>
      <c r="AW4" s="119"/>
      <c r="AX4" s="119"/>
      <c r="AY4" s="119"/>
      <c r="AZ4" s="119"/>
      <c r="BA4" s="120"/>
      <c r="BB4" s="112"/>
      <c r="BC4" s="113"/>
      <c r="BD4" s="113"/>
      <c r="BE4" s="113"/>
      <c r="BF4" s="113"/>
      <c r="BG4" s="114"/>
      <c r="BH4" s="118"/>
      <c r="BI4" s="119"/>
      <c r="BJ4" s="119"/>
      <c r="BK4" s="119"/>
      <c r="BL4" s="119"/>
      <c r="BM4" s="120"/>
      <c r="BN4" s="112"/>
      <c r="BO4" s="113"/>
      <c r="BP4" s="113"/>
      <c r="BQ4" s="113"/>
      <c r="BR4" s="113"/>
      <c r="BS4" s="114"/>
      <c r="BT4" s="118"/>
      <c r="BU4" s="119"/>
      <c r="BV4" s="119"/>
      <c r="BW4" s="119"/>
      <c r="BX4" s="119"/>
      <c r="BY4" s="120"/>
      <c r="BZ4" s="112"/>
      <c r="CA4" s="113"/>
      <c r="CB4" s="113"/>
      <c r="CC4" s="113"/>
      <c r="CD4" s="113"/>
      <c r="CE4" s="114"/>
      <c r="CF4" s="118"/>
      <c r="CG4" s="119"/>
      <c r="CH4" s="119"/>
      <c r="CI4" s="119"/>
      <c r="CJ4" s="119"/>
      <c r="CK4" s="120"/>
      <c r="CL4" s="112"/>
      <c r="CM4" s="113"/>
      <c r="CN4" s="113"/>
      <c r="CO4" s="113"/>
      <c r="CP4" s="113"/>
      <c r="CQ4" s="114"/>
      <c r="CR4" s="118"/>
      <c r="CS4" s="119"/>
      <c r="CT4" s="119"/>
      <c r="CU4" s="119"/>
      <c r="CV4" s="119"/>
      <c r="CW4" s="120"/>
    </row>
    <row r="5" spans="1:101" ht="16.5" customHeight="1">
      <c r="A5" s="101">
        <v>2</v>
      </c>
      <c r="B5" s="96"/>
      <c r="C5" s="11"/>
      <c r="D5" s="11"/>
      <c r="E5" s="97"/>
      <c r="F5" s="121"/>
      <c r="G5" s="122"/>
      <c r="H5" s="122"/>
      <c r="I5" s="122"/>
      <c r="J5" s="122"/>
      <c r="K5" s="123"/>
      <c r="L5" s="124"/>
      <c r="M5" s="125"/>
      <c r="N5" s="125"/>
      <c r="O5" s="125"/>
      <c r="P5" s="125"/>
      <c r="Q5" s="126"/>
      <c r="R5" s="121"/>
      <c r="S5" s="122"/>
      <c r="T5" s="122"/>
      <c r="U5" s="122"/>
      <c r="V5" s="122"/>
      <c r="W5" s="123"/>
      <c r="X5" s="124"/>
      <c r="Y5" s="125"/>
      <c r="Z5" s="125"/>
      <c r="AA5" s="125"/>
      <c r="AB5" s="125"/>
      <c r="AC5" s="126"/>
      <c r="AD5" s="121"/>
      <c r="AE5" s="122"/>
      <c r="AF5" s="122"/>
      <c r="AG5" s="122"/>
      <c r="AH5" s="122"/>
      <c r="AI5" s="123"/>
      <c r="AJ5" s="127"/>
      <c r="AK5" s="128"/>
      <c r="AL5" s="128"/>
      <c r="AM5" s="128"/>
      <c r="AN5" s="128"/>
      <c r="AO5" s="129"/>
      <c r="AP5" s="121"/>
      <c r="AQ5" s="122"/>
      <c r="AR5" s="122"/>
      <c r="AS5" s="122"/>
      <c r="AT5" s="122"/>
      <c r="AU5" s="123"/>
      <c r="AV5" s="127"/>
      <c r="AW5" s="128"/>
      <c r="AX5" s="128"/>
      <c r="AY5" s="128"/>
      <c r="AZ5" s="128"/>
      <c r="BA5" s="129"/>
      <c r="BB5" s="121"/>
      <c r="BC5" s="122"/>
      <c r="BD5" s="122"/>
      <c r="BE5" s="122"/>
      <c r="BF5" s="122"/>
      <c r="BG5" s="123"/>
      <c r="BH5" s="127"/>
      <c r="BI5" s="128"/>
      <c r="BJ5" s="128"/>
      <c r="BK5" s="128"/>
      <c r="BL5" s="128"/>
      <c r="BM5" s="129"/>
      <c r="BN5" s="121"/>
      <c r="BO5" s="122"/>
      <c r="BP5" s="122"/>
      <c r="BQ5" s="122"/>
      <c r="BR5" s="122"/>
      <c r="BS5" s="123"/>
      <c r="BT5" s="127"/>
      <c r="BU5" s="128"/>
      <c r="BV5" s="128"/>
      <c r="BW5" s="128"/>
      <c r="BX5" s="128"/>
      <c r="BY5" s="129"/>
      <c r="BZ5" s="121"/>
      <c r="CA5" s="122"/>
      <c r="CB5" s="122"/>
      <c r="CC5" s="122"/>
      <c r="CD5" s="122"/>
      <c r="CE5" s="123"/>
      <c r="CF5" s="127"/>
      <c r="CG5" s="128"/>
      <c r="CH5" s="128"/>
      <c r="CI5" s="128"/>
      <c r="CJ5" s="128"/>
      <c r="CK5" s="129"/>
      <c r="CL5" s="121"/>
      <c r="CM5" s="122"/>
      <c r="CN5" s="122"/>
      <c r="CO5" s="122"/>
      <c r="CP5" s="122"/>
      <c r="CQ5" s="123"/>
      <c r="CR5" s="127"/>
      <c r="CS5" s="128"/>
      <c r="CT5" s="128"/>
      <c r="CU5" s="128"/>
      <c r="CV5" s="128"/>
      <c r="CW5" s="129"/>
    </row>
    <row r="6" spans="1:101" ht="16.5" customHeight="1">
      <c r="A6" s="101">
        <v>3</v>
      </c>
      <c r="B6" s="96"/>
      <c r="C6" s="11"/>
      <c r="D6" s="11"/>
      <c r="E6" s="97"/>
      <c r="F6" s="121"/>
      <c r="G6" s="122"/>
      <c r="H6" s="122"/>
      <c r="I6" s="122"/>
      <c r="J6" s="122"/>
      <c r="K6" s="123"/>
      <c r="L6" s="124"/>
      <c r="M6" s="125"/>
      <c r="N6" s="125"/>
      <c r="O6" s="125"/>
      <c r="P6" s="125"/>
      <c r="Q6" s="126"/>
      <c r="R6" s="121"/>
      <c r="S6" s="122"/>
      <c r="T6" s="122"/>
      <c r="U6" s="122"/>
      <c r="V6" s="122"/>
      <c r="W6" s="123"/>
      <c r="X6" s="124"/>
      <c r="Y6" s="125"/>
      <c r="Z6" s="125"/>
      <c r="AA6" s="125"/>
      <c r="AB6" s="125"/>
      <c r="AC6" s="126"/>
      <c r="AD6" s="121"/>
      <c r="AE6" s="122"/>
      <c r="AF6" s="122"/>
      <c r="AG6" s="122"/>
      <c r="AH6" s="122"/>
      <c r="AI6" s="123"/>
      <c r="AJ6" s="127"/>
      <c r="AK6" s="128"/>
      <c r="AL6" s="128"/>
      <c r="AM6" s="128"/>
      <c r="AN6" s="128"/>
      <c r="AO6" s="129"/>
      <c r="AP6" s="121"/>
      <c r="AQ6" s="122"/>
      <c r="AR6" s="122"/>
      <c r="AS6" s="122"/>
      <c r="AT6" s="122"/>
      <c r="AU6" s="123"/>
      <c r="AV6" s="127"/>
      <c r="AW6" s="128"/>
      <c r="AX6" s="128"/>
      <c r="AY6" s="128"/>
      <c r="AZ6" s="128"/>
      <c r="BA6" s="129"/>
      <c r="BB6" s="121"/>
      <c r="BC6" s="122"/>
      <c r="BD6" s="122"/>
      <c r="BE6" s="122"/>
      <c r="BF6" s="122"/>
      <c r="BG6" s="123"/>
      <c r="BH6" s="127"/>
      <c r="BI6" s="128"/>
      <c r="BJ6" s="128"/>
      <c r="BK6" s="128"/>
      <c r="BL6" s="128"/>
      <c r="BM6" s="129"/>
      <c r="BN6" s="121"/>
      <c r="BO6" s="122"/>
      <c r="BP6" s="122"/>
      <c r="BQ6" s="122"/>
      <c r="BR6" s="122"/>
      <c r="BS6" s="123"/>
      <c r="BT6" s="127"/>
      <c r="BU6" s="128"/>
      <c r="BV6" s="128"/>
      <c r="BW6" s="128"/>
      <c r="BX6" s="128"/>
      <c r="BY6" s="129"/>
      <c r="BZ6" s="121"/>
      <c r="CA6" s="122"/>
      <c r="CB6" s="122"/>
      <c r="CC6" s="122"/>
      <c r="CD6" s="122"/>
      <c r="CE6" s="123"/>
      <c r="CF6" s="127"/>
      <c r="CG6" s="128"/>
      <c r="CH6" s="128"/>
      <c r="CI6" s="128"/>
      <c r="CJ6" s="128"/>
      <c r="CK6" s="129"/>
      <c r="CL6" s="121"/>
      <c r="CM6" s="122"/>
      <c r="CN6" s="122"/>
      <c r="CO6" s="122"/>
      <c r="CP6" s="122"/>
      <c r="CQ6" s="123"/>
      <c r="CR6" s="127"/>
      <c r="CS6" s="128"/>
      <c r="CT6" s="128"/>
      <c r="CU6" s="128"/>
      <c r="CV6" s="128"/>
      <c r="CW6" s="129"/>
    </row>
    <row r="7" spans="1:101" ht="16.5" customHeight="1">
      <c r="A7" s="101">
        <v>4</v>
      </c>
      <c r="B7" s="96"/>
      <c r="C7" s="11"/>
      <c r="D7" s="11"/>
      <c r="E7" s="97"/>
      <c r="F7" s="121"/>
      <c r="G7" s="122"/>
      <c r="H7" s="122"/>
      <c r="I7" s="122"/>
      <c r="J7" s="122"/>
      <c r="K7" s="123"/>
      <c r="L7" s="124"/>
      <c r="M7" s="125"/>
      <c r="N7" s="125"/>
      <c r="O7" s="125"/>
      <c r="P7" s="125"/>
      <c r="Q7" s="126"/>
      <c r="R7" s="121"/>
      <c r="S7" s="122"/>
      <c r="T7" s="122"/>
      <c r="U7" s="122"/>
      <c r="V7" s="122"/>
      <c r="W7" s="123"/>
      <c r="X7" s="124"/>
      <c r="Y7" s="125"/>
      <c r="Z7" s="125"/>
      <c r="AA7" s="125"/>
      <c r="AB7" s="125"/>
      <c r="AC7" s="126"/>
      <c r="AD7" s="121"/>
      <c r="AE7" s="122"/>
      <c r="AF7" s="122"/>
      <c r="AG7" s="122"/>
      <c r="AH7" s="122"/>
      <c r="AI7" s="123"/>
      <c r="AJ7" s="127"/>
      <c r="AK7" s="128"/>
      <c r="AL7" s="128"/>
      <c r="AM7" s="128"/>
      <c r="AN7" s="128"/>
      <c r="AO7" s="129"/>
      <c r="AP7" s="121"/>
      <c r="AQ7" s="122"/>
      <c r="AR7" s="122"/>
      <c r="AS7" s="122"/>
      <c r="AT7" s="122"/>
      <c r="AU7" s="123"/>
      <c r="AV7" s="127"/>
      <c r="AW7" s="128"/>
      <c r="AX7" s="128"/>
      <c r="AY7" s="128"/>
      <c r="AZ7" s="128"/>
      <c r="BA7" s="129"/>
      <c r="BB7" s="121"/>
      <c r="BC7" s="122"/>
      <c r="BD7" s="122"/>
      <c r="BE7" s="122"/>
      <c r="BF7" s="122"/>
      <c r="BG7" s="123"/>
      <c r="BH7" s="127"/>
      <c r="BI7" s="128"/>
      <c r="BJ7" s="128"/>
      <c r="BK7" s="128"/>
      <c r="BL7" s="128"/>
      <c r="BM7" s="129"/>
      <c r="BN7" s="121"/>
      <c r="BO7" s="122"/>
      <c r="BP7" s="122"/>
      <c r="BQ7" s="122"/>
      <c r="BR7" s="122"/>
      <c r="BS7" s="123"/>
      <c r="BT7" s="127"/>
      <c r="BU7" s="128"/>
      <c r="BV7" s="128"/>
      <c r="BW7" s="128"/>
      <c r="BX7" s="128"/>
      <c r="BY7" s="129"/>
      <c r="BZ7" s="121"/>
      <c r="CA7" s="122"/>
      <c r="CB7" s="122"/>
      <c r="CC7" s="122"/>
      <c r="CD7" s="122"/>
      <c r="CE7" s="123"/>
      <c r="CF7" s="127"/>
      <c r="CG7" s="128"/>
      <c r="CH7" s="128"/>
      <c r="CI7" s="128"/>
      <c r="CJ7" s="128"/>
      <c r="CK7" s="129"/>
      <c r="CL7" s="121"/>
      <c r="CM7" s="122"/>
      <c r="CN7" s="122"/>
      <c r="CO7" s="122"/>
      <c r="CP7" s="122"/>
      <c r="CQ7" s="123"/>
      <c r="CR7" s="127"/>
      <c r="CS7" s="128"/>
      <c r="CT7" s="128"/>
      <c r="CU7" s="128"/>
      <c r="CV7" s="128"/>
      <c r="CW7" s="129"/>
    </row>
    <row r="8" spans="1:101" ht="16.5" customHeight="1">
      <c r="A8" s="101">
        <v>5</v>
      </c>
      <c r="B8" s="96"/>
      <c r="C8" s="11"/>
      <c r="D8" s="11"/>
      <c r="E8" s="97"/>
      <c r="F8" s="121"/>
      <c r="G8" s="122"/>
      <c r="H8" s="122"/>
      <c r="I8" s="122"/>
      <c r="J8" s="122"/>
      <c r="K8" s="123"/>
      <c r="L8" s="124"/>
      <c r="M8" s="125"/>
      <c r="N8" s="125"/>
      <c r="O8" s="125"/>
      <c r="P8" s="125"/>
      <c r="Q8" s="126"/>
      <c r="R8" s="121"/>
      <c r="S8" s="122"/>
      <c r="T8" s="122"/>
      <c r="U8" s="122"/>
      <c r="V8" s="122"/>
      <c r="W8" s="123"/>
      <c r="X8" s="124"/>
      <c r="Y8" s="125"/>
      <c r="Z8" s="125"/>
      <c r="AA8" s="125"/>
      <c r="AB8" s="125"/>
      <c r="AC8" s="126"/>
      <c r="AD8" s="121"/>
      <c r="AE8" s="122"/>
      <c r="AF8" s="122"/>
      <c r="AG8" s="122"/>
      <c r="AH8" s="122"/>
      <c r="AI8" s="123"/>
      <c r="AJ8" s="127"/>
      <c r="AK8" s="128"/>
      <c r="AL8" s="128"/>
      <c r="AM8" s="128"/>
      <c r="AN8" s="128"/>
      <c r="AO8" s="129"/>
      <c r="AP8" s="121"/>
      <c r="AQ8" s="122"/>
      <c r="AR8" s="122"/>
      <c r="AS8" s="122"/>
      <c r="AT8" s="122"/>
      <c r="AU8" s="123"/>
      <c r="AV8" s="127"/>
      <c r="AW8" s="128"/>
      <c r="AX8" s="128"/>
      <c r="AY8" s="128"/>
      <c r="AZ8" s="128"/>
      <c r="BA8" s="129"/>
      <c r="BB8" s="121"/>
      <c r="BC8" s="122"/>
      <c r="BD8" s="122"/>
      <c r="BE8" s="122"/>
      <c r="BF8" s="122"/>
      <c r="BG8" s="123"/>
      <c r="BH8" s="127"/>
      <c r="BI8" s="128"/>
      <c r="BJ8" s="128"/>
      <c r="BK8" s="128"/>
      <c r="BL8" s="128"/>
      <c r="BM8" s="129"/>
      <c r="BN8" s="121"/>
      <c r="BO8" s="122"/>
      <c r="BP8" s="122"/>
      <c r="BQ8" s="122"/>
      <c r="BR8" s="122"/>
      <c r="BS8" s="123"/>
      <c r="BT8" s="127"/>
      <c r="BU8" s="128"/>
      <c r="BV8" s="128"/>
      <c r="BW8" s="128"/>
      <c r="BX8" s="128"/>
      <c r="BY8" s="129"/>
      <c r="BZ8" s="121"/>
      <c r="CA8" s="122"/>
      <c r="CB8" s="122"/>
      <c r="CC8" s="122"/>
      <c r="CD8" s="122"/>
      <c r="CE8" s="123"/>
      <c r="CF8" s="127"/>
      <c r="CG8" s="128"/>
      <c r="CH8" s="128"/>
      <c r="CI8" s="128"/>
      <c r="CJ8" s="128"/>
      <c r="CK8" s="129"/>
      <c r="CL8" s="121"/>
      <c r="CM8" s="122"/>
      <c r="CN8" s="122"/>
      <c r="CO8" s="122"/>
      <c r="CP8" s="122"/>
      <c r="CQ8" s="123"/>
      <c r="CR8" s="127"/>
      <c r="CS8" s="128"/>
      <c r="CT8" s="128"/>
      <c r="CU8" s="128"/>
      <c r="CV8" s="128"/>
      <c r="CW8" s="129"/>
    </row>
    <row r="9" spans="1:101" ht="16.5" customHeight="1">
      <c r="A9" s="101">
        <v>6</v>
      </c>
      <c r="B9" s="96"/>
      <c r="C9" s="11"/>
      <c r="D9" s="11"/>
      <c r="E9" s="97"/>
      <c r="F9" s="121"/>
      <c r="G9" s="122"/>
      <c r="H9" s="122"/>
      <c r="I9" s="122"/>
      <c r="J9" s="122"/>
      <c r="K9" s="123"/>
      <c r="L9" s="124"/>
      <c r="M9" s="125"/>
      <c r="N9" s="125"/>
      <c r="O9" s="125"/>
      <c r="P9" s="125"/>
      <c r="Q9" s="126"/>
      <c r="R9" s="121"/>
      <c r="S9" s="122"/>
      <c r="T9" s="122"/>
      <c r="U9" s="122"/>
      <c r="V9" s="122"/>
      <c r="W9" s="123"/>
      <c r="X9" s="124"/>
      <c r="Y9" s="125"/>
      <c r="Z9" s="125"/>
      <c r="AA9" s="125"/>
      <c r="AB9" s="125"/>
      <c r="AC9" s="126"/>
      <c r="AD9" s="121"/>
      <c r="AE9" s="122"/>
      <c r="AF9" s="122"/>
      <c r="AG9" s="122"/>
      <c r="AH9" s="122"/>
      <c r="AI9" s="123"/>
      <c r="AJ9" s="127"/>
      <c r="AK9" s="128"/>
      <c r="AL9" s="128"/>
      <c r="AM9" s="128"/>
      <c r="AN9" s="128"/>
      <c r="AO9" s="129"/>
      <c r="AP9" s="121"/>
      <c r="AQ9" s="122"/>
      <c r="AR9" s="122"/>
      <c r="AS9" s="122"/>
      <c r="AT9" s="122"/>
      <c r="AU9" s="123"/>
      <c r="AV9" s="127"/>
      <c r="AW9" s="128"/>
      <c r="AX9" s="128"/>
      <c r="AY9" s="128"/>
      <c r="AZ9" s="128"/>
      <c r="BA9" s="129"/>
      <c r="BB9" s="121"/>
      <c r="BC9" s="122"/>
      <c r="BD9" s="122"/>
      <c r="BE9" s="122"/>
      <c r="BF9" s="122"/>
      <c r="BG9" s="123"/>
      <c r="BH9" s="127"/>
      <c r="BI9" s="128"/>
      <c r="BJ9" s="128"/>
      <c r="BK9" s="128"/>
      <c r="BL9" s="128"/>
      <c r="BM9" s="129"/>
      <c r="BN9" s="121"/>
      <c r="BO9" s="122"/>
      <c r="BP9" s="122"/>
      <c r="BQ9" s="122"/>
      <c r="BR9" s="122"/>
      <c r="BS9" s="123"/>
      <c r="BT9" s="127"/>
      <c r="BU9" s="128"/>
      <c r="BV9" s="128"/>
      <c r="BW9" s="128"/>
      <c r="BX9" s="128"/>
      <c r="BY9" s="129"/>
      <c r="BZ9" s="121"/>
      <c r="CA9" s="122"/>
      <c r="CB9" s="122"/>
      <c r="CC9" s="122"/>
      <c r="CD9" s="122"/>
      <c r="CE9" s="123"/>
      <c r="CF9" s="127"/>
      <c r="CG9" s="128"/>
      <c r="CH9" s="128"/>
      <c r="CI9" s="128"/>
      <c r="CJ9" s="128"/>
      <c r="CK9" s="129"/>
      <c r="CL9" s="121"/>
      <c r="CM9" s="122"/>
      <c r="CN9" s="122"/>
      <c r="CO9" s="122"/>
      <c r="CP9" s="122"/>
      <c r="CQ9" s="123"/>
      <c r="CR9" s="127"/>
      <c r="CS9" s="128"/>
      <c r="CT9" s="128"/>
      <c r="CU9" s="128"/>
      <c r="CV9" s="128"/>
      <c r="CW9" s="129"/>
    </row>
    <row r="10" spans="1:101" ht="16.5" customHeight="1">
      <c r="A10" s="101">
        <v>7</v>
      </c>
      <c r="B10" s="96"/>
      <c r="C10" s="11"/>
      <c r="D10" s="11"/>
      <c r="E10" s="97"/>
      <c r="F10" s="121"/>
      <c r="G10" s="122"/>
      <c r="H10" s="122"/>
      <c r="I10" s="122"/>
      <c r="J10" s="122"/>
      <c r="K10" s="123"/>
      <c r="L10" s="124"/>
      <c r="M10" s="125"/>
      <c r="N10" s="125"/>
      <c r="O10" s="125"/>
      <c r="P10" s="125"/>
      <c r="Q10" s="126"/>
      <c r="R10" s="121"/>
      <c r="S10" s="122"/>
      <c r="T10" s="122"/>
      <c r="U10" s="122"/>
      <c r="V10" s="122"/>
      <c r="W10" s="123"/>
      <c r="X10" s="124"/>
      <c r="Y10" s="125"/>
      <c r="Z10" s="125"/>
      <c r="AA10" s="125"/>
      <c r="AB10" s="125"/>
      <c r="AC10" s="126"/>
      <c r="AD10" s="121"/>
      <c r="AE10" s="122"/>
      <c r="AF10" s="122"/>
      <c r="AG10" s="122"/>
      <c r="AH10" s="122"/>
      <c r="AI10" s="123"/>
      <c r="AJ10" s="127"/>
      <c r="AK10" s="128"/>
      <c r="AL10" s="128"/>
      <c r="AM10" s="128"/>
      <c r="AN10" s="128"/>
      <c r="AO10" s="129"/>
      <c r="AP10" s="121"/>
      <c r="AQ10" s="122"/>
      <c r="AR10" s="122"/>
      <c r="AS10" s="122"/>
      <c r="AT10" s="122"/>
      <c r="AU10" s="123"/>
      <c r="AV10" s="127"/>
      <c r="AW10" s="128"/>
      <c r="AX10" s="128"/>
      <c r="AY10" s="128"/>
      <c r="AZ10" s="128"/>
      <c r="BA10" s="129"/>
      <c r="BB10" s="121"/>
      <c r="BC10" s="122"/>
      <c r="BD10" s="122"/>
      <c r="BE10" s="122"/>
      <c r="BF10" s="122"/>
      <c r="BG10" s="123"/>
      <c r="BH10" s="127"/>
      <c r="BI10" s="128"/>
      <c r="BJ10" s="128"/>
      <c r="BK10" s="128"/>
      <c r="BL10" s="128"/>
      <c r="BM10" s="129"/>
      <c r="BN10" s="121"/>
      <c r="BO10" s="122"/>
      <c r="BP10" s="122"/>
      <c r="BQ10" s="122"/>
      <c r="BR10" s="122"/>
      <c r="BS10" s="123"/>
      <c r="BT10" s="127"/>
      <c r="BU10" s="128"/>
      <c r="BV10" s="128"/>
      <c r="BW10" s="128"/>
      <c r="BX10" s="128"/>
      <c r="BY10" s="129"/>
      <c r="BZ10" s="121"/>
      <c r="CA10" s="122"/>
      <c r="CB10" s="122"/>
      <c r="CC10" s="122"/>
      <c r="CD10" s="122"/>
      <c r="CE10" s="123"/>
      <c r="CF10" s="127"/>
      <c r="CG10" s="128"/>
      <c r="CH10" s="128"/>
      <c r="CI10" s="128"/>
      <c r="CJ10" s="128"/>
      <c r="CK10" s="129"/>
      <c r="CL10" s="121"/>
      <c r="CM10" s="122"/>
      <c r="CN10" s="122"/>
      <c r="CO10" s="122"/>
      <c r="CP10" s="122"/>
      <c r="CQ10" s="123"/>
      <c r="CR10" s="127"/>
      <c r="CS10" s="128"/>
      <c r="CT10" s="128"/>
      <c r="CU10" s="128"/>
      <c r="CV10" s="128"/>
      <c r="CW10" s="129"/>
    </row>
    <row r="11" spans="1:101" ht="16.5" customHeight="1">
      <c r="A11" s="101">
        <v>8</v>
      </c>
      <c r="B11" s="96"/>
      <c r="C11" s="11"/>
      <c r="D11" s="11"/>
      <c r="E11" s="97"/>
      <c r="F11" s="121"/>
      <c r="G11" s="122"/>
      <c r="H11" s="122"/>
      <c r="I11" s="122"/>
      <c r="J11" s="122"/>
      <c r="K11" s="123"/>
      <c r="L11" s="124"/>
      <c r="M11" s="125"/>
      <c r="N11" s="125"/>
      <c r="O11" s="125"/>
      <c r="P11" s="125"/>
      <c r="Q11" s="126"/>
      <c r="R11" s="121"/>
      <c r="S11" s="122"/>
      <c r="T11" s="122"/>
      <c r="U11" s="122"/>
      <c r="V11" s="122"/>
      <c r="W11" s="123"/>
      <c r="X11" s="124"/>
      <c r="Y11" s="125"/>
      <c r="Z11" s="125"/>
      <c r="AA11" s="125"/>
      <c r="AB11" s="125"/>
      <c r="AC11" s="126"/>
      <c r="AD11" s="121"/>
      <c r="AE11" s="122"/>
      <c r="AF11" s="122"/>
      <c r="AG11" s="122"/>
      <c r="AH11" s="122"/>
      <c r="AI11" s="123"/>
      <c r="AJ11" s="127"/>
      <c r="AK11" s="128"/>
      <c r="AL11" s="128"/>
      <c r="AM11" s="128"/>
      <c r="AN11" s="128"/>
      <c r="AO11" s="129"/>
      <c r="AP11" s="121"/>
      <c r="AQ11" s="122"/>
      <c r="AR11" s="122"/>
      <c r="AS11" s="122"/>
      <c r="AT11" s="122"/>
      <c r="AU11" s="123"/>
      <c r="AV11" s="127"/>
      <c r="AW11" s="128"/>
      <c r="AX11" s="128"/>
      <c r="AY11" s="128"/>
      <c r="AZ11" s="128"/>
      <c r="BA11" s="129"/>
      <c r="BB11" s="121"/>
      <c r="BC11" s="122"/>
      <c r="BD11" s="122"/>
      <c r="BE11" s="122"/>
      <c r="BF11" s="122"/>
      <c r="BG11" s="123"/>
      <c r="BH11" s="127"/>
      <c r="BI11" s="128"/>
      <c r="BJ11" s="128"/>
      <c r="BK11" s="128"/>
      <c r="BL11" s="128"/>
      <c r="BM11" s="129"/>
      <c r="BN11" s="121"/>
      <c r="BO11" s="122"/>
      <c r="BP11" s="122"/>
      <c r="BQ11" s="122"/>
      <c r="BR11" s="122"/>
      <c r="BS11" s="123"/>
      <c r="BT11" s="127"/>
      <c r="BU11" s="128"/>
      <c r="BV11" s="128"/>
      <c r="BW11" s="128"/>
      <c r="BX11" s="128"/>
      <c r="BY11" s="129"/>
      <c r="BZ11" s="121"/>
      <c r="CA11" s="122"/>
      <c r="CB11" s="122"/>
      <c r="CC11" s="122"/>
      <c r="CD11" s="122"/>
      <c r="CE11" s="123"/>
      <c r="CF11" s="127"/>
      <c r="CG11" s="128"/>
      <c r="CH11" s="128"/>
      <c r="CI11" s="128"/>
      <c r="CJ11" s="128"/>
      <c r="CK11" s="129"/>
      <c r="CL11" s="121"/>
      <c r="CM11" s="122"/>
      <c r="CN11" s="122"/>
      <c r="CO11" s="122"/>
      <c r="CP11" s="122"/>
      <c r="CQ11" s="123"/>
      <c r="CR11" s="127"/>
      <c r="CS11" s="128"/>
      <c r="CT11" s="128"/>
      <c r="CU11" s="128"/>
      <c r="CV11" s="128"/>
      <c r="CW11" s="129"/>
    </row>
    <row r="12" spans="1:101" ht="16.5" customHeight="1">
      <c r="A12" s="101">
        <v>9</v>
      </c>
      <c r="B12" s="96"/>
      <c r="C12" s="11"/>
      <c r="D12" s="11"/>
      <c r="E12" s="97"/>
      <c r="F12" s="121"/>
      <c r="G12" s="122"/>
      <c r="H12" s="122"/>
      <c r="I12" s="122"/>
      <c r="J12" s="122"/>
      <c r="K12" s="123"/>
      <c r="L12" s="124"/>
      <c r="M12" s="125"/>
      <c r="N12" s="125"/>
      <c r="O12" s="125"/>
      <c r="P12" s="125"/>
      <c r="Q12" s="126"/>
      <c r="R12" s="121"/>
      <c r="S12" s="122"/>
      <c r="T12" s="122"/>
      <c r="U12" s="122"/>
      <c r="V12" s="122"/>
      <c r="W12" s="123"/>
      <c r="X12" s="124"/>
      <c r="Y12" s="125"/>
      <c r="Z12" s="125"/>
      <c r="AA12" s="125"/>
      <c r="AB12" s="125"/>
      <c r="AC12" s="126"/>
      <c r="AD12" s="121"/>
      <c r="AE12" s="122"/>
      <c r="AF12" s="122"/>
      <c r="AG12" s="122"/>
      <c r="AH12" s="122"/>
      <c r="AI12" s="123"/>
      <c r="AJ12" s="127"/>
      <c r="AK12" s="128"/>
      <c r="AL12" s="128"/>
      <c r="AM12" s="128"/>
      <c r="AN12" s="128"/>
      <c r="AO12" s="129"/>
      <c r="AP12" s="121"/>
      <c r="AQ12" s="122"/>
      <c r="AR12" s="122"/>
      <c r="AS12" s="122"/>
      <c r="AT12" s="122"/>
      <c r="AU12" s="123"/>
      <c r="AV12" s="127"/>
      <c r="AW12" s="128"/>
      <c r="AX12" s="128"/>
      <c r="AY12" s="128"/>
      <c r="AZ12" s="128"/>
      <c r="BA12" s="129"/>
      <c r="BB12" s="121"/>
      <c r="BC12" s="122"/>
      <c r="BD12" s="122"/>
      <c r="BE12" s="122"/>
      <c r="BF12" s="122"/>
      <c r="BG12" s="123"/>
      <c r="BH12" s="127"/>
      <c r="BI12" s="128"/>
      <c r="BJ12" s="128"/>
      <c r="BK12" s="128"/>
      <c r="BL12" s="128"/>
      <c r="BM12" s="129"/>
      <c r="BN12" s="121"/>
      <c r="BO12" s="122"/>
      <c r="BP12" s="122"/>
      <c r="BQ12" s="122"/>
      <c r="BR12" s="122"/>
      <c r="BS12" s="123"/>
      <c r="BT12" s="127"/>
      <c r="BU12" s="128"/>
      <c r="BV12" s="128"/>
      <c r="BW12" s="128"/>
      <c r="BX12" s="128"/>
      <c r="BY12" s="129"/>
      <c r="BZ12" s="121"/>
      <c r="CA12" s="122"/>
      <c r="CB12" s="122"/>
      <c r="CC12" s="122"/>
      <c r="CD12" s="122"/>
      <c r="CE12" s="123"/>
      <c r="CF12" s="127"/>
      <c r="CG12" s="128"/>
      <c r="CH12" s="128"/>
      <c r="CI12" s="128"/>
      <c r="CJ12" s="128"/>
      <c r="CK12" s="129"/>
      <c r="CL12" s="121"/>
      <c r="CM12" s="122"/>
      <c r="CN12" s="122"/>
      <c r="CO12" s="122"/>
      <c r="CP12" s="122"/>
      <c r="CQ12" s="123"/>
      <c r="CR12" s="127"/>
      <c r="CS12" s="128"/>
      <c r="CT12" s="128"/>
      <c r="CU12" s="128"/>
      <c r="CV12" s="128"/>
      <c r="CW12" s="129"/>
    </row>
    <row r="13" spans="1:101" ht="16.5" customHeight="1">
      <c r="A13" s="101">
        <v>10</v>
      </c>
      <c r="B13" s="96"/>
      <c r="C13" s="11"/>
      <c r="D13" s="11"/>
      <c r="E13" s="97"/>
      <c r="F13" s="121"/>
      <c r="G13" s="122"/>
      <c r="H13" s="122"/>
      <c r="I13" s="122"/>
      <c r="J13" s="122"/>
      <c r="K13" s="123"/>
      <c r="L13" s="124"/>
      <c r="M13" s="125"/>
      <c r="N13" s="125"/>
      <c r="O13" s="125"/>
      <c r="P13" s="125"/>
      <c r="Q13" s="126"/>
      <c r="R13" s="121"/>
      <c r="S13" s="122"/>
      <c r="T13" s="122"/>
      <c r="U13" s="122"/>
      <c r="V13" s="122"/>
      <c r="W13" s="123"/>
      <c r="X13" s="124"/>
      <c r="Y13" s="125"/>
      <c r="Z13" s="125"/>
      <c r="AA13" s="125"/>
      <c r="AB13" s="125"/>
      <c r="AC13" s="126"/>
      <c r="AD13" s="121"/>
      <c r="AE13" s="122"/>
      <c r="AF13" s="122"/>
      <c r="AG13" s="122"/>
      <c r="AH13" s="122"/>
      <c r="AI13" s="123"/>
      <c r="AJ13" s="127"/>
      <c r="AK13" s="128"/>
      <c r="AL13" s="128"/>
      <c r="AM13" s="128"/>
      <c r="AN13" s="128"/>
      <c r="AO13" s="129"/>
      <c r="AP13" s="121"/>
      <c r="AQ13" s="122"/>
      <c r="AR13" s="122"/>
      <c r="AS13" s="122"/>
      <c r="AT13" s="122"/>
      <c r="AU13" s="123"/>
      <c r="AV13" s="127"/>
      <c r="AW13" s="128"/>
      <c r="AX13" s="128"/>
      <c r="AY13" s="128"/>
      <c r="AZ13" s="128"/>
      <c r="BA13" s="129"/>
      <c r="BB13" s="121"/>
      <c r="BC13" s="122"/>
      <c r="BD13" s="122"/>
      <c r="BE13" s="122"/>
      <c r="BF13" s="122"/>
      <c r="BG13" s="123"/>
      <c r="BH13" s="127"/>
      <c r="BI13" s="128"/>
      <c r="BJ13" s="128"/>
      <c r="BK13" s="128"/>
      <c r="BL13" s="128"/>
      <c r="BM13" s="129"/>
      <c r="BN13" s="121"/>
      <c r="BO13" s="122"/>
      <c r="BP13" s="122"/>
      <c r="BQ13" s="122"/>
      <c r="BR13" s="122"/>
      <c r="BS13" s="123"/>
      <c r="BT13" s="127"/>
      <c r="BU13" s="128"/>
      <c r="BV13" s="128"/>
      <c r="BW13" s="128"/>
      <c r="BX13" s="128"/>
      <c r="BY13" s="129"/>
      <c r="BZ13" s="121"/>
      <c r="CA13" s="122"/>
      <c r="CB13" s="122"/>
      <c r="CC13" s="122"/>
      <c r="CD13" s="122"/>
      <c r="CE13" s="123"/>
      <c r="CF13" s="127"/>
      <c r="CG13" s="128"/>
      <c r="CH13" s="128"/>
      <c r="CI13" s="128"/>
      <c r="CJ13" s="128"/>
      <c r="CK13" s="129"/>
      <c r="CL13" s="121"/>
      <c r="CM13" s="122"/>
      <c r="CN13" s="122"/>
      <c r="CO13" s="122"/>
      <c r="CP13" s="122"/>
      <c r="CQ13" s="123"/>
      <c r="CR13" s="127"/>
      <c r="CS13" s="128"/>
      <c r="CT13" s="128"/>
      <c r="CU13" s="128"/>
      <c r="CV13" s="128"/>
      <c r="CW13" s="129"/>
    </row>
    <row r="14" spans="1:101" ht="16.5" customHeight="1">
      <c r="A14" s="101">
        <v>11</v>
      </c>
      <c r="B14" s="96"/>
      <c r="C14" s="11"/>
      <c r="D14" s="11"/>
      <c r="E14" s="97"/>
      <c r="F14" s="121"/>
      <c r="G14" s="122"/>
      <c r="H14" s="122"/>
      <c r="I14" s="122"/>
      <c r="J14" s="122"/>
      <c r="K14" s="123"/>
      <c r="L14" s="124"/>
      <c r="M14" s="125"/>
      <c r="N14" s="125"/>
      <c r="O14" s="125"/>
      <c r="P14" s="125"/>
      <c r="Q14" s="126"/>
      <c r="R14" s="121"/>
      <c r="S14" s="122"/>
      <c r="T14" s="122"/>
      <c r="U14" s="122"/>
      <c r="V14" s="122"/>
      <c r="W14" s="123"/>
      <c r="X14" s="124"/>
      <c r="Y14" s="125"/>
      <c r="Z14" s="125"/>
      <c r="AA14" s="125"/>
      <c r="AB14" s="125"/>
      <c r="AC14" s="126"/>
      <c r="AD14" s="121"/>
      <c r="AE14" s="122"/>
      <c r="AF14" s="122"/>
      <c r="AG14" s="122"/>
      <c r="AH14" s="122"/>
      <c r="AI14" s="123"/>
      <c r="AJ14" s="127"/>
      <c r="AK14" s="128"/>
      <c r="AL14" s="128"/>
      <c r="AM14" s="128"/>
      <c r="AN14" s="128"/>
      <c r="AO14" s="129"/>
      <c r="AP14" s="121"/>
      <c r="AQ14" s="122"/>
      <c r="AR14" s="122"/>
      <c r="AS14" s="122"/>
      <c r="AT14" s="122"/>
      <c r="AU14" s="123"/>
      <c r="AV14" s="127"/>
      <c r="AW14" s="128"/>
      <c r="AX14" s="128"/>
      <c r="AY14" s="128"/>
      <c r="AZ14" s="128"/>
      <c r="BA14" s="129"/>
      <c r="BB14" s="121"/>
      <c r="BC14" s="122"/>
      <c r="BD14" s="122"/>
      <c r="BE14" s="122"/>
      <c r="BF14" s="122"/>
      <c r="BG14" s="123"/>
      <c r="BH14" s="127"/>
      <c r="BI14" s="128"/>
      <c r="BJ14" s="128"/>
      <c r="BK14" s="128"/>
      <c r="BL14" s="128"/>
      <c r="BM14" s="129"/>
      <c r="BN14" s="121"/>
      <c r="BO14" s="122"/>
      <c r="BP14" s="122"/>
      <c r="BQ14" s="122"/>
      <c r="BR14" s="122"/>
      <c r="BS14" s="123"/>
      <c r="BT14" s="127"/>
      <c r="BU14" s="128"/>
      <c r="BV14" s="128"/>
      <c r="BW14" s="128"/>
      <c r="BX14" s="128"/>
      <c r="BY14" s="129"/>
      <c r="BZ14" s="121"/>
      <c r="CA14" s="122"/>
      <c r="CB14" s="122"/>
      <c r="CC14" s="122"/>
      <c r="CD14" s="122"/>
      <c r="CE14" s="123"/>
      <c r="CF14" s="127"/>
      <c r="CG14" s="128"/>
      <c r="CH14" s="128"/>
      <c r="CI14" s="128"/>
      <c r="CJ14" s="128"/>
      <c r="CK14" s="129"/>
      <c r="CL14" s="121"/>
      <c r="CM14" s="122"/>
      <c r="CN14" s="122"/>
      <c r="CO14" s="122"/>
      <c r="CP14" s="122"/>
      <c r="CQ14" s="123"/>
      <c r="CR14" s="127"/>
      <c r="CS14" s="128"/>
      <c r="CT14" s="128"/>
      <c r="CU14" s="128"/>
      <c r="CV14" s="128"/>
      <c r="CW14" s="129"/>
    </row>
    <row r="15" spans="1:101" ht="16.5" customHeight="1">
      <c r="A15" s="101">
        <v>12</v>
      </c>
      <c r="B15" s="96"/>
      <c r="C15" s="11"/>
      <c r="D15" s="11"/>
      <c r="E15" s="97"/>
      <c r="F15" s="121"/>
      <c r="G15" s="122"/>
      <c r="H15" s="122"/>
      <c r="I15" s="122"/>
      <c r="J15" s="122"/>
      <c r="K15" s="123"/>
      <c r="L15" s="124"/>
      <c r="M15" s="125"/>
      <c r="N15" s="125"/>
      <c r="O15" s="125"/>
      <c r="P15" s="125"/>
      <c r="Q15" s="126"/>
      <c r="R15" s="121"/>
      <c r="S15" s="122"/>
      <c r="T15" s="122"/>
      <c r="U15" s="122"/>
      <c r="V15" s="122"/>
      <c r="W15" s="123"/>
      <c r="X15" s="124"/>
      <c r="Y15" s="125"/>
      <c r="Z15" s="125"/>
      <c r="AA15" s="125"/>
      <c r="AB15" s="125"/>
      <c r="AC15" s="126"/>
      <c r="AD15" s="121"/>
      <c r="AE15" s="122"/>
      <c r="AF15" s="122"/>
      <c r="AG15" s="122"/>
      <c r="AH15" s="122"/>
      <c r="AI15" s="123"/>
      <c r="AJ15" s="127"/>
      <c r="AK15" s="128"/>
      <c r="AL15" s="128"/>
      <c r="AM15" s="128"/>
      <c r="AN15" s="128"/>
      <c r="AO15" s="129"/>
      <c r="AP15" s="121"/>
      <c r="AQ15" s="122"/>
      <c r="AR15" s="122"/>
      <c r="AS15" s="122"/>
      <c r="AT15" s="122"/>
      <c r="AU15" s="123"/>
      <c r="AV15" s="127"/>
      <c r="AW15" s="128"/>
      <c r="AX15" s="128"/>
      <c r="AY15" s="128"/>
      <c r="AZ15" s="128"/>
      <c r="BA15" s="129"/>
      <c r="BB15" s="121"/>
      <c r="BC15" s="122"/>
      <c r="BD15" s="122"/>
      <c r="BE15" s="122"/>
      <c r="BF15" s="122"/>
      <c r="BG15" s="123"/>
      <c r="BH15" s="127"/>
      <c r="BI15" s="128"/>
      <c r="BJ15" s="128"/>
      <c r="BK15" s="128"/>
      <c r="BL15" s="128"/>
      <c r="BM15" s="129"/>
      <c r="BN15" s="121"/>
      <c r="BO15" s="122"/>
      <c r="BP15" s="122"/>
      <c r="BQ15" s="122"/>
      <c r="BR15" s="122"/>
      <c r="BS15" s="123"/>
      <c r="BT15" s="127"/>
      <c r="BU15" s="128"/>
      <c r="BV15" s="128"/>
      <c r="BW15" s="128"/>
      <c r="BX15" s="128"/>
      <c r="BY15" s="129"/>
      <c r="BZ15" s="121"/>
      <c r="CA15" s="122"/>
      <c r="CB15" s="122"/>
      <c r="CC15" s="122"/>
      <c r="CD15" s="122"/>
      <c r="CE15" s="123"/>
      <c r="CF15" s="127"/>
      <c r="CG15" s="128"/>
      <c r="CH15" s="128"/>
      <c r="CI15" s="128"/>
      <c r="CJ15" s="128"/>
      <c r="CK15" s="129"/>
      <c r="CL15" s="121"/>
      <c r="CM15" s="122"/>
      <c r="CN15" s="122"/>
      <c r="CO15" s="122"/>
      <c r="CP15" s="122"/>
      <c r="CQ15" s="123"/>
      <c r="CR15" s="127"/>
      <c r="CS15" s="128"/>
      <c r="CT15" s="128"/>
      <c r="CU15" s="128"/>
      <c r="CV15" s="128"/>
      <c r="CW15" s="129"/>
    </row>
    <row r="16" spans="1:101" ht="16.5" customHeight="1">
      <c r="A16" s="101">
        <v>13</v>
      </c>
      <c r="B16" s="96"/>
      <c r="C16" s="11"/>
      <c r="D16" s="11"/>
      <c r="E16" s="97"/>
      <c r="F16" s="121"/>
      <c r="G16" s="122"/>
      <c r="H16" s="122"/>
      <c r="I16" s="122"/>
      <c r="J16" s="122"/>
      <c r="K16" s="123"/>
      <c r="L16" s="124"/>
      <c r="M16" s="125"/>
      <c r="N16" s="125"/>
      <c r="O16" s="125"/>
      <c r="P16" s="125"/>
      <c r="Q16" s="126"/>
      <c r="R16" s="121"/>
      <c r="S16" s="122"/>
      <c r="T16" s="122"/>
      <c r="U16" s="122"/>
      <c r="V16" s="122"/>
      <c r="W16" s="123"/>
      <c r="X16" s="124"/>
      <c r="Y16" s="125"/>
      <c r="Z16" s="125"/>
      <c r="AA16" s="125"/>
      <c r="AB16" s="125"/>
      <c r="AC16" s="126"/>
      <c r="AD16" s="121"/>
      <c r="AE16" s="122"/>
      <c r="AF16" s="122"/>
      <c r="AG16" s="122"/>
      <c r="AH16" s="122"/>
      <c r="AI16" s="123"/>
      <c r="AJ16" s="127"/>
      <c r="AK16" s="128"/>
      <c r="AL16" s="128"/>
      <c r="AM16" s="128"/>
      <c r="AN16" s="128"/>
      <c r="AO16" s="129"/>
      <c r="AP16" s="121"/>
      <c r="AQ16" s="122"/>
      <c r="AR16" s="122"/>
      <c r="AS16" s="122"/>
      <c r="AT16" s="122"/>
      <c r="AU16" s="123"/>
      <c r="AV16" s="127"/>
      <c r="AW16" s="128"/>
      <c r="AX16" s="128"/>
      <c r="AY16" s="128"/>
      <c r="AZ16" s="128"/>
      <c r="BA16" s="129"/>
      <c r="BB16" s="121"/>
      <c r="BC16" s="122"/>
      <c r="BD16" s="122"/>
      <c r="BE16" s="122"/>
      <c r="BF16" s="122"/>
      <c r="BG16" s="123"/>
      <c r="BH16" s="127"/>
      <c r="BI16" s="128"/>
      <c r="BJ16" s="128"/>
      <c r="BK16" s="128"/>
      <c r="BL16" s="128"/>
      <c r="BM16" s="129"/>
      <c r="BN16" s="121"/>
      <c r="BO16" s="122"/>
      <c r="BP16" s="122"/>
      <c r="BQ16" s="122"/>
      <c r="BR16" s="122"/>
      <c r="BS16" s="123"/>
      <c r="BT16" s="127"/>
      <c r="BU16" s="128"/>
      <c r="BV16" s="128"/>
      <c r="BW16" s="128"/>
      <c r="BX16" s="128"/>
      <c r="BY16" s="129"/>
      <c r="BZ16" s="121"/>
      <c r="CA16" s="122"/>
      <c r="CB16" s="122"/>
      <c r="CC16" s="122"/>
      <c r="CD16" s="122"/>
      <c r="CE16" s="123"/>
      <c r="CF16" s="127"/>
      <c r="CG16" s="128"/>
      <c r="CH16" s="128"/>
      <c r="CI16" s="128"/>
      <c r="CJ16" s="128"/>
      <c r="CK16" s="129"/>
      <c r="CL16" s="121"/>
      <c r="CM16" s="122"/>
      <c r="CN16" s="122"/>
      <c r="CO16" s="122"/>
      <c r="CP16" s="122"/>
      <c r="CQ16" s="123"/>
      <c r="CR16" s="127"/>
      <c r="CS16" s="128"/>
      <c r="CT16" s="128"/>
      <c r="CU16" s="128"/>
      <c r="CV16" s="128"/>
      <c r="CW16" s="129"/>
    </row>
    <row r="17" spans="1:101" ht="16.5" customHeight="1">
      <c r="A17" s="101">
        <v>14</v>
      </c>
      <c r="B17" s="96"/>
      <c r="C17" s="11"/>
      <c r="D17" s="11"/>
      <c r="E17" s="97"/>
      <c r="F17" s="121"/>
      <c r="G17" s="122"/>
      <c r="H17" s="122"/>
      <c r="I17" s="122"/>
      <c r="J17" s="122"/>
      <c r="K17" s="123"/>
      <c r="L17" s="124"/>
      <c r="M17" s="125"/>
      <c r="N17" s="125"/>
      <c r="O17" s="125"/>
      <c r="P17" s="125"/>
      <c r="Q17" s="126"/>
      <c r="R17" s="121"/>
      <c r="S17" s="122"/>
      <c r="T17" s="122"/>
      <c r="U17" s="122"/>
      <c r="V17" s="122"/>
      <c r="W17" s="123"/>
      <c r="X17" s="124"/>
      <c r="Y17" s="125"/>
      <c r="Z17" s="125"/>
      <c r="AA17" s="125"/>
      <c r="AB17" s="125"/>
      <c r="AC17" s="126"/>
      <c r="AD17" s="121"/>
      <c r="AE17" s="122"/>
      <c r="AF17" s="122"/>
      <c r="AG17" s="122"/>
      <c r="AH17" s="122"/>
      <c r="AI17" s="123"/>
      <c r="AJ17" s="127"/>
      <c r="AK17" s="128"/>
      <c r="AL17" s="128"/>
      <c r="AM17" s="128"/>
      <c r="AN17" s="128"/>
      <c r="AO17" s="129"/>
      <c r="AP17" s="121"/>
      <c r="AQ17" s="122"/>
      <c r="AR17" s="122"/>
      <c r="AS17" s="122"/>
      <c r="AT17" s="122"/>
      <c r="AU17" s="123"/>
      <c r="AV17" s="127"/>
      <c r="AW17" s="128"/>
      <c r="AX17" s="128"/>
      <c r="AY17" s="128"/>
      <c r="AZ17" s="128"/>
      <c r="BA17" s="129"/>
      <c r="BB17" s="121"/>
      <c r="BC17" s="122"/>
      <c r="BD17" s="122"/>
      <c r="BE17" s="122"/>
      <c r="BF17" s="122"/>
      <c r="BG17" s="123"/>
      <c r="BH17" s="127"/>
      <c r="BI17" s="128"/>
      <c r="BJ17" s="128"/>
      <c r="BK17" s="128"/>
      <c r="BL17" s="128"/>
      <c r="BM17" s="129"/>
      <c r="BN17" s="121"/>
      <c r="BO17" s="122"/>
      <c r="BP17" s="122"/>
      <c r="BQ17" s="122"/>
      <c r="BR17" s="122"/>
      <c r="BS17" s="123"/>
      <c r="BT17" s="127"/>
      <c r="BU17" s="128"/>
      <c r="BV17" s="128"/>
      <c r="BW17" s="128"/>
      <c r="BX17" s="128"/>
      <c r="BY17" s="129"/>
      <c r="BZ17" s="121"/>
      <c r="CA17" s="122"/>
      <c r="CB17" s="122"/>
      <c r="CC17" s="122"/>
      <c r="CD17" s="122"/>
      <c r="CE17" s="123"/>
      <c r="CF17" s="127"/>
      <c r="CG17" s="128"/>
      <c r="CH17" s="128"/>
      <c r="CI17" s="128"/>
      <c r="CJ17" s="128"/>
      <c r="CK17" s="129"/>
      <c r="CL17" s="121"/>
      <c r="CM17" s="122"/>
      <c r="CN17" s="122"/>
      <c r="CO17" s="122"/>
      <c r="CP17" s="122"/>
      <c r="CQ17" s="123"/>
      <c r="CR17" s="127"/>
      <c r="CS17" s="128"/>
      <c r="CT17" s="128"/>
      <c r="CU17" s="128"/>
      <c r="CV17" s="128"/>
      <c r="CW17" s="129"/>
    </row>
    <row r="18" spans="1:101" ht="16.5" customHeight="1">
      <c r="A18" s="101">
        <v>15</v>
      </c>
      <c r="B18" s="96"/>
      <c r="C18" s="11"/>
      <c r="D18" s="11"/>
      <c r="E18" s="97"/>
      <c r="F18" s="121"/>
      <c r="G18" s="122"/>
      <c r="H18" s="122"/>
      <c r="I18" s="122"/>
      <c r="J18" s="122"/>
      <c r="K18" s="123"/>
      <c r="L18" s="124"/>
      <c r="M18" s="125"/>
      <c r="N18" s="125"/>
      <c r="O18" s="125"/>
      <c r="P18" s="125"/>
      <c r="Q18" s="126"/>
      <c r="R18" s="121"/>
      <c r="S18" s="122"/>
      <c r="T18" s="122"/>
      <c r="U18" s="122"/>
      <c r="V18" s="122"/>
      <c r="W18" s="123"/>
      <c r="X18" s="124"/>
      <c r="Y18" s="125"/>
      <c r="Z18" s="125"/>
      <c r="AA18" s="125"/>
      <c r="AB18" s="125"/>
      <c r="AC18" s="126"/>
      <c r="AD18" s="121"/>
      <c r="AE18" s="122"/>
      <c r="AF18" s="122"/>
      <c r="AG18" s="122"/>
      <c r="AH18" s="122"/>
      <c r="AI18" s="123"/>
      <c r="AJ18" s="127"/>
      <c r="AK18" s="128"/>
      <c r="AL18" s="128"/>
      <c r="AM18" s="128"/>
      <c r="AN18" s="128"/>
      <c r="AO18" s="129"/>
      <c r="AP18" s="121"/>
      <c r="AQ18" s="122"/>
      <c r="AR18" s="122"/>
      <c r="AS18" s="122"/>
      <c r="AT18" s="122"/>
      <c r="AU18" s="123"/>
      <c r="AV18" s="127"/>
      <c r="AW18" s="128"/>
      <c r="AX18" s="128"/>
      <c r="AY18" s="128"/>
      <c r="AZ18" s="128"/>
      <c r="BA18" s="129"/>
      <c r="BB18" s="121"/>
      <c r="BC18" s="122"/>
      <c r="BD18" s="122"/>
      <c r="BE18" s="122"/>
      <c r="BF18" s="122"/>
      <c r="BG18" s="123"/>
      <c r="BH18" s="127"/>
      <c r="BI18" s="128"/>
      <c r="BJ18" s="128"/>
      <c r="BK18" s="128"/>
      <c r="BL18" s="128"/>
      <c r="BM18" s="129"/>
      <c r="BN18" s="121"/>
      <c r="BO18" s="122"/>
      <c r="BP18" s="122"/>
      <c r="BQ18" s="122"/>
      <c r="BR18" s="122"/>
      <c r="BS18" s="123"/>
      <c r="BT18" s="127"/>
      <c r="BU18" s="128"/>
      <c r="BV18" s="128"/>
      <c r="BW18" s="128"/>
      <c r="BX18" s="128"/>
      <c r="BY18" s="129"/>
      <c r="BZ18" s="121"/>
      <c r="CA18" s="122"/>
      <c r="CB18" s="122"/>
      <c r="CC18" s="122"/>
      <c r="CD18" s="122"/>
      <c r="CE18" s="123"/>
      <c r="CF18" s="127"/>
      <c r="CG18" s="128"/>
      <c r="CH18" s="128"/>
      <c r="CI18" s="128"/>
      <c r="CJ18" s="128"/>
      <c r="CK18" s="129"/>
      <c r="CL18" s="121"/>
      <c r="CM18" s="122"/>
      <c r="CN18" s="122"/>
      <c r="CO18" s="122"/>
      <c r="CP18" s="122"/>
      <c r="CQ18" s="123"/>
      <c r="CR18" s="127"/>
      <c r="CS18" s="128"/>
      <c r="CT18" s="128"/>
      <c r="CU18" s="128"/>
      <c r="CV18" s="128"/>
      <c r="CW18" s="129"/>
    </row>
    <row r="19" spans="1:101" ht="16.5" customHeight="1">
      <c r="A19" s="101">
        <v>16</v>
      </c>
      <c r="B19" s="96"/>
      <c r="C19" s="11"/>
      <c r="D19" s="11"/>
      <c r="E19" s="97"/>
      <c r="F19" s="121"/>
      <c r="G19" s="122"/>
      <c r="H19" s="122"/>
      <c r="I19" s="122"/>
      <c r="J19" s="122"/>
      <c r="K19" s="123"/>
      <c r="L19" s="124"/>
      <c r="M19" s="125"/>
      <c r="N19" s="125"/>
      <c r="O19" s="125"/>
      <c r="P19" s="125"/>
      <c r="Q19" s="126"/>
      <c r="R19" s="121"/>
      <c r="S19" s="122"/>
      <c r="T19" s="122"/>
      <c r="U19" s="122"/>
      <c r="V19" s="122"/>
      <c r="W19" s="123"/>
      <c r="X19" s="124"/>
      <c r="Y19" s="125"/>
      <c r="Z19" s="125"/>
      <c r="AA19" s="125"/>
      <c r="AB19" s="125"/>
      <c r="AC19" s="126"/>
      <c r="AD19" s="121"/>
      <c r="AE19" s="122"/>
      <c r="AF19" s="122"/>
      <c r="AG19" s="122"/>
      <c r="AH19" s="122"/>
      <c r="AI19" s="123"/>
      <c r="AJ19" s="127"/>
      <c r="AK19" s="128"/>
      <c r="AL19" s="128"/>
      <c r="AM19" s="128"/>
      <c r="AN19" s="128"/>
      <c r="AO19" s="129"/>
      <c r="AP19" s="121"/>
      <c r="AQ19" s="122"/>
      <c r="AR19" s="122"/>
      <c r="AS19" s="122"/>
      <c r="AT19" s="122"/>
      <c r="AU19" s="123"/>
      <c r="AV19" s="127"/>
      <c r="AW19" s="128"/>
      <c r="AX19" s="128"/>
      <c r="AY19" s="128"/>
      <c r="AZ19" s="128"/>
      <c r="BA19" s="129"/>
      <c r="BB19" s="121"/>
      <c r="BC19" s="122"/>
      <c r="BD19" s="122"/>
      <c r="BE19" s="122"/>
      <c r="BF19" s="122"/>
      <c r="BG19" s="123"/>
      <c r="BH19" s="127"/>
      <c r="BI19" s="128"/>
      <c r="BJ19" s="128"/>
      <c r="BK19" s="128"/>
      <c r="BL19" s="128"/>
      <c r="BM19" s="129"/>
      <c r="BN19" s="121"/>
      <c r="BO19" s="122"/>
      <c r="BP19" s="122"/>
      <c r="BQ19" s="122"/>
      <c r="BR19" s="122"/>
      <c r="BS19" s="123"/>
      <c r="BT19" s="127"/>
      <c r="BU19" s="128"/>
      <c r="BV19" s="128"/>
      <c r="BW19" s="128"/>
      <c r="BX19" s="128"/>
      <c r="BY19" s="129"/>
      <c r="BZ19" s="121"/>
      <c r="CA19" s="122"/>
      <c r="CB19" s="122"/>
      <c r="CC19" s="122"/>
      <c r="CD19" s="122"/>
      <c r="CE19" s="123"/>
      <c r="CF19" s="127"/>
      <c r="CG19" s="128"/>
      <c r="CH19" s="128"/>
      <c r="CI19" s="128"/>
      <c r="CJ19" s="128"/>
      <c r="CK19" s="129"/>
      <c r="CL19" s="121"/>
      <c r="CM19" s="122"/>
      <c r="CN19" s="122"/>
      <c r="CO19" s="122"/>
      <c r="CP19" s="122"/>
      <c r="CQ19" s="123"/>
      <c r="CR19" s="127"/>
      <c r="CS19" s="128"/>
      <c r="CT19" s="128"/>
      <c r="CU19" s="128"/>
      <c r="CV19" s="128"/>
      <c r="CW19" s="129"/>
    </row>
    <row r="20" spans="1:101" ht="16.5" customHeight="1">
      <c r="A20" s="101">
        <v>17</v>
      </c>
      <c r="B20" s="96"/>
      <c r="C20" s="11"/>
      <c r="D20" s="11"/>
      <c r="E20" s="97"/>
      <c r="F20" s="121"/>
      <c r="G20" s="122"/>
      <c r="H20" s="122"/>
      <c r="I20" s="122"/>
      <c r="J20" s="122"/>
      <c r="K20" s="123"/>
      <c r="L20" s="124"/>
      <c r="M20" s="125"/>
      <c r="N20" s="125"/>
      <c r="O20" s="125"/>
      <c r="P20" s="125"/>
      <c r="Q20" s="126"/>
      <c r="R20" s="121"/>
      <c r="S20" s="122"/>
      <c r="T20" s="122"/>
      <c r="U20" s="122"/>
      <c r="V20" s="122"/>
      <c r="W20" s="123"/>
      <c r="X20" s="124"/>
      <c r="Y20" s="125"/>
      <c r="Z20" s="125"/>
      <c r="AA20" s="125"/>
      <c r="AB20" s="125"/>
      <c r="AC20" s="126"/>
      <c r="AD20" s="121"/>
      <c r="AE20" s="122"/>
      <c r="AF20" s="122"/>
      <c r="AG20" s="122"/>
      <c r="AH20" s="122"/>
      <c r="AI20" s="123"/>
      <c r="AJ20" s="127"/>
      <c r="AK20" s="128"/>
      <c r="AL20" s="128"/>
      <c r="AM20" s="128"/>
      <c r="AN20" s="128"/>
      <c r="AO20" s="129"/>
      <c r="AP20" s="121"/>
      <c r="AQ20" s="122"/>
      <c r="AR20" s="122"/>
      <c r="AS20" s="122"/>
      <c r="AT20" s="122"/>
      <c r="AU20" s="123"/>
      <c r="AV20" s="127"/>
      <c r="AW20" s="128"/>
      <c r="AX20" s="128"/>
      <c r="AY20" s="128"/>
      <c r="AZ20" s="128"/>
      <c r="BA20" s="129"/>
      <c r="BB20" s="121"/>
      <c r="BC20" s="122"/>
      <c r="BD20" s="122"/>
      <c r="BE20" s="122"/>
      <c r="BF20" s="122"/>
      <c r="BG20" s="123"/>
      <c r="BH20" s="127"/>
      <c r="BI20" s="128"/>
      <c r="BJ20" s="128"/>
      <c r="BK20" s="128"/>
      <c r="BL20" s="128"/>
      <c r="BM20" s="129"/>
      <c r="BN20" s="121"/>
      <c r="BO20" s="122"/>
      <c r="BP20" s="122"/>
      <c r="BQ20" s="122"/>
      <c r="BR20" s="122"/>
      <c r="BS20" s="123"/>
      <c r="BT20" s="127"/>
      <c r="BU20" s="128"/>
      <c r="BV20" s="128"/>
      <c r="BW20" s="128"/>
      <c r="BX20" s="128"/>
      <c r="BY20" s="129"/>
      <c r="BZ20" s="121"/>
      <c r="CA20" s="122"/>
      <c r="CB20" s="122"/>
      <c r="CC20" s="122"/>
      <c r="CD20" s="122"/>
      <c r="CE20" s="123"/>
      <c r="CF20" s="127"/>
      <c r="CG20" s="128"/>
      <c r="CH20" s="128"/>
      <c r="CI20" s="128"/>
      <c r="CJ20" s="128"/>
      <c r="CK20" s="129"/>
      <c r="CL20" s="121"/>
      <c r="CM20" s="122"/>
      <c r="CN20" s="122"/>
      <c r="CO20" s="122"/>
      <c r="CP20" s="122"/>
      <c r="CQ20" s="123"/>
      <c r="CR20" s="127"/>
      <c r="CS20" s="128"/>
      <c r="CT20" s="128"/>
      <c r="CU20" s="128"/>
      <c r="CV20" s="128"/>
      <c r="CW20" s="129"/>
    </row>
    <row r="21" spans="1:101" ht="16.5" customHeight="1">
      <c r="A21" s="101">
        <v>18</v>
      </c>
      <c r="B21" s="96"/>
      <c r="C21" s="11"/>
      <c r="D21" s="11"/>
      <c r="E21" s="97"/>
      <c r="F21" s="121"/>
      <c r="G21" s="122"/>
      <c r="H21" s="122"/>
      <c r="I21" s="122"/>
      <c r="J21" s="122"/>
      <c r="K21" s="123"/>
      <c r="L21" s="124"/>
      <c r="M21" s="125"/>
      <c r="N21" s="125"/>
      <c r="O21" s="125"/>
      <c r="P21" s="125"/>
      <c r="Q21" s="126"/>
      <c r="R21" s="121"/>
      <c r="S21" s="122"/>
      <c r="T21" s="122"/>
      <c r="U21" s="122"/>
      <c r="V21" s="122"/>
      <c r="W21" s="123"/>
      <c r="X21" s="124"/>
      <c r="Y21" s="125"/>
      <c r="Z21" s="125"/>
      <c r="AA21" s="125"/>
      <c r="AB21" s="125"/>
      <c r="AC21" s="126"/>
      <c r="AD21" s="121"/>
      <c r="AE21" s="122"/>
      <c r="AF21" s="122"/>
      <c r="AG21" s="122"/>
      <c r="AH21" s="122"/>
      <c r="AI21" s="123"/>
      <c r="AJ21" s="127"/>
      <c r="AK21" s="128"/>
      <c r="AL21" s="128"/>
      <c r="AM21" s="128"/>
      <c r="AN21" s="128"/>
      <c r="AO21" s="129"/>
      <c r="AP21" s="121"/>
      <c r="AQ21" s="122"/>
      <c r="AR21" s="122"/>
      <c r="AS21" s="122"/>
      <c r="AT21" s="122"/>
      <c r="AU21" s="123"/>
      <c r="AV21" s="127"/>
      <c r="AW21" s="128"/>
      <c r="AX21" s="128"/>
      <c r="AY21" s="128"/>
      <c r="AZ21" s="128"/>
      <c r="BA21" s="129"/>
      <c r="BB21" s="121"/>
      <c r="BC21" s="122"/>
      <c r="BD21" s="122"/>
      <c r="BE21" s="122"/>
      <c r="BF21" s="122"/>
      <c r="BG21" s="123"/>
      <c r="BH21" s="127"/>
      <c r="BI21" s="128"/>
      <c r="BJ21" s="128"/>
      <c r="BK21" s="128"/>
      <c r="BL21" s="128"/>
      <c r="BM21" s="129"/>
      <c r="BN21" s="121"/>
      <c r="BO21" s="122"/>
      <c r="BP21" s="122"/>
      <c r="BQ21" s="122"/>
      <c r="BR21" s="122"/>
      <c r="BS21" s="123"/>
      <c r="BT21" s="127"/>
      <c r="BU21" s="128"/>
      <c r="BV21" s="128"/>
      <c r="BW21" s="128"/>
      <c r="BX21" s="128"/>
      <c r="BY21" s="129"/>
      <c r="BZ21" s="121"/>
      <c r="CA21" s="122"/>
      <c r="CB21" s="122"/>
      <c r="CC21" s="122"/>
      <c r="CD21" s="122"/>
      <c r="CE21" s="123"/>
      <c r="CF21" s="127"/>
      <c r="CG21" s="128"/>
      <c r="CH21" s="128"/>
      <c r="CI21" s="128"/>
      <c r="CJ21" s="128"/>
      <c r="CK21" s="129"/>
      <c r="CL21" s="121"/>
      <c r="CM21" s="122"/>
      <c r="CN21" s="122"/>
      <c r="CO21" s="122"/>
      <c r="CP21" s="122"/>
      <c r="CQ21" s="123"/>
      <c r="CR21" s="127"/>
      <c r="CS21" s="128"/>
      <c r="CT21" s="128"/>
      <c r="CU21" s="128"/>
      <c r="CV21" s="128"/>
      <c r="CW21" s="129"/>
    </row>
    <row r="22" spans="1:101" ht="16.5" customHeight="1">
      <c r="A22" s="101">
        <v>19</v>
      </c>
      <c r="B22" s="96"/>
      <c r="C22" s="11"/>
      <c r="D22" s="11"/>
      <c r="E22" s="97"/>
      <c r="F22" s="121"/>
      <c r="G22" s="122"/>
      <c r="H22" s="122"/>
      <c r="I22" s="122"/>
      <c r="J22" s="122"/>
      <c r="K22" s="123"/>
      <c r="L22" s="124"/>
      <c r="M22" s="125"/>
      <c r="N22" s="125"/>
      <c r="O22" s="125"/>
      <c r="P22" s="125"/>
      <c r="Q22" s="126"/>
      <c r="R22" s="121"/>
      <c r="S22" s="122"/>
      <c r="T22" s="122"/>
      <c r="U22" s="122"/>
      <c r="V22" s="122"/>
      <c r="W22" s="123"/>
      <c r="X22" s="124"/>
      <c r="Y22" s="125"/>
      <c r="Z22" s="125"/>
      <c r="AA22" s="125"/>
      <c r="AB22" s="125"/>
      <c r="AC22" s="126"/>
      <c r="AD22" s="121"/>
      <c r="AE22" s="122"/>
      <c r="AF22" s="122"/>
      <c r="AG22" s="122"/>
      <c r="AH22" s="122"/>
      <c r="AI22" s="123"/>
      <c r="AJ22" s="127"/>
      <c r="AK22" s="128"/>
      <c r="AL22" s="128"/>
      <c r="AM22" s="128"/>
      <c r="AN22" s="128"/>
      <c r="AO22" s="129"/>
      <c r="AP22" s="121"/>
      <c r="AQ22" s="122"/>
      <c r="AR22" s="122"/>
      <c r="AS22" s="122"/>
      <c r="AT22" s="122"/>
      <c r="AU22" s="123"/>
      <c r="AV22" s="127"/>
      <c r="AW22" s="128"/>
      <c r="AX22" s="128"/>
      <c r="AY22" s="128"/>
      <c r="AZ22" s="128"/>
      <c r="BA22" s="129"/>
      <c r="BB22" s="121"/>
      <c r="BC22" s="122"/>
      <c r="BD22" s="122"/>
      <c r="BE22" s="122"/>
      <c r="BF22" s="122"/>
      <c r="BG22" s="123"/>
      <c r="BH22" s="127"/>
      <c r="BI22" s="128"/>
      <c r="BJ22" s="128"/>
      <c r="BK22" s="128"/>
      <c r="BL22" s="128"/>
      <c r="BM22" s="129"/>
      <c r="BN22" s="121"/>
      <c r="BO22" s="122"/>
      <c r="BP22" s="122"/>
      <c r="BQ22" s="122"/>
      <c r="BR22" s="122"/>
      <c r="BS22" s="123"/>
      <c r="BT22" s="127"/>
      <c r="BU22" s="128"/>
      <c r="BV22" s="128"/>
      <c r="BW22" s="128"/>
      <c r="BX22" s="128"/>
      <c r="BY22" s="129"/>
      <c r="BZ22" s="121"/>
      <c r="CA22" s="122"/>
      <c r="CB22" s="122"/>
      <c r="CC22" s="122"/>
      <c r="CD22" s="122"/>
      <c r="CE22" s="123"/>
      <c r="CF22" s="127"/>
      <c r="CG22" s="128"/>
      <c r="CH22" s="128"/>
      <c r="CI22" s="128"/>
      <c r="CJ22" s="128"/>
      <c r="CK22" s="129"/>
      <c r="CL22" s="121"/>
      <c r="CM22" s="122"/>
      <c r="CN22" s="122"/>
      <c r="CO22" s="122"/>
      <c r="CP22" s="122"/>
      <c r="CQ22" s="123"/>
      <c r="CR22" s="127"/>
      <c r="CS22" s="128"/>
      <c r="CT22" s="128"/>
      <c r="CU22" s="128"/>
      <c r="CV22" s="128"/>
      <c r="CW22" s="129"/>
    </row>
    <row r="23" spans="1:101" ht="16.5" customHeight="1">
      <c r="A23" s="101">
        <v>20</v>
      </c>
      <c r="B23" s="96"/>
      <c r="C23" s="11"/>
      <c r="D23" s="11"/>
      <c r="E23" s="97"/>
      <c r="F23" s="121"/>
      <c r="G23" s="122"/>
      <c r="H23" s="122"/>
      <c r="I23" s="122"/>
      <c r="J23" s="122"/>
      <c r="K23" s="123"/>
      <c r="L23" s="124"/>
      <c r="M23" s="125"/>
      <c r="N23" s="125"/>
      <c r="O23" s="125"/>
      <c r="P23" s="125"/>
      <c r="Q23" s="126"/>
      <c r="R23" s="121"/>
      <c r="S23" s="122"/>
      <c r="T23" s="122"/>
      <c r="U23" s="122"/>
      <c r="V23" s="122"/>
      <c r="W23" s="123"/>
      <c r="X23" s="124"/>
      <c r="Y23" s="125"/>
      <c r="Z23" s="125"/>
      <c r="AA23" s="125"/>
      <c r="AB23" s="125"/>
      <c r="AC23" s="126"/>
      <c r="AD23" s="121"/>
      <c r="AE23" s="122"/>
      <c r="AF23" s="122"/>
      <c r="AG23" s="122"/>
      <c r="AH23" s="122"/>
      <c r="AI23" s="123"/>
      <c r="AJ23" s="127"/>
      <c r="AK23" s="128"/>
      <c r="AL23" s="128"/>
      <c r="AM23" s="128"/>
      <c r="AN23" s="128"/>
      <c r="AO23" s="129"/>
      <c r="AP23" s="121"/>
      <c r="AQ23" s="122"/>
      <c r="AR23" s="122"/>
      <c r="AS23" s="122"/>
      <c r="AT23" s="122"/>
      <c r="AU23" s="123"/>
      <c r="AV23" s="127"/>
      <c r="AW23" s="128"/>
      <c r="AX23" s="128"/>
      <c r="AY23" s="128"/>
      <c r="AZ23" s="128"/>
      <c r="BA23" s="129"/>
      <c r="BB23" s="121"/>
      <c r="BC23" s="122"/>
      <c r="BD23" s="122"/>
      <c r="BE23" s="122"/>
      <c r="BF23" s="122"/>
      <c r="BG23" s="123"/>
      <c r="BH23" s="127"/>
      <c r="BI23" s="128"/>
      <c r="BJ23" s="128"/>
      <c r="BK23" s="128"/>
      <c r="BL23" s="128"/>
      <c r="BM23" s="129"/>
      <c r="BN23" s="121"/>
      <c r="BO23" s="122"/>
      <c r="BP23" s="122"/>
      <c r="BQ23" s="122"/>
      <c r="BR23" s="122"/>
      <c r="BS23" s="123"/>
      <c r="BT23" s="127"/>
      <c r="BU23" s="128"/>
      <c r="BV23" s="128"/>
      <c r="BW23" s="128"/>
      <c r="BX23" s="128"/>
      <c r="BY23" s="129"/>
      <c r="BZ23" s="121"/>
      <c r="CA23" s="122"/>
      <c r="CB23" s="122"/>
      <c r="CC23" s="122"/>
      <c r="CD23" s="122"/>
      <c r="CE23" s="123"/>
      <c r="CF23" s="127"/>
      <c r="CG23" s="128"/>
      <c r="CH23" s="128"/>
      <c r="CI23" s="128"/>
      <c r="CJ23" s="128"/>
      <c r="CK23" s="129"/>
      <c r="CL23" s="121"/>
      <c r="CM23" s="122"/>
      <c r="CN23" s="122"/>
      <c r="CO23" s="122"/>
      <c r="CP23" s="122"/>
      <c r="CQ23" s="123"/>
      <c r="CR23" s="127"/>
      <c r="CS23" s="128"/>
      <c r="CT23" s="128"/>
      <c r="CU23" s="128"/>
      <c r="CV23" s="128"/>
      <c r="CW23" s="129"/>
    </row>
    <row r="24" spans="1:101" ht="16.5" customHeight="1">
      <c r="A24" s="101">
        <v>21</v>
      </c>
      <c r="B24" s="96"/>
      <c r="C24" s="11"/>
      <c r="D24" s="11"/>
      <c r="E24" s="97"/>
      <c r="F24" s="121"/>
      <c r="G24" s="122"/>
      <c r="H24" s="122"/>
      <c r="I24" s="122"/>
      <c r="J24" s="122"/>
      <c r="K24" s="123"/>
      <c r="L24" s="124"/>
      <c r="M24" s="125"/>
      <c r="N24" s="125"/>
      <c r="O24" s="125"/>
      <c r="P24" s="125"/>
      <c r="Q24" s="126"/>
      <c r="R24" s="121"/>
      <c r="S24" s="122"/>
      <c r="T24" s="122"/>
      <c r="U24" s="122"/>
      <c r="V24" s="122"/>
      <c r="W24" s="123"/>
      <c r="X24" s="124"/>
      <c r="Y24" s="125"/>
      <c r="Z24" s="125"/>
      <c r="AA24" s="125"/>
      <c r="AB24" s="125"/>
      <c r="AC24" s="126"/>
      <c r="AD24" s="121"/>
      <c r="AE24" s="122"/>
      <c r="AF24" s="122"/>
      <c r="AG24" s="122"/>
      <c r="AH24" s="122"/>
      <c r="AI24" s="123"/>
      <c r="AJ24" s="127"/>
      <c r="AK24" s="128"/>
      <c r="AL24" s="128"/>
      <c r="AM24" s="128"/>
      <c r="AN24" s="128"/>
      <c r="AO24" s="129"/>
      <c r="AP24" s="121"/>
      <c r="AQ24" s="122"/>
      <c r="AR24" s="122"/>
      <c r="AS24" s="122"/>
      <c r="AT24" s="122"/>
      <c r="AU24" s="123"/>
      <c r="AV24" s="127"/>
      <c r="AW24" s="128"/>
      <c r="AX24" s="128"/>
      <c r="AY24" s="128"/>
      <c r="AZ24" s="128"/>
      <c r="BA24" s="129"/>
      <c r="BB24" s="121"/>
      <c r="BC24" s="122"/>
      <c r="BD24" s="122"/>
      <c r="BE24" s="122"/>
      <c r="BF24" s="122"/>
      <c r="BG24" s="123"/>
      <c r="BH24" s="127"/>
      <c r="BI24" s="128"/>
      <c r="BJ24" s="128"/>
      <c r="BK24" s="128"/>
      <c r="BL24" s="128"/>
      <c r="BM24" s="129"/>
      <c r="BN24" s="121"/>
      <c r="BO24" s="122"/>
      <c r="BP24" s="122"/>
      <c r="BQ24" s="122"/>
      <c r="BR24" s="122"/>
      <c r="BS24" s="123"/>
      <c r="BT24" s="127"/>
      <c r="BU24" s="128"/>
      <c r="BV24" s="128"/>
      <c r="BW24" s="128"/>
      <c r="BX24" s="128"/>
      <c r="BY24" s="129"/>
      <c r="BZ24" s="121"/>
      <c r="CA24" s="122"/>
      <c r="CB24" s="122"/>
      <c r="CC24" s="122"/>
      <c r="CD24" s="122"/>
      <c r="CE24" s="123"/>
      <c r="CF24" s="127"/>
      <c r="CG24" s="128"/>
      <c r="CH24" s="128"/>
      <c r="CI24" s="128"/>
      <c r="CJ24" s="128"/>
      <c r="CK24" s="129"/>
      <c r="CL24" s="121"/>
      <c r="CM24" s="122"/>
      <c r="CN24" s="122"/>
      <c r="CO24" s="122"/>
      <c r="CP24" s="122"/>
      <c r="CQ24" s="123"/>
      <c r="CR24" s="127"/>
      <c r="CS24" s="128"/>
      <c r="CT24" s="128"/>
      <c r="CU24" s="128"/>
      <c r="CV24" s="128"/>
      <c r="CW24" s="129"/>
    </row>
    <row r="25" spans="1:101" ht="16.5" customHeight="1">
      <c r="A25" s="101">
        <v>22</v>
      </c>
      <c r="B25" s="96"/>
      <c r="C25" s="11"/>
      <c r="D25" s="11"/>
      <c r="E25" s="97"/>
      <c r="F25" s="121"/>
      <c r="G25" s="122"/>
      <c r="H25" s="122"/>
      <c r="I25" s="122"/>
      <c r="J25" s="122"/>
      <c r="K25" s="123"/>
      <c r="L25" s="124"/>
      <c r="M25" s="125"/>
      <c r="N25" s="125"/>
      <c r="O25" s="125"/>
      <c r="P25" s="125"/>
      <c r="Q25" s="126"/>
      <c r="R25" s="121"/>
      <c r="S25" s="122"/>
      <c r="T25" s="122"/>
      <c r="U25" s="122"/>
      <c r="V25" s="122"/>
      <c r="W25" s="123"/>
      <c r="X25" s="124"/>
      <c r="Y25" s="125"/>
      <c r="Z25" s="125"/>
      <c r="AA25" s="125"/>
      <c r="AB25" s="125"/>
      <c r="AC25" s="126"/>
      <c r="AD25" s="121"/>
      <c r="AE25" s="122"/>
      <c r="AF25" s="122"/>
      <c r="AG25" s="122"/>
      <c r="AH25" s="122"/>
      <c r="AI25" s="123"/>
      <c r="AJ25" s="127"/>
      <c r="AK25" s="128"/>
      <c r="AL25" s="128"/>
      <c r="AM25" s="128"/>
      <c r="AN25" s="128"/>
      <c r="AO25" s="129"/>
      <c r="AP25" s="121"/>
      <c r="AQ25" s="122"/>
      <c r="AR25" s="122"/>
      <c r="AS25" s="122"/>
      <c r="AT25" s="122"/>
      <c r="AU25" s="123"/>
      <c r="AV25" s="127"/>
      <c r="AW25" s="128"/>
      <c r="AX25" s="128"/>
      <c r="AY25" s="128"/>
      <c r="AZ25" s="128"/>
      <c r="BA25" s="129"/>
      <c r="BB25" s="121"/>
      <c r="BC25" s="122"/>
      <c r="BD25" s="122"/>
      <c r="BE25" s="122"/>
      <c r="BF25" s="122"/>
      <c r="BG25" s="123"/>
      <c r="BH25" s="127"/>
      <c r="BI25" s="128"/>
      <c r="BJ25" s="128"/>
      <c r="BK25" s="128"/>
      <c r="BL25" s="128"/>
      <c r="BM25" s="129"/>
      <c r="BN25" s="121"/>
      <c r="BO25" s="122"/>
      <c r="BP25" s="122"/>
      <c r="BQ25" s="122"/>
      <c r="BR25" s="122"/>
      <c r="BS25" s="123"/>
      <c r="BT25" s="127"/>
      <c r="BU25" s="128"/>
      <c r="BV25" s="128"/>
      <c r="BW25" s="128"/>
      <c r="BX25" s="128"/>
      <c r="BY25" s="129"/>
      <c r="BZ25" s="121"/>
      <c r="CA25" s="122"/>
      <c r="CB25" s="122"/>
      <c r="CC25" s="122"/>
      <c r="CD25" s="122"/>
      <c r="CE25" s="123"/>
      <c r="CF25" s="127"/>
      <c r="CG25" s="128"/>
      <c r="CH25" s="128"/>
      <c r="CI25" s="128"/>
      <c r="CJ25" s="128"/>
      <c r="CK25" s="129"/>
      <c r="CL25" s="121"/>
      <c r="CM25" s="122"/>
      <c r="CN25" s="122"/>
      <c r="CO25" s="122"/>
      <c r="CP25" s="122"/>
      <c r="CQ25" s="123"/>
      <c r="CR25" s="127"/>
      <c r="CS25" s="128"/>
      <c r="CT25" s="128"/>
      <c r="CU25" s="128"/>
      <c r="CV25" s="128"/>
      <c r="CW25" s="129"/>
    </row>
    <row r="26" spans="1:101" ht="16.5" customHeight="1">
      <c r="A26" s="101">
        <v>23</v>
      </c>
      <c r="B26" s="96"/>
      <c r="C26" s="11"/>
      <c r="D26" s="11"/>
      <c r="E26" s="97"/>
      <c r="F26" s="121"/>
      <c r="G26" s="122"/>
      <c r="H26" s="122"/>
      <c r="I26" s="122"/>
      <c r="J26" s="122"/>
      <c r="K26" s="123"/>
      <c r="L26" s="124"/>
      <c r="M26" s="125"/>
      <c r="N26" s="125"/>
      <c r="O26" s="125"/>
      <c r="P26" s="125"/>
      <c r="Q26" s="126"/>
      <c r="R26" s="121"/>
      <c r="S26" s="122"/>
      <c r="T26" s="122"/>
      <c r="U26" s="122"/>
      <c r="V26" s="122"/>
      <c r="W26" s="123"/>
      <c r="X26" s="124"/>
      <c r="Y26" s="125"/>
      <c r="Z26" s="125"/>
      <c r="AA26" s="125"/>
      <c r="AB26" s="125"/>
      <c r="AC26" s="126"/>
      <c r="AD26" s="121"/>
      <c r="AE26" s="122"/>
      <c r="AF26" s="122"/>
      <c r="AG26" s="122"/>
      <c r="AH26" s="122"/>
      <c r="AI26" s="123"/>
      <c r="AJ26" s="127"/>
      <c r="AK26" s="128"/>
      <c r="AL26" s="128"/>
      <c r="AM26" s="128"/>
      <c r="AN26" s="128"/>
      <c r="AO26" s="129"/>
      <c r="AP26" s="121"/>
      <c r="AQ26" s="122"/>
      <c r="AR26" s="122"/>
      <c r="AS26" s="122"/>
      <c r="AT26" s="122"/>
      <c r="AU26" s="123"/>
      <c r="AV26" s="127"/>
      <c r="AW26" s="128"/>
      <c r="AX26" s="128"/>
      <c r="AY26" s="128"/>
      <c r="AZ26" s="128"/>
      <c r="BA26" s="129"/>
      <c r="BB26" s="121"/>
      <c r="BC26" s="122"/>
      <c r="BD26" s="122"/>
      <c r="BE26" s="122"/>
      <c r="BF26" s="122"/>
      <c r="BG26" s="123"/>
      <c r="BH26" s="127"/>
      <c r="BI26" s="128"/>
      <c r="BJ26" s="128"/>
      <c r="BK26" s="128"/>
      <c r="BL26" s="128"/>
      <c r="BM26" s="129"/>
      <c r="BN26" s="121"/>
      <c r="BO26" s="122"/>
      <c r="BP26" s="122"/>
      <c r="BQ26" s="122"/>
      <c r="BR26" s="122"/>
      <c r="BS26" s="123"/>
      <c r="BT26" s="127"/>
      <c r="BU26" s="128"/>
      <c r="BV26" s="128"/>
      <c r="BW26" s="128"/>
      <c r="BX26" s="128"/>
      <c r="BY26" s="129"/>
      <c r="BZ26" s="121"/>
      <c r="CA26" s="122"/>
      <c r="CB26" s="122"/>
      <c r="CC26" s="122"/>
      <c r="CD26" s="122"/>
      <c r="CE26" s="123"/>
      <c r="CF26" s="127"/>
      <c r="CG26" s="128"/>
      <c r="CH26" s="128"/>
      <c r="CI26" s="128"/>
      <c r="CJ26" s="128"/>
      <c r="CK26" s="129"/>
      <c r="CL26" s="121"/>
      <c r="CM26" s="122"/>
      <c r="CN26" s="122"/>
      <c r="CO26" s="122"/>
      <c r="CP26" s="122"/>
      <c r="CQ26" s="123"/>
      <c r="CR26" s="127"/>
      <c r="CS26" s="128"/>
      <c r="CT26" s="128"/>
      <c r="CU26" s="128"/>
      <c r="CV26" s="128"/>
      <c r="CW26" s="129"/>
    </row>
    <row r="27" spans="1:101" ht="16.5" customHeight="1">
      <c r="A27" s="101">
        <v>24</v>
      </c>
      <c r="B27" s="96"/>
      <c r="C27" s="11"/>
      <c r="D27" s="11"/>
      <c r="E27" s="97"/>
      <c r="F27" s="121"/>
      <c r="G27" s="122"/>
      <c r="H27" s="122"/>
      <c r="I27" s="122"/>
      <c r="J27" s="122"/>
      <c r="K27" s="123"/>
      <c r="L27" s="124"/>
      <c r="M27" s="125"/>
      <c r="N27" s="125"/>
      <c r="O27" s="125"/>
      <c r="P27" s="125"/>
      <c r="Q27" s="126"/>
      <c r="R27" s="121"/>
      <c r="S27" s="122"/>
      <c r="T27" s="122"/>
      <c r="U27" s="122"/>
      <c r="V27" s="122"/>
      <c r="W27" s="123"/>
      <c r="X27" s="124"/>
      <c r="Y27" s="125"/>
      <c r="Z27" s="125"/>
      <c r="AA27" s="125"/>
      <c r="AB27" s="125"/>
      <c r="AC27" s="126"/>
      <c r="AD27" s="121"/>
      <c r="AE27" s="122"/>
      <c r="AF27" s="122"/>
      <c r="AG27" s="122"/>
      <c r="AH27" s="122"/>
      <c r="AI27" s="123"/>
      <c r="AJ27" s="127"/>
      <c r="AK27" s="128"/>
      <c r="AL27" s="128"/>
      <c r="AM27" s="128"/>
      <c r="AN27" s="128"/>
      <c r="AO27" s="129"/>
      <c r="AP27" s="121"/>
      <c r="AQ27" s="122"/>
      <c r="AR27" s="122"/>
      <c r="AS27" s="122"/>
      <c r="AT27" s="122"/>
      <c r="AU27" s="123"/>
      <c r="AV27" s="127"/>
      <c r="AW27" s="128"/>
      <c r="AX27" s="128"/>
      <c r="AY27" s="128"/>
      <c r="AZ27" s="128"/>
      <c r="BA27" s="129"/>
      <c r="BB27" s="121"/>
      <c r="BC27" s="122"/>
      <c r="BD27" s="122"/>
      <c r="BE27" s="122"/>
      <c r="BF27" s="122"/>
      <c r="BG27" s="123"/>
      <c r="BH27" s="127"/>
      <c r="BI27" s="128"/>
      <c r="BJ27" s="128"/>
      <c r="BK27" s="128"/>
      <c r="BL27" s="128"/>
      <c r="BM27" s="129"/>
      <c r="BN27" s="121"/>
      <c r="BO27" s="122"/>
      <c r="BP27" s="122"/>
      <c r="BQ27" s="122"/>
      <c r="BR27" s="122"/>
      <c r="BS27" s="123"/>
      <c r="BT27" s="127"/>
      <c r="BU27" s="128"/>
      <c r="BV27" s="128"/>
      <c r="BW27" s="128"/>
      <c r="BX27" s="128"/>
      <c r="BY27" s="129"/>
      <c r="BZ27" s="121"/>
      <c r="CA27" s="122"/>
      <c r="CB27" s="122"/>
      <c r="CC27" s="122"/>
      <c r="CD27" s="122"/>
      <c r="CE27" s="123"/>
      <c r="CF27" s="127"/>
      <c r="CG27" s="128"/>
      <c r="CH27" s="128"/>
      <c r="CI27" s="128"/>
      <c r="CJ27" s="128"/>
      <c r="CK27" s="129"/>
      <c r="CL27" s="121"/>
      <c r="CM27" s="122"/>
      <c r="CN27" s="122"/>
      <c r="CO27" s="122"/>
      <c r="CP27" s="122"/>
      <c r="CQ27" s="123"/>
      <c r="CR27" s="127"/>
      <c r="CS27" s="128"/>
      <c r="CT27" s="128"/>
      <c r="CU27" s="128"/>
      <c r="CV27" s="128"/>
      <c r="CW27" s="129"/>
    </row>
    <row r="28" spans="1:101" ht="16.5" customHeight="1">
      <c r="A28" s="101">
        <v>25</v>
      </c>
      <c r="B28" s="96"/>
      <c r="C28" s="11"/>
      <c r="D28" s="11"/>
      <c r="E28" s="97"/>
      <c r="F28" s="121"/>
      <c r="G28" s="122"/>
      <c r="H28" s="122"/>
      <c r="I28" s="122"/>
      <c r="J28" s="122"/>
      <c r="K28" s="123"/>
      <c r="L28" s="124"/>
      <c r="M28" s="125"/>
      <c r="N28" s="125"/>
      <c r="O28" s="125"/>
      <c r="P28" s="125"/>
      <c r="Q28" s="126"/>
      <c r="R28" s="121"/>
      <c r="S28" s="122"/>
      <c r="T28" s="122"/>
      <c r="U28" s="122"/>
      <c r="V28" s="122"/>
      <c r="W28" s="123"/>
      <c r="X28" s="124"/>
      <c r="Y28" s="125"/>
      <c r="Z28" s="125"/>
      <c r="AA28" s="125"/>
      <c r="AB28" s="125"/>
      <c r="AC28" s="126"/>
      <c r="AD28" s="121"/>
      <c r="AE28" s="122"/>
      <c r="AF28" s="122"/>
      <c r="AG28" s="122"/>
      <c r="AH28" s="122"/>
      <c r="AI28" s="123"/>
      <c r="AJ28" s="127"/>
      <c r="AK28" s="128"/>
      <c r="AL28" s="128"/>
      <c r="AM28" s="128"/>
      <c r="AN28" s="128"/>
      <c r="AO28" s="129"/>
      <c r="AP28" s="121"/>
      <c r="AQ28" s="122"/>
      <c r="AR28" s="122"/>
      <c r="AS28" s="122"/>
      <c r="AT28" s="122"/>
      <c r="AU28" s="123"/>
      <c r="AV28" s="127"/>
      <c r="AW28" s="128"/>
      <c r="AX28" s="128"/>
      <c r="AY28" s="128"/>
      <c r="AZ28" s="128"/>
      <c r="BA28" s="129"/>
      <c r="BB28" s="121"/>
      <c r="BC28" s="122"/>
      <c r="BD28" s="122"/>
      <c r="BE28" s="122"/>
      <c r="BF28" s="122"/>
      <c r="BG28" s="123"/>
      <c r="BH28" s="127"/>
      <c r="BI28" s="128"/>
      <c r="BJ28" s="128"/>
      <c r="BK28" s="128"/>
      <c r="BL28" s="128"/>
      <c r="BM28" s="129"/>
      <c r="BN28" s="121"/>
      <c r="BO28" s="122"/>
      <c r="BP28" s="122"/>
      <c r="BQ28" s="122"/>
      <c r="BR28" s="122"/>
      <c r="BS28" s="123"/>
      <c r="BT28" s="127"/>
      <c r="BU28" s="128"/>
      <c r="BV28" s="128"/>
      <c r="BW28" s="128"/>
      <c r="BX28" s="128"/>
      <c r="BY28" s="129"/>
      <c r="BZ28" s="121"/>
      <c r="CA28" s="122"/>
      <c r="CB28" s="122"/>
      <c r="CC28" s="122"/>
      <c r="CD28" s="122"/>
      <c r="CE28" s="123"/>
      <c r="CF28" s="127"/>
      <c r="CG28" s="128"/>
      <c r="CH28" s="128"/>
      <c r="CI28" s="128"/>
      <c r="CJ28" s="128"/>
      <c r="CK28" s="129"/>
      <c r="CL28" s="121"/>
      <c r="CM28" s="122"/>
      <c r="CN28" s="122"/>
      <c r="CO28" s="122"/>
      <c r="CP28" s="122"/>
      <c r="CQ28" s="123"/>
      <c r="CR28" s="127"/>
      <c r="CS28" s="128"/>
      <c r="CT28" s="128"/>
      <c r="CU28" s="128"/>
      <c r="CV28" s="128"/>
      <c r="CW28" s="129"/>
    </row>
    <row r="29" spans="1:101" ht="16.5" customHeight="1">
      <c r="A29" s="101">
        <v>26</v>
      </c>
      <c r="B29" s="96"/>
      <c r="C29" s="11"/>
      <c r="D29" s="11"/>
      <c r="E29" s="97"/>
      <c r="F29" s="121"/>
      <c r="G29" s="122"/>
      <c r="H29" s="122"/>
      <c r="I29" s="122"/>
      <c r="J29" s="122"/>
      <c r="K29" s="123"/>
      <c r="L29" s="124"/>
      <c r="M29" s="125"/>
      <c r="N29" s="125"/>
      <c r="O29" s="125"/>
      <c r="P29" s="125"/>
      <c r="Q29" s="126"/>
      <c r="R29" s="121"/>
      <c r="S29" s="122"/>
      <c r="T29" s="122"/>
      <c r="U29" s="122"/>
      <c r="V29" s="122"/>
      <c r="W29" s="123"/>
      <c r="X29" s="124"/>
      <c r="Y29" s="125"/>
      <c r="Z29" s="125"/>
      <c r="AA29" s="125"/>
      <c r="AB29" s="125"/>
      <c r="AC29" s="126"/>
      <c r="AD29" s="121"/>
      <c r="AE29" s="122"/>
      <c r="AF29" s="122"/>
      <c r="AG29" s="122"/>
      <c r="AH29" s="122"/>
      <c r="AI29" s="123"/>
      <c r="AJ29" s="127"/>
      <c r="AK29" s="128"/>
      <c r="AL29" s="128"/>
      <c r="AM29" s="128"/>
      <c r="AN29" s="128"/>
      <c r="AO29" s="129"/>
      <c r="AP29" s="121"/>
      <c r="AQ29" s="122"/>
      <c r="AR29" s="122"/>
      <c r="AS29" s="122"/>
      <c r="AT29" s="122"/>
      <c r="AU29" s="123"/>
      <c r="AV29" s="127"/>
      <c r="AW29" s="128"/>
      <c r="AX29" s="128"/>
      <c r="AY29" s="128"/>
      <c r="AZ29" s="128"/>
      <c r="BA29" s="129"/>
      <c r="BB29" s="121"/>
      <c r="BC29" s="122"/>
      <c r="BD29" s="122"/>
      <c r="BE29" s="122"/>
      <c r="BF29" s="122"/>
      <c r="BG29" s="123"/>
      <c r="BH29" s="127"/>
      <c r="BI29" s="128"/>
      <c r="BJ29" s="128"/>
      <c r="BK29" s="128"/>
      <c r="BL29" s="128"/>
      <c r="BM29" s="129"/>
      <c r="BN29" s="121"/>
      <c r="BO29" s="122"/>
      <c r="BP29" s="122"/>
      <c r="BQ29" s="122"/>
      <c r="BR29" s="122"/>
      <c r="BS29" s="123"/>
      <c r="BT29" s="127"/>
      <c r="BU29" s="128"/>
      <c r="BV29" s="128"/>
      <c r="BW29" s="128"/>
      <c r="BX29" s="128"/>
      <c r="BY29" s="129"/>
      <c r="BZ29" s="121"/>
      <c r="CA29" s="122"/>
      <c r="CB29" s="122"/>
      <c r="CC29" s="122"/>
      <c r="CD29" s="122"/>
      <c r="CE29" s="123"/>
      <c r="CF29" s="127"/>
      <c r="CG29" s="128"/>
      <c r="CH29" s="128"/>
      <c r="CI29" s="128"/>
      <c r="CJ29" s="128"/>
      <c r="CK29" s="129"/>
      <c r="CL29" s="121"/>
      <c r="CM29" s="122"/>
      <c r="CN29" s="122"/>
      <c r="CO29" s="122"/>
      <c r="CP29" s="122"/>
      <c r="CQ29" s="123"/>
      <c r="CR29" s="127"/>
      <c r="CS29" s="128"/>
      <c r="CT29" s="128"/>
      <c r="CU29" s="128"/>
      <c r="CV29" s="128"/>
      <c r="CW29" s="129"/>
    </row>
    <row r="30" spans="1:101" ht="16.5" customHeight="1">
      <c r="A30" s="101">
        <v>27</v>
      </c>
      <c r="B30" s="96"/>
      <c r="C30" s="11"/>
      <c r="D30" s="11"/>
      <c r="E30" s="97"/>
      <c r="F30" s="121"/>
      <c r="G30" s="122"/>
      <c r="H30" s="122"/>
      <c r="I30" s="122"/>
      <c r="J30" s="122"/>
      <c r="K30" s="123"/>
      <c r="L30" s="124"/>
      <c r="M30" s="125"/>
      <c r="N30" s="125"/>
      <c r="O30" s="125"/>
      <c r="P30" s="125"/>
      <c r="Q30" s="126"/>
      <c r="R30" s="121"/>
      <c r="S30" s="122"/>
      <c r="T30" s="122"/>
      <c r="U30" s="122"/>
      <c r="V30" s="122"/>
      <c r="W30" s="123"/>
      <c r="X30" s="124"/>
      <c r="Y30" s="125"/>
      <c r="Z30" s="125"/>
      <c r="AA30" s="125"/>
      <c r="AB30" s="125"/>
      <c r="AC30" s="126"/>
      <c r="AD30" s="121"/>
      <c r="AE30" s="122"/>
      <c r="AF30" s="122"/>
      <c r="AG30" s="122"/>
      <c r="AH30" s="122"/>
      <c r="AI30" s="123"/>
      <c r="AJ30" s="127"/>
      <c r="AK30" s="128"/>
      <c r="AL30" s="128"/>
      <c r="AM30" s="128"/>
      <c r="AN30" s="128"/>
      <c r="AO30" s="129"/>
      <c r="AP30" s="121"/>
      <c r="AQ30" s="122"/>
      <c r="AR30" s="122"/>
      <c r="AS30" s="122"/>
      <c r="AT30" s="122"/>
      <c r="AU30" s="123"/>
      <c r="AV30" s="127"/>
      <c r="AW30" s="128"/>
      <c r="AX30" s="128"/>
      <c r="AY30" s="128"/>
      <c r="AZ30" s="128"/>
      <c r="BA30" s="129"/>
      <c r="BB30" s="121"/>
      <c r="BC30" s="122"/>
      <c r="BD30" s="122"/>
      <c r="BE30" s="122"/>
      <c r="BF30" s="122"/>
      <c r="BG30" s="123"/>
      <c r="BH30" s="127"/>
      <c r="BI30" s="128"/>
      <c r="BJ30" s="128"/>
      <c r="BK30" s="128"/>
      <c r="BL30" s="128"/>
      <c r="BM30" s="129"/>
      <c r="BN30" s="121"/>
      <c r="BO30" s="122"/>
      <c r="BP30" s="122"/>
      <c r="BQ30" s="122"/>
      <c r="BR30" s="122"/>
      <c r="BS30" s="123"/>
      <c r="BT30" s="127"/>
      <c r="BU30" s="128"/>
      <c r="BV30" s="128"/>
      <c r="BW30" s="128"/>
      <c r="BX30" s="128"/>
      <c r="BY30" s="129"/>
      <c r="BZ30" s="121"/>
      <c r="CA30" s="122"/>
      <c r="CB30" s="122"/>
      <c r="CC30" s="122"/>
      <c r="CD30" s="122"/>
      <c r="CE30" s="123"/>
      <c r="CF30" s="127"/>
      <c r="CG30" s="128"/>
      <c r="CH30" s="128"/>
      <c r="CI30" s="128"/>
      <c r="CJ30" s="128"/>
      <c r="CK30" s="129"/>
      <c r="CL30" s="121"/>
      <c r="CM30" s="122"/>
      <c r="CN30" s="122"/>
      <c r="CO30" s="122"/>
      <c r="CP30" s="122"/>
      <c r="CQ30" s="123"/>
      <c r="CR30" s="127"/>
      <c r="CS30" s="128"/>
      <c r="CT30" s="128"/>
      <c r="CU30" s="128"/>
      <c r="CV30" s="128"/>
      <c r="CW30" s="129"/>
    </row>
    <row r="31" spans="1:101" ht="16.5" customHeight="1">
      <c r="A31" s="101">
        <v>28</v>
      </c>
      <c r="B31" s="96"/>
      <c r="C31" s="11"/>
      <c r="D31" s="11"/>
      <c r="E31" s="97"/>
      <c r="F31" s="121"/>
      <c r="G31" s="122"/>
      <c r="H31" s="122"/>
      <c r="I31" s="122"/>
      <c r="J31" s="122"/>
      <c r="K31" s="123"/>
      <c r="L31" s="124"/>
      <c r="M31" s="125"/>
      <c r="N31" s="125"/>
      <c r="O31" s="125"/>
      <c r="P31" s="125"/>
      <c r="Q31" s="126"/>
      <c r="R31" s="121"/>
      <c r="S31" s="122"/>
      <c r="T31" s="122"/>
      <c r="U31" s="122"/>
      <c r="V31" s="122"/>
      <c r="W31" s="123"/>
      <c r="X31" s="124"/>
      <c r="Y31" s="125"/>
      <c r="Z31" s="125"/>
      <c r="AA31" s="125"/>
      <c r="AB31" s="125"/>
      <c r="AC31" s="126"/>
      <c r="AD31" s="121"/>
      <c r="AE31" s="122"/>
      <c r="AF31" s="122"/>
      <c r="AG31" s="122"/>
      <c r="AH31" s="122"/>
      <c r="AI31" s="123"/>
      <c r="AJ31" s="127"/>
      <c r="AK31" s="128"/>
      <c r="AL31" s="128"/>
      <c r="AM31" s="128"/>
      <c r="AN31" s="128"/>
      <c r="AO31" s="129"/>
      <c r="AP31" s="121"/>
      <c r="AQ31" s="122"/>
      <c r="AR31" s="122"/>
      <c r="AS31" s="122"/>
      <c r="AT31" s="122"/>
      <c r="AU31" s="123"/>
      <c r="AV31" s="127"/>
      <c r="AW31" s="128"/>
      <c r="AX31" s="128"/>
      <c r="AY31" s="128"/>
      <c r="AZ31" s="128"/>
      <c r="BA31" s="129"/>
      <c r="BB31" s="121"/>
      <c r="BC31" s="122"/>
      <c r="BD31" s="122"/>
      <c r="BE31" s="122"/>
      <c r="BF31" s="122"/>
      <c r="BG31" s="123"/>
      <c r="BH31" s="127"/>
      <c r="BI31" s="128"/>
      <c r="BJ31" s="128"/>
      <c r="BK31" s="128"/>
      <c r="BL31" s="128"/>
      <c r="BM31" s="129"/>
      <c r="BN31" s="121"/>
      <c r="BO31" s="122"/>
      <c r="BP31" s="122"/>
      <c r="BQ31" s="122"/>
      <c r="BR31" s="122"/>
      <c r="BS31" s="123"/>
      <c r="BT31" s="127"/>
      <c r="BU31" s="128"/>
      <c r="BV31" s="128"/>
      <c r="BW31" s="128"/>
      <c r="BX31" s="128"/>
      <c r="BY31" s="129"/>
      <c r="BZ31" s="121"/>
      <c r="CA31" s="122"/>
      <c r="CB31" s="122"/>
      <c r="CC31" s="122"/>
      <c r="CD31" s="122"/>
      <c r="CE31" s="123"/>
      <c r="CF31" s="127"/>
      <c r="CG31" s="128"/>
      <c r="CH31" s="128"/>
      <c r="CI31" s="128"/>
      <c r="CJ31" s="128"/>
      <c r="CK31" s="129"/>
      <c r="CL31" s="121"/>
      <c r="CM31" s="122"/>
      <c r="CN31" s="122"/>
      <c r="CO31" s="122"/>
      <c r="CP31" s="122"/>
      <c r="CQ31" s="123"/>
      <c r="CR31" s="127"/>
      <c r="CS31" s="128"/>
      <c r="CT31" s="128"/>
      <c r="CU31" s="128"/>
      <c r="CV31" s="128"/>
      <c r="CW31" s="129"/>
    </row>
    <row r="32" spans="1:101" ht="16.5" customHeight="1">
      <c r="A32" s="101">
        <v>29</v>
      </c>
      <c r="B32" s="96"/>
      <c r="C32" s="11"/>
      <c r="D32" s="11"/>
      <c r="E32" s="97"/>
      <c r="F32" s="121"/>
      <c r="G32" s="122"/>
      <c r="H32" s="122"/>
      <c r="I32" s="122"/>
      <c r="J32" s="122"/>
      <c r="K32" s="123"/>
      <c r="L32" s="124"/>
      <c r="M32" s="125"/>
      <c r="N32" s="125"/>
      <c r="O32" s="125"/>
      <c r="P32" s="125"/>
      <c r="Q32" s="126"/>
      <c r="R32" s="121"/>
      <c r="S32" s="122"/>
      <c r="T32" s="122"/>
      <c r="U32" s="122"/>
      <c r="V32" s="122"/>
      <c r="W32" s="123"/>
      <c r="X32" s="124"/>
      <c r="Y32" s="125"/>
      <c r="Z32" s="125"/>
      <c r="AA32" s="125"/>
      <c r="AB32" s="125"/>
      <c r="AC32" s="126"/>
      <c r="AD32" s="121"/>
      <c r="AE32" s="122"/>
      <c r="AF32" s="122"/>
      <c r="AG32" s="122"/>
      <c r="AH32" s="122"/>
      <c r="AI32" s="123"/>
      <c r="AJ32" s="127"/>
      <c r="AK32" s="128"/>
      <c r="AL32" s="128"/>
      <c r="AM32" s="128"/>
      <c r="AN32" s="128"/>
      <c r="AO32" s="129"/>
      <c r="AP32" s="121"/>
      <c r="AQ32" s="122"/>
      <c r="AR32" s="122"/>
      <c r="AS32" s="122"/>
      <c r="AT32" s="122"/>
      <c r="AU32" s="123"/>
      <c r="AV32" s="127"/>
      <c r="AW32" s="128"/>
      <c r="AX32" s="128"/>
      <c r="AY32" s="128"/>
      <c r="AZ32" s="128"/>
      <c r="BA32" s="129"/>
      <c r="BB32" s="121"/>
      <c r="BC32" s="122"/>
      <c r="BD32" s="122"/>
      <c r="BE32" s="122"/>
      <c r="BF32" s="122"/>
      <c r="BG32" s="123"/>
      <c r="BH32" s="127"/>
      <c r="BI32" s="128"/>
      <c r="BJ32" s="128"/>
      <c r="BK32" s="128"/>
      <c r="BL32" s="128"/>
      <c r="BM32" s="129"/>
      <c r="BN32" s="121"/>
      <c r="BO32" s="122"/>
      <c r="BP32" s="122"/>
      <c r="BQ32" s="122"/>
      <c r="BR32" s="122"/>
      <c r="BS32" s="123"/>
      <c r="BT32" s="127"/>
      <c r="BU32" s="128"/>
      <c r="BV32" s="128"/>
      <c r="BW32" s="128"/>
      <c r="BX32" s="128"/>
      <c r="BY32" s="129"/>
      <c r="BZ32" s="121"/>
      <c r="CA32" s="122"/>
      <c r="CB32" s="122"/>
      <c r="CC32" s="122"/>
      <c r="CD32" s="122"/>
      <c r="CE32" s="123"/>
      <c r="CF32" s="127"/>
      <c r="CG32" s="128"/>
      <c r="CH32" s="128"/>
      <c r="CI32" s="128"/>
      <c r="CJ32" s="128"/>
      <c r="CK32" s="129"/>
      <c r="CL32" s="121"/>
      <c r="CM32" s="122"/>
      <c r="CN32" s="122"/>
      <c r="CO32" s="122"/>
      <c r="CP32" s="122"/>
      <c r="CQ32" s="123"/>
      <c r="CR32" s="127"/>
      <c r="CS32" s="128"/>
      <c r="CT32" s="128"/>
      <c r="CU32" s="128"/>
      <c r="CV32" s="128"/>
      <c r="CW32" s="129"/>
    </row>
    <row r="33" spans="1:101" ht="16.5" customHeight="1">
      <c r="A33" s="101">
        <v>30</v>
      </c>
      <c r="B33" s="96"/>
      <c r="C33" s="11"/>
      <c r="D33" s="11"/>
      <c r="E33" s="97"/>
      <c r="F33" s="121"/>
      <c r="G33" s="122"/>
      <c r="H33" s="122"/>
      <c r="I33" s="122"/>
      <c r="J33" s="122"/>
      <c r="K33" s="123"/>
      <c r="L33" s="124"/>
      <c r="M33" s="125"/>
      <c r="N33" s="125"/>
      <c r="O33" s="125"/>
      <c r="P33" s="125"/>
      <c r="Q33" s="126"/>
      <c r="R33" s="121"/>
      <c r="S33" s="122"/>
      <c r="T33" s="122"/>
      <c r="U33" s="122"/>
      <c r="V33" s="122"/>
      <c r="W33" s="123"/>
      <c r="X33" s="124"/>
      <c r="Y33" s="125"/>
      <c r="Z33" s="125"/>
      <c r="AA33" s="125"/>
      <c r="AB33" s="125"/>
      <c r="AC33" s="126"/>
      <c r="AD33" s="121"/>
      <c r="AE33" s="122"/>
      <c r="AF33" s="122"/>
      <c r="AG33" s="122"/>
      <c r="AH33" s="122"/>
      <c r="AI33" s="123"/>
      <c r="AJ33" s="127"/>
      <c r="AK33" s="128"/>
      <c r="AL33" s="128"/>
      <c r="AM33" s="128"/>
      <c r="AN33" s="128"/>
      <c r="AO33" s="129"/>
      <c r="AP33" s="121"/>
      <c r="AQ33" s="122"/>
      <c r="AR33" s="122"/>
      <c r="AS33" s="122"/>
      <c r="AT33" s="122"/>
      <c r="AU33" s="123"/>
      <c r="AV33" s="127"/>
      <c r="AW33" s="128"/>
      <c r="AX33" s="128"/>
      <c r="AY33" s="128"/>
      <c r="AZ33" s="128"/>
      <c r="BA33" s="129"/>
      <c r="BB33" s="121"/>
      <c r="BC33" s="122"/>
      <c r="BD33" s="122"/>
      <c r="BE33" s="122"/>
      <c r="BF33" s="122"/>
      <c r="BG33" s="123"/>
      <c r="BH33" s="127"/>
      <c r="BI33" s="128"/>
      <c r="BJ33" s="128"/>
      <c r="BK33" s="128"/>
      <c r="BL33" s="128"/>
      <c r="BM33" s="129"/>
      <c r="BN33" s="121"/>
      <c r="BO33" s="122"/>
      <c r="BP33" s="122"/>
      <c r="BQ33" s="122"/>
      <c r="BR33" s="122"/>
      <c r="BS33" s="123"/>
      <c r="BT33" s="127"/>
      <c r="BU33" s="128"/>
      <c r="BV33" s="128"/>
      <c r="BW33" s="128"/>
      <c r="BX33" s="128"/>
      <c r="BY33" s="129"/>
      <c r="BZ33" s="121"/>
      <c r="CA33" s="122"/>
      <c r="CB33" s="122"/>
      <c r="CC33" s="122"/>
      <c r="CD33" s="122"/>
      <c r="CE33" s="123"/>
      <c r="CF33" s="127"/>
      <c r="CG33" s="128"/>
      <c r="CH33" s="128"/>
      <c r="CI33" s="128"/>
      <c r="CJ33" s="128"/>
      <c r="CK33" s="129"/>
      <c r="CL33" s="121"/>
      <c r="CM33" s="122"/>
      <c r="CN33" s="122"/>
      <c r="CO33" s="122"/>
      <c r="CP33" s="122"/>
      <c r="CQ33" s="123"/>
      <c r="CR33" s="127"/>
      <c r="CS33" s="128"/>
      <c r="CT33" s="128"/>
      <c r="CU33" s="128"/>
      <c r="CV33" s="128"/>
      <c r="CW33" s="129"/>
    </row>
    <row r="34" spans="1:101" ht="16.5" customHeight="1" thickBot="1">
      <c r="A34" s="102">
        <v>31</v>
      </c>
      <c r="B34" s="98"/>
      <c r="C34" s="99"/>
      <c r="D34" s="99"/>
      <c r="E34" s="100"/>
      <c r="F34" s="130"/>
      <c r="G34" s="131"/>
      <c r="H34" s="131"/>
      <c r="I34" s="131"/>
      <c r="J34" s="131"/>
      <c r="K34" s="132"/>
      <c r="L34" s="133"/>
      <c r="M34" s="134"/>
      <c r="N34" s="134"/>
      <c r="O34" s="134"/>
      <c r="P34" s="134"/>
      <c r="Q34" s="135"/>
      <c r="R34" s="130"/>
      <c r="S34" s="131"/>
      <c r="T34" s="131"/>
      <c r="U34" s="131"/>
      <c r="V34" s="131"/>
      <c r="W34" s="132"/>
      <c r="X34" s="133"/>
      <c r="Y34" s="134"/>
      <c r="Z34" s="134"/>
      <c r="AA34" s="134"/>
      <c r="AB34" s="134"/>
      <c r="AC34" s="135"/>
      <c r="AD34" s="130"/>
      <c r="AE34" s="131"/>
      <c r="AF34" s="131"/>
      <c r="AG34" s="131"/>
      <c r="AH34" s="131"/>
      <c r="AI34" s="132"/>
      <c r="AJ34" s="136"/>
      <c r="AK34" s="137"/>
      <c r="AL34" s="137"/>
      <c r="AM34" s="137"/>
      <c r="AN34" s="137"/>
      <c r="AO34" s="138"/>
      <c r="AP34" s="130"/>
      <c r="AQ34" s="131"/>
      <c r="AR34" s="131"/>
      <c r="AS34" s="131"/>
      <c r="AT34" s="131"/>
      <c r="AU34" s="132"/>
      <c r="AV34" s="136"/>
      <c r="AW34" s="137"/>
      <c r="AX34" s="137"/>
      <c r="AY34" s="137"/>
      <c r="AZ34" s="137"/>
      <c r="BA34" s="138"/>
      <c r="BB34" s="130"/>
      <c r="BC34" s="131"/>
      <c r="BD34" s="131"/>
      <c r="BE34" s="131"/>
      <c r="BF34" s="131"/>
      <c r="BG34" s="132"/>
      <c r="BH34" s="136"/>
      <c r="BI34" s="137"/>
      <c r="BJ34" s="137"/>
      <c r="BK34" s="137"/>
      <c r="BL34" s="137"/>
      <c r="BM34" s="138"/>
      <c r="BN34" s="130"/>
      <c r="BO34" s="131"/>
      <c r="BP34" s="131"/>
      <c r="BQ34" s="131"/>
      <c r="BR34" s="131"/>
      <c r="BS34" s="132"/>
      <c r="BT34" s="136"/>
      <c r="BU34" s="137"/>
      <c r="BV34" s="137"/>
      <c r="BW34" s="137"/>
      <c r="BX34" s="137"/>
      <c r="BY34" s="138"/>
      <c r="BZ34" s="130"/>
      <c r="CA34" s="131"/>
      <c r="CB34" s="131"/>
      <c r="CC34" s="131"/>
      <c r="CD34" s="131"/>
      <c r="CE34" s="132"/>
      <c r="CF34" s="136"/>
      <c r="CG34" s="137"/>
      <c r="CH34" s="137"/>
      <c r="CI34" s="137"/>
      <c r="CJ34" s="137"/>
      <c r="CK34" s="138"/>
      <c r="CL34" s="130"/>
      <c r="CM34" s="131"/>
      <c r="CN34" s="131"/>
      <c r="CO34" s="131"/>
      <c r="CP34" s="131"/>
      <c r="CQ34" s="132"/>
      <c r="CR34" s="136"/>
      <c r="CS34" s="137"/>
      <c r="CT34" s="137"/>
      <c r="CU34" s="137"/>
      <c r="CV34" s="137"/>
      <c r="CW34" s="138"/>
    </row>
    <row r="35" spans="1:101" ht="16.5" customHeight="1" thickTop="1"/>
    <row r="38" spans="1:101" ht="16.5" hidden="1" customHeight="1">
      <c r="A38" s="178">
        <v>1</v>
      </c>
      <c r="F38" s="180">
        <f>F4/('Page 1'!$I$3*27152)</f>
        <v>0</v>
      </c>
      <c r="H38" s="180">
        <f>H4/('Page 1'!$I$3*27152)</f>
        <v>0</v>
      </c>
      <c r="J38" s="180">
        <f>J4/('Page 1'!$I$3*27152)</f>
        <v>0</v>
      </c>
      <c r="L38" s="180">
        <f>L4/('Page 1'!$M$3*27152)</f>
        <v>0</v>
      </c>
      <c r="N38" s="180">
        <f>N4/('Page 1'!$M$3*27152)</f>
        <v>0</v>
      </c>
      <c r="P38" s="180">
        <f>P4/('Page 1'!$M$3*27152)</f>
        <v>0</v>
      </c>
      <c r="R38" s="180">
        <f>R4/('Page 1'!$Q$3*27152)</f>
        <v>0</v>
      </c>
      <c r="T38" s="180">
        <f>T4/('Page 1'!$Q$3*27152)</f>
        <v>0</v>
      </c>
      <c r="V38" s="180">
        <f>V4/('Page 1'!$Q$3*27152)</f>
        <v>0</v>
      </c>
      <c r="X38" s="180">
        <f>X4/('Page 1'!$U$3*27152)</f>
        <v>0</v>
      </c>
      <c r="Z38" s="180">
        <f>Z4/('Page 1'!$U$3*27152)</f>
        <v>0</v>
      </c>
      <c r="AB38" s="180">
        <f>AB4/('Page 1'!$U$3*27152)</f>
        <v>0</v>
      </c>
      <c r="AD38" s="180">
        <f>AD4/('Page 2'!$I$3*27152)</f>
        <v>0</v>
      </c>
      <c r="AF38" s="180">
        <f>AF4/('Page 2'!$I$3*27152)</f>
        <v>0</v>
      </c>
      <c r="AH38" s="180">
        <f>AH4/('Page 2'!$I$3*27152)</f>
        <v>0</v>
      </c>
      <c r="AJ38" s="180">
        <f>AJ4/('Page 2'!$M$3*27152)</f>
        <v>0</v>
      </c>
      <c r="AL38" s="180">
        <f>AL4/('Page 2'!$M$3*27152)</f>
        <v>0</v>
      </c>
      <c r="AN38" s="180">
        <f>AN4/('Page 2'!$M$3*27152)</f>
        <v>0</v>
      </c>
      <c r="AP38" s="180">
        <f>AP4/('Page 2'!$Q$3*27152)</f>
        <v>0</v>
      </c>
      <c r="AR38" s="180">
        <f>AR4/('Page 2'!$Q$3*27152)</f>
        <v>0</v>
      </c>
      <c r="AT38" s="180">
        <f>AT4/('Page 2'!$Q$3*27152)</f>
        <v>0</v>
      </c>
      <c r="AV38" s="180">
        <f>AV4/('Page 2'!$U$3*27152)</f>
        <v>0</v>
      </c>
      <c r="AX38" s="180">
        <f>AX4/('Page 2'!$U$3*27152)</f>
        <v>0</v>
      </c>
      <c r="AZ38" s="180">
        <f>AZ4/('Page 2'!$U$3*27152)</f>
        <v>0</v>
      </c>
      <c r="BB38" s="180">
        <f>BB4/('Page 3'!$I$3*27152)</f>
        <v>0</v>
      </c>
      <c r="BD38" s="180">
        <f>BD4/('Page 3'!$I$3*27152)</f>
        <v>0</v>
      </c>
      <c r="BF38" s="180">
        <f>BF4/('Page 3'!$I$3*27152)</f>
        <v>0</v>
      </c>
      <c r="BH38" s="180">
        <f>BH4/('Page 3'!$M$3*27152)</f>
        <v>0</v>
      </c>
      <c r="BJ38" s="180">
        <f>BJ4/('Page 3'!$M$3*27152)</f>
        <v>0</v>
      </c>
      <c r="BL38" s="180">
        <f>BL4/('Page 3'!$M$3*27152)</f>
        <v>0</v>
      </c>
      <c r="BN38" s="180">
        <f>BN4/('Page 3'!$Q$3*27152)</f>
        <v>0</v>
      </c>
      <c r="BP38" s="180">
        <f>BP4/('Page 3'!$Q$3*27152)</f>
        <v>0</v>
      </c>
      <c r="BR38" s="180">
        <f>BR4/('Page 3'!$Q$3*27152)</f>
        <v>0</v>
      </c>
      <c r="BT38" s="180">
        <f>BT4/('Page 3'!$U$3*27152)</f>
        <v>0</v>
      </c>
      <c r="BV38" s="180">
        <f>BV4/('Page 3'!$U$3*27152)</f>
        <v>0</v>
      </c>
      <c r="BX38" s="180">
        <f>BX4/('Page 3'!$U$3*27152)</f>
        <v>0</v>
      </c>
      <c r="BZ38" s="180">
        <f>BZ4/('Page 4'!$I$3*27152)</f>
        <v>0</v>
      </c>
      <c r="CB38" s="180">
        <f>CB4/('Page 4'!$I$3*27152)</f>
        <v>0</v>
      </c>
      <c r="CD38" s="180">
        <f>CD4/('Page 4'!$I$3*27152)</f>
        <v>0</v>
      </c>
      <c r="CF38" s="180">
        <f>CF4/('Page 4'!$M$3*27152)</f>
        <v>0</v>
      </c>
      <c r="CH38" s="180">
        <f>CH4/('Page 4'!$M$3*27152)</f>
        <v>0</v>
      </c>
      <c r="CJ38" s="180">
        <f>CJ4/('Page 4'!$M$3*27152)</f>
        <v>0</v>
      </c>
      <c r="CL38" s="180">
        <f>CL4/('Page 4'!$Q$3*27152)</f>
        <v>0</v>
      </c>
      <c r="CN38" s="180">
        <f>CN4/('Page 4'!$Q$3*27152)</f>
        <v>0</v>
      </c>
      <c r="CP38" s="180">
        <f>CP4/('Page 4'!$Q$3*27152)</f>
        <v>0</v>
      </c>
      <c r="CR38" s="180">
        <f>CR4/('Page 4'!$U$3*27152)</f>
        <v>0</v>
      </c>
      <c r="CT38" s="180">
        <f>CT4/('Page 4'!$U$3*27152)</f>
        <v>0</v>
      </c>
      <c r="CV38" s="180">
        <f>CV4/('Page 4'!$U$3*27152)</f>
        <v>0</v>
      </c>
    </row>
    <row r="39" spans="1:101" ht="16.5" hidden="1" customHeight="1">
      <c r="A39" s="101">
        <v>2</v>
      </c>
      <c r="F39" s="180">
        <f>F5/('Page 1'!$I$3*27152)</f>
        <v>0</v>
      </c>
      <c r="H39" s="180">
        <f>H5/('Page 1'!$I$3*27152)</f>
        <v>0</v>
      </c>
      <c r="J39" s="180">
        <f>J5/('Page 1'!$I$3*27152)</f>
        <v>0</v>
      </c>
      <c r="L39" s="180">
        <f>L5/('Page 1'!$M$3*27152)</f>
        <v>0</v>
      </c>
      <c r="N39" s="180">
        <f>N5/('Page 1'!$M$3*27152)</f>
        <v>0</v>
      </c>
      <c r="P39" s="180">
        <f>P5/('Page 1'!$M$3*27152)</f>
        <v>0</v>
      </c>
      <c r="R39" s="180">
        <f>R5/('Page 1'!$Q$3*27152)</f>
        <v>0</v>
      </c>
      <c r="T39" s="180">
        <f>T5/('Page 1'!$Q$3*27152)</f>
        <v>0</v>
      </c>
      <c r="V39" s="180">
        <f>V5/('Page 1'!$Q$3*27152)</f>
        <v>0</v>
      </c>
      <c r="X39" s="180">
        <f>X5/('Page 1'!$U$3*27152)</f>
        <v>0</v>
      </c>
      <c r="Z39" s="180">
        <f>Z5/('Page 1'!$U$3*27152)</f>
        <v>0</v>
      </c>
      <c r="AB39" s="180">
        <f>AB5/('Page 1'!$U$3*27152)</f>
        <v>0</v>
      </c>
      <c r="AD39" s="180">
        <f>AD5/('Page 2'!$I$3*27152)</f>
        <v>0</v>
      </c>
      <c r="AF39" s="180">
        <f>AF5/('Page 2'!$I$3*27152)</f>
        <v>0</v>
      </c>
      <c r="AH39" s="180">
        <f>AH5/('Page 2'!$I$3*27152)</f>
        <v>0</v>
      </c>
      <c r="AJ39" s="180">
        <f>AJ5/('Page 2'!$M$3*27152)</f>
        <v>0</v>
      </c>
      <c r="AL39" s="180">
        <f>AL5/('Page 2'!$M$3*27152)</f>
        <v>0</v>
      </c>
      <c r="AN39" s="180">
        <f>AN5/('Page 2'!$M$3*27152)</f>
        <v>0</v>
      </c>
      <c r="AP39" s="180">
        <f>AP5/('Page 2'!$Q$3*27152)</f>
        <v>0</v>
      </c>
      <c r="AR39" s="180">
        <f>AR5/('Page 2'!$Q$3*27152)</f>
        <v>0</v>
      </c>
      <c r="AT39" s="180">
        <f>AT5/('Page 2'!$Q$3*27152)</f>
        <v>0</v>
      </c>
      <c r="AV39" s="180">
        <f>AV5/('Page 2'!$U$3*27152)</f>
        <v>0</v>
      </c>
      <c r="AX39" s="180">
        <f>AX5/('Page 2'!$U$3*27152)</f>
        <v>0</v>
      </c>
      <c r="AZ39" s="180">
        <f>AZ5/('Page 2'!$U$3*27152)</f>
        <v>0</v>
      </c>
      <c r="BB39" s="180">
        <f>BB5/('Page 3'!$I$3*27152)</f>
        <v>0</v>
      </c>
      <c r="BD39" s="180">
        <f>BD5/('Page 3'!$I$3*27152)</f>
        <v>0</v>
      </c>
      <c r="BF39" s="180">
        <f>BF5/('Page 3'!$I$3*27152)</f>
        <v>0</v>
      </c>
      <c r="BH39" s="180">
        <f>BH5/('Page 3'!$M$3*27152)</f>
        <v>0</v>
      </c>
      <c r="BJ39" s="180">
        <f>BJ5/('Page 3'!$M$3*27152)</f>
        <v>0</v>
      </c>
      <c r="BL39" s="180">
        <f>BL5/('Page 3'!$M$3*27152)</f>
        <v>0</v>
      </c>
      <c r="BN39" s="180">
        <f>BN5/('Page 3'!$Q$3*27152)</f>
        <v>0</v>
      </c>
      <c r="BP39" s="180">
        <f>BP5/('Page 3'!$Q$3*27152)</f>
        <v>0</v>
      </c>
      <c r="BR39" s="180">
        <f>BR5/('Page 3'!$Q$3*27152)</f>
        <v>0</v>
      </c>
      <c r="BT39" s="180">
        <f>BT5/('Page 3'!$U$3*27152)</f>
        <v>0</v>
      </c>
      <c r="BV39" s="180">
        <f>BV5/('Page 3'!$U$3*27152)</f>
        <v>0</v>
      </c>
      <c r="BX39" s="180">
        <f>BX5/('Page 3'!$U$3*27152)</f>
        <v>0</v>
      </c>
      <c r="BZ39" s="180">
        <f>BZ5/('Page 4'!$I$3*27152)</f>
        <v>0</v>
      </c>
      <c r="CB39" s="180">
        <f>CB5/('Page 4'!$I$3*27152)</f>
        <v>0</v>
      </c>
      <c r="CD39" s="180">
        <f>CD5/('Page 4'!$I$3*27152)</f>
        <v>0</v>
      </c>
      <c r="CF39" s="180">
        <f>CF5/('Page 4'!$M$3*27152)</f>
        <v>0</v>
      </c>
      <c r="CH39" s="180">
        <f>CH5/('Page 4'!$M$3*27152)</f>
        <v>0</v>
      </c>
      <c r="CJ39" s="180">
        <f>CJ5/('Page 4'!$M$3*27152)</f>
        <v>0</v>
      </c>
      <c r="CL39" s="180">
        <f>CL5/('Page 4'!$Q$3*27152)</f>
        <v>0</v>
      </c>
      <c r="CN39" s="180">
        <f>CN5/('Page 4'!$Q$3*27152)</f>
        <v>0</v>
      </c>
      <c r="CP39" s="180">
        <f>CP5/('Page 4'!$Q$3*27152)</f>
        <v>0</v>
      </c>
      <c r="CR39" s="180">
        <f>CR5/('Page 4'!$U$3*27152)</f>
        <v>0</v>
      </c>
      <c r="CT39" s="180">
        <f>CT5/('Page 4'!$U$3*27152)</f>
        <v>0</v>
      </c>
      <c r="CV39" s="180">
        <f>CV5/('Page 4'!$U$3*27152)</f>
        <v>0</v>
      </c>
    </row>
    <row r="40" spans="1:101" ht="16.5" hidden="1" customHeight="1">
      <c r="A40" s="101">
        <v>3</v>
      </c>
      <c r="F40" s="180">
        <f>F6/('Page 1'!$I$3*27152)</f>
        <v>0</v>
      </c>
      <c r="H40" s="180">
        <f>H6/('Page 1'!$I$3*27152)</f>
        <v>0</v>
      </c>
      <c r="J40" s="180">
        <f>J6/('Page 1'!$I$3*27152)</f>
        <v>0</v>
      </c>
      <c r="L40" s="180">
        <f>L6/('Page 1'!$M$3*27152)</f>
        <v>0</v>
      </c>
      <c r="N40" s="180">
        <f>N6/('Page 1'!$M$3*27152)</f>
        <v>0</v>
      </c>
      <c r="P40" s="180">
        <f>P6/('Page 1'!$M$3*27152)</f>
        <v>0</v>
      </c>
      <c r="R40" s="180">
        <f>R6/('Page 1'!$Q$3*27152)</f>
        <v>0</v>
      </c>
      <c r="T40" s="180">
        <f>T6/('Page 1'!$Q$3*27152)</f>
        <v>0</v>
      </c>
      <c r="V40" s="180">
        <f>V6/('Page 1'!$Q$3*27152)</f>
        <v>0</v>
      </c>
      <c r="X40" s="180">
        <f>X6/('Page 1'!$U$3*27152)</f>
        <v>0</v>
      </c>
      <c r="Z40" s="180">
        <f>Z6/('Page 1'!$U$3*27152)</f>
        <v>0</v>
      </c>
      <c r="AB40" s="180">
        <f>AB6/('Page 1'!$U$3*27152)</f>
        <v>0</v>
      </c>
      <c r="AD40" s="180">
        <f>AD6/('Page 2'!$I$3*27152)</f>
        <v>0</v>
      </c>
      <c r="AF40" s="180">
        <f>AF6/('Page 2'!$I$3*27152)</f>
        <v>0</v>
      </c>
      <c r="AH40" s="180">
        <f>AH6/('Page 2'!$I$3*27152)</f>
        <v>0</v>
      </c>
      <c r="AJ40" s="180">
        <f>AJ6/('Page 2'!$M$3*27152)</f>
        <v>0</v>
      </c>
      <c r="AL40" s="180">
        <f>AL6/('Page 2'!$M$3*27152)</f>
        <v>0</v>
      </c>
      <c r="AN40" s="180">
        <f>AN6/('Page 2'!$M$3*27152)</f>
        <v>0</v>
      </c>
      <c r="AP40" s="180">
        <f>AP6/('Page 2'!$Q$3*27152)</f>
        <v>0</v>
      </c>
      <c r="AR40" s="180">
        <f>AR6/('Page 2'!$Q$3*27152)</f>
        <v>0</v>
      </c>
      <c r="AT40" s="180">
        <f>AT6/('Page 2'!$Q$3*27152)</f>
        <v>0</v>
      </c>
      <c r="AV40" s="180">
        <f>AV6/('Page 2'!$U$3*27152)</f>
        <v>0</v>
      </c>
      <c r="AX40" s="180">
        <f>AX6/('Page 2'!$U$3*27152)</f>
        <v>0</v>
      </c>
      <c r="AZ40" s="180">
        <f>AZ6/('Page 2'!$U$3*27152)</f>
        <v>0</v>
      </c>
      <c r="BB40" s="180">
        <f>BB6/('Page 3'!$I$3*27152)</f>
        <v>0</v>
      </c>
      <c r="BD40" s="180">
        <f>BD6/('Page 3'!$I$3*27152)</f>
        <v>0</v>
      </c>
      <c r="BF40" s="180">
        <f>BF6/('Page 3'!$I$3*27152)</f>
        <v>0</v>
      </c>
      <c r="BH40" s="180">
        <f>BH6/('Page 3'!$M$3*27152)</f>
        <v>0</v>
      </c>
      <c r="BJ40" s="180">
        <f>BJ6/('Page 3'!$M$3*27152)</f>
        <v>0</v>
      </c>
      <c r="BL40" s="180">
        <f>BL6/('Page 3'!$M$3*27152)</f>
        <v>0</v>
      </c>
      <c r="BN40" s="180">
        <f>BN6/('Page 3'!$Q$3*27152)</f>
        <v>0</v>
      </c>
      <c r="BP40" s="180">
        <f>BP6/('Page 3'!$Q$3*27152)</f>
        <v>0</v>
      </c>
      <c r="BR40" s="180">
        <f>BR6/('Page 3'!$Q$3*27152)</f>
        <v>0</v>
      </c>
      <c r="BT40" s="180">
        <f>BT6/('Page 3'!$U$3*27152)</f>
        <v>0</v>
      </c>
      <c r="BV40" s="180">
        <f>BV6/('Page 3'!$U$3*27152)</f>
        <v>0</v>
      </c>
      <c r="BX40" s="180">
        <f>BX6/('Page 3'!$U$3*27152)</f>
        <v>0</v>
      </c>
      <c r="BZ40" s="180">
        <f>BZ6/('Page 4'!$I$3*27152)</f>
        <v>0</v>
      </c>
      <c r="CB40" s="180">
        <f>CB6/('Page 4'!$I$3*27152)</f>
        <v>0</v>
      </c>
      <c r="CD40" s="180">
        <f>CD6/('Page 4'!$I$3*27152)</f>
        <v>0</v>
      </c>
      <c r="CF40" s="180">
        <f>CF6/('Page 4'!$M$3*27152)</f>
        <v>0</v>
      </c>
      <c r="CH40" s="180">
        <f>CH6/('Page 4'!$M$3*27152)</f>
        <v>0</v>
      </c>
      <c r="CJ40" s="180">
        <f>CJ6/('Page 4'!$M$3*27152)</f>
        <v>0</v>
      </c>
      <c r="CL40" s="180">
        <f>CL6/('Page 4'!$Q$3*27152)</f>
        <v>0</v>
      </c>
      <c r="CN40" s="180">
        <f>CN6/('Page 4'!$Q$3*27152)</f>
        <v>0</v>
      </c>
      <c r="CP40" s="180">
        <f>CP6/('Page 4'!$Q$3*27152)</f>
        <v>0</v>
      </c>
      <c r="CR40" s="180">
        <f>CR6/('Page 4'!$U$3*27152)</f>
        <v>0</v>
      </c>
      <c r="CT40" s="180">
        <f>CT6/('Page 4'!$U$3*27152)</f>
        <v>0</v>
      </c>
      <c r="CV40" s="180">
        <f>CV6/('Page 4'!$U$3*27152)</f>
        <v>0</v>
      </c>
    </row>
    <row r="41" spans="1:101" ht="16.5" hidden="1" customHeight="1">
      <c r="A41" s="101">
        <v>4</v>
      </c>
      <c r="F41" s="180">
        <f>F7/('Page 1'!$I$3*27152)</f>
        <v>0</v>
      </c>
      <c r="H41" s="180">
        <f>H7/('Page 1'!$I$3*27152)</f>
        <v>0</v>
      </c>
      <c r="J41" s="180">
        <f>J7/('Page 1'!$I$3*27152)</f>
        <v>0</v>
      </c>
      <c r="L41" s="180">
        <f>L7/('Page 1'!$M$3*27152)</f>
        <v>0</v>
      </c>
      <c r="N41" s="180">
        <f>N7/('Page 1'!$M$3*27152)</f>
        <v>0</v>
      </c>
      <c r="P41" s="180">
        <f>P7/('Page 1'!$M$3*27152)</f>
        <v>0</v>
      </c>
      <c r="R41" s="180">
        <f>R7/('Page 1'!$Q$3*27152)</f>
        <v>0</v>
      </c>
      <c r="T41" s="180">
        <f>T7/('Page 1'!$Q$3*27152)</f>
        <v>0</v>
      </c>
      <c r="V41" s="180">
        <f>V7/('Page 1'!$Q$3*27152)</f>
        <v>0</v>
      </c>
      <c r="X41" s="180">
        <f>X7/('Page 1'!$U$3*27152)</f>
        <v>0</v>
      </c>
      <c r="Z41" s="180">
        <f>Z7/('Page 1'!$U$3*27152)</f>
        <v>0</v>
      </c>
      <c r="AB41" s="180">
        <f>AB7/('Page 1'!$U$3*27152)</f>
        <v>0</v>
      </c>
      <c r="AD41" s="180">
        <f>AD7/('Page 2'!$I$3*27152)</f>
        <v>0</v>
      </c>
      <c r="AF41" s="180">
        <f>AF7/('Page 2'!$I$3*27152)</f>
        <v>0</v>
      </c>
      <c r="AH41" s="180">
        <f>AH7/('Page 2'!$I$3*27152)</f>
        <v>0</v>
      </c>
      <c r="AJ41" s="180">
        <f>AJ7/('Page 2'!$M$3*27152)</f>
        <v>0</v>
      </c>
      <c r="AL41" s="180">
        <f>AL7/('Page 2'!$M$3*27152)</f>
        <v>0</v>
      </c>
      <c r="AN41" s="180">
        <f>AN7/('Page 2'!$M$3*27152)</f>
        <v>0</v>
      </c>
      <c r="AP41" s="180">
        <f>AP7/('Page 2'!$Q$3*27152)</f>
        <v>0</v>
      </c>
      <c r="AR41" s="180">
        <f>AR7/('Page 2'!$Q$3*27152)</f>
        <v>0</v>
      </c>
      <c r="AT41" s="180">
        <f>AT7/('Page 2'!$Q$3*27152)</f>
        <v>0</v>
      </c>
      <c r="AV41" s="180">
        <f>AV7/('Page 2'!$U$3*27152)</f>
        <v>0</v>
      </c>
      <c r="AX41" s="180">
        <f>AX7/('Page 2'!$U$3*27152)</f>
        <v>0</v>
      </c>
      <c r="AZ41" s="180">
        <f>AZ7/('Page 2'!$U$3*27152)</f>
        <v>0</v>
      </c>
      <c r="BB41" s="180">
        <f>BB7/('Page 3'!$I$3*27152)</f>
        <v>0</v>
      </c>
      <c r="BD41" s="180">
        <f>BD7/('Page 3'!$I$3*27152)</f>
        <v>0</v>
      </c>
      <c r="BF41" s="180">
        <f>BF7/('Page 3'!$I$3*27152)</f>
        <v>0</v>
      </c>
      <c r="BH41" s="180">
        <f>BH7/('Page 3'!$M$3*27152)</f>
        <v>0</v>
      </c>
      <c r="BJ41" s="180">
        <f>BJ7/('Page 3'!$M$3*27152)</f>
        <v>0</v>
      </c>
      <c r="BL41" s="180">
        <f>BL7/('Page 3'!$M$3*27152)</f>
        <v>0</v>
      </c>
      <c r="BN41" s="180">
        <f>BN7/('Page 3'!$Q$3*27152)</f>
        <v>0</v>
      </c>
      <c r="BP41" s="180">
        <f>BP7/('Page 3'!$Q$3*27152)</f>
        <v>0</v>
      </c>
      <c r="BR41" s="180">
        <f>BR7/('Page 3'!$Q$3*27152)</f>
        <v>0</v>
      </c>
      <c r="BT41" s="180">
        <f>BT7/('Page 3'!$U$3*27152)</f>
        <v>0</v>
      </c>
      <c r="BV41" s="180">
        <f>BV7/('Page 3'!$U$3*27152)</f>
        <v>0</v>
      </c>
      <c r="BX41" s="180">
        <f>BX7/('Page 3'!$U$3*27152)</f>
        <v>0</v>
      </c>
      <c r="BZ41" s="180">
        <f>BZ7/('Page 4'!$I$3*27152)</f>
        <v>0</v>
      </c>
      <c r="CB41" s="180">
        <f>CB7/('Page 4'!$I$3*27152)</f>
        <v>0</v>
      </c>
      <c r="CD41" s="180">
        <f>CD7/('Page 4'!$I$3*27152)</f>
        <v>0</v>
      </c>
      <c r="CF41" s="180">
        <f>CF7/('Page 4'!$M$3*27152)</f>
        <v>0</v>
      </c>
      <c r="CH41" s="180">
        <f>CH7/('Page 4'!$M$3*27152)</f>
        <v>0</v>
      </c>
      <c r="CJ41" s="180">
        <f>CJ7/('Page 4'!$M$3*27152)</f>
        <v>0</v>
      </c>
      <c r="CL41" s="180">
        <f>CL7/('Page 4'!$Q$3*27152)</f>
        <v>0</v>
      </c>
      <c r="CN41" s="180">
        <f>CN7/('Page 4'!$Q$3*27152)</f>
        <v>0</v>
      </c>
      <c r="CP41" s="180">
        <f>CP7/('Page 4'!$Q$3*27152)</f>
        <v>0</v>
      </c>
      <c r="CR41" s="180">
        <f>CR7/('Page 4'!$U$3*27152)</f>
        <v>0</v>
      </c>
      <c r="CT41" s="180">
        <f>CT7/('Page 4'!$U$3*27152)</f>
        <v>0</v>
      </c>
      <c r="CV41" s="180">
        <f>CV7/('Page 4'!$U$3*27152)</f>
        <v>0</v>
      </c>
    </row>
    <row r="42" spans="1:101" ht="16.5" hidden="1" customHeight="1">
      <c r="A42" s="101">
        <v>5</v>
      </c>
      <c r="F42" s="180">
        <f>F8/('Page 1'!$I$3*27152)</f>
        <v>0</v>
      </c>
      <c r="H42" s="180">
        <f>H8/('Page 1'!$I$3*27152)</f>
        <v>0</v>
      </c>
      <c r="J42" s="180">
        <f>J8/('Page 1'!$I$3*27152)</f>
        <v>0</v>
      </c>
      <c r="L42" s="180">
        <f>L8/('Page 1'!$M$3*27152)</f>
        <v>0</v>
      </c>
      <c r="N42" s="180">
        <f>N8/('Page 1'!$M$3*27152)</f>
        <v>0</v>
      </c>
      <c r="P42" s="180">
        <f>P8/('Page 1'!$M$3*27152)</f>
        <v>0</v>
      </c>
      <c r="R42" s="180">
        <f>R8/('Page 1'!$Q$3*27152)</f>
        <v>0</v>
      </c>
      <c r="T42" s="180">
        <f>T8/('Page 1'!$Q$3*27152)</f>
        <v>0</v>
      </c>
      <c r="V42" s="180">
        <f>V8/('Page 1'!$Q$3*27152)</f>
        <v>0</v>
      </c>
      <c r="X42" s="180">
        <f>X8/('Page 1'!$U$3*27152)</f>
        <v>0</v>
      </c>
      <c r="Z42" s="180">
        <f>Z8/('Page 1'!$U$3*27152)</f>
        <v>0</v>
      </c>
      <c r="AB42" s="180">
        <f>AB8/('Page 1'!$U$3*27152)</f>
        <v>0</v>
      </c>
      <c r="AD42" s="180">
        <f>AD8/('Page 2'!$I$3*27152)</f>
        <v>0</v>
      </c>
      <c r="AF42" s="180">
        <f>AF8/('Page 2'!$I$3*27152)</f>
        <v>0</v>
      </c>
      <c r="AH42" s="180">
        <f>AH8/('Page 2'!$I$3*27152)</f>
        <v>0</v>
      </c>
      <c r="AJ42" s="180">
        <f>AJ8/('Page 2'!$M$3*27152)</f>
        <v>0</v>
      </c>
      <c r="AL42" s="180">
        <f>AL8/('Page 2'!$M$3*27152)</f>
        <v>0</v>
      </c>
      <c r="AN42" s="180">
        <f>AN8/('Page 2'!$M$3*27152)</f>
        <v>0</v>
      </c>
      <c r="AP42" s="180">
        <f>AP8/('Page 2'!$Q$3*27152)</f>
        <v>0</v>
      </c>
      <c r="AR42" s="180">
        <f>AR8/('Page 2'!$Q$3*27152)</f>
        <v>0</v>
      </c>
      <c r="AT42" s="180">
        <f>AT8/('Page 2'!$Q$3*27152)</f>
        <v>0</v>
      </c>
      <c r="AV42" s="180">
        <f>AV8/('Page 2'!$U$3*27152)</f>
        <v>0</v>
      </c>
      <c r="AX42" s="180">
        <f>AX8/('Page 2'!$U$3*27152)</f>
        <v>0</v>
      </c>
      <c r="AZ42" s="180">
        <f>AZ8/('Page 2'!$U$3*27152)</f>
        <v>0</v>
      </c>
      <c r="BB42" s="180">
        <f>BB8/('Page 3'!$I$3*27152)</f>
        <v>0</v>
      </c>
      <c r="BD42" s="180">
        <f>BD8/('Page 3'!$I$3*27152)</f>
        <v>0</v>
      </c>
      <c r="BF42" s="180">
        <f>BF8/('Page 3'!$I$3*27152)</f>
        <v>0</v>
      </c>
      <c r="BH42" s="180">
        <f>BH8/('Page 3'!$M$3*27152)</f>
        <v>0</v>
      </c>
      <c r="BJ42" s="180">
        <f>BJ8/('Page 3'!$M$3*27152)</f>
        <v>0</v>
      </c>
      <c r="BL42" s="180">
        <f>BL8/('Page 3'!$M$3*27152)</f>
        <v>0</v>
      </c>
      <c r="BN42" s="180">
        <f>BN8/('Page 3'!$Q$3*27152)</f>
        <v>0</v>
      </c>
      <c r="BP42" s="180">
        <f>BP8/('Page 3'!$Q$3*27152)</f>
        <v>0</v>
      </c>
      <c r="BR42" s="180">
        <f>BR8/('Page 3'!$Q$3*27152)</f>
        <v>0</v>
      </c>
      <c r="BT42" s="180">
        <f>BT8/('Page 3'!$U$3*27152)</f>
        <v>0</v>
      </c>
      <c r="BV42" s="180">
        <f>BV8/('Page 3'!$U$3*27152)</f>
        <v>0</v>
      </c>
      <c r="BX42" s="180">
        <f>BX8/('Page 3'!$U$3*27152)</f>
        <v>0</v>
      </c>
      <c r="BZ42" s="180">
        <f>BZ8/('Page 4'!$I$3*27152)</f>
        <v>0</v>
      </c>
      <c r="CB42" s="180">
        <f>CB8/('Page 4'!$I$3*27152)</f>
        <v>0</v>
      </c>
      <c r="CD42" s="180">
        <f>CD8/('Page 4'!$I$3*27152)</f>
        <v>0</v>
      </c>
      <c r="CF42" s="180">
        <f>CF8/('Page 4'!$M$3*27152)</f>
        <v>0</v>
      </c>
      <c r="CH42" s="180">
        <f>CH8/('Page 4'!$M$3*27152)</f>
        <v>0</v>
      </c>
      <c r="CJ42" s="180">
        <f>CJ8/('Page 4'!$M$3*27152)</f>
        <v>0</v>
      </c>
      <c r="CL42" s="180">
        <f>CL8/('Page 4'!$Q$3*27152)</f>
        <v>0</v>
      </c>
      <c r="CN42" s="180">
        <f>CN8/('Page 4'!$Q$3*27152)</f>
        <v>0</v>
      </c>
      <c r="CP42" s="180">
        <f>CP8/('Page 4'!$Q$3*27152)</f>
        <v>0</v>
      </c>
      <c r="CR42" s="180">
        <f>CR8/('Page 4'!$U$3*27152)</f>
        <v>0</v>
      </c>
      <c r="CT42" s="180">
        <f>CT8/('Page 4'!$U$3*27152)</f>
        <v>0</v>
      </c>
      <c r="CV42" s="180">
        <f>CV8/('Page 4'!$U$3*27152)</f>
        <v>0</v>
      </c>
    </row>
    <row r="43" spans="1:101" ht="16.5" hidden="1" customHeight="1">
      <c r="A43" s="101">
        <v>6</v>
      </c>
      <c r="F43" s="180">
        <f>F9/('Page 1'!$I$3*27152)</f>
        <v>0</v>
      </c>
      <c r="H43" s="180">
        <f>H9/('Page 1'!$I$3*27152)</f>
        <v>0</v>
      </c>
      <c r="J43" s="180">
        <f>J9/('Page 1'!$I$3*27152)</f>
        <v>0</v>
      </c>
      <c r="L43" s="180">
        <f>L9/('Page 1'!$M$3*27152)</f>
        <v>0</v>
      </c>
      <c r="N43" s="180">
        <f>N9/('Page 1'!$M$3*27152)</f>
        <v>0</v>
      </c>
      <c r="P43" s="180">
        <f>P9/('Page 1'!$M$3*27152)</f>
        <v>0</v>
      </c>
      <c r="R43" s="180">
        <f>R9/('Page 1'!$Q$3*27152)</f>
        <v>0</v>
      </c>
      <c r="T43" s="180">
        <f>T9/('Page 1'!$Q$3*27152)</f>
        <v>0</v>
      </c>
      <c r="V43" s="180">
        <f>V9/('Page 1'!$Q$3*27152)</f>
        <v>0</v>
      </c>
      <c r="X43" s="180">
        <f>X9/('Page 1'!$U$3*27152)</f>
        <v>0</v>
      </c>
      <c r="Z43" s="180">
        <f>Z9/('Page 1'!$U$3*27152)</f>
        <v>0</v>
      </c>
      <c r="AB43" s="180">
        <f>AB9/('Page 1'!$U$3*27152)</f>
        <v>0</v>
      </c>
      <c r="AD43" s="180">
        <f>AD9/('Page 2'!$I$3*27152)</f>
        <v>0</v>
      </c>
      <c r="AF43" s="180">
        <f>AF9/('Page 2'!$I$3*27152)</f>
        <v>0</v>
      </c>
      <c r="AH43" s="180">
        <f>AH9/('Page 2'!$I$3*27152)</f>
        <v>0</v>
      </c>
      <c r="AJ43" s="180">
        <f>AJ9/('Page 2'!$M$3*27152)</f>
        <v>0</v>
      </c>
      <c r="AL43" s="180">
        <f>AL9/('Page 2'!$M$3*27152)</f>
        <v>0</v>
      </c>
      <c r="AN43" s="180">
        <f>AN9/('Page 2'!$M$3*27152)</f>
        <v>0</v>
      </c>
      <c r="AP43" s="180">
        <f>AP9/('Page 2'!$Q$3*27152)</f>
        <v>0</v>
      </c>
      <c r="AR43" s="180">
        <f>AR9/('Page 2'!$Q$3*27152)</f>
        <v>0</v>
      </c>
      <c r="AT43" s="180">
        <f>AT9/('Page 2'!$Q$3*27152)</f>
        <v>0</v>
      </c>
      <c r="AV43" s="180">
        <f>AV9/('Page 2'!$U$3*27152)</f>
        <v>0</v>
      </c>
      <c r="AX43" s="180">
        <f>AX9/('Page 2'!$U$3*27152)</f>
        <v>0</v>
      </c>
      <c r="AZ43" s="180">
        <f>AZ9/('Page 2'!$U$3*27152)</f>
        <v>0</v>
      </c>
      <c r="BB43" s="180">
        <f>BB9/('Page 3'!$I$3*27152)</f>
        <v>0</v>
      </c>
      <c r="BD43" s="180">
        <f>BD9/('Page 3'!$I$3*27152)</f>
        <v>0</v>
      </c>
      <c r="BF43" s="180">
        <f>BF9/('Page 3'!$I$3*27152)</f>
        <v>0</v>
      </c>
      <c r="BH43" s="180">
        <f>BH9/('Page 3'!$M$3*27152)</f>
        <v>0</v>
      </c>
      <c r="BJ43" s="180">
        <f>BJ9/('Page 3'!$M$3*27152)</f>
        <v>0</v>
      </c>
      <c r="BL43" s="180">
        <f>BL9/('Page 3'!$M$3*27152)</f>
        <v>0</v>
      </c>
      <c r="BN43" s="180">
        <f>BN9/('Page 3'!$Q$3*27152)</f>
        <v>0</v>
      </c>
      <c r="BP43" s="180">
        <f>BP9/('Page 3'!$Q$3*27152)</f>
        <v>0</v>
      </c>
      <c r="BR43" s="180">
        <f>BR9/('Page 3'!$Q$3*27152)</f>
        <v>0</v>
      </c>
      <c r="BT43" s="180">
        <f>BT9/('Page 3'!$U$3*27152)</f>
        <v>0</v>
      </c>
      <c r="BV43" s="180">
        <f>BV9/('Page 3'!$U$3*27152)</f>
        <v>0</v>
      </c>
      <c r="BX43" s="180">
        <f>BX9/('Page 3'!$U$3*27152)</f>
        <v>0</v>
      </c>
      <c r="BZ43" s="180">
        <f>BZ9/('Page 4'!$I$3*27152)</f>
        <v>0</v>
      </c>
      <c r="CB43" s="180">
        <f>CB9/('Page 4'!$I$3*27152)</f>
        <v>0</v>
      </c>
      <c r="CD43" s="180">
        <f>CD9/('Page 4'!$I$3*27152)</f>
        <v>0</v>
      </c>
      <c r="CF43" s="180">
        <f>CF9/('Page 4'!$M$3*27152)</f>
        <v>0</v>
      </c>
      <c r="CH43" s="180">
        <f>CH9/('Page 4'!$M$3*27152)</f>
        <v>0</v>
      </c>
      <c r="CJ43" s="180">
        <f>CJ9/('Page 4'!$M$3*27152)</f>
        <v>0</v>
      </c>
      <c r="CL43" s="180">
        <f>CL9/('Page 4'!$Q$3*27152)</f>
        <v>0</v>
      </c>
      <c r="CN43" s="180">
        <f>CN9/('Page 4'!$Q$3*27152)</f>
        <v>0</v>
      </c>
      <c r="CP43" s="180">
        <f>CP9/('Page 4'!$Q$3*27152)</f>
        <v>0</v>
      </c>
      <c r="CR43" s="180">
        <f>CR9/('Page 4'!$U$3*27152)</f>
        <v>0</v>
      </c>
      <c r="CT43" s="180">
        <f>CT9/('Page 4'!$U$3*27152)</f>
        <v>0</v>
      </c>
      <c r="CV43" s="180">
        <f>CV9/('Page 4'!$U$3*27152)</f>
        <v>0</v>
      </c>
    </row>
    <row r="44" spans="1:101" ht="16.5" hidden="1" customHeight="1">
      <c r="A44" s="101">
        <v>7</v>
      </c>
      <c r="F44" s="180">
        <f>F10/('Page 1'!$I$3*27152)</f>
        <v>0</v>
      </c>
      <c r="H44" s="180">
        <f>H10/('Page 1'!$I$3*27152)</f>
        <v>0</v>
      </c>
      <c r="J44" s="180">
        <f>J10/('Page 1'!$I$3*27152)</f>
        <v>0</v>
      </c>
      <c r="L44" s="180">
        <f>L10/('Page 1'!$M$3*27152)</f>
        <v>0</v>
      </c>
      <c r="N44" s="180">
        <f>N10/('Page 1'!$M$3*27152)</f>
        <v>0</v>
      </c>
      <c r="P44" s="180">
        <f>P10/('Page 1'!$M$3*27152)</f>
        <v>0</v>
      </c>
      <c r="R44" s="180">
        <f>R10/('Page 1'!$Q$3*27152)</f>
        <v>0</v>
      </c>
      <c r="T44" s="180">
        <f>T10/('Page 1'!$Q$3*27152)</f>
        <v>0</v>
      </c>
      <c r="V44" s="180">
        <f>V10/('Page 1'!$Q$3*27152)</f>
        <v>0</v>
      </c>
      <c r="X44" s="180">
        <f>X10/('Page 1'!$U$3*27152)</f>
        <v>0</v>
      </c>
      <c r="Z44" s="180">
        <f>Z10/('Page 1'!$U$3*27152)</f>
        <v>0</v>
      </c>
      <c r="AB44" s="180">
        <f>AB10/('Page 1'!$U$3*27152)</f>
        <v>0</v>
      </c>
      <c r="AD44" s="180">
        <f>AD10/('Page 2'!$I$3*27152)</f>
        <v>0</v>
      </c>
      <c r="AF44" s="180">
        <f>AF10/('Page 2'!$I$3*27152)</f>
        <v>0</v>
      </c>
      <c r="AH44" s="180">
        <f>AH10/('Page 2'!$I$3*27152)</f>
        <v>0</v>
      </c>
      <c r="AJ44" s="180">
        <f>AJ10/('Page 2'!$M$3*27152)</f>
        <v>0</v>
      </c>
      <c r="AL44" s="180">
        <f>AL10/('Page 2'!$M$3*27152)</f>
        <v>0</v>
      </c>
      <c r="AN44" s="180">
        <f>AN10/('Page 2'!$M$3*27152)</f>
        <v>0</v>
      </c>
      <c r="AP44" s="180">
        <f>AP10/('Page 2'!$Q$3*27152)</f>
        <v>0</v>
      </c>
      <c r="AR44" s="180">
        <f>AR10/('Page 2'!$Q$3*27152)</f>
        <v>0</v>
      </c>
      <c r="AT44" s="180">
        <f>AT10/('Page 2'!$Q$3*27152)</f>
        <v>0</v>
      </c>
      <c r="AV44" s="180">
        <f>AV10/('Page 2'!$U$3*27152)</f>
        <v>0</v>
      </c>
      <c r="AX44" s="180">
        <f>AX10/('Page 2'!$U$3*27152)</f>
        <v>0</v>
      </c>
      <c r="AZ44" s="180">
        <f>AZ10/('Page 2'!$U$3*27152)</f>
        <v>0</v>
      </c>
      <c r="BB44" s="180">
        <f>BB10/('Page 3'!$I$3*27152)</f>
        <v>0</v>
      </c>
      <c r="BD44" s="180">
        <f>BD10/('Page 3'!$I$3*27152)</f>
        <v>0</v>
      </c>
      <c r="BF44" s="180">
        <f>BF10/('Page 3'!$I$3*27152)</f>
        <v>0</v>
      </c>
      <c r="BH44" s="180">
        <f>BH10/('Page 3'!$M$3*27152)</f>
        <v>0</v>
      </c>
      <c r="BJ44" s="180">
        <f>BJ10/('Page 3'!$M$3*27152)</f>
        <v>0</v>
      </c>
      <c r="BL44" s="180">
        <f>BL10/('Page 3'!$M$3*27152)</f>
        <v>0</v>
      </c>
      <c r="BN44" s="180">
        <f>BN10/('Page 3'!$Q$3*27152)</f>
        <v>0</v>
      </c>
      <c r="BP44" s="180">
        <f>BP10/('Page 3'!$Q$3*27152)</f>
        <v>0</v>
      </c>
      <c r="BR44" s="180">
        <f>BR10/('Page 3'!$Q$3*27152)</f>
        <v>0</v>
      </c>
      <c r="BT44" s="180">
        <f>BT10/('Page 3'!$U$3*27152)</f>
        <v>0</v>
      </c>
      <c r="BV44" s="180">
        <f>BV10/('Page 3'!$U$3*27152)</f>
        <v>0</v>
      </c>
      <c r="BX44" s="180">
        <f>BX10/('Page 3'!$U$3*27152)</f>
        <v>0</v>
      </c>
      <c r="BZ44" s="180">
        <f>BZ10/('Page 4'!$I$3*27152)</f>
        <v>0</v>
      </c>
      <c r="CB44" s="180">
        <f>CB10/('Page 4'!$I$3*27152)</f>
        <v>0</v>
      </c>
      <c r="CD44" s="180">
        <f>CD10/('Page 4'!$I$3*27152)</f>
        <v>0</v>
      </c>
      <c r="CF44" s="180">
        <f>CF10/('Page 4'!$M$3*27152)</f>
        <v>0</v>
      </c>
      <c r="CH44" s="180">
        <f>CH10/('Page 4'!$M$3*27152)</f>
        <v>0</v>
      </c>
      <c r="CJ44" s="180">
        <f>CJ10/('Page 4'!$M$3*27152)</f>
        <v>0</v>
      </c>
      <c r="CL44" s="180">
        <f>CL10/('Page 4'!$Q$3*27152)</f>
        <v>0</v>
      </c>
      <c r="CN44" s="180">
        <f>CN10/('Page 4'!$Q$3*27152)</f>
        <v>0</v>
      </c>
      <c r="CP44" s="180">
        <f>CP10/('Page 4'!$Q$3*27152)</f>
        <v>0</v>
      </c>
      <c r="CR44" s="180">
        <f>CR10/('Page 4'!$U$3*27152)</f>
        <v>0</v>
      </c>
      <c r="CT44" s="180">
        <f>CT10/('Page 4'!$U$3*27152)</f>
        <v>0</v>
      </c>
      <c r="CV44" s="180">
        <f>CV10/('Page 4'!$U$3*27152)</f>
        <v>0</v>
      </c>
    </row>
    <row r="45" spans="1:101" ht="16.5" hidden="1" customHeight="1">
      <c r="A45" s="101">
        <v>8</v>
      </c>
      <c r="F45" s="180">
        <f>F11/('Page 1'!$I$3*27152)</f>
        <v>0</v>
      </c>
      <c r="H45" s="180">
        <f>H11/('Page 1'!$I$3*27152)</f>
        <v>0</v>
      </c>
      <c r="J45" s="180">
        <f>J11/('Page 1'!$I$3*27152)</f>
        <v>0</v>
      </c>
      <c r="L45" s="180">
        <f>L11/('Page 1'!$M$3*27152)</f>
        <v>0</v>
      </c>
      <c r="N45" s="180">
        <f>N11/('Page 1'!$M$3*27152)</f>
        <v>0</v>
      </c>
      <c r="P45" s="180">
        <f>P11/('Page 1'!$M$3*27152)</f>
        <v>0</v>
      </c>
      <c r="R45" s="180">
        <f>R11/('Page 1'!$Q$3*27152)</f>
        <v>0</v>
      </c>
      <c r="T45" s="180">
        <f>T11/('Page 1'!$Q$3*27152)</f>
        <v>0</v>
      </c>
      <c r="V45" s="180">
        <f>V11/('Page 1'!$Q$3*27152)</f>
        <v>0</v>
      </c>
      <c r="X45" s="180">
        <f>X11/('Page 1'!$U$3*27152)</f>
        <v>0</v>
      </c>
      <c r="Z45" s="180">
        <f>Z11/('Page 1'!$U$3*27152)</f>
        <v>0</v>
      </c>
      <c r="AB45" s="180">
        <f>AB11/('Page 1'!$U$3*27152)</f>
        <v>0</v>
      </c>
      <c r="AD45" s="180">
        <f>AD11/('Page 2'!$I$3*27152)</f>
        <v>0</v>
      </c>
      <c r="AF45" s="180">
        <f>AF11/('Page 2'!$I$3*27152)</f>
        <v>0</v>
      </c>
      <c r="AH45" s="180">
        <f>AH11/('Page 2'!$I$3*27152)</f>
        <v>0</v>
      </c>
      <c r="AJ45" s="180">
        <f>AJ11/('Page 2'!$M$3*27152)</f>
        <v>0</v>
      </c>
      <c r="AL45" s="180">
        <f>AL11/('Page 2'!$M$3*27152)</f>
        <v>0</v>
      </c>
      <c r="AN45" s="180">
        <f>AN11/('Page 2'!$M$3*27152)</f>
        <v>0</v>
      </c>
      <c r="AP45" s="180">
        <f>AP11/('Page 2'!$Q$3*27152)</f>
        <v>0</v>
      </c>
      <c r="AR45" s="180">
        <f>AR11/('Page 2'!$Q$3*27152)</f>
        <v>0</v>
      </c>
      <c r="AT45" s="180">
        <f>AT11/('Page 2'!$Q$3*27152)</f>
        <v>0</v>
      </c>
      <c r="AV45" s="180">
        <f>AV11/('Page 2'!$U$3*27152)</f>
        <v>0</v>
      </c>
      <c r="AX45" s="180">
        <f>AX11/('Page 2'!$U$3*27152)</f>
        <v>0</v>
      </c>
      <c r="AZ45" s="180">
        <f>AZ11/('Page 2'!$U$3*27152)</f>
        <v>0</v>
      </c>
      <c r="BB45" s="180">
        <f>BB11/('Page 3'!$I$3*27152)</f>
        <v>0</v>
      </c>
      <c r="BD45" s="180">
        <f>BD11/('Page 3'!$I$3*27152)</f>
        <v>0</v>
      </c>
      <c r="BF45" s="180">
        <f>BF11/('Page 3'!$I$3*27152)</f>
        <v>0</v>
      </c>
      <c r="BH45" s="180">
        <f>BH11/('Page 3'!$M$3*27152)</f>
        <v>0</v>
      </c>
      <c r="BJ45" s="180">
        <f>BJ11/('Page 3'!$M$3*27152)</f>
        <v>0</v>
      </c>
      <c r="BL45" s="180">
        <f>BL11/('Page 3'!$M$3*27152)</f>
        <v>0</v>
      </c>
      <c r="BN45" s="180">
        <f>BN11/('Page 3'!$Q$3*27152)</f>
        <v>0</v>
      </c>
      <c r="BP45" s="180">
        <f>BP11/('Page 3'!$Q$3*27152)</f>
        <v>0</v>
      </c>
      <c r="BR45" s="180">
        <f>BR11/('Page 3'!$Q$3*27152)</f>
        <v>0</v>
      </c>
      <c r="BT45" s="180">
        <f>BT11/('Page 3'!$U$3*27152)</f>
        <v>0</v>
      </c>
      <c r="BV45" s="180">
        <f>BV11/('Page 3'!$U$3*27152)</f>
        <v>0</v>
      </c>
      <c r="BX45" s="180">
        <f>BX11/('Page 3'!$U$3*27152)</f>
        <v>0</v>
      </c>
      <c r="BZ45" s="180">
        <f>BZ11/('Page 4'!$I$3*27152)</f>
        <v>0</v>
      </c>
      <c r="CB45" s="180">
        <f>CB11/('Page 4'!$I$3*27152)</f>
        <v>0</v>
      </c>
      <c r="CD45" s="180">
        <f>CD11/('Page 4'!$I$3*27152)</f>
        <v>0</v>
      </c>
      <c r="CF45" s="180">
        <f>CF11/('Page 4'!$M$3*27152)</f>
        <v>0</v>
      </c>
      <c r="CH45" s="180">
        <f>CH11/('Page 4'!$M$3*27152)</f>
        <v>0</v>
      </c>
      <c r="CJ45" s="180">
        <f>CJ11/('Page 4'!$M$3*27152)</f>
        <v>0</v>
      </c>
      <c r="CL45" s="180">
        <f>CL11/('Page 4'!$Q$3*27152)</f>
        <v>0</v>
      </c>
      <c r="CN45" s="180">
        <f>CN11/('Page 4'!$Q$3*27152)</f>
        <v>0</v>
      </c>
      <c r="CP45" s="180">
        <f>CP11/('Page 4'!$Q$3*27152)</f>
        <v>0</v>
      </c>
      <c r="CR45" s="180">
        <f>CR11/('Page 4'!$U$3*27152)</f>
        <v>0</v>
      </c>
      <c r="CT45" s="180">
        <f>CT11/('Page 4'!$U$3*27152)</f>
        <v>0</v>
      </c>
      <c r="CV45" s="180">
        <f>CV11/('Page 4'!$U$3*27152)</f>
        <v>0</v>
      </c>
    </row>
    <row r="46" spans="1:101" ht="16.5" hidden="1" customHeight="1">
      <c r="A46" s="101">
        <v>9</v>
      </c>
      <c r="F46" s="180">
        <f>F12/('Page 1'!$I$3*27152)</f>
        <v>0</v>
      </c>
      <c r="H46" s="180">
        <f>H12/('Page 1'!$I$3*27152)</f>
        <v>0</v>
      </c>
      <c r="J46" s="180">
        <f>J12/('Page 1'!$I$3*27152)</f>
        <v>0</v>
      </c>
      <c r="L46" s="180">
        <f>L12/('Page 1'!$M$3*27152)</f>
        <v>0</v>
      </c>
      <c r="N46" s="180">
        <f>N12/('Page 1'!$M$3*27152)</f>
        <v>0</v>
      </c>
      <c r="P46" s="180">
        <f>P12/('Page 1'!$M$3*27152)</f>
        <v>0</v>
      </c>
      <c r="R46" s="180">
        <f>R12/('Page 1'!$Q$3*27152)</f>
        <v>0</v>
      </c>
      <c r="T46" s="180">
        <f>T12/('Page 1'!$Q$3*27152)</f>
        <v>0</v>
      </c>
      <c r="V46" s="180">
        <f>V12/('Page 1'!$Q$3*27152)</f>
        <v>0</v>
      </c>
      <c r="X46" s="180">
        <f>X12/('Page 1'!$U$3*27152)</f>
        <v>0</v>
      </c>
      <c r="Z46" s="180">
        <f>Z12/('Page 1'!$U$3*27152)</f>
        <v>0</v>
      </c>
      <c r="AB46" s="180">
        <f>AB12/('Page 1'!$U$3*27152)</f>
        <v>0</v>
      </c>
      <c r="AD46" s="180">
        <f>AD12/('Page 2'!$I$3*27152)</f>
        <v>0</v>
      </c>
      <c r="AF46" s="180">
        <f>AF12/('Page 2'!$I$3*27152)</f>
        <v>0</v>
      </c>
      <c r="AH46" s="180">
        <f>AH12/('Page 2'!$I$3*27152)</f>
        <v>0</v>
      </c>
      <c r="AJ46" s="180">
        <f>AJ12/('Page 2'!$M$3*27152)</f>
        <v>0</v>
      </c>
      <c r="AL46" s="180">
        <f>AL12/('Page 2'!$M$3*27152)</f>
        <v>0</v>
      </c>
      <c r="AN46" s="180">
        <f>AN12/('Page 2'!$M$3*27152)</f>
        <v>0</v>
      </c>
      <c r="AP46" s="180">
        <f>AP12/('Page 2'!$Q$3*27152)</f>
        <v>0</v>
      </c>
      <c r="AR46" s="180">
        <f>AR12/('Page 2'!$Q$3*27152)</f>
        <v>0</v>
      </c>
      <c r="AT46" s="180">
        <f>AT12/('Page 2'!$Q$3*27152)</f>
        <v>0</v>
      </c>
      <c r="AV46" s="180">
        <f>AV12/('Page 2'!$U$3*27152)</f>
        <v>0</v>
      </c>
      <c r="AX46" s="180">
        <f>AX12/('Page 2'!$U$3*27152)</f>
        <v>0</v>
      </c>
      <c r="AZ46" s="180">
        <f>AZ12/('Page 2'!$U$3*27152)</f>
        <v>0</v>
      </c>
      <c r="BB46" s="180">
        <f>BB12/('Page 3'!$I$3*27152)</f>
        <v>0</v>
      </c>
      <c r="BD46" s="180">
        <f>BD12/('Page 3'!$I$3*27152)</f>
        <v>0</v>
      </c>
      <c r="BF46" s="180">
        <f>BF12/('Page 3'!$I$3*27152)</f>
        <v>0</v>
      </c>
      <c r="BH46" s="180">
        <f>BH12/('Page 3'!$M$3*27152)</f>
        <v>0</v>
      </c>
      <c r="BJ46" s="180">
        <f>BJ12/('Page 3'!$M$3*27152)</f>
        <v>0</v>
      </c>
      <c r="BL46" s="180">
        <f>BL12/('Page 3'!$M$3*27152)</f>
        <v>0</v>
      </c>
      <c r="BN46" s="180">
        <f>BN12/('Page 3'!$Q$3*27152)</f>
        <v>0</v>
      </c>
      <c r="BP46" s="180">
        <f>BP12/('Page 3'!$Q$3*27152)</f>
        <v>0</v>
      </c>
      <c r="BR46" s="180">
        <f>BR12/('Page 3'!$Q$3*27152)</f>
        <v>0</v>
      </c>
      <c r="BT46" s="180">
        <f>BT12/('Page 3'!$U$3*27152)</f>
        <v>0</v>
      </c>
      <c r="BV46" s="180">
        <f>BV12/('Page 3'!$U$3*27152)</f>
        <v>0</v>
      </c>
      <c r="BX46" s="180">
        <f>BX12/('Page 3'!$U$3*27152)</f>
        <v>0</v>
      </c>
      <c r="BZ46" s="180">
        <f>BZ12/('Page 4'!$I$3*27152)</f>
        <v>0</v>
      </c>
      <c r="CB46" s="180">
        <f>CB12/('Page 4'!$I$3*27152)</f>
        <v>0</v>
      </c>
      <c r="CD46" s="180">
        <f>CD12/('Page 4'!$I$3*27152)</f>
        <v>0</v>
      </c>
      <c r="CF46" s="180">
        <f>CF12/('Page 4'!$M$3*27152)</f>
        <v>0</v>
      </c>
      <c r="CH46" s="180">
        <f>CH12/('Page 4'!$M$3*27152)</f>
        <v>0</v>
      </c>
      <c r="CJ46" s="180">
        <f>CJ12/('Page 4'!$M$3*27152)</f>
        <v>0</v>
      </c>
      <c r="CL46" s="180">
        <f>CL12/('Page 4'!$Q$3*27152)</f>
        <v>0</v>
      </c>
      <c r="CN46" s="180">
        <f>CN12/('Page 4'!$Q$3*27152)</f>
        <v>0</v>
      </c>
      <c r="CP46" s="180">
        <f>CP12/('Page 4'!$Q$3*27152)</f>
        <v>0</v>
      </c>
      <c r="CR46" s="180">
        <f>CR12/('Page 4'!$U$3*27152)</f>
        <v>0</v>
      </c>
      <c r="CT46" s="180">
        <f>CT12/('Page 4'!$U$3*27152)</f>
        <v>0</v>
      </c>
      <c r="CV46" s="180">
        <f>CV12/('Page 4'!$U$3*27152)</f>
        <v>0</v>
      </c>
    </row>
    <row r="47" spans="1:101" ht="16.5" hidden="1" customHeight="1">
      <c r="A47" s="101">
        <v>10</v>
      </c>
      <c r="F47" s="180">
        <f>F13/('Page 1'!$I$3*27152)</f>
        <v>0</v>
      </c>
      <c r="H47" s="180">
        <f>H13/('Page 1'!$I$3*27152)</f>
        <v>0</v>
      </c>
      <c r="J47" s="180">
        <f>J13/('Page 1'!$I$3*27152)</f>
        <v>0</v>
      </c>
      <c r="L47" s="180">
        <f>L13/('Page 1'!$M$3*27152)</f>
        <v>0</v>
      </c>
      <c r="N47" s="180">
        <f>N13/('Page 1'!$M$3*27152)</f>
        <v>0</v>
      </c>
      <c r="P47" s="180">
        <f>P13/('Page 1'!$M$3*27152)</f>
        <v>0</v>
      </c>
      <c r="R47" s="180">
        <f>R13/('Page 1'!$Q$3*27152)</f>
        <v>0</v>
      </c>
      <c r="T47" s="180">
        <f>T13/('Page 1'!$Q$3*27152)</f>
        <v>0</v>
      </c>
      <c r="V47" s="180">
        <f>V13/('Page 1'!$Q$3*27152)</f>
        <v>0</v>
      </c>
      <c r="X47" s="180">
        <f>X13/('Page 1'!$U$3*27152)</f>
        <v>0</v>
      </c>
      <c r="Z47" s="180">
        <f>Z13/('Page 1'!$U$3*27152)</f>
        <v>0</v>
      </c>
      <c r="AB47" s="180">
        <f>AB13/('Page 1'!$U$3*27152)</f>
        <v>0</v>
      </c>
      <c r="AD47" s="180">
        <f>AD13/('Page 2'!$I$3*27152)</f>
        <v>0</v>
      </c>
      <c r="AF47" s="180">
        <f>AF13/('Page 2'!$I$3*27152)</f>
        <v>0</v>
      </c>
      <c r="AH47" s="180">
        <f>AH13/('Page 2'!$I$3*27152)</f>
        <v>0</v>
      </c>
      <c r="AJ47" s="180">
        <f>AJ13/('Page 2'!$M$3*27152)</f>
        <v>0</v>
      </c>
      <c r="AL47" s="180">
        <f>AL13/('Page 2'!$M$3*27152)</f>
        <v>0</v>
      </c>
      <c r="AN47" s="180">
        <f>AN13/('Page 2'!$M$3*27152)</f>
        <v>0</v>
      </c>
      <c r="AP47" s="180">
        <f>AP13/('Page 2'!$Q$3*27152)</f>
        <v>0</v>
      </c>
      <c r="AR47" s="180">
        <f>AR13/('Page 2'!$Q$3*27152)</f>
        <v>0</v>
      </c>
      <c r="AT47" s="180">
        <f>AT13/('Page 2'!$Q$3*27152)</f>
        <v>0</v>
      </c>
      <c r="AV47" s="180">
        <f>AV13/('Page 2'!$U$3*27152)</f>
        <v>0</v>
      </c>
      <c r="AX47" s="180">
        <f>AX13/('Page 2'!$U$3*27152)</f>
        <v>0</v>
      </c>
      <c r="AZ47" s="180">
        <f>AZ13/('Page 2'!$U$3*27152)</f>
        <v>0</v>
      </c>
      <c r="BB47" s="180">
        <f>BB13/('Page 3'!$I$3*27152)</f>
        <v>0</v>
      </c>
      <c r="BD47" s="180">
        <f>BD13/('Page 3'!$I$3*27152)</f>
        <v>0</v>
      </c>
      <c r="BF47" s="180">
        <f>BF13/('Page 3'!$I$3*27152)</f>
        <v>0</v>
      </c>
      <c r="BH47" s="180">
        <f>BH13/('Page 3'!$M$3*27152)</f>
        <v>0</v>
      </c>
      <c r="BJ47" s="180">
        <f>BJ13/('Page 3'!$M$3*27152)</f>
        <v>0</v>
      </c>
      <c r="BL47" s="180">
        <f>BL13/('Page 3'!$M$3*27152)</f>
        <v>0</v>
      </c>
      <c r="BN47" s="180">
        <f>BN13/('Page 3'!$Q$3*27152)</f>
        <v>0</v>
      </c>
      <c r="BP47" s="180">
        <f>BP13/('Page 3'!$Q$3*27152)</f>
        <v>0</v>
      </c>
      <c r="BR47" s="180">
        <f>BR13/('Page 3'!$Q$3*27152)</f>
        <v>0</v>
      </c>
      <c r="BT47" s="180">
        <f>BT13/('Page 3'!$U$3*27152)</f>
        <v>0</v>
      </c>
      <c r="BV47" s="180">
        <f>BV13/('Page 3'!$U$3*27152)</f>
        <v>0</v>
      </c>
      <c r="BX47" s="180">
        <f>BX13/('Page 3'!$U$3*27152)</f>
        <v>0</v>
      </c>
      <c r="BZ47" s="180">
        <f>BZ13/('Page 4'!$I$3*27152)</f>
        <v>0</v>
      </c>
      <c r="CB47" s="180">
        <f>CB13/('Page 4'!$I$3*27152)</f>
        <v>0</v>
      </c>
      <c r="CD47" s="180">
        <f>CD13/('Page 4'!$I$3*27152)</f>
        <v>0</v>
      </c>
      <c r="CF47" s="180">
        <f>CF13/('Page 4'!$M$3*27152)</f>
        <v>0</v>
      </c>
      <c r="CH47" s="180">
        <f>CH13/('Page 4'!$M$3*27152)</f>
        <v>0</v>
      </c>
      <c r="CJ47" s="180">
        <f>CJ13/('Page 4'!$M$3*27152)</f>
        <v>0</v>
      </c>
      <c r="CL47" s="180">
        <f>CL13/('Page 4'!$Q$3*27152)</f>
        <v>0</v>
      </c>
      <c r="CN47" s="180">
        <f>CN13/('Page 4'!$Q$3*27152)</f>
        <v>0</v>
      </c>
      <c r="CP47" s="180">
        <f>CP13/('Page 4'!$Q$3*27152)</f>
        <v>0</v>
      </c>
      <c r="CR47" s="180">
        <f>CR13/('Page 4'!$U$3*27152)</f>
        <v>0</v>
      </c>
      <c r="CT47" s="180">
        <f>CT13/('Page 4'!$U$3*27152)</f>
        <v>0</v>
      </c>
      <c r="CV47" s="180">
        <f>CV13/('Page 4'!$U$3*27152)</f>
        <v>0</v>
      </c>
    </row>
    <row r="48" spans="1:101" ht="16.5" hidden="1" customHeight="1">
      <c r="A48" s="101">
        <v>11</v>
      </c>
      <c r="F48" s="180">
        <f>F14/('Page 1'!$I$3*27152)</f>
        <v>0</v>
      </c>
      <c r="H48" s="180">
        <f>H14/('Page 1'!$I$3*27152)</f>
        <v>0</v>
      </c>
      <c r="J48" s="180">
        <f>J14/('Page 1'!$I$3*27152)</f>
        <v>0</v>
      </c>
      <c r="L48" s="180">
        <f>L14/('Page 1'!$M$3*27152)</f>
        <v>0</v>
      </c>
      <c r="N48" s="180">
        <f>N14/('Page 1'!$M$3*27152)</f>
        <v>0</v>
      </c>
      <c r="P48" s="180">
        <f>P14/('Page 1'!$M$3*27152)</f>
        <v>0</v>
      </c>
      <c r="R48" s="180">
        <f>R14/('Page 1'!$Q$3*27152)</f>
        <v>0</v>
      </c>
      <c r="T48" s="180">
        <f>T14/('Page 1'!$Q$3*27152)</f>
        <v>0</v>
      </c>
      <c r="V48" s="180">
        <f>V14/('Page 1'!$Q$3*27152)</f>
        <v>0</v>
      </c>
      <c r="X48" s="180">
        <f>X14/('Page 1'!$U$3*27152)</f>
        <v>0</v>
      </c>
      <c r="Z48" s="180">
        <f>Z14/('Page 1'!$U$3*27152)</f>
        <v>0</v>
      </c>
      <c r="AB48" s="180">
        <f>AB14/('Page 1'!$U$3*27152)</f>
        <v>0</v>
      </c>
      <c r="AD48" s="180">
        <f>AD14/('Page 2'!$I$3*27152)</f>
        <v>0</v>
      </c>
      <c r="AF48" s="180">
        <f>AF14/('Page 2'!$I$3*27152)</f>
        <v>0</v>
      </c>
      <c r="AH48" s="180">
        <f>AH14/('Page 2'!$I$3*27152)</f>
        <v>0</v>
      </c>
      <c r="AJ48" s="180">
        <f>AJ14/('Page 2'!$M$3*27152)</f>
        <v>0</v>
      </c>
      <c r="AL48" s="180">
        <f>AL14/('Page 2'!$M$3*27152)</f>
        <v>0</v>
      </c>
      <c r="AN48" s="180">
        <f>AN14/('Page 2'!$M$3*27152)</f>
        <v>0</v>
      </c>
      <c r="AP48" s="180">
        <f>AP14/('Page 2'!$Q$3*27152)</f>
        <v>0</v>
      </c>
      <c r="AR48" s="180">
        <f>AR14/('Page 2'!$Q$3*27152)</f>
        <v>0</v>
      </c>
      <c r="AT48" s="180">
        <f>AT14/('Page 2'!$Q$3*27152)</f>
        <v>0</v>
      </c>
      <c r="AV48" s="180">
        <f>AV14/('Page 2'!$U$3*27152)</f>
        <v>0</v>
      </c>
      <c r="AX48" s="180">
        <f>AX14/('Page 2'!$U$3*27152)</f>
        <v>0</v>
      </c>
      <c r="AZ48" s="180">
        <f>AZ14/('Page 2'!$U$3*27152)</f>
        <v>0</v>
      </c>
      <c r="BB48" s="180">
        <f>BB14/('Page 3'!$I$3*27152)</f>
        <v>0</v>
      </c>
      <c r="BD48" s="180">
        <f>BD14/('Page 3'!$I$3*27152)</f>
        <v>0</v>
      </c>
      <c r="BF48" s="180">
        <f>BF14/('Page 3'!$I$3*27152)</f>
        <v>0</v>
      </c>
      <c r="BH48" s="180">
        <f>BH14/('Page 3'!$M$3*27152)</f>
        <v>0</v>
      </c>
      <c r="BJ48" s="180">
        <f>BJ14/('Page 3'!$M$3*27152)</f>
        <v>0</v>
      </c>
      <c r="BL48" s="180">
        <f>BL14/('Page 3'!$M$3*27152)</f>
        <v>0</v>
      </c>
      <c r="BN48" s="180">
        <f>BN14/('Page 3'!$Q$3*27152)</f>
        <v>0</v>
      </c>
      <c r="BP48" s="180">
        <f>BP14/('Page 3'!$Q$3*27152)</f>
        <v>0</v>
      </c>
      <c r="BR48" s="180">
        <f>BR14/('Page 3'!$Q$3*27152)</f>
        <v>0</v>
      </c>
      <c r="BT48" s="180">
        <f>BT14/('Page 3'!$U$3*27152)</f>
        <v>0</v>
      </c>
      <c r="BV48" s="180">
        <f>BV14/('Page 3'!$U$3*27152)</f>
        <v>0</v>
      </c>
      <c r="BX48" s="180">
        <f>BX14/('Page 3'!$U$3*27152)</f>
        <v>0</v>
      </c>
      <c r="BZ48" s="180">
        <f>BZ14/('Page 4'!$I$3*27152)</f>
        <v>0</v>
      </c>
      <c r="CB48" s="180">
        <f>CB14/('Page 4'!$I$3*27152)</f>
        <v>0</v>
      </c>
      <c r="CD48" s="180">
        <f>CD14/('Page 4'!$I$3*27152)</f>
        <v>0</v>
      </c>
      <c r="CF48" s="180">
        <f>CF14/('Page 4'!$M$3*27152)</f>
        <v>0</v>
      </c>
      <c r="CH48" s="180">
        <f>CH14/('Page 4'!$M$3*27152)</f>
        <v>0</v>
      </c>
      <c r="CJ48" s="180">
        <f>CJ14/('Page 4'!$M$3*27152)</f>
        <v>0</v>
      </c>
      <c r="CL48" s="180">
        <f>CL14/('Page 4'!$Q$3*27152)</f>
        <v>0</v>
      </c>
      <c r="CN48" s="180">
        <f>CN14/('Page 4'!$Q$3*27152)</f>
        <v>0</v>
      </c>
      <c r="CP48" s="180">
        <f>CP14/('Page 4'!$Q$3*27152)</f>
        <v>0</v>
      </c>
      <c r="CR48" s="180">
        <f>CR14/('Page 4'!$U$3*27152)</f>
        <v>0</v>
      </c>
      <c r="CT48" s="180">
        <f>CT14/('Page 4'!$U$3*27152)</f>
        <v>0</v>
      </c>
      <c r="CV48" s="180">
        <f>CV14/('Page 4'!$U$3*27152)</f>
        <v>0</v>
      </c>
    </row>
    <row r="49" spans="1:100" ht="16.5" hidden="1" customHeight="1">
      <c r="A49" s="101">
        <v>12</v>
      </c>
      <c r="F49" s="180">
        <f>F15/('Page 1'!$I$3*27152)</f>
        <v>0</v>
      </c>
      <c r="H49" s="180">
        <f>H15/('Page 1'!$I$3*27152)</f>
        <v>0</v>
      </c>
      <c r="J49" s="180">
        <f>J15/('Page 1'!$I$3*27152)</f>
        <v>0</v>
      </c>
      <c r="L49" s="180">
        <f>L15/('Page 1'!$M$3*27152)</f>
        <v>0</v>
      </c>
      <c r="N49" s="180">
        <f>N15/('Page 1'!$M$3*27152)</f>
        <v>0</v>
      </c>
      <c r="P49" s="180">
        <f>P15/('Page 1'!$M$3*27152)</f>
        <v>0</v>
      </c>
      <c r="R49" s="180">
        <f>R15/('Page 1'!$Q$3*27152)</f>
        <v>0</v>
      </c>
      <c r="T49" s="180">
        <f>T15/('Page 1'!$Q$3*27152)</f>
        <v>0</v>
      </c>
      <c r="V49" s="180">
        <f>V15/('Page 1'!$Q$3*27152)</f>
        <v>0</v>
      </c>
      <c r="X49" s="180">
        <f>X15/('Page 1'!$U$3*27152)</f>
        <v>0</v>
      </c>
      <c r="Z49" s="180">
        <f>Z15/('Page 1'!$U$3*27152)</f>
        <v>0</v>
      </c>
      <c r="AB49" s="180">
        <f>AB15/('Page 1'!$U$3*27152)</f>
        <v>0</v>
      </c>
      <c r="AD49" s="180">
        <f>AD15/('Page 2'!$I$3*27152)</f>
        <v>0</v>
      </c>
      <c r="AF49" s="180">
        <f>AF15/('Page 2'!$I$3*27152)</f>
        <v>0</v>
      </c>
      <c r="AH49" s="180">
        <f>AH15/('Page 2'!$I$3*27152)</f>
        <v>0</v>
      </c>
      <c r="AJ49" s="180">
        <f>AJ15/('Page 2'!$M$3*27152)</f>
        <v>0</v>
      </c>
      <c r="AL49" s="180">
        <f>AL15/('Page 2'!$M$3*27152)</f>
        <v>0</v>
      </c>
      <c r="AN49" s="180">
        <f>AN15/('Page 2'!$M$3*27152)</f>
        <v>0</v>
      </c>
      <c r="AP49" s="180">
        <f>AP15/('Page 2'!$Q$3*27152)</f>
        <v>0</v>
      </c>
      <c r="AR49" s="180">
        <f>AR15/('Page 2'!$Q$3*27152)</f>
        <v>0</v>
      </c>
      <c r="AT49" s="180">
        <f>AT15/('Page 2'!$Q$3*27152)</f>
        <v>0</v>
      </c>
      <c r="AV49" s="180">
        <f>AV15/('Page 2'!$U$3*27152)</f>
        <v>0</v>
      </c>
      <c r="AX49" s="180">
        <f>AX15/('Page 2'!$U$3*27152)</f>
        <v>0</v>
      </c>
      <c r="AZ49" s="180">
        <f>AZ15/('Page 2'!$U$3*27152)</f>
        <v>0</v>
      </c>
      <c r="BB49" s="180">
        <f>BB15/('Page 3'!$I$3*27152)</f>
        <v>0</v>
      </c>
      <c r="BD49" s="180">
        <f>BD15/('Page 3'!$I$3*27152)</f>
        <v>0</v>
      </c>
      <c r="BF49" s="180">
        <f>BF15/('Page 3'!$I$3*27152)</f>
        <v>0</v>
      </c>
      <c r="BH49" s="180">
        <f>BH15/('Page 3'!$M$3*27152)</f>
        <v>0</v>
      </c>
      <c r="BJ49" s="180">
        <f>BJ15/('Page 3'!$M$3*27152)</f>
        <v>0</v>
      </c>
      <c r="BL49" s="180">
        <f>BL15/('Page 3'!$M$3*27152)</f>
        <v>0</v>
      </c>
      <c r="BN49" s="180">
        <f>BN15/('Page 3'!$Q$3*27152)</f>
        <v>0</v>
      </c>
      <c r="BP49" s="180">
        <f>BP15/('Page 3'!$Q$3*27152)</f>
        <v>0</v>
      </c>
      <c r="BR49" s="180">
        <f>BR15/('Page 3'!$Q$3*27152)</f>
        <v>0</v>
      </c>
      <c r="BT49" s="180">
        <f>BT15/('Page 3'!$U$3*27152)</f>
        <v>0</v>
      </c>
      <c r="BV49" s="180">
        <f>BV15/('Page 3'!$U$3*27152)</f>
        <v>0</v>
      </c>
      <c r="BX49" s="180">
        <f>BX15/('Page 3'!$U$3*27152)</f>
        <v>0</v>
      </c>
      <c r="BZ49" s="180">
        <f>BZ15/('Page 4'!$I$3*27152)</f>
        <v>0</v>
      </c>
      <c r="CB49" s="180">
        <f>CB15/('Page 4'!$I$3*27152)</f>
        <v>0</v>
      </c>
      <c r="CD49" s="180">
        <f>CD15/('Page 4'!$I$3*27152)</f>
        <v>0</v>
      </c>
      <c r="CF49" s="180">
        <f>CF15/('Page 4'!$M$3*27152)</f>
        <v>0</v>
      </c>
      <c r="CH49" s="180">
        <f>CH15/('Page 4'!$M$3*27152)</f>
        <v>0</v>
      </c>
      <c r="CJ49" s="180">
        <f>CJ15/('Page 4'!$M$3*27152)</f>
        <v>0</v>
      </c>
      <c r="CL49" s="180">
        <f>CL15/('Page 4'!$Q$3*27152)</f>
        <v>0</v>
      </c>
      <c r="CN49" s="180">
        <f>CN15/('Page 4'!$Q$3*27152)</f>
        <v>0</v>
      </c>
      <c r="CP49" s="180">
        <f>CP15/('Page 4'!$Q$3*27152)</f>
        <v>0</v>
      </c>
      <c r="CR49" s="180">
        <f>CR15/('Page 4'!$U$3*27152)</f>
        <v>0</v>
      </c>
      <c r="CT49" s="180">
        <f>CT15/('Page 4'!$U$3*27152)</f>
        <v>0</v>
      </c>
      <c r="CV49" s="180">
        <f>CV15/('Page 4'!$U$3*27152)</f>
        <v>0</v>
      </c>
    </row>
    <row r="50" spans="1:100" ht="16.5" hidden="1" customHeight="1">
      <c r="A50" s="101">
        <v>13</v>
      </c>
      <c r="F50" s="180">
        <f>F16/('Page 1'!$I$3*27152)</f>
        <v>0</v>
      </c>
      <c r="H50" s="180">
        <f>H16/('Page 1'!$I$3*27152)</f>
        <v>0</v>
      </c>
      <c r="J50" s="180">
        <f>J16/('Page 1'!$I$3*27152)</f>
        <v>0</v>
      </c>
      <c r="L50" s="180">
        <f>L16/('Page 1'!$M$3*27152)</f>
        <v>0</v>
      </c>
      <c r="N50" s="180">
        <f>N16/('Page 1'!$M$3*27152)</f>
        <v>0</v>
      </c>
      <c r="P50" s="180">
        <f>P16/('Page 1'!$M$3*27152)</f>
        <v>0</v>
      </c>
      <c r="R50" s="180">
        <f>R16/('Page 1'!$Q$3*27152)</f>
        <v>0</v>
      </c>
      <c r="T50" s="180">
        <f>T16/('Page 1'!$Q$3*27152)</f>
        <v>0</v>
      </c>
      <c r="V50" s="180">
        <f>V16/('Page 1'!$Q$3*27152)</f>
        <v>0</v>
      </c>
      <c r="X50" s="180">
        <f>X16/('Page 1'!$U$3*27152)</f>
        <v>0</v>
      </c>
      <c r="Z50" s="180">
        <f>Z16/('Page 1'!$U$3*27152)</f>
        <v>0</v>
      </c>
      <c r="AB50" s="180">
        <f>AB16/('Page 1'!$U$3*27152)</f>
        <v>0</v>
      </c>
      <c r="AD50" s="180">
        <f>AD16/('Page 2'!$I$3*27152)</f>
        <v>0</v>
      </c>
      <c r="AF50" s="180">
        <f>AF16/('Page 2'!$I$3*27152)</f>
        <v>0</v>
      </c>
      <c r="AH50" s="180">
        <f>AH16/('Page 2'!$I$3*27152)</f>
        <v>0</v>
      </c>
      <c r="AJ50" s="180">
        <f>AJ16/('Page 2'!$M$3*27152)</f>
        <v>0</v>
      </c>
      <c r="AL50" s="180">
        <f>AL16/('Page 2'!$M$3*27152)</f>
        <v>0</v>
      </c>
      <c r="AN50" s="180">
        <f>AN16/('Page 2'!$M$3*27152)</f>
        <v>0</v>
      </c>
      <c r="AP50" s="180">
        <f>AP16/('Page 2'!$Q$3*27152)</f>
        <v>0</v>
      </c>
      <c r="AR50" s="180">
        <f>AR16/('Page 2'!$Q$3*27152)</f>
        <v>0</v>
      </c>
      <c r="AT50" s="180">
        <f>AT16/('Page 2'!$Q$3*27152)</f>
        <v>0</v>
      </c>
      <c r="AV50" s="180">
        <f>AV16/('Page 2'!$U$3*27152)</f>
        <v>0</v>
      </c>
      <c r="AX50" s="180">
        <f>AX16/('Page 2'!$U$3*27152)</f>
        <v>0</v>
      </c>
      <c r="AZ50" s="180">
        <f>AZ16/('Page 2'!$U$3*27152)</f>
        <v>0</v>
      </c>
      <c r="BB50" s="180">
        <f>BB16/('Page 3'!$I$3*27152)</f>
        <v>0</v>
      </c>
      <c r="BD50" s="180">
        <f>BD16/('Page 3'!$I$3*27152)</f>
        <v>0</v>
      </c>
      <c r="BF50" s="180">
        <f>BF16/('Page 3'!$I$3*27152)</f>
        <v>0</v>
      </c>
      <c r="BH50" s="180">
        <f>BH16/('Page 3'!$M$3*27152)</f>
        <v>0</v>
      </c>
      <c r="BJ50" s="180">
        <f>BJ16/('Page 3'!$M$3*27152)</f>
        <v>0</v>
      </c>
      <c r="BL50" s="180">
        <f>BL16/('Page 3'!$M$3*27152)</f>
        <v>0</v>
      </c>
      <c r="BN50" s="180">
        <f>BN16/('Page 3'!$Q$3*27152)</f>
        <v>0</v>
      </c>
      <c r="BP50" s="180">
        <f>BP16/('Page 3'!$Q$3*27152)</f>
        <v>0</v>
      </c>
      <c r="BR50" s="180">
        <f>BR16/('Page 3'!$Q$3*27152)</f>
        <v>0</v>
      </c>
      <c r="BT50" s="180">
        <f>BT16/('Page 3'!$U$3*27152)</f>
        <v>0</v>
      </c>
      <c r="BV50" s="180">
        <f>BV16/('Page 3'!$U$3*27152)</f>
        <v>0</v>
      </c>
      <c r="BX50" s="180">
        <f>BX16/('Page 3'!$U$3*27152)</f>
        <v>0</v>
      </c>
      <c r="BZ50" s="180">
        <f>BZ16/('Page 4'!$I$3*27152)</f>
        <v>0</v>
      </c>
      <c r="CB50" s="180">
        <f>CB16/('Page 4'!$I$3*27152)</f>
        <v>0</v>
      </c>
      <c r="CD50" s="180">
        <f>CD16/('Page 4'!$I$3*27152)</f>
        <v>0</v>
      </c>
      <c r="CF50" s="180">
        <f>CF16/('Page 4'!$M$3*27152)</f>
        <v>0</v>
      </c>
      <c r="CH50" s="180">
        <f>CH16/('Page 4'!$M$3*27152)</f>
        <v>0</v>
      </c>
      <c r="CJ50" s="180">
        <f>CJ16/('Page 4'!$M$3*27152)</f>
        <v>0</v>
      </c>
      <c r="CL50" s="180">
        <f>CL16/('Page 4'!$Q$3*27152)</f>
        <v>0</v>
      </c>
      <c r="CN50" s="180">
        <f>CN16/('Page 4'!$Q$3*27152)</f>
        <v>0</v>
      </c>
      <c r="CP50" s="180">
        <f>CP16/('Page 4'!$Q$3*27152)</f>
        <v>0</v>
      </c>
      <c r="CR50" s="180">
        <f>CR16/('Page 4'!$U$3*27152)</f>
        <v>0</v>
      </c>
      <c r="CT50" s="180">
        <f>CT16/('Page 4'!$U$3*27152)</f>
        <v>0</v>
      </c>
      <c r="CV50" s="180">
        <f>CV16/('Page 4'!$U$3*27152)</f>
        <v>0</v>
      </c>
    </row>
    <row r="51" spans="1:100" ht="16.5" hidden="1" customHeight="1">
      <c r="A51" s="101">
        <v>14</v>
      </c>
      <c r="F51" s="180">
        <f>F17/('Page 1'!$I$3*27152)</f>
        <v>0</v>
      </c>
      <c r="H51" s="180">
        <f>H17/('Page 1'!$I$3*27152)</f>
        <v>0</v>
      </c>
      <c r="J51" s="180">
        <f>J17/('Page 1'!$I$3*27152)</f>
        <v>0</v>
      </c>
      <c r="L51" s="180">
        <f>L17/('Page 1'!$M$3*27152)</f>
        <v>0</v>
      </c>
      <c r="N51" s="180">
        <f>N17/('Page 1'!$M$3*27152)</f>
        <v>0</v>
      </c>
      <c r="P51" s="180">
        <f>P17/('Page 1'!$M$3*27152)</f>
        <v>0</v>
      </c>
      <c r="R51" s="180">
        <f>R17/('Page 1'!$Q$3*27152)</f>
        <v>0</v>
      </c>
      <c r="T51" s="180">
        <f>T17/('Page 1'!$Q$3*27152)</f>
        <v>0</v>
      </c>
      <c r="V51" s="180">
        <f>V17/('Page 1'!$Q$3*27152)</f>
        <v>0</v>
      </c>
      <c r="X51" s="180">
        <f>X17/('Page 1'!$U$3*27152)</f>
        <v>0</v>
      </c>
      <c r="Z51" s="180">
        <f>Z17/('Page 1'!$U$3*27152)</f>
        <v>0</v>
      </c>
      <c r="AB51" s="180">
        <f>AB17/('Page 1'!$U$3*27152)</f>
        <v>0</v>
      </c>
      <c r="AD51" s="180">
        <f>AD17/('Page 2'!$I$3*27152)</f>
        <v>0</v>
      </c>
      <c r="AF51" s="180">
        <f>AF17/('Page 2'!$I$3*27152)</f>
        <v>0</v>
      </c>
      <c r="AH51" s="180">
        <f>AH17/('Page 2'!$I$3*27152)</f>
        <v>0</v>
      </c>
      <c r="AJ51" s="180">
        <f>AJ17/('Page 2'!$M$3*27152)</f>
        <v>0</v>
      </c>
      <c r="AL51" s="180">
        <f>AL17/('Page 2'!$M$3*27152)</f>
        <v>0</v>
      </c>
      <c r="AN51" s="180">
        <f>AN17/('Page 2'!$M$3*27152)</f>
        <v>0</v>
      </c>
      <c r="AP51" s="180">
        <f>AP17/('Page 2'!$Q$3*27152)</f>
        <v>0</v>
      </c>
      <c r="AR51" s="180">
        <f>AR17/('Page 2'!$Q$3*27152)</f>
        <v>0</v>
      </c>
      <c r="AT51" s="180">
        <f>AT17/('Page 2'!$Q$3*27152)</f>
        <v>0</v>
      </c>
      <c r="AV51" s="180">
        <f>AV17/('Page 2'!$U$3*27152)</f>
        <v>0</v>
      </c>
      <c r="AX51" s="180">
        <f>AX17/('Page 2'!$U$3*27152)</f>
        <v>0</v>
      </c>
      <c r="AZ51" s="180">
        <f>AZ17/('Page 2'!$U$3*27152)</f>
        <v>0</v>
      </c>
      <c r="BB51" s="180">
        <f>BB17/('Page 3'!$I$3*27152)</f>
        <v>0</v>
      </c>
      <c r="BD51" s="180">
        <f>BD17/('Page 3'!$I$3*27152)</f>
        <v>0</v>
      </c>
      <c r="BF51" s="180">
        <f>BF17/('Page 3'!$I$3*27152)</f>
        <v>0</v>
      </c>
      <c r="BH51" s="180">
        <f>BH17/('Page 3'!$M$3*27152)</f>
        <v>0</v>
      </c>
      <c r="BJ51" s="180">
        <f>BJ17/('Page 3'!$M$3*27152)</f>
        <v>0</v>
      </c>
      <c r="BL51" s="180">
        <f>BL17/('Page 3'!$M$3*27152)</f>
        <v>0</v>
      </c>
      <c r="BN51" s="180">
        <f>BN17/('Page 3'!$Q$3*27152)</f>
        <v>0</v>
      </c>
      <c r="BP51" s="180">
        <f>BP17/('Page 3'!$Q$3*27152)</f>
        <v>0</v>
      </c>
      <c r="BR51" s="180">
        <f>BR17/('Page 3'!$Q$3*27152)</f>
        <v>0</v>
      </c>
      <c r="BT51" s="180">
        <f>BT17/('Page 3'!$U$3*27152)</f>
        <v>0</v>
      </c>
      <c r="BV51" s="180">
        <f>BV17/('Page 3'!$U$3*27152)</f>
        <v>0</v>
      </c>
      <c r="BX51" s="180">
        <f>BX17/('Page 3'!$U$3*27152)</f>
        <v>0</v>
      </c>
      <c r="BZ51" s="180">
        <f>BZ17/('Page 4'!$I$3*27152)</f>
        <v>0</v>
      </c>
      <c r="CB51" s="180">
        <f>CB17/('Page 4'!$I$3*27152)</f>
        <v>0</v>
      </c>
      <c r="CD51" s="180">
        <f>CD17/('Page 4'!$I$3*27152)</f>
        <v>0</v>
      </c>
      <c r="CF51" s="180">
        <f>CF17/('Page 4'!$M$3*27152)</f>
        <v>0</v>
      </c>
      <c r="CH51" s="180">
        <f>CH17/('Page 4'!$M$3*27152)</f>
        <v>0</v>
      </c>
      <c r="CJ51" s="180">
        <f>CJ17/('Page 4'!$M$3*27152)</f>
        <v>0</v>
      </c>
      <c r="CL51" s="180">
        <f>CL17/('Page 4'!$Q$3*27152)</f>
        <v>0</v>
      </c>
      <c r="CN51" s="180">
        <f>CN17/('Page 4'!$Q$3*27152)</f>
        <v>0</v>
      </c>
      <c r="CP51" s="180">
        <f>CP17/('Page 4'!$Q$3*27152)</f>
        <v>0</v>
      </c>
      <c r="CR51" s="180">
        <f>CR17/('Page 4'!$U$3*27152)</f>
        <v>0</v>
      </c>
      <c r="CT51" s="180">
        <f>CT17/('Page 4'!$U$3*27152)</f>
        <v>0</v>
      </c>
      <c r="CV51" s="180">
        <f>CV17/('Page 4'!$U$3*27152)</f>
        <v>0</v>
      </c>
    </row>
    <row r="52" spans="1:100" ht="16.5" hidden="1" customHeight="1">
      <c r="A52" s="101">
        <v>15</v>
      </c>
      <c r="F52" s="180">
        <f>F18/('Page 1'!$I$3*27152)</f>
        <v>0</v>
      </c>
      <c r="H52" s="180">
        <f>H18/('Page 1'!$I$3*27152)</f>
        <v>0</v>
      </c>
      <c r="J52" s="180">
        <f>J18/('Page 1'!$I$3*27152)</f>
        <v>0</v>
      </c>
      <c r="L52" s="180">
        <f>L18/('Page 1'!$M$3*27152)</f>
        <v>0</v>
      </c>
      <c r="N52" s="180">
        <f>N18/('Page 1'!$M$3*27152)</f>
        <v>0</v>
      </c>
      <c r="P52" s="180">
        <f>P18/('Page 1'!$M$3*27152)</f>
        <v>0</v>
      </c>
      <c r="R52" s="180">
        <f>R18/('Page 1'!$Q$3*27152)</f>
        <v>0</v>
      </c>
      <c r="T52" s="180">
        <f>T18/('Page 1'!$Q$3*27152)</f>
        <v>0</v>
      </c>
      <c r="V52" s="180">
        <f>V18/('Page 1'!$Q$3*27152)</f>
        <v>0</v>
      </c>
      <c r="X52" s="180">
        <f>X18/('Page 1'!$U$3*27152)</f>
        <v>0</v>
      </c>
      <c r="Z52" s="180">
        <f>Z18/('Page 1'!$U$3*27152)</f>
        <v>0</v>
      </c>
      <c r="AB52" s="180">
        <f>AB18/('Page 1'!$U$3*27152)</f>
        <v>0</v>
      </c>
      <c r="AD52" s="180">
        <f>AD18/('Page 2'!$I$3*27152)</f>
        <v>0</v>
      </c>
      <c r="AF52" s="180">
        <f>AF18/('Page 2'!$I$3*27152)</f>
        <v>0</v>
      </c>
      <c r="AH52" s="180">
        <f>AH18/('Page 2'!$I$3*27152)</f>
        <v>0</v>
      </c>
      <c r="AJ52" s="180">
        <f>AJ18/('Page 2'!$M$3*27152)</f>
        <v>0</v>
      </c>
      <c r="AL52" s="180">
        <f>AL18/('Page 2'!$M$3*27152)</f>
        <v>0</v>
      </c>
      <c r="AN52" s="180">
        <f>AN18/('Page 2'!$M$3*27152)</f>
        <v>0</v>
      </c>
      <c r="AP52" s="180">
        <f>AP18/('Page 2'!$Q$3*27152)</f>
        <v>0</v>
      </c>
      <c r="AR52" s="180">
        <f>AR18/('Page 2'!$Q$3*27152)</f>
        <v>0</v>
      </c>
      <c r="AT52" s="180">
        <f>AT18/('Page 2'!$Q$3*27152)</f>
        <v>0</v>
      </c>
      <c r="AV52" s="180">
        <f>AV18/('Page 2'!$U$3*27152)</f>
        <v>0</v>
      </c>
      <c r="AX52" s="180">
        <f>AX18/('Page 2'!$U$3*27152)</f>
        <v>0</v>
      </c>
      <c r="AZ52" s="180">
        <f>AZ18/('Page 2'!$U$3*27152)</f>
        <v>0</v>
      </c>
      <c r="BB52" s="180">
        <f>BB18/('Page 3'!$I$3*27152)</f>
        <v>0</v>
      </c>
      <c r="BD52" s="180">
        <f>BD18/('Page 3'!$I$3*27152)</f>
        <v>0</v>
      </c>
      <c r="BF52" s="180">
        <f>BF18/('Page 3'!$I$3*27152)</f>
        <v>0</v>
      </c>
      <c r="BH52" s="180">
        <f>BH18/('Page 3'!$M$3*27152)</f>
        <v>0</v>
      </c>
      <c r="BJ52" s="180">
        <f>BJ18/('Page 3'!$M$3*27152)</f>
        <v>0</v>
      </c>
      <c r="BL52" s="180">
        <f>BL18/('Page 3'!$M$3*27152)</f>
        <v>0</v>
      </c>
      <c r="BN52" s="180">
        <f>BN18/('Page 3'!$Q$3*27152)</f>
        <v>0</v>
      </c>
      <c r="BP52" s="180">
        <f>BP18/('Page 3'!$Q$3*27152)</f>
        <v>0</v>
      </c>
      <c r="BR52" s="180">
        <f>BR18/('Page 3'!$Q$3*27152)</f>
        <v>0</v>
      </c>
      <c r="BT52" s="180">
        <f>BT18/('Page 3'!$U$3*27152)</f>
        <v>0</v>
      </c>
      <c r="BV52" s="180">
        <f>BV18/('Page 3'!$U$3*27152)</f>
        <v>0</v>
      </c>
      <c r="BX52" s="180">
        <f>BX18/('Page 3'!$U$3*27152)</f>
        <v>0</v>
      </c>
      <c r="BZ52" s="180">
        <f>BZ18/('Page 4'!$I$3*27152)</f>
        <v>0</v>
      </c>
      <c r="CB52" s="180">
        <f>CB18/('Page 4'!$I$3*27152)</f>
        <v>0</v>
      </c>
      <c r="CD52" s="180">
        <f>CD18/('Page 4'!$I$3*27152)</f>
        <v>0</v>
      </c>
      <c r="CF52" s="180">
        <f>CF18/('Page 4'!$M$3*27152)</f>
        <v>0</v>
      </c>
      <c r="CH52" s="180">
        <f>CH18/('Page 4'!$M$3*27152)</f>
        <v>0</v>
      </c>
      <c r="CJ52" s="180">
        <f>CJ18/('Page 4'!$M$3*27152)</f>
        <v>0</v>
      </c>
      <c r="CL52" s="180">
        <f>CL18/('Page 4'!$Q$3*27152)</f>
        <v>0</v>
      </c>
      <c r="CN52" s="180">
        <f>CN18/('Page 4'!$Q$3*27152)</f>
        <v>0</v>
      </c>
      <c r="CP52" s="180">
        <f>CP18/('Page 4'!$Q$3*27152)</f>
        <v>0</v>
      </c>
      <c r="CR52" s="180">
        <f>CR18/('Page 4'!$U$3*27152)</f>
        <v>0</v>
      </c>
      <c r="CT52" s="180">
        <f>CT18/('Page 4'!$U$3*27152)</f>
        <v>0</v>
      </c>
      <c r="CV52" s="180">
        <f>CV18/('Page 4'!$U$3*27152)</f>
        <v>0</v>
      </c>
    </row>
    <row r="53" spans="1:100" ht="16.5" hidden="1" customHeight="1">
      <c r="A53" s="101">
        <v>16</v>
      </c>
      <c r="F53" s="180">
        <f>F19/('Page 1'!$I$3*27152)</f>
        <v>0</v>
      </c>
      <c r="H53" s="180">
        <f>H19/('Page 1'!$I$3*27152)</f>
        <v>0</v>
      </c>
      <c r="J53" s="180">
        <f>J19/('Page 1'!$I$3*27152)</f>
        <v>0</v>
      </c>
      <c r="L53" s="180">
        <f>L19/('Page 1'!$M$3*27152)</f>
        <v>0</v>
      </c>
      <c r="N53" s="180">
        <f>N19/('Page 1'!$M$3*27152)</f>
        <v>0</v>
      </c>
      <c r="P53" s="180">
        <f>P19/('Page 1'!$M$3*27152)</f>
        <v>0</v>
      </c>
      <c r="R53" s="180">
        <f>R19/('Page 1'!$Q$3*27152)</f>
        <v>0</v>
      </c>
      <c r="T53" s="180">
        <f>T19/('Page 1'!$Q$3*27152)</f>
        <v>0</v>
      </c>
      <c r="V53" s="180">
        <f>V19/('Page 1'!$Q$3*27152)</f>
        <v>0</v>
      </c>
      <c r="X53" s="180">
        <f>X19/('Page 1'!$U$3*27152)</f>
        <v>0</v>
      </c>
      <c r="Z53" s="180">
        <f>Z19/('Page 1'!$U$3*27152)</f>
        <v>0</v>
      </c>
      <c r="AB53" s="180">
        <f>AB19/('Page 1'!$U$3*27152)</f>
        <v>0</v>
      </c>
      <c r="AD53" s="180">
        <f>AD19/('Page 2'!$I$3*27152)</f>
        <v>0</v>
      </c>
      <c r="AF53" s="180">
        <f>AF19/('Page 2'!$I$3*27152)</f>
        <v>0</v>
      </c>
      <c r="AH53" s="180">
        <f>AH19/('Page 2'!$I$3*27152)</f>
        <v>0</v>
      </c>
      <c r="AJ53" s="180">
        <f>AJ19/('Page 2'!$M$3*27152)</f>
        <v>0</v>
      </c>
      <c r="AL53" s="180">
        <f>AL19/('Page 2'!$M$3*27152)</f>
        <v>0</v>
      </c>
      <c r="AN53" s="180">
        <f>AN19/('Page 2'!$M$3*27152)</f>
        <v>0</v>
      </c>
      <c r="AP53" s="180">
        <f>AP19/('Page 2'!$Q$3*27152)</f>
        <v>0</v>
      </c>
      <c r="AR53" s="180">
        <f>AR19/('Page 2'!$Q$3*27152)</f>
        <v>0</v>
      </c>
      <c r="AT53" s="180">
        <f>AT19/('Page 2'!$Q$3*27152)</f>
        <v>0</v>
      </c>
      <c r="AV53" s="180">
        <f>AV19/('Page 2'!$U$3*27152)</f>
        <v>0</v>
      </c>
      <c r="AX53" s="180">
        <f>AX19/('Page 2'!$U$3*27152)</f>
        <v>0</v>
      </c>
      <c r="AZ53" s="180">
        <f>AZ19/('Page 2'!$U$3*27152)</f>
        <v>0</v>
      </c>
      <c r="BB53" s="180">
        <f>BB19/('Page 3'!$I$3*27152)</f>
        <v>0</v>
      </c>
      <c r="BD53" s="180">
        <f>BD19/('Page 3'!$I$3*27152)</f>
        <v>0</v>
      </c>
      <c r="BF53" s="180">
        <f>BF19/('Page 3'!$I$3*27152)</f>
        <v>0</v>
      </c>
      <c r="BH53" s="180">
        <f>BH19/('Page 3'!$M$3*27152)</f>
        <v>0</v>
      </c>
      <c r="BJ53" s="180">
        <f>BJ19/('Page 3'!$M$3*27152)</f>
        <v>0</v>
      </c>
      <c r="BL53" s="180">
        <f>BL19/('Page 3'!$M$3*27152)</f>
        <v>0</v>
      </c>
      <c r="BN53" s="180">
        <f>BN19/('Page 3'!$Q$3*27152)</f>
        <v>0</v>
      </c>
      <c r="BP53" s="180">
        <f>BP19/('Page 3'!$Q$3*27152)</f>
        <v>0</v>
      </c>
      <c r="BR53" s="180">
        <f>BR19/('Page 3'!$Q$3*27152)</f>
        <v>0</v>
      </c>
      <c r="BT53" s="180">
        <f>BT19/('Page 3'!$U$3*27152)</f>
        <v>0</v>
      </c>
      <c r="BV53" s="180">
        <f>BV19/('Page 3'!$U$3*27152)</f>
        <v>0</v>
      </c>
      <c r="BX53" s="180">
        <f>BX19/('Page 3'!$U$3*27152)</f>
        <v>0</v>
      </c>
      <c r="BZ53" s="180">
        <f>BZ19/('Page 4'!$I$3*27152)</f>
        <v>0</v>
      </c>
      <c r="CB53" s="180">
        <f>CB19/('Page 4'!$I$3*27152)</f>
        <v>0</v>
      </c>
      <c r="CD53" s="180">
        <f>CD19/('Page 4'!$I$3*27152)</f>
        <v>0</v>
      </c>
      <c r="CF53" s="180">
        <f>CF19/('Page 4'!$M$3*27152)</f>
        <v>0</v>
      </c>
      <c r="CH53" s="180">
        <f>CH19/('Page 4'!$M$3*27152)</f>
        <v>0</v>
      </c>
      <c r="CJ53" s="180">
        <f>CJ19/('Page 4'!$M$3*27152)</f>
        <v>0</v>
      </c>
      <c r="CL53" s="180">
        <f>CL19/('Page 4'!$Q$3*27152)</f>
        <v>0</v>
      </c>
      <c r="CN53" s="180">
        <f>CN19/('Page 4'!$Q$3*27152)</f>
        <v>0</v>
      </c>
      <c r="CP53" s="180">
        <f>CP19/('Page 4'!$Q$3*27152)</f>
        <v>0</v>
      </c>
      <c r="CR53" s="180">
        <f>CR19/('Page 4'!$U$3*27152)</f>
        <v>0</v>
      </c>
      <c r="CT53" s="180">
        <f>CT19/('Page 4'!$U$3*27152)</f>
        <v>0</v>
      </c>
      <c r="CV53" s="180">
        <f>CV19/('Page 4'!$U$3*27152)</f>
        <v>0</v>
      </c>
    </row>
    <row r="54" spans="1:100" ht="16.5" hidden="1" customHeight="1">
      <c r="A54" s="101">
        <v>17</v>
      </c>
      <c r="F54" s="180">
        <f>F20/('Page 1'!$I$3*27152)</f>
        <v>0</v>
      </c>
      <c r="H54" s="180">
        <f>H20/('Page 1'!$I$3*27152)</f>
        <v>0</v>
      </c>
      <c r="J54" s="180">
        <f>J20/('Page 1'!$I$3*27152)</f>
        <v>0</v>
      </c>
      <c r="L54" s="180">
        <f>L20/('Page 1'!$M$3*27152)</f>
        <v>0</v>
      </c>
      <c r="N54" s="180">
        <f>N20/('Page 1'!$M$3*27152)</f>
        <v>0</v>
      </c>
      <c r="P54" s="180">
        <f>P20/('Page 1'!$M$3*27152)</f>
        <v>0</v>
      </c>
      <c r="R54" s="180">
        <f>R20/('Page 1'!$Q$3*27152)</f>
        <v>0</v>
      </c>
      <c r="T54" s="180">
        <f>T20/('Page 1'!$Q$3*27152)</f>
        <v>0</v>
      </c>
      <c r="V54" s="180">
        <f>V20/('Page 1'!$Q$3*27152)</f>
        <v>0</v>
      </c>
      <c r="X54" s="180">
        <f>X20/('Page 1'!$U$3*27152)</f>
        <v>0</v>
      </c>
      <c r="Z54" s="180">
        <f>Z20/('Page 1'!$U$3*27152)</f>
        <v>0</v>
      </c>
      <c r="AB54" s="180">
        <f>AB20/('Page 1'!$U$3*27152)</f>
        <v>0</v>
      </c>
      <c r="AD54" s="180">
        <f>AD20/('Page 2'!$I$3*27152)</f>
        <v>0</v>
      </c>
      <c r="AF54" s="180">
        <f>AF20/('Page 2'!$I$3*27152)</f>
        <v>0</v>
      </c>
      <c r="AH54" s="180">
        <f>AH20/('Page 2'!$I$3*27152)</f>
        <v>0</v>
      </c>
      <c r="AJ54" s="180">
        <f>AJ20/('Page 2'!$M$3*27152)</f>
        <v>0</v>
      </c>
      <c r="AL54" s="180">
        <f>AL20/('Page 2'!$M$3*27152)</f>
        <v>0</v>
      </c>
      <c r="AN54" s="180">
        <f>AN20/('Page 2'!$M$3*27152)</f>
        <v>0</v>
      </c>
      <c r="AP54" s="180">
        <f>AP20/('Page 2'!$Q$3*27152)</f>
        <v>0</v>
      </c>
      <c r="AR54" s="180">
        <f>AR20/('Page 2'!$Q$3*27152)</f>
        <v>0</v>
      </c>
      <c r="AT54" s="180">
        <f>AT20/('Page 2'!$Q$3*27152)</f>
        <v>0</v>
      </c>
      <c r="AV54" s="180">
        <f>AV20/('Page 2'!$U$3*27152)</f>
        <v>0</v>
      </c>
      <c r="AX54" s="180">
        <f>AX20/('Page 2'!$U$3*27152)</f>
        <v>0</v>
      </c>
      <c r="AZ54" s="180">
        <f>AZ20/('Page 2'!$U$3*27152)</f>
        <v>0</v>
      </c>
      <c r="BB54" s="180">
        <f>BB20/('Page 3'!$I$3*27152)</f>
        <v>0</v>
      </c>
      <c r="BD54" s="180">
        <f>BD20/('Page 3'!$I$3*27152)</f>
        <v>0</v>
      </c>
      <c r="BF54" s="180">
        <f>BF20/('Page 3'!$I$3*27152)</f>
        <v>0</v>
      </c>
      <c r="BH54" s="180">
        <f>BH20/('Page 3'!$M$3*27152)</f>
        <v>0</v>
      </c>
      <c r="BJ54" s="180">
        <f>BJ20/('Page 3'!$M$3*27152)</f>
        <v>0</v>
      </c>
      <c r="BL54" s="180">
        <f>BL20/('Page 3'!$M$3*27152)</f>
        <v>0</v>
      </c>
      <c r="BN54" s="180">
        <f>BN20/('Page 3'!$Q$3*27152)</f>
        <v>0</v>
      </c>
      <c r="BP54" s="180">
        <f>BP20/('Page 3'!$Q$3*27152)</f>
        <v>0</v>
      </c>
      <c r="BR54" s="180">
        <f>BR20/('Page 3'!$Q$3*27152)</f>
        <v>0</v>
      </c>
      <c r="BT54" s="180">
        <f>BT20/('Page 3'!$U$3*27152)</f>
        <v>0</v>
      </c>
      <c r="BV54" s="180">
        <f>BV20/('Page 3'!$U$3*27152)</f>
        <v>0</v>
      </c>
      <c r="BX54" s="180">
        <f>BX20/('Page 3'!$U$3*27152)</f>
        <v>0</v>
      </c>
      <c r="BZ54" s="180">
        <f>BZ20/('Page 4'!$I$3*27152)</f>
        <v>0</v>
      </c>
      <c r="CB54" s="180">
        <f>CB20/('Page 4'!$I$3*27152)</f>
        <v>0</v>
      </c>
      <c r="CD54" s="180">
        <f>CD20/('Page 4'!$I$3*27152)</f>
        <v>0</v>
      </c>
      <c r="CF54" s="180">
        <f>CF20/('Page 4'!$M$3*27152)</f>
        <v>0</v>
      </c>
      <c r="CH54" s="180">
        <f>CH20/('Page 4'!$M$3*27152)</f>
        <v>0</v>
      </c>
      <c r="CJ54" s="180">
        <f>CJ20/('Page 4'!$M$3*27152)</f>
        <v>0</v>
      </c>
      <c r="CL54" s="180">
        <f>CL20/('Page 4'!$Q$3*27152)</f>
        <v>0</v>
      </c>
      <c r="CN54" s="180">
        <f>CN20/('Page 4'!$Q$3*27152)</f>
        <v>0</v>
      </c>
      <c r="CP54" s="180">
        <f>CP20/('Page 4'!$Q$3*27152)</f>
        <v>0</v>
      </c>
      <c r="CR54" s="180">
        <f>CR20/('Page 4'!$U$3*27152)</f>
        <v>0</v>
      </c>
      <c r="CT54" s="180">
        <f>CT20/('Page 4'!$U$3*27152)</f>
        <v>0</v>
      </c>
      <c r="CV54" s="180">
        <f>CV20/('Page 4'!$U$3*27152)</f>
        <v>0</v>
      </c>
    </row>
    <row r="55" spans="1:100" ht="16.5" hidden="1" customHeight="1">
      <c r="A55" s="101">
        <v>18</v>
      </c>
      <c r="F55" s="180">
        <f>F21/('Page 1'!$I$3*27152)</f>
        <v>0</v>
      </c>
      <c r="H55" s="180">
        <f>H21/('Page 1'!$I$3*27152)</f>
        <v>0</v>
      </c>
      <c r="J55" s="180">
        <f>J21/('Page 1'!$I$3*27152)</f>
        <v>0</v>
      </c>
      <c r="L55" s="180">
        <f>L21/('Page 1'!$M$3*27152)</f>
        <v>0</v>
      </c>
      <c r="N55" s="180">
        <f>N21/('Page 1'!$M$3*27152)</f>
        <v>0</v>
      </c>
      <c r="P55" s="180">
        <f>P21/('Page 1'!$M$3*27152)</f>
        <v>0</v>
      </c>
      <c r="R55" s="180">
        <f>R21/('Page 1'!$Q$3*27152)</f>
        <v>0</v>
      </c>
      <c r="T55" s="180">
        <f>T21/('Page 1'!$Q$3*27152)</f>
        <v>0</v>
      </c>
      <c r="V55" s="180">
        <f>V21/('Page 1'!$Q$3*27152)</f>
        <v>0</v>
      </c>
      <c r="X55" s="180">
        <f>X21/('Page 1'!$U$3*27152)</f>
        <v>0</v>
      </c>
      <c r="Z55" s="180">
        <f>Z21/('Page 1'!$U$3*27152)</f>
        <v>0</v>
      </c>
      <c r="AB55" s="180">
        <f>AB21/('Page 1'!$U$3*27152)</f>
        <v>0</v>
      </c>
      <c r="AD55" s="180">
        <f>AD21/('Page 2'!$I$3*27152)</f>
        <v>0</v>
      </c>
      <c r="AF55" s="180">
        <f>AF21/('Page 2'!$I$3*27152)</f>
        <v>0</v>
      </c>
      <c r="AH55" s="180">
        <f>AH21/('Page 2'!$I$3*27152)</f>
        <v>0</v>
      </c>
      <c r="AJ55" s="180">
        <f>AJ21/('Page 2'!$M$3*27152)</f>
        <v>0</v>
      </c>
      <c r="AL55" s="180">
        <f>AL21/('Page 2'!$M$3*27152)</f>
        <v>0</v>
      </c>
      <c r="AN55" s="180">
        <f>AN21/('Page 2'!$M$3*27152)</f>
        <v>0</v>
      </c>
      <c r="AP55" s="180">
        <f>AP21/('Page 2'!$Q$3*27152)</f>
        <v>0</v>
      </c>
      <c r="AR55" s="180">
        <f>AR21/('Page 2'!$Q$3*27152)</f>
        <v>0</v>
      </c>
      <c r="AT55" s="180">
        <f>AT21/('Page 2'!$Q$3*27152)</f>
        <v>0</v>
      </c>
      <c r="AV55" s="180">
        <f>AV21/('Page 2'!$U$3*27152)</f>
        <v>0</v>
      </c>
      <c r="AX55" s="180">
        <f>AX21/('Page 2'!$U$3*27152)</f>
        <v>0</v>
      </c>
      <c r="AZ55" s="180">
        <f>AZ21/('Page 2'!$U$3*27152)</f>
        <v>0</v>
      </c>
      <c r="BB55" s="180">
        <f>BB21/('Page 3'!$I$3*27152)</f>
        <v>0</v>
      </c>
      <c r="BD55" s="180">
        <f>BD21/('Page 3'!$I$3*27152)</f>
        <v>0</v>
      </c>
      <c r="BF55" s="180">
        <f>BF21/('Page 3'!$I$3*27152)</f>
        <v>0</v>
      </c>
      <c r="BH55" s="180">
        <f>BH21/('Page 3'!$M$3*27152)</f>
        <v>0</v>
      </c>
      <c r="BJ55" s="180">
        <f>BJ21/('Page 3'!$M$3*27152)</f>
        <v>0</v>
      </c>
      <c r="BL55" s="180">
        <f>BL21/('Page 3'!$M$3*27152)</f>
        <v>0</v>
      </c>
      <c r="BN55" s="180">
        <f>BN21/('Page 3'!$Q$3*27152)</f>
        <v>0</v>
      </c>
      <c r="BP55" s="180">
        <f>BP21/('Page 3'!$Q$3*27152)</f>
        <v>0</v>
      </c>
      <c r="BR55" s="180">
        <f>BR21/('Page 3'!$Q$3*27152)</f>
        <v>0</v>
      </c>
      <c r="BT55" s="180">
        <f>BT21/('Page 3'!$U$3*27152)</f>
        <v>0</v>
      </c>
      <c r="BV55" s="180">
        <f>BV21/('Page 3'!$U$3*27152)</f>
        <v>0</v>
      </c>
      <c r="BX55" s="180">
        <f>BX21/('Page 3'!$U$3*27152)</f>
        <v>0</v>
      </c>
      <c r="BZ55" s="180">
        <f>BZ21/('Page 4'!$I$3*27152)</f>
        <v>0</v>
      </c>
      <c r="CB55" s="180">
        <f>CB21/('Page 4'!$I$3*27152)</f>
        <v>0</v>
      </c>
      <c r="CD55" s="180">
        <f>CD21/('Page 4'!$I$3*27152)</f>
        <v>0</v>
      </c>
      <c r="CF55" s="180">
        <f>CF21/('Page 4'!$M$3*27152)</f>
        <v>0</v>
      </c>
      <c r="CH55" s="180">
        <f>CH21/('Page 4'!$M$3*27152)</f>
        <v>0</v>
      </c>
      <c r="CJ55" s="180">
        <f>CJ21/('Page 4'!$M$3*27152)</f>
        <v>0</v>
      </c>
      <c r="CL55" s="180">
        <f>CL21/('Page 4'!$Q$3*27152)</f>
        <v>0</v>
      </c>
      <c r="CN55" s="180">
        <f>CN21/('Page 4'!$Q$3*27152)</f>
        <v>0</v>
      </c>
      <c r="CP55" s="180">
        <f>CP21/('Page 4'!$Q$3*27152)</f>
        <v>0</v>
      </c>
      <c r="CR55" s="180">
        <f>CR21/('Page 4'!$U$3*27152)</f>
        <v>0</v>
      </c>
      <c r="CT55" s="180">
        <f>CT21/('Page 4'!$U$3*27152)</f>
        <v>0</v>
      </c>
      <c r="CV55" s="180">
        <f>CV21/('Page 4'!$U$3*27152)</f>
        <v>0</v>
      </c>
    </row>
    <row r="56" spans="1:100" ht="16.5" hidden="1" customHeight="1">
      <c r="A56" s="101">
        <v>19</v>
      </c>
      <c r="F56" s="180">
        <f>F22/('Page 1'!$I$3*27152)</f>
        <v>0</v>
      </c>
      <c r="H56" s="180">
        <f>H22/('Page 1'!$I$3*27152)</f>
        <v>0</v>
      </c>
      <c r="J56" s="180">
        <f>J22/('Page 1'!$I$3*27152)</f>
        <v>0</v>
      </c>
      <c r="L56" s="180">
        <f>L22/('Page 1'!$M$3*27152)</f>
        <v>0</v>
      </c>
      <c r="N56" s="180">
        <f>N22/('Page 1'!$M$3*27152)</f>
        <v>0</v>
      </c>
      <c r="P56" s="180">
        <f>P22/('Page 1'!$M$3*27152)</f>
        <v>0</v>
      </c>
      <c r="R56" s="180">
        <f>R22/('Page 1'!$Q$3*27152)</f>
        <v>0</v>
      </c>
      <c r="T56" s="180">
        <f>T22/('Page 1'!$Q$3*27152)</f>
        <v>0</v>
      </c>
      <c r="V56" s="180">
        <f>V22/('Page 1'!$Q$3*27152)</f>
        <v>0</v>
      </c>
      <c r="X56" s="180">
        <f>X22/('Page 1'!$U$3*27152)</f>
        <v>0</v>
      </c>
      <c r="Z56" s="180">
        <f>Z22/('Page 1'!$U$3*27152)</f>
        <v>0</v>
      </c>
      <c r="AB56" s="180">
        <f>AB22/('Page 1'!$U$3*27152)</f>
        <v>0</v>
      </c>
      <c r="AD56" s="180">
        <f>AD22/('Page 2'!$I$3*27152)</f>
        <v>0</v>
      </c>
      <c r="AF56" s="180">
        <f>AF22/('Page 2'!$I$3*27152)</f>
        <v>0</v>
      </c>
      <c r="AH56" s="180">
        <f>AH22/('Page 2'!$I$3*27152)</f>
        <v>0</v>
      </c>
      <c r="AJ56" s="180">
        <f>AJ22/('Page 2'!$M$3*27152)</f>
        <v>0</v>
      </c>
      <c r="AL56" s="180">
        <f>AL22/('Page 2'!$M$3*27152)</f>
        <v>0</v>
      </c>
      <c r="AN56" s="180">
        <f>AN22/('Page 2'!$M$3*27152)</f>
        <v>0</v>
      </c>
      <c r="AP56" s="180">
        <f>AP22/('Page 2'!$Q$3*27152)</f>
        <v>0</v>
      </c>
      <c r="AR56" s="180">
        <f>AR22/('Page 2'!$Q$3*27152)</f>
        <v>0</v>
      </c>
      <c r="AT56" s="180">
        <f>AT22/('Page 2'!$Q$3*27152)</f>
        <v>0</v>
      </c>
      <c r="AV56" s="180">
        <f>AV22/('Page 2'!$U$3*27152)</f>
        <v>0</v>
      </c>
      <c r="AX56" s="180">
        <f>AX22/('Page 2'!$U$3*27152)</f>
        <v>0</v>
      </c>
      <c r="AZ56" s="180">
        <f>AZ22/('Page 2'!$U$3*27152)</f>
        <v>0</v>
      </c>
      <c r="BB56" s="180">
        <f>BB22/('Page 3'!$I$3*27152)</f>
        <v>0</v>
      </c>
      <c r="BD56" s="180">
        <f>BD22/('Page 3'!$I$3*27152)</f>
        <v>0</v>
      </c>
      <c r="BF56" s="180">
        <f>BF22/('Page 3'!$I$3*27152)</f>
        <v>0</v>
      </c>
      <c r="BH56" s="180">
        <f>BH22/('Page 3'!$M$3*27152)</f>
        <v>0</v>
      </c>
      <c r="BJ56" s="180">
        <f>BJ22/('Page 3'!$M$3*27152)</f>
        <v>0</v>
      </c>
      <c r="BL56" s="180">
        <f>BL22/('Page 3'!$M$3*27152)</f>
        <v>0</v>
      </c>
      <c r="BN56" s="180">
        <f>BN22/('Page 3'!$Q$3*27152)</f>
        <v>0</v>
      </c>
      <c r="BP56" s="180">
        <f>BP22/('Page 3'!$Q$3*27152)</f>
        <v>0</v>
      </c>
      <c r="BR56" s="180">
        <f>BR22/('Page 3'!$Q$3*27152)</f>
        <v>0</v>
      </c>
      <c r="BT56" s="180">
        <f>BT22/('Page 3'!$U$3*27152)</f>
        <v>0</v>
      </c>
      <c r="BV56" s="180">
        <f>BV22/('Page 3'!$U$3*27152)</f>
        <v>0</v>
      </c>
      <c r="BX56" s="180">
        <f>BX22/('Page 3'!$U$3*27152)</f>
        <v>0</v>
      </c>
      <c r="BZ56" s="180">
        <f>BZ22/('Page 4'!$I$3*27152)</f>
        <v>0</v>
      </c>
      <c r="CB56" s="180">
        <f>CB22/('Page 4'!$I$3*27152)</f>
        <v>0</v>
      </c>
      <c r="CD56" s="180">
        <f>CD22/('Page 4'!$I$3*27152)</f>
        <v>0</v>
      </c>
      <c r="CF56" s="180">
        <f>CF22/('Page 4'!$M$3*27152)</f>
        <v>0</v>
      </c>
      <c r="CH56" s="180">
        <f>CH22/('Page 4'!$M$3*27152)</f>
        <v>0</v>
      </c>
      <c r="CJ56" s="180">
        <f>CJ22/('Page 4'!$M$3*27152)</f>
        <v>0</v>
      </c>
      <c r="CL56" s="180">
        <f>CL22/('Page 4'!$Q$3*27152)</f>
        <v>0</v>
      </c>
      <c r="CN56" s="180">
        <f>CN22/('Page 4'!$Q$3*27152)</f>
        <v>0</v>
      </c>
      <c r="CP56" s="180">
        <f>CP22/('Page 4'!$Q$3*27152)</f>
        <v>0</v>
      </c>
      <c r="CR56" s="180">
        <f>CR22/('Page 4'!$U$3*27152)</f>
        <v>0</v>
      </c>
      <c r="CT56" s="180">
        <f>CT22/('Page 4'!$U$3*27152)</f>
        <v>0</v>
      </c>
      <c r="CV56" s="180">
        <f>CV22/('Page 4'!$U$3*27152)</f>
        <v>0</v>
      </c>
    </row>
    <row r="57" spans="1:100" ht="16.5" hidden="1" customHeight="1">
      <c r="A57" s="101">
        <v>20</v>
      </c>
      <c r="F57" s="180">
        <f>F23/('Page 1'!$I$3*27152)</f>
        <v>0</v>
      </c>
      <c r="H57" s="180">
        <f>H23/('Page 1'!$I$3*27152)</f>
        <v>0</v>
      </c>
      <c r="J57" s="180">
        <f>J23/('Page 1'!$I$3*27152)</f>
        <v>0</v>
      </c>
      <c r="L57" s="180">
        <f>L23/('Page 1'!$M$3*27152)</f>
        <v>0</v>
      </c>
      <c r="N57" s="180">
        <f>N23/('Page 1'!$M$3*27152)</f>
        <v>0</v>
      </c>
      <c r="P57" s="180">
        <f>P23/('Page 1'!$M$3*27152)</f>
        <v>0</v>
      </c>
      <c r="R57" s="180">
        <f>R23/('Page 1'!$Q$3*27152)</f>
        <v>0</v>
      </c>
      <c r="T57" s="180">
        <f>T23/('Page 1'!$Q$3*27152)</f>
        <v>0</v>
      </c>
      <c r="V57" s="180">
        <f>V23/('Page 1'!$Q$3*27152)</f>
        <v>0</v>
      </c>
      <c r="X57" s="180">
        <f>X23/('Page 1'!$U$3*27152)</f>
        <v>0</v>
      </c>
      <c r="Z57" s="180">
        <f>Z23/('Page 1'!$U$3*27152)</f>
        <v>0</v>
      </c>
      <c r="AB57" s="180">
        <f>AB23/('Page 1'!$U$3*27152)</f>
        <v>0</v>
      </c>
      <c r="AD57" s="180">
        <f>AD23/('Page 2'!$I$3*27152)</f>
        <v>0</v>
      </c>
      <c r="AF57" s="180">
        <f>AF23/('Page 2'!$I$3*27152)</f>
        <v>0</v>
      </c>
      <c r="AH57" s="180">
        <f>AH23/('Page 2'!$I$3*27152)</f>
        <v>0</v>
      </c>
      <c r="AJ57" s="180">
        <f>AJ23/('Page 2'!$M$3*27152)</f>
        <v>0</v>
      </c>
      <c r="AL57" s="180">
        <f>AL23/('Page 2'!$M$3*27152)</f>
        <v>0</v>
      </c>
      <c r="AN57" s="180">
        <f>AN23/('Page 2'!$M$3*27152)</f>
        <v>0</v>
      </c>
      <c r="AP57" s="180">
        <f>AP23/('Page 2'!$Q$3*27152)</f>
        <v>0</v>
      </c>
      <c r="AR57" s="180">
        <f>AR23/('Page 2'!$Q$3*27152)</f>
        <v>0</v>
      </c>
      <c r="AT57" s="180">
        <f>AT23/('Page 2'!$Q$3*27152)</f>
        <v>0</v>
      </c>
      <c r="AV57" s="180">
        <f>AV23/('Page 2'!$U$3*27152)</f>
        <v>0</v>
      </c>
      <c r="AX57" s="180">
        <f>AX23/('Page 2'!$U$3*27152)</f>
        <v>0</v>
      </c>
      <c r="AZ57" s="180">
        <f>AZ23/('Page 2'!$U$3*27152)</f>
        <v>0</v>
      </c>
      <c r="BB57" s="180">
        <f>BB23/('Page 3'!$I$3*27152)</f>
        <v>0</v>
      </c>
      <c r="BD57" s="180">
        <f>BD23/('Page 3'!$I$3*27152)</f>
        <v>0</v>
      </c>
      <c r="BF57" s="180">
        <f>BF23/('Page 3'!$I$3*27152)</f>
        <v>0</v>
      </c>
      <c r="BH57" s="180">
        <f>BH23/('Page 3'!$M$3*27152)</f>
        <v>0</v>
      </c>
      <c r="BJ57" s="180">
        <f>BJ23/('Page 3'!$M$3*27152)</f>
        <v>0</v>
      </c>
      <c r="BL57" s="180">
        <f>BL23/('Page 3'!$M$3*27152)</f>
        <v>0</v>
      </c>
      <c r="BN57" s="180">
        <f>BN23/('Page 3'!$Q$3*27152)</f>
        <v>0</v>
      </c>
      <c r="BP57" s="180">
        <f>BP23/('Page 3'!$Q$3*27152)</f>
        <v>0</v>
      </c>
      <c r="BR57" s="180">
        <f>BR23/('Page 3'!$Q$3*27152)</f>
        <v>0</v>
      </c>
      <c r="BT57" s="180">
        <f>BT23/('Page 3'!$U$3*27152)</f>
        <v>0</v>
      </c>
      <c r="BV57" s="180">
        <f>BV23/('Page 3'!$U$3*27152)</f>
        <v>0</v>
      </c>
      <c r="BX57" s="180">
        <f>BX23/('Page 3'!$U$3*27152)</f>
        <v>0</v>
      </c>
      <c r="BZ57" s="180">
        <f>BZ23/('Page 4'!$I$3*27152)</f>
        <v>0</v>
      </c>
      <c r="CB57" s="180">
        <f>CB23/('Page 4'!$I$3*27152)</f>
        <v>0</v>
      </c>
      <c r="CD57" s="180">
        <f>CD23/('Page 4'!$I$3*27152)</f>
        <v>0</v>
      </c>
      <c r="CF57" s="180">
        <f>CF23/('Page 4'!$M$3*27152)</f>
        <v>0</v>
      </c>
      <c r="CH57" s="180">
        <f>CH23/('Page 4'!$M$3*27152)</f>
        <v>0</v>
      </c>
      <c r="CJ57" s="180">
        <f>CJ23/('Page 4'!$M$3*27152)</f>
        <v>0</v>
      </c>
      <c r="CL57" s="180">
        <f>CL23/('Page 4'!$Q$3*27152)</f>
        <v>0</v>
      </c>
      <c r="CN57" s="180">
        <f>CN23/('Page 4'!$Q$3*27152)</f>
        <v>0</v>
      </c>
      <c r="CP57" s="180">
        <f>CP23/('Page 4'!$Q$3*27152)</f>
        <v>0</v>
      </c>
      <c r="CR57" s="180">
        <f>CR23/('Page 4'!$U$3*27152)</f>
        <v>0</v>
      </c>
      <c r="CT57" s="180">
        <f>CT23/('Page 4'!$U$3*27152)</f>
        <v>0</v>
      </c>
      <c r="CV57" s="180">
        <f>CV23/('Page 4'!$U$3*27152)</f>
        <v>0</v>
      </c>
    </row>
    <row r="58" spans="1:100" ht="16.5" hidden="1" customHeight="1">
      <c r="A58" s="101">
        <v>21</v>
      </c>
      <c r="F58" s="180">
        <f>F24/('Page 1'!$I$3*27152)</f>
        <v>0</v>
      </c>
      <c r="H58" s="180">
        <f>H24/('Page 1'!$I$3*27152)</f>
        <v>0</v>
      </c>
      <c r="J58" s="180">
        <f>J24/('Page 1'!$I$3*27152)</f>
        <v>0</v>
      </c>
      <c r="L58" s="180">
        <f>L24/('Page 1'!$M$3*27152)</f>
        <v>0</v>
      </c>
      <c r="N58" s="180">
        <f>N24/('Page 1'!$M$3*27152)</f>
        <v>0</v>
      </c>
      <c r="P58" s="180">
        <f>P24/('Page 1'!$M$3*27152)</f>
        <v>0</v>
      </c>
      <c r="R58" s="180">
        <f>R24/('Page 1'!$Q$3*27152)</f>
        <v>0</v>
      </c>
      <c r="T58" s="180">
        <f>T24/('Page 1'!$Q$3*27152)</f>
        <v>0</v>
      </c>
      <c r="V58" s="180">
        <f>V24/('Page 1'!$Q$3*27152)</f>
        <v>0</v>
      </c>
      <c r="X58" s="180">
        <f>X24/('Page 1'!$U$3*27152)</f>
        <v>0</v>
      </c>
      <c r="Z58" s="180">
        <f>Z24/('Page 1'!$U$3*27152)</f>
        <v>0</v>
      </c>
      <c r="AB58" s="180">
        <f>AB24/('Page 1'!$U$3*27152)</f>
        <v>0</v>
      </c>
      <c r="AD58" s="180">
        <f>AD24/('Page 2'!$I$3*27152)</f>
        <v>0</v>
      </c>
      <c r="AF58" s="180">
        <f>AF24/('Page 2'!$I$3*27152)</f>
        <v>0</v>
      </c>
      <c r="AH58" s="180">
        <f>AH24/('Page 2'!$I$3*27152)</f>
        <v>0</v>
      </c>
      <c r="AJ58" s="180">
        <f>AJ24/('Page 2'!$M$3*27152)</f>
        <v>0</v>
      </c>
      <c r="AL58" s="180">
        <f>AL24/('Page 2'!$M$3*27152)</f>
        <v>0</v>
      </c>
      <c r="AN58" s="180">
        <f>AN24/('Page 2'!$M$3*27152)</f>
        <v>0</v>
      </c>
      <c r="AP58" s="180">
        <f>AP24/('Page 2'!$Q$3*27152)</f>
        <v>0</v>
      </c>
      <c r="AR58" s="180">
        <f>AR24/('Page 2'!$Q$3*27152)</f>
        <v>0</v>
      </c>
      <c r="AT58" s="180">
        <f>AT24/('Page 2'!$Q$3*27152)</f>
        <v>0</v>
      </c>
      <c r="AV58" s="180">
        <f>AV24/('Page 2'!$U$3*27152)</f>
        <v>0</v>
      </c>
      <c r="AX58" s="180">
        <f>AX24/('Page 2'!$U$3*27152)</f>
        <v>0</v>
      </c>
      <c r="AZ58" s="180">
        <f>AZ24/('Page 2'!$U$3*27152)</f>
        <v>0</v>
      </c>
      <c r="BB58" s="180">
        <f>BB24/('Page 3'!$I$3*27152)</f>
        <v>0</v>
      </c>
      <c r="BD58" s="180">
        <f>BD24/('Page 3'!$I$3*27152)</f>
        <v>0</v>
      </c>
      <c r="BF58" s="180">
        <f>BF24/('Page 3'!$I$3*27152)</f>
        <v>0</v>
      </c>
      <c r="BH58" s="180">
        <f>BH24/('Page 3'!$M$3*27152)</f>
        <v>0</v>
      </c>
      <c r="BJ58" s="180">
        <f>BJ24/('Page 3'!$M$3*27152)</f>
        <v>0</v>
      </c>
      <c r="BL58" s="180">
        <f>BL24/('Page 3'!$M$3*27152)</f>
        <v>0</v>
      </c>
      <c r="BN58" s="180">
        <f>BN24/('Page 3'!$Q$3*27152)</f>
        <v>0</v>
      </c>
      <c r="BP58" s="180">
        <f>BP24/('Page 3'!$Q$3*27152)</f>
        <v>0</v>
      </c>
      <c r="BR58" s="180">
        <f>BR24/('Page 3'!$Q$3*27152)</f>
        <v>0</v>
      </c>
      <c r="BT58" s="180">
        <f>BT24/('Page 3'!$U$3*27152)</f>
        <v>0</v>
      </c>
      <c r="BV58" s="180">
        <f>BV24/('Page 3'!$U$3*27152)</f>
        <v>0</v>
      </c>
      <c r="BX58" s="180">
        <f>BX24/('Page 3'!$U$3*27152)</f>
        <v>0</v>
      </c>
      <c r="BZ58" s="180">
        <f>BZ24/('Page 4'!$I$3*27152)</f>
        <v>0</v>
      </c>
      <c r="CB58" s="180">
        <f>CB24/('Page 4'!$I$3*27152)</f>
        <v>0</v>
      </c>
      <c r="CD58" s="180">
        <f>CD24/('Page 4'!$I$3*27152)</f>
        <v>0</v>
      </c>
      <c r="CF58" s="180">
        <f>CF24/('Page 4'!$M$3*27152)</f>
        <v>0</v>
      </c>
      <c r="CH58" s="180">
        <f>CH24/('Page 4'!$M$3*27152)</f>
        <v>0</v>
      </c>
      <c r="CJ58" s="180">
        <f>CJ24/('Page 4'!$M$3*27152)</f>
        <v>0</v>
      </c>
      <c r="CL58" s="180">
        <f>CL24/('Page 4'!$Q$3*27152)</f>
        <v>0</v>
      </c>
      <c r="CN58" s="180">
        <f>CN24/('Page 4'!$Q$3*27152)</f>
        <v>0</v>
      </c>
      <c r="CP58" s="180">
        <f>CP24/('Page 4'!$Q$3*27152)</f>
        <v>0</v>
      </c>
      <c r="CR58" s="180">
        <f>CR24/('Page 4'!$U$3*27152)</f>
        <v>0</v>
      </c>
      <c r="CT58" s="180">
        <f>CT24/('Page 4'!$U$3*27152)</f>
        <v>0</v>
      </c>
      <c r="CV58" s="180">
        <f>CV24/('Page 4'!$U$3*27152)</f>
        <v>0</v>
      </c>
    </row>
    <row r="59" spans="1:100" ht="16.5" hidden="1" customHeight="1">
      <c r="A59" s="101">
        <v>22</v>
      </c>
      <c r="F59" s="180">
        <f>F25/('Page 1'!$I$3*27152)</f>
        <v>0</v>
      </c>
      <c r="H59" s="180">
        <f>H25/('Page 1'!$I$3*27152)</f>
        <v>0</v>
      </c>
      <c r="J59" s="180">
        <f>J25/('Page 1'!$I$3*27152)</f>
        <v>0</v>
      </c>
      <c r="L59" s="180">
        <f>L25/('Page 1'!$M$3*27152)</f>
        <v>0</v>
      </c>
      <c r="N59" s="180">
        <f>N25/('Page 1'!$M$3*27152)</f>
        <v>0</v>
      </c>
      <c r="P59" s="180">
        <f>P25/('Page 1'!$M$3*27152)</f>
        <v>0</v>
      </c>
      <c r="R59" s="180">
        <f>R25/('Page 1'!$Q$3*27152)</f>
        <v>0</v>
      </c>
      <c r="T59" s="180">
        <f>T25/('Page 1'!$Q$3*27152)</f>
        <v>0</v>
      </c>
      <c r="V59" s="180">
        <f>V25/('Page 1'!$Q$3*27152)</f>
        <v>0</v>
      </c>
      <c r="X59" s="180">
        <f>X25/('Page 1'!$U$3*27152)</f>
        <v>0</v>
      </c>
      <c r="Z59" s="180">
        <f>Z25/('Page 1'!$U$3*27152)</f>
        <v>0</v>
      </c>
      <c r="AB59" s="180">
        <f>AB25/('Page 1'!$U$3*27152)</f>
        <v>0</v>
      </c>
      <c r="AD59" s="180">
        <f>AD25/('Page 2'!$I$3*27152)</f>
        <v>0</v>
      </c>
      <c r="AF59" s="180">
        <f>AF25/('Page 2'!$I$3*27152)</f>
        <v>0</v>
      </c>
      <c r="AH59" s="180">
        <f>AH25/('Page 2'!$I$3*27152)</f>
        <v>0</v>
      </c>
      <c r="AJ59" s="180">
        <f>AJ25/('Page 2'!$M$3*27152)</f>
        <v>0</v>
      </c>
      <c r="AL59" s="180">
        <f>AL25/('Page 2'!$M$3*27152)</f>
        <v>0</v>
      </c>
      <c r="AN59" s="180">
        <f>AN25/('Page 2'!$M$3*27152)</f>
        <v>0</v>
      </c>
      <c r="AP59" s="180">
        <f>AP25/('Page 2'!$Q$3*27152)</f>
        <v>0</v>
      </c>
      <c r="AR59" s="180">
        <f>AR25/('Page 2'!$Q$3*27152)</f>
        <v>0</v>
      </c>
      <c r="AT59" s="180">
        <f>AT25/('Page 2'!$Q$3*27152)</f>
        <v>0</v>
      </c>
      <c r="AV59" s="180">
        <f>AV25/('Page 2'!$U$3*27152)</f>
        <v>0</v>
      </c>
      <c r="AX59" s="180">
        <f>AX25/('Page 2'!$U$3*27152)</f>
        <v>0</v>
      </c>
      <c r="AZ59" s="180">
        <f>AZ25/('Page 2'!$U$3*27152)</f>
        <v>0</v>
      </c>
      <c r="BB59" s="180">
        <f>BB25/('Page 3'!$I$3*27152)</f>
        <v>0</v>
      </c>
      <c r="BD59" s="180">
        <f>BD25/('Page 3'!$I$3*27152)</f>
        <v>0</v>
      </c>
      <c r="BF59" s="180">
        <f>BF25/('Page 3'!$I$3*27152)</f>
        <v>0</v>
      </c>
      <c r="BH59" s="180">
        <f>BH25/('Page 3'!$M$3*27152)</f>
        <v>0</v>
      </c>
      <c r="BJ59" s="180">
        <f>BJ25/('Page 3'!$M$3*27152)</f>
        <v>0</v>
      </c>
      <c r="BL59" s="180">
        <f>BL25/('Page 3'!$M$3*27152)</f>
        <v>0</v>
      </c>
      <c r="BN59" s="180">
        <f>BN25/('Page 3'!$Q$3*27152)</f>
        <v>0</v>
      </c>
      <c r="BP59" s="180">
        <f>BP25/('Page 3'!$Q$3*27152)</f>
        <v>0</v>
      </c>
      <c r="BR59" s="180">
        <f>BR25/('Page 3'!$Q$3*27152)</f>
        <v>0</v>
      </c>
      <c r="BT59" s="180">
        <f>BT25/('Page 3'!$U$3*27152)</f>
        <v>0</v>
      </c>
      <c r="BV59" s="180">
        <f>BV25/('Page 3'!$U$3*27152)</f>
        <v>0</v>
      </c>
      <c r="BX59" s="180">
        <f>BX25/('Page 3'!$U$3*27152)</f>
        <v>0</v>
      </c>
      <c r="BZ59" s="180">
        <f>BZ25/('Page 4'!$I$3*27152)</f>
        <v>0</v>
      </c>
      <c r="CB59" s="180">
        <f>CB25/('Page 4'!$I$3*27152)</f>
        <v>0</v>
      </c>
      <c r="CD59" s="180">
        <f>CD25/('Page 4'!$I$3*27152)</f>
        <v>0</v>
      </c>
      <c r="CF59" s="180">
        <f>CF25/('Page 4'!$M$3*27152)</f>
        <v>0</v>
      </c>
      <c r="CH59" s="180">
        <f>CH25/('Page 4'!$M$3*27152)</f>
        <v>0</v>
      </c>
      <c r="CJ59" s="180">
        <f>CJ25/('Page 4'!$M$3*27152)</f>
        <v>0</v>
      </c>
      <c r="CL59" s="180">
        <f>CL25/('Page 4'!$Q$3*27152)</f>
        <v>0</v>
      </c>
      <c r="CN59" s="180">
        <f>CN25/('Page 4'!$Q$3*27152)</f>
        <v>0</v>
      </c>
      <c r="CP59" s="180">
        <f>CP25/('Page 4'!$Q$3*27152)</f>
        <v>0</v>
      </c>
      <c r="CR59" s="180">
        <f>CR25/('Page 4'!$U$3*27152)</f>
        <v>0</v>
      </c>
      <c r="CT59" s="180">
        <f>CT25/('Page 4'!$U$3*27152)</f>
        <v>0</v>
      </c>
      <c r="CV59" s="180">
        <f>CV25/('Page 4'!$U$3*27152)</f>
        <v>0</v>
      </c>
    </row>
    <row r="60" spans="1:100" ht="16.5" hidden="1" customHeight="1">
      <c r="A60" s="101">
        <v>23</v>
      </c>
      <c r="F60" s="180">
        <f>F26/('Page 1'!$I$3*27152)</f>
        <v>0</v>
      </c>
      <c r="H60" s="180">
        <f>H26/('Page 1'!$I$3*27152)</f>
        <v>0</v>
      </c>
      <c r="J60" s="180">
        <f>J26/('Page 1'!$I$3*27152)</f>
        <v>0</v>
      </c>
      <c r="L60" s="180">
        <f>L26/('Page 1'!$M$3*27152)</f>
        <v>0</v>
      </c>
      <c r="N60" s="180">
        <f>N26/('Page 1'!$M$3*27152)</f>
        <v>0</v>
      </c>
      <c r="P60" s="180">
        <f>P26/('Page 1'!$M$3*27152)</f>
        <v>0</v>
      </c>
      <c r="R60" s="180">
        <f>R26/('Page 1'!$Q$3*27152)</f>
        <v>0</v>
      </c>
      <c r="T60" s="180">
        <f>T26/('Page 1'!$Q$3*27152)</f>
        <v>0</v>
      </c>
      <c r="V60" s="180">
        <f>V26/('Page 1'!$Q$3*27152)</f>
        <v>0</v>
      </c>
      <c r="X60" s="180">
        <f>X26/('Page 1'!$U$3*27152)</f>
        <v>0</v>
      </c>
      <c r="Z60" s="180">
        <f>Z26/('Page 1'!$U$3*27152)</f>
        <v>0</v>
      </c>
      <c r="AB60" s="180">
        <f>AB26/('Page 1'!$U$3*27152)</f>
        <v>0</v>
      </c>
      <c r="AD60" s="180">
        <f>AD26/('Page 2'!$I$3*27152)</f>
        <v>0</v>
      </c>
      <c r="AF60" s="180">
        <f>AF26/('Page 2'!$I$3*27152)</f>
        <v>0</v>
      </c>
      <c r="AH60" s="180">
        <f>AH26/('Page 2'!$I$3*27152)</f>
        <v>0</v>
      </c>
      <c r="AJ60" s="180">
        <f>AJ26/('Page 2'!$M$3*27152)</f>
        <v>0</v>
      </c>
      <c r="AL60" s="180">
        <f>AL26/('Page 2'!$M$3*27152)</f>
        <v>0</v>
      </c>
      <c r="AN60" s="180">
        <f>AN26/('Page 2'!$M$3*27152)</f>
        <v>0</v>
      </c>
      <c r="AP60" s="180">
        <f>AP26/('Page 2'!$Q$3*27152)</f>
        <v>0</v>
      </c>
      <c r="AR60" s="180">
        <f>AR26/('Page 2'!$Q$3*27152)</f>
        <v>0</v>
      </c>
      <c r="AT60" s="180">
        <f>AT26/('Page 2'!$Q$3*27152)</f>
        <v>0</v>
      </c>
      <c r="AV60" s="180">
        <f>AV26/('Page 2'!$U$3*27152)</f>
        <v>0</v>
      </c>
      <c r="AX60" s="180">
        <f>AX26/('Page 2'!$U$3*27152)</f>
        <v>0</v>
      </c>
      <c r="AZ60" s="180">
        <f>AZ26/('Page 2'!$U$3*27152)</f>
        <v>0</v>
      </c>
      <c r="BB60" s="180">
        <f>BB26/('Page 3'!$I$3*27152)</f>
        <v>0</v>
      </c>
      <c r="BD60" s="180">
        <f>BD26/('Page 3'!$I$3*27152)</f>
        <v>0</v>
      </c>
      <c r="BF60" s="180">
        <f>BF26/('Page 3'!$I$3*27152)</f>
        <v>0</v>
      </c>
      <c r="BH60" s="180">
        <f>BH26/('Page 3'!$M$3*27152)</f>
        <v>0</v>
      </c>
      <c r="BJ60" s="180">
        <f>BJ26/('Page 3'!$M$3*27152)</f>
        <v>0</v>
      </c>
      <c r="BL60" s="180">
        <f>BL26/('Page 3'!$M$3*27152)</f>
        <v>0</v>
      </c>
      <c r="BN60" s="180">
        <f>BN26/('Page 3'!$Q$3*27152)</f>
        <v>0</v>
      </c>
      <c r="BP60" s="180">
        <f>BP26/('Page 3'!$Q$3*27152)</f>
        <v>0</v>
      </c>
      <c r="BR60" s="180">
        <f>BR26/('Page 3'!$Q$3*27152)</f>
        <v>0</v>
      </c>
      <c r="BT60" s="180">
        <f>BT26/('Page 3'!$U$3*27152)</f>
        <v>0</v>
      </c>
      <c r="BV60" s="180">
        <f>BV26/('Page 3'!$U$3*27152)</f>
        <v>0</v>
      </c>
      <c r="BX60" s="180">
        <f>BX26/('Page 3'!$U$3*27152)</f>
        <v>0</v>
      </c>
      <c r="BZ60" s="180">
        <f>BZ26/('Page 4'!$I$3*27152)</f>
        <v>0</v>
      </c>
      <c r="CB60" s="180">
        <f>CB26/('Page 4'!$I$3*27152)</f>
        <v>0</v>
      </c>
      <c r="CD60" s="180">
        <f>CD26/('Page 4'!$I$3*27152)</f>
        <v>0</v>
      </c>
      <c r="CF60" s="180">
        <f>CF26/('Page 4'!$M$3*27152)</f>
        <v>0</v>
      </c>
      <c r="CH60" s="180">
        <f>CH26/('Page 4'!$M$3*27152)</f>
        <v>0</v>
      </c>
      <c r="CJ60" s="180">
        <f>CJ26/('Page 4'!$M$3*27152)</f>
        <v>0</v>
      </c>
      <c r="CL60" s="180">
        <f>CL26/('Page 4'!$Q$3*27152)</f>
        <v>0</v>
      </c>
      <c r="CN60" s="180">
        <f>CN26/('Page 4'!$Q$3*27152)</f>
        <v>0</v>
      </c>
      <c r="CP60" s="180">
        <f>CP26/('Page 4'!$Q$3*27152)</f>
        <v>0</v>
      </c>
      <c r="CR60" s="180">
        <f>CR26/('Page 4'!$U$3*27152)</f>
        <v>0</v>
      </c>
      <c r="CT60" s="180">
        <f>CT26/('Page 4'!$U$3*27152)</f>
        <v>0</v>
      </c>
      <c r="CV60" s="180">
        <f>CV26/('Page 4'!$U$3*27152)</f>
        <v>0</v>
      </c>
    </row>
    <row r="61" spans="1:100" ht="16.5" hidden="1" customHeight="1">
      <c r="A61" s="101">
        <v>24</v>
      </c>
      <c r="F61" s="180">
        <f>F27/('Page 1'!$I$3*27152)</f>
        <v>0</v>
      </c>
      <c r="H61" s="180">
        <f>H27/('Page 1'!$I$3*27152)</f>
        <v>0</v>
      </c>
      <c r="J61" s="180">
        <f>J27/('Page 1'!$I$3*27152)</f>
        <v>0</v>
      </c>
      <c r="L61" s="180">
        <f>L27/('Page 1'!$M$3*27152)</f>
        <v>0</v>
      </c>
      <c r="N61" s="180">
        <f>N27/('Page 1'!$M$3*27152)</f>
        <v>0</v>
      </c>
      <c r="P61" s="180">
        <f>P27/('Page 1'!$M$3*27152)</f>
        <v>0</v>
      </c>
      <c r="R61" s="180">
        <f>R27/('Page 1'!$Q$3*27152)</f>
        <v>0</v>
      </c>
      <c r="T61" s="180">
        <f>T27/('Page 1'!$Q$3*27152)</f>
        <v>0</v>
      </c>
      <c r="V61" s="180">
        <f>V27/('Page 1'!$Q$3*27152)</f>
        <v>0</v>
      </c>
      <c r="X61" s="180">
        <f>X27/('Page 1'!$U$3*27152)</f>
        <v>0</v>
      </c>
      <c r="Z61" s="180">
        <f>Z27/('Page 1'!$U$3*27152)</f>
        <v>0</v>
      </c>
      <c r="AB61" s="180">
        <f>AB27/('Page 1'!$U$3*27152)</f>
        <v>0</v>
      </c>
      <c r="AD61" s="180">
        <f>AD27/('Page 2'!$I$3*27152)</f>
        <v>0</v>
      </c>
      <c r="AF61" s="180">
        <f>AF27/('Page 2'!$I$3*27152)</f>
        <v>0</v>
      </c>
      <c r="AH61" s="180">
        <f>AH27/('Page 2'!$I$3*27152)</f>
        <v>0</v>
      </c>
      <c r="AJ61" s="180">
        <f>AJ27/('Page 2'!$M$3*27152)</f>
        <v>0</v>
      </c>
      <c r="AL61" s="180">
        <f>AL27/('Page 2'!$M$3*27152)</f>
        <v>0</v>
      </c>
      <c r="AN61" s="180">
        <f>AN27/('Page 2'!$M$3*27152)</f>
        <v>0</v>
      </c>
      <c r="AP61" s="180">
        <f>AP27/('Page 2'!$Q$3*27152)</f>
        <v>0</v>
      </c>
      <c r="AR61" s="180">
        <f>AR27/('Page 2'!$Q$3*27152)</f>
        <v>0</v>
      </c>
      <c r="AT61" s="180">
        <f>AT27/('Page 2'!$Q$3*27152)</f>
        <v>0</v>
      </c>
      <c r="AV61" s="180">
        <f>AV27/('Page 2'!$U$3*27152)</f>
        <v>0</v>
      </c>
      <c r="AX61" s="180">
        <f>AX27/('Page 2'!$U$3*27152)</f>
        <v>0</v>
      </c>
      <c r="AZ61" s="180">
        <f>AZ27/('Page 2'!$U$3*27152)</f>
        <v>0</v>
      </c>
      <c r="BB61" s="180">
        <f>BB27/('Page 3'!$I$3*27152)</f>
        <v>0</v>
      </c>
      <c r="BD61" s="180">
        <f>BD27/('Page 3'!$I$3*27152)</f>
        <v>0</v>
      </c>
      <c r="BF61" s="180">
        <f>BF27/('Page 3'!$I$3*27152)</f>
        <v>0</v>
      </c>
      <c r="BH61" s="180">
        <f>BH27/('Page 3'!$M$3*27152)</f>
        <v>0</v>
      </c>
      <c r="BJ61" s="180">
        <f>BJ27/('Page 3'!$M$3*27152)</f>
        <v>0</v>
      </c>
      <c r="BL61" s="180">
        <f>BL27/('Page 3'!$M$3*27152)</f>
        <v>0</v>
      </c>
      <c r="BN61" s="180">
        <f>BN27/('Page 3'!$Q$3*27152)</f>
        <v>0</v>
      </c>
      <c r="BP61" s="180">
        <f>BP27/('Page 3'!$Q$3*27152)</f>
        <v>0</v>
      </c>
      <c r="BR61" s="180">
        <f>BR27/('Page 3'!$Q$3*27152)</f>
        <v>0</v>
      </c>
      <c r="BT61" s="180">
        <f>BT27/('Page 3'!$U$3*27152)</f>
        <v>0</v>
      </c>
      <c r="BV61" s="180">
        <f>BV27/('Page 3'!$U$3*27152)</f>
        <v>0</v>
      </c>
      <c r="BX61" s="180">
        <f>BX27/('Page 3'!$U$3*27152)</f>
        <v>0</v>
      </c>
      <c r="BZ61" s="180">
        <f>BZ27/('Page 4'!$I$3*27152)</f>
        <v>0</v>
      </c>
      <c r="CB61" s="180">
        <f>CB27/('Page 4'!$I$3*27152)</f>
        <v>0</v>
      </c>
      <c r="CD61" s="180">
        <f>CD27/('Page 4'!$I$3*27152)</f>
        <v>0</v>
      </c>
      <c r="CF61" s="180">
        <f>CF27/('Page 4'!$M$3*27152)</f>
        <v>0</v>
      </c>
      <c r="CH61" s="180">
        <f>CH27/('Page 4'!$M$3*27152)</f>
        <v>0</v>
      </c>
      <c r="CJ61" s="180">
        <f>CJ27/('Page 4'!$M$3*27152)</f>
        <v>0</v>
      </c>
      <c r="CL61" s="180">
        <f>CL27/('Page 4'!$Q$3*27152)</f>
        <v>0</v>
      </c>
      <c r="CN61" s="180">
        <f>CN27/('Page 4'!$Q$3*27152)</f>
        <v>0</v>
      </c>
      <c r="CP61" s="180">
        <f>CP27/('Page 4'!$Q$3*27152)</f>
        <v>0</v>
      </c>
      <c r="CR61" s="180">
        <f>CR27/('Page 4'!$U$3*27152)</f>
        <v>0</v>
      </c>
      <c r="CT61" s="180">
        <f>CT27/('Page 4'!$U$3*27152)</f>
        <v>0</v>
      </c>
      <c r="CV61" s="180">
        <f>CV27/('Page 4'!$U$3*27152)</f>
        <v>0</v>
      </c>
    </row>
    <row r="62" spans="1:100" ht="16.5" hidden="1" customHeight="1">
      <c r="A62" s="101">
        <v>25</v>
      </c>
      <c r="F62" s="180">
        <f>F28/('Page 1'!$I$3*27152)</f>
        <v>0</v>
      </c>
      <c r="H62" s="180">
        <f>H28/('Page 1'!$I$3*27152)</f>
        <v>0</v>
      </c>
      <c r="J62" s="180">
        <f>J28/('Page 1'!$I$3*27152)</f>
        <v>0</v>
      </c>
      <c r="L62" s="180">
        <f>L28/('Page 1'!$M$3*27152)</f>
        <v>0</v>
      </c>
      <c r="N62" s="180">
        <f>N28/('Page 1'!$M$3*27152)</f>
        <v>0</v>
      </c>
      <c r="P62" s="180">
        <f>P28/('Page 1'!$M$3*27152)</f>
        <v>0</v>
      </c>
      <c r="R62" s="180">
        <f>R28/('Page 1'!$Q$3*27152)</f>
        <v>0</v>
      </c>
      <c r="T62" s="180">
        <f>T28/('Page 1'!$Q$3*27152)</f>
        <v>0</v>
      </c>
      <c r="V62" s="180">
        <f>V28/('Page 1'!$Q$3*27152)</f>
        <v>0</v>
      </c>
      <c r="X62" s="180">
        <f>X28/('Page 1'!$U$3*27152)</f>
        <v>0</v>
      </c>
      <c r="Z62" s="180">
        <f>Z28/('Page 1'!$U$3*27152)</f>
        <v>0</v>
      </c>
      <c r="AB62" s="180">
        <f>AB28/('Page 1'!$U$3*27152)</f>
        <v>0</v>
      </c>
      <c r="AD62" s="180">
        <f>AD28/('Page 2'!$I$3*27152)</f>
        <v>0</v>
      </c>
      <c r="AF62" s="180">
        <f>AF28/('Page 2'!$I$3*27152)</f>
        <v>0</v>
      </c>
      <c r="AH62" s="180">
        <f>AH28/('Page 2'!$I$3*27152)</f>
        <v>0</v>
      </c>
      <c r="AJ62" s="180">
        <f>AJ28/('Page 2'!$M$3*27152)</f>
        <v>0</v>
      </c>
      <c r="AL62" s="180">
        <f>AL28/('Page 2'!$M$3*27152)</f>
        <v>0</v>
      </c>
      <c r="AN62" s="180">
        <f>AN28/('Page 2'!$M$3*27152)</f>
        <v>0</v>
      </c>
      <c r="AP62" s="180">
        <f>AP28/('Page 2'!$Q$3*27152)</f>
        <v>0</v>
      </c>
      <c r="AR62" s="180">
        <f>AR28/('Page 2'!$Q$3*27152)</f>
        <v>0</v>
      </c>
      <c r="AT62" s="180">
        <f>AT28/('Page 2'!$Q$3*27152)</f>
        <v>0</v>
      </c>
      <c r="AV62" s="180">
        <f>AV28/('Page 2'!$U$3*27152)</f>
        <v>0</v>
      </c>
      <c r="AX62" s="180">
        <f>AX28/('Page 2'!$U$3*27152)</f>
        <v>0</v>
      </c>
      <c r="AZ62" s="180">
        <f>AZ28/('Page 2'!$U$3*27152)</f>
        <v>0</v>
      </c>
      <c r="BB62" s="180">
        <f>BB28/('Page 3'!$I$3*27152)</f>
        <v>0</v>
      </c>
      <c r="BD62" s="180">
        <f>BD28/('Page 3'!$I$3*27152)</f>
        <v>0</v>
      </c>
      <c r="BF62" s="180">
        <f>BF28/('Page 3'!$I$3*27152)</f>
        <v>0</v>
      </c>
      <c r="BH62" s="180">
        <f>BH28/('Page 3'!$M$3*27152)</f>
        <v>0</v>
      </c>
      <c r="BJ62" s="180">
        <f>BJ28/('Page 3'!$M$3*27152)</f>
        <v>0</v>
      </c>
      <c r="BL62" s="180">
        <f>BL28/('Page 3'!$M$3*27152)</f>
        <v>0</v>
      </c>
      <c r="BN62" s="180">
        <f>BN28/('Page 3'!$Q$3*27152)</f>
        <v>0</v>
      </c>
      <c r="BP62" s="180">
        <f>BP28/('Page 3'!$Q$3*27152)</f>
        <v>0</v>
      </c>
      <c r="BR62" s="180">
        <f>BR28/('Page 3'!$Q$3*27152)</f>
        <v>0</v>
      </c>
      <c r="BT62" s="180">
        <f>BT28/('Page 3'!$U$3*27152)</f>
        <v>0</v>
      </c>
      <c r="BV62" s="180">
        <f>BV28/('Page 3'!$U$3*27152)</f>
        <v>0</v>
      </c>
      <c r="BX62" s="180">
        <f>BX28/('Page 3'!$U$3*27152)</f>
        <v>0</v>
      </c>
      <c r="BZ62" s="180">
        <f>BZ28/('Page 4'!$I$3*27152)</f>
        <v>0</v>
      </c>
      <c r="CB62" s="180">
        <f>CB28/('Page 4'!$I$3*27152)</f>
        <v>0</v>
      </c>
      <c r="CD62" s="180">
        <f>CD28/('Page 4'!$I$3*27152)</f>
        <v>0</v>
      </c>
      <c r="CF62" s="180">
        <f>CF28/('Page 4'!$M$3*27152)</f>
        <v>0</v>
      </c>
      <c r="CH62" s="180">
        <f>CH28/('Page 4'!$M$3*27152)</f>
        <v>0</v>
      </c>
      <c r="CJ62" s="180">
        <f>CJ28/('Page 4'!$M$3*27152)</f>
        <v>0</v>
      </c>
      <c r="CL62" s="180">
        <f>CL28/('Page 4'!$Q$3*27152)</f>
        <v>0</v>
      </c>
      <c r="CN62" s="180">
        <f>CN28/('Page 4'!$Q$3*27152)</f>
        <v>0</v>
      </c>
      <c r="CP62" s="180">
        <f>CP28/('Page 4'!$Q$3*27152)</f>
        <v>0</v>
      </c>
      <c r="CR62" s="180">
        <f>CR28/('Page 4'!$U$3*27152)</f>
        <v>0</v>
      </c>
      <c r="CT62" s="180">
        <f>CT28/('Page 4'!$U$3*27152)</f>
        <v>0</v>
      </c>
      <c r="CV62" s="180">
        <f>CV28/('Page 4'!$U$3*27152)</f>
        <v>0</v>
      </c>
    </row>
    <row r="63" spans="1:100" ht="16.5" hidden="1" customHeight="1">
      <c r="A63" s="101">
        <v>26</v>
      </c>
      <c r="F63" s="180">
        <f>F29/('Page 1'!$I$3*27152)</f>
        <v>0</v>
      </c>
      <c r="H63" s="180">
        <f>H29/('Page 1'!$I$3*27152)</f>
        <v>0</v>
      </c>
      <c r="J63" s="180">
        <f>J29/('Page 1'!$I$3*27152)</f>
        <v>0</v>
      </c>
      <c r="L63" s="180">
        <f>L29/('Page 1'!$M$3*27152)</f>
        <v>0</v>
      </c>
      <c r="N63" s="180">
        <f>N29/('Page 1'!$M$3*27152)</f>
        <v>0</v>
      </c>
      <c r="P63" s="180">
        <f>P29/('Page 1'!$M$3*27152)</f>
        <v>0</v>
      </c>
      <c r="R63" s="180">
        <f>R29/('Page 1'!$Q$3*27152)</f>
        <v>0</v>
      </c>
      <c r="T63" s="180">
        <f>T29/('Page 1'!$Q$3*27152)</f>
        <v>0</v>
      </c>
      <c r="V63" s="180">
        <f>V29/('Page 1'!$Q$3*27152)</f>
        <v>0</v>
      </c>
      <c r="X63" s="180">
        <f>X29/('Page 1'!$U$3*27152)</f>
        <v>0</v>
      </c>
      <c r="Z63" s="180">
        <f>Z29/('Page 1'!$U$3*27152)</f>
        <v>0</v>
      </c>
      <c r="AB63" s="180">
        <f>AB29/('Page 1'!$U$3*27152)</f>
        <v>0</v>
      </c>
      <c r="AD63" s="180">
        <f>AD29/('Page 2'!$I$3*27152)</f>
        <v>0</v>
      </c>
      <c r="AF63" s="180">
        <f>AF29/('Page 2'!$I$3*27152)</f>
        <v>0</v>
      </c>
      <c r="AH63" s="180">
        <f>AH29/('Page 2'!$I$3*27152)</f>
        <v>0</v>
      </c>
      <c r="AJ63" s="180">
        <f>AJ29/('Page 2'!$M$3*27152)</f>
        <v>0</v>
      </c>
      <c r="AL63" s="180">
        <f>AL29/('Page 2'!$M$3*27152)</f>
        <v>0</v>
      </c>
      <c r="AN63" s="180">
        <f>AN29/('Page 2'!$M$3*27152)</f>
        <v>0</v>
      </c>
      <c r="AP63" s="180">
        <f>AP29/('Page 2'!$Q$3*27152)</f>
        <v>0</v>
      </c>
      <c r="AR63" s="180">
        <f>AR29/('Page 2'!$Q$3*27152)</f>
        <v>0</v>
      </c>
      <c r="AT63" s="180">
        <f>AT29/('Page 2'!$Q$3*27152)</f>
        <v>0</v>
      </c>
      <c r="AV63" s="180">
        <f>AV29/('Page 2'!$U$3*27152)</f>
        <v>0</v>
      </c>
      <c r="AX63" s="180">
        <f>AX29/('Page 2'!$U$3*27152)</f>
        <v>0</v>
      </c>
      <c r="AZ63" s="180">
        <f>AZ29/('Page 2'!$U$3*27152)</f>
        <v>0</v>
      </c>
      <c r="BB63" s="180">
        <f>BB29/('Page 3'!$I$3*27152)</f>
        <v>0</v>
      </c>
      <c r="BD63" s="180">
        <f>BD29/('Page 3'!$I$3*27152)</f>
        <v>0</v>
      </c>
      <c r="BF63" s="180">
        <f>BF29/('Page 3'!$I$3*27152)</f>
        <v>0</v>
      </c>
      <c r="BH63" s="180">
        <f>BH29/('Page 3'!$M$3*27152)</f>
        <v>0</v>
      </c>
      <c r="BJ63" s="180">
        <f>BJ29/('Page 3'!$M$3*27152)</f>
        <v>0</v>
      </c>
      <c r="BL63" s="180">
        <f>BL29/('Page 3'!$M$3*27152)</f>
        <v>0</v>
      </c>
      <c r="BN63" s="180">
        <f>BN29/('Page 3'!$Q$3*27152)</f>
        <v>0</v>
      </c>
      <c r="BP63" s="180">
        <f>BP29/('Page 3'!$Q$3*27152)</f>
        <v>0</v>
      </c>
      <c r="BR63" s="180">
        <f>BR29/('Page 3'!$Q$3*27152)</f>
        <v>0</v>
      </c>
      <c r="BT63" s="180">
        <f>BT29/('Page 3'!$U$3*27152)</f>
        <v>0</v>
      </c>
      <c r="BV63" s="180">
        <f>BV29/('Page 3'!$U$3*27152)</f>
        <v>0</v>
      </c>
      <c r="BX63" s="180">
        <f>BX29/('Page 3'!$U$3*27152)</f>
        <v>0</v>
      </c>
      <c r="BZ63" s="180">
        <f>BZ29/('Page 4'!$I$3*27152)</f>
        <v>0</v>
      </c>
      <c r="CB63" s="180">
        <f>CB29/('Page 4'!$I$3*27152)</f>
        <v>0</v>
      </c>
      <c r="CD63" s="180">
        <f>CD29/('Page 4'!$I$3*27152)</f>
        <v>0</v>
      </c>
      <c r="CF63" s="180">
        <f>CF29/('Page 4'!$M$3*27152)</f>
        <v>0</v>
      </c>
      <c r="CH63" s="180">
        <f>CH29/('Page 4'!$M$3*27152)</f>
        <v>0</v>
      </c>
      <c r="CJ63" s="180">
        <f>CJ29/('Page 4'!$M$3*27152)</f>
        <v>0</v>
      </c>
      <c r="CL63" s="180">
        <f>CL29/('Page 4'!$Q$3*27152)</f>
        <v>0</v>
      </c>
      <c r="CN63" s="180">
        <f>CN29/('Page 4'!$Q$3*27152)</f>
        <v>0</v>
      </c>
      <c r="CP63" s="180">
        <f>CP29/('Page 4'!$Q$3*27152)</f>
        <v>0</v>
      </c>
      <c r="CR63" s="180">
        <f>CR29/('Page 4'!$U$3*27152)</f>
        <v>0</v>
      </c>
      <c r="CT63" s="180">
        <f>CT29/('Page 4'!$U$3*27152)</f>
        <v>0</v>
      </c>
      <c r="CV63" s="180">
        <f>CV29/('Page 4'!$U$3*27152)</f>
        <v>0</v>
      </c>
    </row>
    <row r="64" spans="1:100" ht="16.5" hidden="1" customHeight="1">
      <c r="A64" s="101">
        <v>27</v>
      </c>
      <c r="F64" s="180">
        <f>F30/('Page 1'!$I$3*27152)</f>
        <v>0</v>
      </c>
      <c r="H64" s="180">
        <f>H30/('Page 1'!$I$3*27152)</f>
        <v>0</v>
      </c>
      <c r="J64" s="180">
        <f>J30/('Page 1'!$I$3*27152)</f>
        <v>0</v>
      </c>
      <c r="L64" s="180">
        <f>L30/('Page 1'!$M$3*27152)</f>
        <v>0</v>
      </c>
      <c r="N64" s="180">
        <f>N30/('Page 1'!$M$3*27152)</f>
        <v>0</v>
      </c>
      <c r="P64" s="180">
        <f>P30/('Page 1'!$M$3*27152)</f>
        <v>0</v>
      </c>
      <c r="R64" s="180">
        <f>R30/('Page 1'!$Q$3*27152)</f>
        <v>0</v>
      </c>
      <c r="T64" s="180">
        <f>T30/('Page 1'!$Q$3*27152)</f>
        <v>0</v>
      </c>
      <c r="V64" s="180">
        <f>V30/('Page 1'!$Q$3*27152)</f>
        <v>0</v>
      </c>
      <c r="X64" s="180">
        <f>X30/('Page 1'!$U$3*27152)</f>
        <v>0</v>
      </c>
      <c r="Z64" s="180">
        <f>Z30/('Page 1'!$U$3*27152)</f>
        <v>0</v>
      </c>
      <c r="AB64" s="180">
        <f>AB30/('Page 1'!$U$3*27152)</f>
        <v>0</v>
      </c>
      <c r="AD64" s="180">
        <f>AD30/('Page 2'!$I$3*27152)</f>
        <v>0</v>
      </c>
      <c r="AF64" s="180">
        <f>AF30/('Page 2'!$I$3*27152)</f>
        <v>0</v>
      </c>
      <c r="AH64" s="180">
        <f>AH30/('Page 2'!$I$3*27152)</f>
        <v>0</v>
      </c>
      <c r="AJ64" s="180">
        <f>AJ30/('Page 2'!$M$3*27152)</f>
        <v>0</v>
      </c>
      <c r="AL64" s="180">
        <f>AL30/('Page 2'!$M$3*27152)</f>
        <v>0</v>
      </c>
      <c r="AN64" s="180">
        <f>AN30/('Page 2'!$M$3*27152)</f>
        <v>0</v>
      </c>
      <c r="AP64" s="180">
        <f>AP30/('Page 2'!$Q$3*27152)</f>
        <v>0</v>
      </c>
      <c r="AR64" s="180">
        <f>AR30/('Page 2'!$Q$3*27152)</f>
        <v>0</v>
      </c>
      <c r="AT64" s="180">
        <f>AT30/('Page 2'!$Q$3*27152)</f>
        <v>0</v>
      </c>
      <c r="AV64" s="180">
        <f>AV30/('Page 2'!$U$3*27152)</f>
        <v>0</v>
      </c>
      <c r="AX64" s="180">
        <f>AX30/('Page 2'!$U$3*27152)</f>
        <v>0</v>
      </c>
      <c r="AZ64" s="180">
        <f>AZ30/('Page 2'!$U$3*27152)</f>
        <v>0</v>
      </c>
      <c r="BB64" s="180">
        <f>BB30/('Page 3'!$I$3*27152)</f>
        <v>0</v>
      </c>
      <c r="BD64" s="180">
        <f>BD30/('Page 3'!$I$3*27152)</f>
        <v>0</v>
      </c>
      <c r="BF64" s="180">
        <f>BF30/('Page 3'!$I$3*27152)</f>
        <v>0</v>
      </c>
      <c r="BH64" s="180">
        <f>BH30/('Page 3'!$M$3*27152)</f>
        <v>0</v>
      </c>
      <c r="BJ64" s="180">
        <f>BJ30/('Page 3'!$M$3*27152)</f>
        <v>0</v>
      </c>
      <c r="BL64" s="180">
        <f>BL30/('Page 3'!$M$3*27152)</f>
        <v>0</v>
      </c>
      <c r="BN64" s="180">
        <f>BN30/('Page 3'!$Q$3*27152)</f>
        <v>0</v>
      </c>
      <c r="BP64" s="180">
        <f>BP30/('Page 3'!$Q$3*27152)</f>
        <v>0</v>
      </c>
      <c r="BR64" s="180">
        <f>BR30/('Page 3'!$Q$3*27152)</f>
        <v>0</v>
      </c>
      <c r="BT64" s="180">
        <f>BT30/('Page 3'!$U$3*27152)</f>
        <v>0</v>
      </c>
      <c r="BV64" s="180">
        <f>BV30/('Page 3'!$U$3*27152)</f>
        <v>0</v>
      </c>
      <c r="BX64" s="180">
        <f>BX30/('Page 3'!$U$3*27152)</f>
        <v>0</v>
      </c>
      <c r="BZ64" s="180">
        <f>BZ30/('Page 4'!$I$3*27152)</f>
        <v>0</v>
      </c>
      <c r="CB64" s="180">
        <f>CB30/('Page 4'!$I$3*27152)</f>
        <v>0</v>
      </c>
      <c r="CD64" s="180">
        <f>CD30/('Page 4'!$I$3*27152)</f>
        <v>0</v>
      </c>
      <c r="CF64" s="180">
        <f>CF30/('Page 4'!$M$3*27152)</f>
        <v>0</v>
      </c>
      <c r="CH64" s="180">
        <f>CH30/('Page 4'!$M$3*27152)</f>
        <v>0</v>
      </c>
      <c r="CJ64" s="180">
        <f>CJ30/('Page 4'!$M$3*27152)</f>
        <v>0</v>
      </c>
      <c r="CL64" s="180">
        <f>CL30/('Page 4'!$Q$3*27152)</f>
        <v>0</v>
      </c>
      <c r="CN64" s="180">
        <f>CN30/('Page 4'!$Q$3*27152)</f>
        <v>0</v>
      </c>
      <c r="CP64" s="180">
        <f>CP30/('Page 4'!$Q$3*27152)</f>
        <v>0</v>
      </c>
      <c r="CR64" s="180">
        <f>CR30/('Page 4'!$U$3*27152)</f>
        <v>0</v>
      </c>
      <c r="CT64" s="180">
        <f>CT30/('Page 4'!$U$3*27152)</f>
        <v>0</v>
      </c>
      <c r="CV64" s="180">
        <f>CV30/('Page 4'!$U$3*27152)</f>
        <v>0</v>
      </c>
    </row>
    <row r="65" spans="1:100" ht="16.5" hidden="1" customHeight="1">
      <c r="A65" s="101">
        <v>28</v>
      </c>
      <c r="F65" s="180">
        <f>F31/('Page 1'!$I$3*27152)</f>
        <v>0</v>
      </c>
      <c r="H65" s="180">
        <f>H31/('Page 1'!$I$3*27152)</f>
        <v>0</v>
      </c>
      <c r="J65" s="180">
        <f>J31/('Page 1'!$I$3*27152)</f>
        <v>0</v>
      </c>
      <c r="L65" s="180">
        <f>L31/('Page 1'!$M$3*27152)</f>
        <v>0</v>
      </c>
      <c r="N65" s="180">
        <f>N31/('Page 1'!$M$3*27152)</f>
        <v>0</v>
      </c>
      <c r="P65" s="180">
        <f>P31/('Page 1'!$M$3*27152)</f>
        <v>0</v>
      </c>
      <c r="R65" s="180">
        <f>R31/('Page 1'!$Q$3*27152)</f>
        <v>0</v>
      </c>
      <c r="T65" s="180">
        <f>T31/('Page 1'!$Q$3*27152)</f>
        <v>0</v>
      </c>
      <c r="V65" s="180">
        <f>V31/('Page 1'!$Q$3*27152)</f>
        <v>0</v>
      </c>
      <c r="X65" s="180">
        <f>X31/('Page 1'!$U$3*27152)</f>
        <v>0</v>
      </c>
      <c r="Z65" s="180">
        <f>Z31/('Page 1'!$U$3*27152)</f>
        <v>0</v>
      </c>
      <c r="AB65" s="180">
        <f>AB31/('Page 1'!$U$3*27152)</f>
        <v>0</v>
      </c>
      <c r="AD65" s="180">
        <f>AD31/('Page 2'!$I$3*27152)</f>
        <v>0</v>
      </c>
      <c r="AF65" s="180">
        <f>AF31/('Page 2'!$I$3*27152)</f>
        <v>0</v>
      </c>
      <c r="AH65" s="180">
        <f>AH31/('Page 2'!$I$3*27152)</f>
        <v>0</v>
      </c>
      <c r="AJ65" s="180">
        <f>AJ31/('Page 2'!$M$3*27152)</f>
        <v>0</v>
      </c>
      <c r="AL65" s="180">
        <f>AL31/('Page 2'!$M$3*27152)</f>
        <v>0</v>
      </c>
      <c r="AN65" s="180">
        <f>AN31/('Page 2'!$M$3*27152)</f>
        <v>0</v>
      </c>
      <c r="AP65" s="180">
        <f>AP31/('Page 2'!$Q$3*27152)</f>
        <v>0</v>
      </c>
      <c r="AR65" s="180">
        <f>AR31/('Page 2'!$Q$3*27152)</f>
        <v>0</v>
      </c>
      <c r="AT65" s="180">
        <f>AT31/('Page 2'!$Q$3*27152)</f>
        <v>0</v>
      </c>
      <c r="AV65" s="180">
        <f>AV31/('Page 2'!$U$3*27152)</f>
        <v>0</v>
      </c>
      <c r="AX65" s="180">
        <f>AX31/('Page 2'!$U$3*27152)</f>
        <v>0</v>
      </c>
      <c r="AZ65" s="180">
        <f>AZ31/('Page 2'!$U$3*27152)</f>
        <v>0</v>
      </c>
      <c r="BB65" s="180">
        <f>BB31/('Page 3'!$I$3*27152)</f>
        <v>0</v>
      </c>
      <c r="BD65" s="180">
        <f>BD31/('Page 3'!$I$3*27152)</f>
        <v>0</v>
      </c>
      <c r="BF65" s="180">
        <f>BF31/('Page 3'!$I$3*27152)</f>
        <v>0</v>
      </c>
      <c r="BH65" s="180">
        <f>BH31/('Page 3'!$M$3*27152)</f>
        <v>0</v>
      </c>
      <c r="BJ65" s="180">
        <f>BJ31/('Page 3'!$M$3*27152)</f>
        <v>0</v>
      </c>
      <c r="BL65" s="180">
        <f>BL31/('Page 3'!$M$3*27152)</f>
        <v>0</v>
      </c>
      <c r="BN65" s="180">
        <f>BN31/('Page 3'!$Q$3*27152)</f>
        <v>0</v>
      </c>
      <c r="BP65" s="180">
        <f>BP31/('Page 3'!$Q$3*27152)</f>
        <v>0</v>
      </c>
      <c r="BR65" s="180">
        <f>BR31/('Page 3'!$Q$3*27152)</f>
        <v>0</v>
      </c>
      <c r="BT65" s="180">
        <f>BT31/('Page 3'!$U$3*27152)</f>
        <v>0</v>
      </c>
      <c r="BV65" s="180">
        <f>BV31/('Page 3'!$U$3*27152)</f>
        <v>0</v>
      </c>
      <c r="BX65" s="180">
        <f>BX31/('Page 3'!$U$3*27152)</f>
        <v>0</v>
      </c>
      <c r="BZ65" s="180">
        <f>BZ31/('Page 4'!$I$3*27152)</f>
        <v>0</v>
      </c>
      <c r="CB65" s="180">
        <f>CB31/('Page 4'!$I$3*27152)</f>
        <v>0</v>
      </c>
      <c r="CD65" s="180">
        <f>CD31/('Page 4'!$I$3*27152)</f>
        <v>0</v>
      </c>
      <c r="CF65" s="180">
        <f>CF31/('Page 4'!$M$3*27152)</f>
        <v>0</v>
      </c>
      <c r="CH65" s="180">
        <f>CH31/('Page 4'!$M$3*27152)</f>
        <v>0</v>
      </c>
      <c r="CJ65" s="180">
        <f>CJ31/('Page 4'!$M$3*27152)</f>
        <v>0</v>
      </c>
      <c r="CL65" s="180">
        <f>CL31/('Page 4'!$Q$3*27152)</f>
        <v>0</v>
      </c>
      <c r="CN65" s="180">
        <f>CN31/('Page 4'!$Q$3*27152)</f>
        <v>0</v>
      </c>
      <c r="CP65" s="180">
        <f>CP31/('Page 4'!$Q$3*27152)</f>
        <v>0</v>
      </c>
      <c r="CR65" s="180">
        <f>CR31/('Page 4'!$U$3*27152)</f>
        <v>0</v>
      </c>
      <c r="CT65" s="180">
        <f>CT31/('Page 4'!$U$3*27152)</f>
        <v>0</v>
      </c>
      <c r="CV65" s="180">
        <f>CV31/('Page 4'!$U$3*27152)</f>
        <v>0</v>
      </c>
    </row>
    <row r="66" spans="1:100" ht="16.5" hidden="1" customHeight="1">
      <c r="A66" s="101">
        <v>29</v>
      </c>
      <c r="F66" s="180">
        <f>F32/('Page 1'!$I$3*27152)</f>
        <v>0</v>
      </c>
      <c r="H66" s="180">
        <f>H32/('Page 1'!$I$3*27152)</f>
        <v>0</v>
      </c>
      <c r="J66" s="180">
        <f>J32/('Page 1'!$I$3*27152)</f>
        <v>0</v>
      </c>
      <c r="L66" s="180">
        <f>L32/('Page 1'!$M$3*27152)</f>
        <v>0</v>
      </c>
      <c r="N66" s="180">
        <f>N32/('Page 1'!$M$3*27152)</f>
        <v>0</v>
      </c>
      <c r="P66" s="180">
        <f>P32/('Page 1'!$M$3*27152)</f>
        <v>0</v>
      </c>
      <c r="R66" s="180">
        <f>R32/('Page 1'!$Q$3*27152)</f>
        <v>0</v>
      </c>
      <c r="T66" s="180">
        <f>T32/('Page 1'!$Q$3*27152)</f>
        <v>0</v>
      </c>
      <c r="V66" s="180">
        <f>V32/('Page 1'!$Q$3*27152)</f>
        <v>0</v>
      </c>
      <c r="X66" s="180">
        <f>X32/('Page 1'!$U$3*27152)</f>
        <v>0</v>
      </c>
      <c r="Z66" s="180">
        <f>Z32/('Page 1'!$U$3*27152)</f>
        <v>0</v>
      </c>
      <c r="AB66" s="180">
        <f>AB32/('Page 1'!$U$3*27152)</f>
        <v>0</v>
      </c>
      <c r="AD66" s="180">
        <f>AD32/('Page 2'!$I$3*27152)</f>
        <v>0</v>
      </c>
      <c r="AF66" s="180">
        <f>AF32/('Page 2'!$I$3*27152)</f>
        <v>0</v>
      </c>
      <c r="AH66" s="180">
        <f>AH32/('Page 2'!$I$3*27152)</f>
        <v>0</v>
      </c>
      <c r="AJ66" s="180">
        <f>AJ32/('Page 2'!$M$3*27152)</f>
        <v>0</v>
      </c>
      <c r="AL66" s="180">
        <f>AL32/('Page 2'!$M$3*27152)</f>
        <v>0</v>
      </c>
      <c r="AN66" s="180">
        <f>AN32/('Page 2'!$M$3*27152)</f>
        <v>0</v>
      </c>
      <c r="AP66" s="180">
        <f>AP32/('Page 2'!$Q$3*27152)</f>
        <v>0</v>
      </c>
      <c r="AR66" s="180">
        <f>AR32/('Page 2'!$Q$3*27152)</f>
        <v>0</v>
      </c>
      <c r="AT66" s="180">
        <f>AT32/('Page 2'!$Q$3*27152)</f>
        <v>0</v>
      </c>
      <c r="AV66" s="180">
        <f>AV32/('Page 2'!$U$3*27152)</f>
        <v>0</v>
      </c>
      <c r="AX66" s="180">
        <f>AX32/('Page 2'!$U$3*27152)</f>
        <v>0</v>
      </c>
      <c r="AZ66" s="180">
        <f>AZ32/('Page 2'!$U$3*27152)</f>
        <v>0</v>
      </c>
      <c r="BB66" s="180">
        <f>BB32/('Page 3'!$I$3*27152)</f>
        <v>0</v>
      </c>
      <c r="BD66" s="180">
        <f>BD32/('Page 3'!$I$3*27152)</f>
        <v>0</v>
      </c>
      <c r="BF66" s="180">
        <f>BF32/('Page 3'!$I$3*27152)</f>
        <v>0</v>
      </c>
      <c r="BH66" s="180">
        <f>BH32/('Page 3'!$M$3*27152)</f>
        <v>0</v>
      </c>
      <c r="BJ66" s="180">
        <f>BJ32/('Page 3'!$M$3*27152)</f>
        <v>0</v>
      </c>
      <c r="BL66" s="180">
        <f>BL32/('Page 3'!$M$3*27152)</f>
        <v>0</v>
      </c>
      <c r="BN66" s="180">
        <f>BN32/('Page 3'!$Q$3*27152)</f>
        <v>0</v>
      </c>
      <c r="BP66" s="180">
        <f>BP32/('Page 3'!$Q$3*27152)</f>
        <v>0</v>
      </c>
      <c r="BR66" s="180">
        <f>BR32/('Page 3'!$Q$3*27152)</f>
        <v>0</v>
      </c>
      <c r="BT66" s="180">
        <f>BT32/('Page 3'!$U$3*27152)</f>
        <v>0</v>
      </c>
      <c r="BV66" s="180">
        <f>BV32/('Page 3'!$U$3*27152)</f>
        <v>0</v>
      </c>
      <c r="BX66" s="180">
        <f>BX32/('Page 3'!$U$3*27152)</f>
        <v>0</v>
      </c>
      <c r="BZ66" s="180">
        <f>BZ32/('Page 4'!$I$3*27152)</f>
        <v>0</v>
      </c>
      <c r="CB66" s="180">
        <f>CB32/('Page 4'!$I$3*27152)</f>
        <v>0</v>
      </c>
      <c r="CD66" s="180">
        <f>CD32/('Page 4'!$I$3*27152)</f>
        <v>0</v>
      </c>
      <c r="CF66" s="180">
        <f>CF32/('Page 4'!$M$3*27152)</f>
        <v>0</v>
      </c>
      <c r="CH66" s="180">
        <f>CH32/('Page 4'!$M$3*27152)</f>
        <v>0</v>
      </c>
      <c r="CJ66" s="180">
        <f>CJ32/('Page 4'!$M$3*27152)</f>
        <v>0</v>
      </c>
      <c r="CL66" s="180">
        <f>CL32/('Page 4'!$Q$3*27152)</f>
        <v>0</v>
      </c>
      <c r="CN66" s="180">
        <f>CN32/('Page 4'!$Q$3*27152)</f>
        <v>0</v>
      </c>
      <c r="CP66" s="180">
        <f>CP32/('Page 4'!$Q$3*27152)</f>
        <v>0</v>
      </c>
      <c r="CR66" s="180">
        <f>CR32/('Page 4'!$U$3*27152)</f>
        <v>0</v>
      </c>
      <c r="CT66" s="180">
        <f>CT32/('Page 4'!$U$3*27152)</f>
        <v>0</v>
      </c>
      <c r="CV66" s="180">
        <f>CV32/('Page 4'!$U$3*27152)</f>
        <v>0</v>
      </c>
    </row>
    <row r="67" spans="1:100" ht="16.5" hidden="1" customHeight="1">
      <c r="A67" s="101">
        <v>30</v>
      </c>
      <c r="F67" s="180">
        <f>F33/('Page 1'!$I$3*27152)</f>
        <v>0</v>
      </c>
      <c r="H67" s="180">
        <f>H33/('Page 1'!$I$3*27152)</f>
        <v>0</v>
      </c>
      <c r="J67" s="180">
        <f>J33/('Page 1'!$I$3*27152)</f>
        <v>0</v>
      </c>
      <c r="L67" s="180">
        <f>L33/('Page 1'!$M$3*27152)</f>
        <v>0</v>
      </c>
      <c r="N67" s="180">
        <f>N33/('Page 1'!$M$3*27152)</f>
        <v>0</v>
      </c>
      <c r="P67" s="180">
        <f>P33/('Page 1'!$M$3*27152)</f>
        <v>0</v>
      </c>
      <c r="R67" s="180">
        <f>R33/('Page 1'!$Q$3*27152)</f>
        <v>0</v>
      </c>
      <c r="T67" s="180">
        <f>T33/('Page 1'!$Q$3*27152)</f>
        <v>0</v>
      </c>
      <c r="V67" s="180">
        <f>V33/('Page 1'!$Q$3*27152)</f>
        <v>0</v>
      </c>
      <c r="X67" s="180">
        <f>X33/('Page 1'!$U$3*27152)</f>
        <v>0</v>
      </c>
      <c r="Z67" s="180">
        <f>Z33/('Page 1'!$U$3*27152)</f>
        <v>0</v>
      </c>
      <c r="AB67" s="180">
        <f>AB33/('Page 1'!$U$3*27152)</f>
        <v>0</v>
      </c>
      <c r="AD67" s="180">
        <f>AD33/('Page 2'!$I$3*27152)</f>
        <v>0</v>
      </c>
      <c r="AF67" s="180">
        <f>AF33/('Page 2'!$I$3*27152)</f>
        <v>0</v>
      </c>
      <c r="AH67" s="180">
        <f>AH33/('Page 2'!$I$3*27152)</f>
        <v>0</v>
      </c>
      <c r="AJ67" s="180">
        <f>AJ33/('Page 2'!$M$3*27152)</f>
        <v>0</v>
      </c>
      <c r="AL67" s="180">
        <f>AL33/('Page 2'!$M$3*27152)</f>
        <v>0</v>
      </c>
      <c r="AN67" s="180">
        <f>AN33/('Page 2'!$M$3*27152)</f>
        <v>0</v>
      </c>
      <c r="AP67" s="180">
        <f>AP33/('Page 2'!$Q$3*27152)</f>
        <v>0</v>
      </c>
      <c r="AR67" s="180">
        <f>AR33/('Page 2'!$Q$3*27152)</f>
        <v>0</v>
      </c>
      <c r="AT67" s="180">
        <f>AT33/('Page 2'!$Q$3*27152)</f>
        <v>0</v>
      </c>
      <c r="AV67" s="180">
        <f>AV33/('Page 2'!$U$3*27152)</f>
        <v>0</v>
      </c>
      <c r="AX67" s="180">
        <f>AX33/('Page 2'!$U$3*27152)</f>
        <v>0</v>
      </c>
      <c r="AZ67" s="180">
        <f>AZ33/('Page 2'!$U$3*27152)</f>
        <v>0</v>
      </c>
      <c r="BB67" s="180">
        <f>BB33/('Page 3'!$I$3*27152)</f>
        <v>0</v>
      </c>
      <c r="BD67" s="180">
        <f>BD33/('Page 3'!$I$3*27152)</f>
        <v>0</v>
      </c>
      <c r="BF67" s="180">
        <f>BF33/('Page 3'!$I$3*27152)</f>
        <v>0</v>
      </c>
      <c r="BH67" s="180">
        <f>BH33/('Page 3'!$M$3*27152)</f>
        <v>0</v>
      </c>
      <c r="BJ67" s="180">
        <f>BJ33/('Page 3'!$M$3*27152)</f>
        <v>0</v>
      </c>
      <c r="BL67" s="180">
        <f>BL33/('Page 3'!$M$3*27152)</f>
        <v>0</v>
      </c>
      <c r="BN67" s="180">
        <f>BN33/('Page 3'!$Q$3*27152)</f>
        <v>0</v>
      </c>
      <c r="BP67" s="180">
        <f>BP33/('Page 3'!$Q$3*27152)</f>
        <v>0</v>
      </c>
      <c r="BR67" s="180">
        <f>BR33/('Page 3'!$Q$3*27152)</f>
        <v>0</v>
      </c>
      <c r="BT67" s="180">
        <f>BT33/('Page 3'!$U$3*27152)</f>
        <v>0</v>
      </c>
      <c r="BV67" s="180">
        <f>BV33/('Page 3'!$U$3*27152)</f>
        <v>0</v>
      </c>
      <c r="BX67" s="180">
        <f>BX33/('Page 3'!$U$3*27152)</f>
        <v>0</v>
      </c>
      <c r="BZ67" s="180">
        <f>BZ33/('Page 4'!$I$3*27152)</f>
        <v>0</v>
      </c>
      <c r="CB67" s="180">
        <f>CB33/('Page 4'!$I$3*27152)</f>
        <v>0</v>
      </c>
      <c r="CD67" s="180">
        <f>CD33/('Page 4'!$I$3*27152)</f>
        <v>0</v>
      </c>
      <c r="CF67" s="180">
        <f>CF33/('Page 4'!$M$3*27152)</f>
        <v>0</v>
      </c>
      <c r="CH67" s="180">
        <f>CH33/('Page 4'!$M$3*27152)</f>
        <v>0</v>
      </c>
      <c r="CJ67" s="180">
        <f>CJ33/('Page 4'!$M$3*27152)</f>
        <v>0</v>
      </c>
      <c r="CL67" s="180">
        <f>CL33/('Page 4'!$Q$3*27152)</f>
        <v>0</v>
      </c>
      <c r="CN67" s="180">
        <f>CN33/('Page 4'!$Q$3*27152)</f>
        <v>0</v>
      </c>
      <c r="CP67" s="180">
        <f>CP33/('Page 4'!$Q$3*27152)</f>
        <v>0</v>
      </c>
      <c r="CR67" s="180">
        <f>CR33/('Page 4'!$U$3*27152)</f>
        <v>0</v>
      </c>
      <c r="CT67" s="180">
        <f>CT33/('Page 4'!$U$3*27152)</f>
        <v>0</v>
      </c>
      <c r="CV67" s="180">
        <f>CV33/('Page 4'!$U$3*27152)</f>
        <v>0</v>
      </c>
    </row>
    <row r="68" spans="1:100" ht="16.5" hidden="1" customHeight="1" thickBot="1">
      <c r="A68" s="102">
        <v>31</v>
      </c>
      <c r="F68" s="180">
        <f>F34/('Page 1'!$I$3*27152)</f>
        <v>0</v>
      </c>
      <c r="H68" s="180">
        <f>H34/('Page 1'!$I$3*27152)</f>
        <v>0</v>
      </c>
      <c r="J68" s="180">
        <f>J34/('Page 1'!$I$3*27152)</f>
        <v>0</v>
      </c>
      <c r="L68" s="180">
        <f>L34/('Page 1'!$M$3*27152)</f>
        <v>0</v>
      </c>
      <c r="N68" s="180">
        <f>N34/('Page 1'!$M$3*27152)</f>
        <v>0</v>
      </c>
      <c r="P68" s="180">
        <f>P34/('Page 1'!$M$3*27152)</f>
        <v>0</v>
      </c>
      <c r="R68" s="180">
        <f>R34/('Page 1'!$Q$3*27152)</f>
        <v>0</v>
      </c>
      <c r="T68" s="180">
        <f>T34/('Page 1'!$Q$3*27152)</f>
        <v>0</v>
      </c>
      <c r="V68" s="180">
        <f>V34/('Page 1'!$Q$3*27152)</f>
        <v>0</v>
      </c>
      <c r="X68" s="180">
        <f>X34/('Page 1'!$U$3*27152)</f>
        <v>0</v>
      </c>
      <c r="Z68" s="180">
        <f>Z34/('Page 1'!$U$3*27152)</f>
        <v>0</v>
      </c>
      <c r="AB68" s="180">
        <f>AB34/('Page 1'!$U$3*27152)</f>
        <v>0</v>
      </c>
      <c r="AD68" s="180">
        <f>AD34/('Page 2'!$I$3*27152)</f>
        <v>0</v>
      </c>
      <c r="AF68" s="180">
        <f>AF34/('Page 2'!$I$3*27152)</f>
        <v>0</v>
      </c>
      <c r="AH68" s="180">
        <f>AH34/('Page 2'!$I$3*27152)</f>
        <v>0</v>
      </c>
      <c r="AJ68" s="180">
        <f>AJ34/('Page 2'!$M$3*27152)</f>
        <v>0</v>
      </c>
      <c r="AL68" s="180">
        <f>AL34/('Page 2'!$M$3*27152)</f>
        <v>0</v>
      </c>
      <c r="AN68" s="180">
        <f>AN34/('Page 2'!$M$3*27152)</f>
        <v>0</v>
      </c>
      <c r="AP68" s="180">
        <f>AP34/('Page 2'!$Q$3*27152)</f>
        <v>0</v>
      </c>
      <c r="AR68" s="180">
        <f>AR34/('Page 2'!$Q$3*27152)</f>
        <v>0</v>
      </c>
      <c r="AT68" s="180">
        <f>AT34/('Page 2'!$Q$3*27152)</f>
        <v>0</v>
      </c>
      <c r="AV68" s="180">
        <f>AV34/('Page 2'!$U$3*27152)</f>
        <v>0</v>
      </c>
      <c r="AX68" s="180">
        <f>AX34/('Page 2'!$U$3*27152)</f>
        <v>0</v>
      </c>
      <c r="AZ68" s="180">
        <f>AZ34/('Page 2'!$U$3*27152)</f>
        <v>0</v>
      </c>
      <c r="BB68" s="180">
        <f>BB34/('Page 3'!$I$3*27152)</f>
        <v>0</v>
      </c>
      <c r="BD68" s="180">
        <f>BD34/('Page 3'!$I$3*27152)</f>
        <v>0</v>
      </c>
      <c r="BF68" s="180">
        <f>BF34/('Page 3'!$I$3*27152)</f>
        <v>0</v>
      </c>
      <c r="BH68" s="180">
        <f>BH34/('Page 3'!$M$3*27152)</f>
        <v>0</v>
      </c>
      <c r="BJ68" s="180">
        <f>BJ34/('Page 3'!$M$3*27152)</f>
        <v>0</v>
      </c>
      <c r="BL68" s="180">
        <f>BL34/('Page 3'!$M$3*27152)</f>
        <v>0</v>
      </c>
      <c r="BN68" s="180">
        <f>BN34/('Page 3'!$Q$3*27152)</f>
        <v>0</v>
      </c>
      <c r="BP68" s="180">
        <f>BP34/('Page 3'!$Q$3*27152)</f>
        <v>0</v>
      </c>
      <c r="BR68" s="180">
        <f>BR34/('Page 3'!$Q$3*27152)</f>
        <v>0</v>
      </c>
      <c r="BT68" s="180">
        <f>BT34/('Page 3'!$U$3*27152)</f>
        <v>0</v>
      </c>
      <c r="BV68" s="180">
        <f>BV34/('Page 3'!$U$3*27152)</f>
        <v>0</v>
      </c>
      <c r="BX68" s="180">
        <f>BX34/('Page 3'!$U$3*27152)</f>
        <v>0</v>
      </c>
      <c r="BZ68" s="180">
        <f>BZ34/('Page 4'!$I$3*27152)</f>
        <v>0</v>
      </c>
      <c r="CB68" s="180">
        <f>CB34/('Page 4'!$I$3*27152)</f>
        <v>0</v>
      </c>
      <c r="CD68" s="180">
        <f>CD34/('Page 4'!$I$3*27152)</f>
        <v>0</v>
      </c>
      <c r="CF68" s="180">
        <f>CF34/('Page 4'!$M$3*27152)</f>
        <v>0</v>
      </c>
      <c r="CH68" s="180">
        <f>CH34/('Page 4'!$M$3*27152)</f>
        <v>0</v>
      </c>
      <c r="CJ68" s="180">
        <f>CJ34/('Page 4'!$M$3*27152)</f>
        <v>0</v>
      </c>
      <c r="CL68" s="180">
        <f>CL34/('Page 4'!$Q$3*27152)</f>
        <v>0</v>
      </c>
      <c r="CN68" s="180">
        <f>CN34/('Page 4'!$Q$3*27152)</f>
        <v>0</v>
      </c>
      <c r="CP68" s="180">
        <f>CP34/('Page 4'!$Q$3*27152)</f>
        <v>0</v>
      </c>
      <c r="CR68" s="180">
        <f>CR34/('Page 4'!$U$3*27152)</f>
        <v>0</v>
      </c>
      <c r="CT68" s="180">
        <f>CT34/('Page 4'!$U$3*27152)</f>
        <v>0</v>
      </c>
      <c r="CV68" s="180">
        <f>CV34/('Page 4'!$U$3*27152)</f>
        <v>0</v>
      </c>
    </row>
  </sheetData>
  <sheetProtection password="CD0C" sheet="1" objects="1" scenarios="1"/>
  <mergeCells count="69">
    <mergeCell ref="BN1:BS1"/>
    <mergeCell ref="BN2:BO2"/>
    <mergeCell ref="BP2:BQ2"/>
    <mergeCell ref="BR2:BS2"/>
    <mergeCell ref="BT1:BY1"/>
    <mergeCell ref="BT2:BU2"/>
    <mergeCell ref="BV2:BW2"/>
    <mergeCell ref="BX2:BY2"/>
    <mergeCell ref="CR1:CW1"/>
    <mergeCell ref="CR2:CS2"/>
    <mergeCell ref="CT2:CU2"/>
    <mergeCell ref="CV2:CW2"/>
    <mergeCell ref="BZ1:CE1"/>
    <mergeCell ref="BZ2:CA2"/>
    <mergeCell ref="CB2:CC2"/>
    <mergeCell ref="CD2:CE2"/>
    <mergeCell ref="CF1:CK1"/>
    <mergeCell ref="CF2:CG2"/>
    <mergeCell ref="CH2:CI2"/>
    <mergeCell ref="CJ2:CK2"/>
    <mergeCell ref="CL1:CQ1"/>
    <mergeCell ref="CL2:CM2"/>
    <mergeCell ref="CN2:CO2"/>
    <mergeCell ref="CP2:CQ2"/>
    <mergeCell ref="BB1:BG1"/>
    <mergeCell ref="BB2:BC2"/>
    <mergeCell ref="BD2:BE2"/>
    <mergeCell ref="BF2:BG2"/>
    <mergeCell ref="BH1:BM1"/>
    <mergeCell ref="BH2:BI2"/>
    <mergeCell ref="BJ2:BK2"/>
    <mergeCell ref="BL2:BM2"/>
    <mergeCell ref="AP1:AU1"/>
    <mergeCell ref="AP2:AQ2"/>
    <mergeCell ref="AR2:AS2"/>
    <mergeCell ref="AT2:AU2"/>
    <mergeCell ref="AV1:BA1"/>
    <mergeCell ref="AV2:AW2"/>
    <mergeCell ref="AX2:AY2"/>
    <mergeCell ref="AZ2:BA2"/>
    <mergeCell ref="AD1:AI1"/>
    <mergeCell ref="AD2:AE2"/>
    <mergeCell ref="AF2:AG2"/>
    <mergeCell ref="AH2:AI2"/>
    <mergeCell ref="AJ1:AO1"/>
    <mergeCell ref="AJ2:AK2"/>
    <mergeCell ref="AL2:AM2"/>
    <mergeCell ref="AN2:AO2"/>
    <mergeCell ref="R1:W1"/>
    <mergeCell ref="R2:S2"/>
    <mergeCell ref="T2:U2"/>
    <mergeCell ref="V2:W2"/>
    <mergeCell ref="X1:AC1"/>
    <mergeCell ref="X2:Y2"/>
    <mergeCell ref="Z2:AA2"/>
    <mergeCell ref="AB2:AC2"/>
    <mergeCell ref="L1:Q1"/>
    <mergeCell ref="L2:M2"/>
    <mergeCell ref="N2:O2"/>
    <mergeCell ref="P2:Q2"/>
    <mergeCell ref="A1:A3"/>
    <mergeCell ref="F1:K1"/>
    <mergeCell ref="F2:G2"/>
    <mergeCell ref="H2:I2"/>
    <mergeCell ref="J2:K2"/>
    <mergeCell ref="B1:B3"/>
    <mergeCell ref="C1:C3"/>
    <mergeCell ref="D1:D3"/>
    <mergeCell ref="E1:E3"/>
  </mergeCells>
  <dataValidations count="1">
    <dataValidation type="list" showInputMessage="1" showErrorMessage="1" sqref="B4:B34">
      <formula1>Weather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sheetPr codeName="Sheet1"/>
  <dimension ref="A1:W42"/>
  <sheetViews>
    <sheetView zoomScale="80" zoomScaleNormal="80" workbookViewId="0">
      <selection activeCell="D1" sqref="D1:F1"/>
    </sheetView>
  </sheetViews>
  <sheetFormatPr defaultRowHeight="12.75"/>
  <cols>
    <col min="1" max="1" width="3.140625" style="18" customWidth="1"/>
    <col min="2" max="2" width="5.7109375" style="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245" t="s">
        <v>178</v>
      </c>
      <c r="B1" s="246"/>
      <c r="C1" s="246"/>
      <c r="D1" s="247" t="s">
        <v>184</v>
      </c>
      <c r="E1" s="247"/>
      <c r="F1" s="248"/>
      <c r="G1" s="258" t="s">
        <v>3</v>
      </c>
      <c r="H1" s="259"/>
      <c r="I1" s="247" t="s">
        <v>185</v>
      </c>
      <c r="J1" s="247"/>
      <c r="K1" s="247"/>
      <c r="L1" s="247"/>
      <c r="M1" s="247"/>
      <c r="N1" s="248"/>
      <c r="O1" s="34" t="s">
        <v>6</v>
      </c>
      <c r="P1" s="256" t="s">
        <v>92</v>
      </c>
      <c r="Q1" s="257"/>
      <c r="R1" s="34" t="s">
        <v>4</v>
      </c>
      <c r="S1" s="256" t="s">
        <v>117</v>
      </c>
      <c r="T1" s="257"/>
      <c r="U1" s="12" t="s">
        <v>5</v>
      </c>
      <c r="V1" s="35">
        <v>2014</v>
      </c>
      <c r="W1" s="2"/>
    </row>
    <row r="2" spans="1:23" ht="18.75" customHeight="1">
      <c r="A2" s="229" t="s">
        <v>174</v>
      </c>
      <c r="B2" s="230"/>
      <c r="C2" s="230"/>
      <c r="D2" s="230"/>
      <c r="E2" s="230"/>
      <c r="F2" s="230"/>
      <c r="G2" s="252" t="s">
        <v>142</v>
      </c>
      <c r="H2" s="253"/>
      <c r="I2" s="239">
        <v>1</v>
      </c>
      <c r="J2" s="240"/>
      <c r="K2" s="215" t="s">
        <v>142</v>
      </c>
      <c r="L2" s="216"/>
      <c r="M2" s="217">
        <v>2</v>
      </c>
      <c r="N2" s="260"/>
      <c r="O2" s="252" t="s">
        <v>142</v>
      </c>
      <c r="P2" s="253"/>
      <c r="Q2" s="239">
        <v>3</v>
      </c>
      <c r="R2" s="240"/>
      <c r="S2" s="215" t="s">
        <v>142</v>
      </c>
      <c r="T2" s="216"/>
      <c r="U2" s="217">
        <v>4</v>
      </c>
      <c r="V2" s="218"/>
    </row>
    <row r="3" spans="1:23" ht="18.75" customHeight="1">
      <c r="A3" s="231"/>
      <c r="B3" s="230"/>
      <c r="C3" s="230"/>
      <c r="D3" s="230"/>
      <c r="E3" s="230"/>
      <c r="F3" s="230"/>
      <c r="G3" s="225" t="s">
        <v>143</v>
      </c>
      <c r="H3" s="241"/>
      <c r="I3" s="226">
        <v>0.51</v>
      </c>
      <c r="J3" s="227"/>
      <c r="K3" s="219" t="s">
        <v>143</v>
      </c>
      <c r="L3" s="220"/>
      <c r="M3" s="221">
        <v>0.52900000000000003</v>
      </c>
      <c r="N3" s="244"/>
      <c r="O3" s="225" t="s">
        <v>143</v>
      </c>
      <c r="P3" s="241"/>
      <c r="Q3" s="226">
        <v>0.20699999999999999</v>
      </c>
      <c r="R3" s="227"/>
      <c r="S3" s="219" t="s">
        <v>143</v>
      </c>
      <c r="T3" s="220"/>
      <c r="U3" s="221">
        <v>0.187</v>
      </c>
      <c r="V3" s="222"/>
    </row>
    <row r="4" spans="1:23" ht="18.75" customHeight="1">
      <c r="A4" s="231"/>
      <c r="B4" s="230"/>
      <c r="C4" s="230"/>
      <c r="D4" s="230"/>
      <c r="E4" s="230"/>
      <c r="F4" s="230"/>
      <c r="G4" s="225" t="s">
        <v>144</v>
      </c>
      <c r="H4" s="214"/>
      <c r="I4" s="226" t="s">
        <v>186</v>
      </c>
      <c r="J4" s="227"/>
      <c r="K4" s="219" t="s">
        <v>144</v>
      </c>
      <c r="L4" s="223"/>
      <c r="M4" s="221" t="s">
        <v>186</v>
      </c>
      <c r="N4" s="244"/>
      <c r="O4" s="225" t="s">
        <v>144</v>
      </c>
      <c r="P4" s="214"/>
      <c r="Q4" s="226" t="s">
        <v>186</v>
      </c>
      <c r="R4" s="227"/>
      <c r="S4" s="219" t="s">
        <v>144</v>
      </c>
      <c r="T4" s="223"/>
      <c r="U4" s="221" t="s">
        <v>186</v>
      </c>
      <c r="V4" s="222"/>
    </row>
    <row r="5" spans="1:23" ht="18.75" customHeight="1">
      <c r="A5" s="232"/>
      <c r="B5" s="233"/>
      <c r="C5" s="233"/>
      <c r="D5" s="233"/>
      <c r="E5" s="233"/>
      <c r="F5" s="233"/>
      <c r="G5" s="225" t="s">
        <v>149</v>
      </c>
      <c r="H5" s="214"/>
      <c r="I5" s="226">
        <v>0.25</v>
      </c>
      <c r="J5" s="227"/>
      <c r="K5" s="219" t="s">
        <v>149</v>
      </c>
      <c r="L5" s="223"/>
      <c r="M5" s="221">
        <v>0.25</v>
      </c>
      <c r="N5" s="244"/>
      <c r="O5" s="225" t="s">
        <v>149</v>
      </c>
      <c r="P5" s="214"/>
      <c r="Q5" s="226">
        <v>0.25</v>
      </c>
      <c r="R5" s="227"/>
      <c r="S5" s="219" t="s">
        <v>149</v>
      </c>
      <c r="T5" s="223"/>
      <c r="U5" s="221">
        <v>0.25</v>
      </c>
      <c r="V5" s="222"/>
    </row>
    <row r="6" spans="1:23" ht="18.75" customHeight="1" thickBot="1">
      <c r="A6" s="234"/>
      <c r="B6" s="235"/>
      <c r="C6" s="235"/>
      <c r="D6" s="235"/>
      <c r="E6" s="235"/>
      <c r="F6" s="235"/>
      <c r="G6" s="213" t="s">
        <v>150</v>
      </c>
      <c r="H6" s="214"/>
      <c r="I6" s="226">
        <v>39</v>
      </c>
      <c r="J6" s="228"/>
      <c r="K6" s="224" t="s">
        <v>150</v>
      </c>
      <c r="L6" s="223"/>
      <c r="M6" s="221">
        <v>39</v>
      </c>
      <c r="N6" s="244"/>
      <c r="O6" s="213" t="s">
        <v>150</v>
      </c>
      <c r="P6" s="214"/>
      <c r="Q6" s="226">
        <v>39</v>
      </c>
      <c r="R6" s="227"/>
      <c r="S6" s="224" t="s">
        <v>150</v>
      </c>
      <c r="T6" s="223"/>
      <c r="U6" s="221">
        <v>39</v>
      </c>
      <c r="V6" s="222"/>
    </row>
    <row r="7" spans="1:23" ht="18.75" customHeight="1" thickBot="1">
      <c r="A7" s="249" t="s">
        <v>8</v>
      </c>
      <c r="B7" s="210" t="s">
        <v>180</v>
      </c>
      <c r="C7" s="211"/>
      <c r="D7" s="212"/>
      <c r="E7" s="254" t="s">
        <v>179</v>
      </c>
      <c r="F7" s="255"/>
      <c r="G7" s="213" t="s">
        <v>151</v>
      </c>
      <c r="H7" s="214"/>
      <c r="I7" s="17"/>
      <c r="J7" s="36"/>
      <c r="K7" s="224" t="s">
        <v>151</v>
      </c>
      <c r="L7" s="223"/>
      <c r="M7" s="16"/>
      <c r="N7" s="37"/>
      <c r="O7" s="213" t="s">
        <v>151</v>
      </c>
      <c r="P7" s="214"/>
      <c r="Q7" s="17"/>
      <c r="R7" s="36"/>
      <c r="S7" s="224" t="s">
        <v>151</v>
      </c>
      <c r="T7" s="223"/>
      <c r="U7" s="16"/>
      <c r="V7" s="38"/>
    </row>
    <row r="8" spans="1:23" ht="75" customHeight="1">
      <c r="A8" s="250"/>
      <c r="B8" s="242" t="s">
        <v>138</v>
      </c>
      <c r="C8" s="13" t="s">
        <v>2</v>
      </c>
      <c r="D8" s="14" t="s">
        <v>139</v>
      </c>
      <c r="E8" s="87" t="s">
        <v>181</v>
      </c>
      <c r="F8" s="85" t="s">
        <v>182</v>
      </c>
      <c r="G8" s="19" t="s">
        <v>210</v>
      </c>
      <c r="H8" s="10" t="s">
        <v>208</v>
      </c>
      <c r="I8" s="10" t="s">
        <v>146</v>
      </c>
      <c r="J8" s="20" t="s">
        <v>148</v>
      </c>
      <c r="K8" s="23" t="s">
        <v>210</v>
      </c>
      <c r="L8" s="9" t="s">
        <v>209</v>
      </c>
      <c r="M8" s="9" t="s">
        <v>146</v>
      </c>
      <c r="N8" s="24" t="s">
        <v>148</v>
      </c>
      <c r="O8" s="19" t="s">
        <v>210</v>
      </c>
      <c r="P8" s="10" t="s">
        <v>208</v>
      </c>
      <c r="Q8" s="10" t="s">
        <v>146</v>
      </c>
      <c r="R8" s="20" t="s">
        <v>148</v>
      </c>
      <c r="S8" s="23" t="s">
        <v>210</v>
      </c>
      <c r="T8" s="9" t="s">
        <v>209</v>
      </c>
      <c r="U8" s="9" t="s">
        <v>146</v>
      </c>
      <c r="V8" s="27" t="s">
        <v>148</v>
      </c>
    </row>
    <row r="9" spans="1:23" ht="15.75" customHeight="1" thickBot="1">
      <c r="A9" s="251"/>
      <c r="B9" s="243"/>
      <c r="C9" s="15" t="s">
        <v>141</v>
      </c>
      <c r="D9" s="7" t="s">
        <v>140</v>
      </c>
      <c r="E9" s="88" t="s">
        <v>137</v>
      </c>
      <c r="F9" s="86" t="s">
        <v>137</v>
      </c>
      <c r="G9" s="21" t="s">
        <v>147</v>
      </c>
      <c r="H9" s="8" t="s">
        <v>145</v>
      </c>
      <c r="I9" s="8" t="s">
        <v>140</v>
      </c>
      <c r="J9" s="22" t="s">
        <v>140</v>
      </c>
      <c r="K9" s="25" t="s">
        <v>147</v>
      </c>
      <c r="L9" s="6" t="s">
        <v>145</v>
      </c>
      <c r="M9" s="6" t="s">
        <v>140</v>
      </c>
      <c r="N9" s="26" t="s">
        <v>140</v>
      </c>
      <c r="O9" s="21" t="s">
        <v>147</v>
      </c>
      <c r="P9" s="8" t="s">
        <v>145</v>
      </c>
      <c r="Q9" s="8" t="s">
        <v>140</v>
      </c>
      <c r="R9" s="22" t="s">
        <v>140</v>
      </c>
      <c r="S9" s="25" t="s">
        <v>147</v>
      </c>
      <c r="T9" s="6" t="s">
        <v>145</v>
      </c>
      <c r="U9" s="33" t="s">
        <v>140</v>
      </c>
      <c r="V9" s="79" t="s">
        <v>140</v>
      </c>
    </row>
    <row r="10" spans="1:23" ht="15" customHeight="1">
      <c r="A10" s="4">
        <v>1</v>
      </c>
      <c r="B10" s="151" t="str">
        <f>IF(ISBLANK('Enter Data Here'!B4), " ", 'Enter Data Here'!B4)</f>
        <v xml:space="preserve"> </v>
      </c>
      <c r="C10" s="333" t="str">
        <f>IF(ISBLANK('Enter Data Here'!C4), " ", 'Enter Data Here'!C4)</f>
        <v xml:space="preserve"> </v>
      </c>
      <c r="D10" s="336" t="str">
        <f>IF(ISBLANK('Enter Data Here'!D4), " ", 'Enter Data Here'!D4)</f>
        <v xml:space="preserve"> </v>
      </c>
      <c r="E10" s="337" t="str">
        <f>IF(ISBLANK('Enter Data Here'!E4), " ", 'Enter Data Here'!E4)</f>
        <v xml:space="preserve"> </v>
      </c>
      <c r="F10" s="152"/>
      <c r="G10" s="153">
        <f>'Enter Data Here'!F4+'Enter Data Here'!H4+'Enter Data Here'!J4</f>
        <v>0</v>
      </c>
      <c r="H10" s="154">
        <f>'Enter Data Here'!G4+'Enter Data Here'!I4+'Enter Data Here'!K4</f>
        <v>0</v>
      </c>
      <c r="I10" s="40">
        <f>IF((ISBLANK($G10))," ", ($G10)/($I$3*27152))</f>
        <v>0</v>
      </c>
      <c r="J10" s="48">
        <f>MAX('Enter Data Here'!F38:J38)</f>
        <v>0</v>
      </c>
      <c r="K10" s="155">
        <f>'Enter Data Here'!L4+'Enter Data Here'!N4+'Enter Data Here'!P4</f>
        <v>0</v>
      </c>
      <c r="L10" s="156">
        <f>'Enter Data Here'!M4+'Enter Data Here'!O4+'Enter Data Here'!Q4</f>
        <v>0</v>
      </c>
      <c r="M10" s="45">
        <f>IF((ISBLANK($K10))," ",($K10)/($M$3*27152))</f>
        <v>0</v>
      </c>
      <c r="N10" s="76">
        <f>MAX('Enter Data Here'!L38:P38)</f>
        <v>0</v>
      </c>
      <c r="O10" s="157">
        <f>'Enter Data Here'!R4+'Enter Data Here'!T4+'Enter Data Here'!V4</f>
        <v>0</v>
      </c>
      <c r="P10" s="139">
        <f>'Enter Data Here'!S4+'Enter Data Here'!U4+'Enter Data Here'!W4</f>
        <v>0</v>
      </c>
      <c r="Q10" s="40">
        <f>IF((ISBLANK($O10))," ",($O10)/($Q$3*27152))</f>
        <v>0</v>
      </c>
      <c r="R10" s="48">
        <f>MAX('Enter Data Here'!R38:V38)</f>
        <v>0</v>
      </c>
      <c r="S10" s="155">
        <f>'Enter Data Here'!X4+'Enter Data Here'!Z4+'Enter Data Here'!AB4</f>
        <v>0</v>
      </c>
      <c r="T10" s="158">
        <f>'Enter Data Here'!Y4+'Enter Data Here'!AA4+'Enter Data Here'!AC4</f>
        <v>0</v>
      </c>
      <c r="U10" s="45">
        <f>IF((ISBLANK($S10))," ",($S10)/($U$3*27152))</f>
        <v>0</v>
      </c>
      <c r="V10" s="80">
        <f>MAX('Enter Data Here'!X38:AB38)</f>
        <v>0</v>
      </c>
    </row>
    <row r="11" spans="1:23" ht="15" customHeight="1">
      <c r="A11" s="4">
        <v>2</v>
      </c>
      <c r="B11" s="151" t="str">
        <f>IF(ISBLANK('Enter Data Here'!B5), " ", 'Enter Data Here'!B5)</f>
        <v xml:space="preserve"> </v>
      </c>
      <c r="C11" s="334" t="str">
        <f>IF(ISBLANK('Enter Data Here'!C5), " ", 'Enter Data Here'!C5)</f>
        <v xml:space="preserve"> </v>
      </c>
      <c r="D11" s="336" t="str">
        <f>IF(ISBLANK('Enter Data Here'!D5), " ", 'Enter Data Here'!D5)</f>
        <v xml:space="preserve"> </v>
      </c>
      <c r="E11" s="337" t="str">
        <f>IF(ISBLANK('Enter Data Here'!E5), " ", 'Enter Data Here'!E5)</f>
        <v xml:space="preserve"> </v>
      </c>
      <c r="F11" s="159"/>
      <c r="G11" s="145">
        <f>'Enter Data Here'!F5+'Enter Data Here'!H5+'Enter Data Here'!J5</f>
        <v>0</v>
      </c>
      <c r="H11" s="146">
        <f>'Enter Data Here'!G5+'Enter Data Here'!I5+'Enter Data Here'!K5</f>
        <v>0</v>
      </c>
      <c r="I11" s="143">
        <f t="shared" ref="I11:I40" si="0">IF((ISBLANK($G11))," ", ($G11)/($I$3*27152))</f>
        <v>0</v>
      </c>
      <c r="J11" s="144">
        <f>MAX('Enter Data Here'!F39:J39)</f>
        <v>0</v>
      </c>
      <c r="K11" s="160">
        <f>'Enter Data Here'!L5+'Enter Data Here'!N5+'Enter Data Here'!P5</f>
        <v>0</v>
      </c>
      <c r="L11" s="161">
        <f>'Enter Data Here'!M5+'Enter Data Here'!O5+'Enter Data Here'!Q5</f>
        <v>0</v>
      </c>
      <c r="M11" s="46">
        <f t="shared" ref="M11:M40" si="1">IF((ISBLANK($K11))," ",($K11)/($M$3*27152))</f>
        <v>0</v>
      </c>
      <c r="N11" s="78">
        <f>MAX('Enter Data Here'!L39:P39)</f>
        <v>0</v>
      </c>
      <c r="O11" s="141">
        <f>'Enter Data Here'!R5+'Enter Data Here'!T5+'Enter Data Here'!V5</f>
        <v>0</v>
      </c>
      <c r="P11" s="162">
        <f>'Enter Data Here'!S5+'Enter Data Here'!U5+'Enter Data Here'!W5</f>
        <v>0</v>
      </c>
      <c r="Q11" s="41">
        <f t="shared" ref="Q11:Q40" si="2">IF((ISBLANK($O11))," ",($O11)/($Q$3*27152))</f>
        <v>0</v>
      </c>
      <c r="R11" s="49">
        <f>MAX('Enter Data Here'!R39:V39)</f>
        <v>0</v>
      </c>
      <c r="S11" s="160">
        <f>'Enter Data Here'!X5+'Enter Data Here'!Z5+'Enter Data Here'!AB5</f>
        <v>0</v>
      </c>
      <c r="T11" s="163">
        <f>'Enter Data Here'!Y5+'Enter Data Here'!AA5+'Enter Data Here'!AC5</f>
        <v>0</v>
      </c>
      <c r="U11" s="46">
        <f t="shared" ref="U11:U40" si="3">IF((ISBLANK($S11))," ",($S11)/($U$3*27152))</f>
        <v>0</v>
      </c>
      <c r="V11" s="81">
        <f>MAX('Enter Data Here'!X39:AB39)</f>
        <v>0</v>
      </c>
    </row>
    <row r="12" spans="1:23" ht="15" customHeight="1">
      <c r="A12" s="4">
        <v>3</v>
      </c>
      <c r="B12" s="151" t="str">
        <f>IF(ISBLANK('Enter Data Here'!B6), " ", 'Enter Data Here'!B6)</f>
        <v xml:space="preserve"> </v>
      </c>
      <c r="C12" s="334" t="str">
        <f>IF(ISBLANK('Enter Data Here'!C6), " ", 'Enter Data Here'!C6)</f>
        <v xml:space="preserve"> </v>
      </c>
      <c r="D12" s="336" t="str">
        <f>IF(ISBLANK('Enter Data Here'!D6), " ", 'Enter Data Here'!D6)</f>
        <v xml:space="preserve"> </v>
      </c>
      <c r="E12" s="337" t="str">
        <f>IF(ISBLANK('Enter Data Here'!E6), " ", 'Enter Data Here'!E6)</f>
        <v xml:space="preserve"> </v>
      </c>
      <c r="F12" s="159"/>
      <c r="G12" s="141">
        <f>'Enter Data Here'!F6+'Enter Data Here'!H6+'Enter Data Here'!J6</f>
        <v>0</v>
      </c>
      <c r="H12" s="142">
        <f>'Enter Data Here'!G6+'Enter Data Here'!I6+'Enter Data Here'!K6</f>
        <v>0</v>
      </c>
      <c r="I12" s="41">
        <f t="shared" si="0"/>
        <v>0</v>
      </c>
      <c r="J12" s="49">
        <f>MAX('Enter Data Here'!F40:J40)</f>
        <v>0</v>
      </c>
      <c r="K12" s="160">
        <f>'Enter Data Here'!L6+'Enter Data Here'!N6+'Enter Data Here'!P6</f>
        <v>0</v>
      </c>
      <c r="L12" s="161">
        <f>'Enter Data Here'!M6+'Enter Data Here'!O6+'Enter Data Here'!Q6</f>
        <v>0</v>
      </c>
      <c r="M12" s="46">
        <f t="shared" si="1"/>
        <v>0</v>
      </c>
      <c r="N12" s="78">
        <f>MAX('Enter Data Here'!L40:P40)</f>
        <v>0</v>
      </c>
      <c r="O12" s="141">
        <f>'Enter Data Here'!R6+'Enter Data Here'!T6+'Enter Data Here'!V6</f>
        <v>0</v>
      </c>
      <c r="P12" s="162">
        <f>'Enter Data Here'!S6+'Enter Data Here'!U6+'Enter Data Here'!W6</f>
        <v>0</v>
      </c>
      <c r="Q12" s="41">
        <f t="shared" si="2"/>
        <v>0</v>
      </c>
      <c r="R12" s="49">
        <f>MAX('Enter Data Here'!R40:V40)</f>
        <v>0</v>
      </c>
      <c r="S12" s="160">
        <f>'Enter Data Here'!X6+'Enter Data Here'!Z6+'Enter Data Here'!AB6</f>
        <v>0</v>
      </c>
      <c r="T12" s="163">
        <f>'Enter Data Here'!Y6+'Enter Data Here'!AA6+'Enter Data Here'!AC6</f>
        <v>0</v>
      </c>
      <c r="U12" s="46">
        <f t="shared" si="3"/>
        <v>0</v>
      </c>
      <c r="V12" s="81">
        <f>MAX('Enter Data Here'!X40:AB40)</f>
        <v>0</v>
      </c>
    </row>
    <row r="13" spans="1:23" ht="15" customHeight="1">
      <c r="A13" s="4">
        <v>4</v>
      </c>
      <c r="B13" s="151" t="str">
        <f>IF(ISBLANK('Enter Data Here'!B7), " ", 'Enter Data Here'!B7)</f>
        <v xml:space="preserve"> </v>
      </c>
      <c r="C13" s="334" t="str">
        <f>IF(ISBLANK('Enter Data Here'!C7), " ", 'Enter Data Here'!C7)</f>
        <v xml:space="preserve"> </v>
      </c>
      <c r="D13" s="336" t="str">
        <f>IF(ISBLANK('Enter Data Here'!D7), " ", 'Enter Data Here'!D7)</f>
        <v xml:space="preserve"> </v>
      </c>
      <c r="E13" s="337" t="str">
        <f>IF(ISBLANK('Enter Data Here'!E7), " ", 'Enter Data Here'!E7)</f>
        <v xml:space="preserve"> </v>
      </c>
      <c r="F13" s="159"/>
      <c r="G13" s="141">
        <f>'Enter Data Here'!F7+'Enter Data Here'!H7+'Enter Data Here'!J7</f>
        <v>0</v>
      </c>
      <c r="H13" s="142">
        <f>'Enter Data Here'!G7+'Enter Data Here'!I7+'Enter Data Here'!K7</f>
        <v>0</v>
      </c>
      <c r="I13" s="41">
        <f t="shared" si="0"/>
        <v>0</v>
      </c>
      <c r="J13" s="49">
        <f>MAX('Enter Data Here'!F41:J41)</f>
        <v>0</v>
      </c>
      <c r="K13" s="160">
        <f>'Enter Data Here'!L7+'Enter Data Here'!N7+'Enter Data Here'!P7</f>
        <v>0</v>
      </c>
      <c r="L13" s="161">
        <f>'Enter Data Here'!M7+'Enter Data Here'!O7+'Enter Data Here'!Q7</f>
        <v>0</v>
      </c>
      <c r="M13" s="46">
        <f t="shared" si="1"/>
        <v>0</v>
      </c>
      <c r="N13" s="78">
        <f>MAX('Enter Data Here'!L41:P41)</f>
        <v>0</v>
      </c>
      <c r="O13" s="141">
        <f>'Enter Data Here'!R7+'Enter Data Here'!T7+'Enter Data Here'!V7</f>
        <v>0</v>
      </c>
      <c r="P13" s="162">
        <f>'Enter Data Here'!S7+'Enter Data Here'!U7+'Enter Data Here'!W7</f>
        <v>0</v>
      </c>
      <c r="Q13" s="41">
        <f t="shared" si="2"/>
        <v>0</v>
      </c>
      <c r="R13" s="49">
        <f>MAX('Enter Data Here'!R41:V41)</f>
        <v>0</v>
      </c>
      <c r="S13" s="160">
        <f>'Enter Data Here'!X7+'Enter Data Here'!Z7+'Enter Data Here'!AB7</f>
        <v>0</v>
      </c>
      <c r="T13" s="163">
        <f>'Enter Data Here'!Y7+'Enter Data Here'!AA7+'Enter Data Here'!AC7</f>
        <v>0</v>
      </c>
      <c r="U13" s="46">
        <f t="shared" si="3"/>
        <v>0</v>
      </c>
      <c r="V13" s="81">
        <f>MAX('Enter Data Here'!X41:AB41)</f>
        <v>0</v>
      </c>
    </row>
    <row r="14" spans="1:23" ht="15" customHeight="1">
      <c r="A14" s="4">
        <v>5</v>
      </c>
      <c r="B14" s="151" t="str">
        <f>IF(ISBLANK('Enter Data Here'!B8), " ", 'Enter Data Here'!B8)</f>
        <v xml:space="preserve"> </v>
      </c>
      <c r="C14" s="334" t="str">
        <f>IF(ISBLANK('Enter Data Here'!C8), " ", 'Enter Data Here'!C8)</f>
        <v xml:space="preserve"> </v>
      </c>
      <c r="D14" s="336" t="str">
        <f>IF(ISBLANK('Enter Data Here'!D8), " ", 'Enter Data Here'!D8)</f>
        <v xml:space="preserve"> </v>
      </c>
      <c r="E14" s="337" t="str">
        <f>IF(ISBLANK('Enter Data Here'!E8), " ", 'Enter Data Here'!E8)</f>
        <v xml:space="preserve"> </v>
      </c>
      <c r="F14" s="159"/>
      <c r="G14" s="141">
        <f>'Enter Data Here'!F8+'Enter Data Here'!H8+'Enter Data Here'!J8</f>
        <v>0</v>
      </c>
      <c r="H14" s="142">
        <f>'Enter Data Here'!G8+'Enter Data Here'!I8+'Enter Data Here'!K8</f>
        <v>0</v>
      </c>
      <c r="I14" s="41">
        <f t="shared" si="0"/>
        <v>0</v>
      </c>
      <c r="J14" s="49">
        <f>MAX('Enter Data Here'!F42:J42)</f>
        <v>0</v>
      </c>
      <c r="K14" s="160">
        <f>'Enter Data Here'!L8+'Enter Data Here'!N8+'Enter Data Here'!P8</f>
        <v>0</v>
      </c>
      <c r="L14" s="161">
        <f>'Enter Data Here'!M8+'Enter Data Here'!O8+'Enter Data Here'!Q8</f>
        <v>0</v>
      </c>
      <c r="M14" s="46">
        <f t="shared" si="1"/>
        <v>0</v>
      </c>
      <c r="N14" s="78">
        <f>MAX('Enter Data Here'!L42:P42)</f>
        <v>0</v>
      </c>
      <c r="O14" s="141">
        <f>'Enter Data Here'!R8+'Enter Data Here'!T8+'Enter Data Here'!V8</f>
        <v>0</v>
      </c>
      <c r="P14" s="162">
        <f>'Enter Data Here'!S8+'Enter Data Here'!U8+'Enter Data Here'!W8</f>
        <v>0</v>
      </c>
      <c r="Q14" s="41">
        <f t="shared" si="2"/>
        <v>0</v>
      </c>
      <c r="R14" s="49">
        <f>MAX('Enter Data Here'!R42:V42)</f>
        <v>0</v>
      </c>
      <c r="S14" s="160">
        <f>'Enter Data Here'!X8+'Enter Data Here'!Z8+'Enter Data Here'!AB8</f>
        <v>0</v>
      </c>
      <c r="T14" s="163">
        <f>'Enter Data Here'!Y8+'Enter Data Here'!AA8+'Enter Data Here'!AC8</f>
        <v>0</v>
      </c>
      <c r="U14" s="46">
        <f t="shared" si="3"/>
        <v>0</v>
      </c>
      <c r="V14" s="81">
        <f>MAX('Enter Data Here'!X42:AB42)</f>
        <v>0</v>
      </c>
    </row>
    <row r="15" spans="1:23" ht="15" customHeight="1">
      <c r="A15" s="4">
        <v>6</v>
      </c>
      <c r="B15" s="151" t="str">
        <f>IF(ISBLANK('Enter Data Here'!B9), " ", 'Enter Data Here'!B9)</f>
        <v xml:space="preserve"> </v>
      </c>
      <c r="C15" s="334" t="str">
        <f>IF(ISBLANK('Enter Data Here'!C9), " ", 'Enter Data Here'!C9)</f>
        <v xml:space="preserve"> </v>
      </c>
      <c r="D15" s="336" t="str">
        <f>IF(ISBLANK('Enter Data Here'!D9), " ", 'Enter Data Here'!D9)</f>
        <v xml:space="preserve"> </v>
      </c>
      <c r="E15" s="337" t="str">
        <f>IF(ISBLANK('Enter Data Here'!E9), " ", 'Enter Data Here'!E9)</f>
        <v xml:space="preserve"> </v>
      </c>
      <c r="F15" s="159"/>
      <c r="G15" s="141">
        <f>'Enter Data Here'!F9+'Enter Data Here'!H9+'Enter Data Here'!J9</f>
        <v>0</v>
      </c>
      <c r="H15" s="142">
        <f>'Enter Data Here'!G9+'Enter Data Here'!I9+'Enter Data Here'!K9</f>
        <v>0</v>
      </c>
      <c r="I15" s="41">
        <f t="shared" si="0"/>
        <v>0</v>
      </c>
      <c r="J15" s="49">
        <f>MAX('Enter Data Here'!F43:J43)</f>
        <v>0</v>
      </c>
      <c r="K15" s="160">
        <f>'Enter Data Here'!L9+'Enter Data Here'!N9+'Enter Data Here'!P9</f>
        <v>0</v>
      </c>
      <c r="L15" s="161">
        <f>'Enter Data Here'!M9+'Enter Data Here'!O9+'Enter Data Here'!Q9</f>
        <v>0</v>
      </c>
      <c r="M15" s="46">
        <f t="shared" si="1"/>
        <v>0</v>
      </c>
      <c r="N15" s="78">
        <f>MAX('Enter Data Here'!L43:P43)</f>
        <v>0</v>
      </c>
      <c r="O15" s="141">
        <f>'Enter Data Here'!R9+'Enter Data Here'!T9+'Enter Data Here'!V9</f>
        <v>0</v>
      </c>
      <c r="P15" s="162">
        <f>'Enter Data Here'!S9+'Enter Data Here'!U9+'Enter Data Here'!W9</f>
        <v>0</v>
      </c>
      <c r="Q15" s="41">
        <f t="shared" si="2"/>
        <v>0</v>
      </c>
      <c r="R15" s="49">
        <f>MAX('Enter Data Here'!R43:V43)</f>
        <v>0</v>
      </c>
      <c r="S15" s="160">
        <f>'Enter Data Here'!X9+'Enter Data Here'!Z9+'Enter Data Here'!AB9</f>
        <v>0</v>
      </c>
      <c r="T15" s="163">
        <f>'Enter Data Here'!Y9+'Enter Data Here'!AA9+'Enter Data Here'!AC9</f>
        <v>0</v>
      </c>
      <c r="U15" s="46">
        <f t="shared" si="3"/>
        <v>0</v>
      </c>
      <c r="V15" s="81">
        <f>MAX('Enter Data Here'!X43:AB43)</f>
        <v>0</v>
      </c>
    </row>
    <row r="16" spans="1:23" ht="15" customHeight="1">
      <c r="A16" s="4">
        <v>7</v>
      </c>
      <c r="B16" s="151" t="str">
        <f>IF(ISBLANK('Enter Data Here'!B10), " ", 'Enter Data Here'!B10)</f>
        <v xml:space="preserve"> </v>
      </c>
      <c r="C16" s="334" t="str">
        <f>IF(ISBLANK('Enter Data Here'!C10), " ", 'Enter Data Here'!C10)</f>
        <v xml:space="preserve"> </v>
      </c>
      <c r="D16" s="336" t="str">
        <f>IF(ISBLANK('Enter Data Here'!D10), " ", 'Enter Data Here'!D10)</f>
        <v xml:space="preserve"> </v>
      </c>
      <c r="E16" s="337" t="str">
        <f>IF(ISBLANK('Enter Data Here'!E10), " ", 'Enter Data Here'!E10)</f>
        <v xml:space="preserve"> </v>
      </c>
      <c r="F16" s="159"/>
      <c r="G16" s="141">
        <f>'Enter Data Here'!F10+'Enter Data Here'!H10+'Enter Data Here'!J10</f>
        <v>0</v>
      </c>
      <c r="H16" s="142">
        <f>'Enter Data Here'!G10+'Enter Data Here'!I10+'Enter Data Here'!K10</f>
        <v>0</v>
      </c>
      <c r="I16" s="41">
        <f t="shared" si="0"/>
        <v>0</v>
      </c>
      <c r="J16" s="49">
        <f>MAX('Enter Data Here'!F44:J44)</f>
        <v>0</v>
      </c>
      <c r="K16" s="160">
        <f>'Enter Data Here'!L10+'Enter Data Here'!N10+'Enter Data Here'!P10</f>
        <v>0</v>
      </c>
      <c r="L16" s="161">
        <f>'Enter Data Here'!M10+'Enter Data Here'!O10+'Enter Data Here'!Q10</f>
        <v>0</v>
      </c>
      <c r="M16" s="46">
        <f t="shared" si="1"/>
        <v>0</v>
      </c>
      <c r="N16" s="78">
        <f>MAX('Enter Data Here'!L44:P44)</f>
        <v>0</v>
      </c>
      <c r="O16" s="141">
        <f>'Enter Data Here'!R10+'Enter Data Here'!T10+'Enter Data Here'!V10</f>
        <v>0</v>
      </c>
      <c r="P16" s="162">
        <f>'Enter Data Here'!S10+'Enter Data Here'!U10+'Enter Data Here'!W10</f>
        <v>0</v>
      </c>
      <c r="Q16" s="41">
        <f t="shared" si="2"/>
        <v>0</v>
      </c>
      <c r="R16" s="49">
        <f>MAX('Enter Data Here'!R44:V44)</f>
        <v>0</v>
      </c>
      <c r="S16" s="160">
        <f>'Enter Data Here'!X10+'Enter Data Here'!Z10+'Enter Data Here'!AB10</f>
        <v>0</v>
      </c>
      <c r="T16" s="163">
        <f>'Enter Data Here'!Y10+'Enter Data Here'!AA10+'Enter Data Here'!AC10</f>
        <v>0</v>
      </c>
      <c r="U16" s="46">
        <f t="shared" si="3"/>
        <v>0</v>
      </c>
      <c r="V16" s="81">
        <f>MAX('Enter Data Here'!X44:AB44)</f>
        <v>0</v>
      </c>
    </row>
    <row r="17" spans="1:22" ht="15" customHeight="1">
      <c r="A17" s="4">
        <v>8</v>
      </c>
      <c r="B17" s="151" t="str">
        <f>IF(ISBLANK('Enter Data Here'!B11), " ", 'Enter Data Here'!B11)</f>
        <v xml:space="preserve"> </v>
      </c>
      <c r="C17" s="334" t="str">
        <f>IF(ISBLANK('Enter Data Here'!C11), " ", 'Enter Data Here'!C11)</f>
        <v xml:space="preserve"> </v>
      </c>
      <c r="D17" s="336" t="str">
        <f>IF(ISBLANK('Enter Data Here'!D11), " ", 'Enter Data Here'!D11)</f>
        <v xml:space="preserve"> </v>
      </c>
      <c r="E17" s="337" t="str">
        <f>IF(ISBLANK('Enter Data Here'!E11), " ", 'Enter Data Here'!E11)</f>
        <v xml:space="preserve"> </v>
      </c>
      <c r="F17" s="159"/>
      <c r="G17" s="141">
        <f>'Enter Data Here'!F11+'Enter Data Here'!H11+'Enter Data Here'!J11</f>
        <v>0</v>
      </c>
      <c r="H17" s="142">
        <f>'Enter Data Here'!G11+'Enter Data Here'!I11+'Enter Data Here'!K11</f>
        <v>0</v>
      </c>
      <c r="I17" s="41">
        <f t="shared" si="0"/>
        <v>0</v>
      </c>
      <c r="J17" s="49">
        <f>MAX('Enter Data Here'!F45:J45)</f>
        <v>0</v>
      </c>
      <c r="K17" s="160">
        <f>'Enter Data Here'!L11+'Enter Data Here'!N11+'Enter Data Here'!P11</f>
        <v>0</v>
      </c>
      <c r="L17" s="161">
        <f>'Enter Data Here'!M11+'Enter Data Here'!O11+'Enter Data Here'!Q11</f>
        <v>0</v>
      </c>
      <c r="M17" s="46">
        <f t="shared" si="1"/>
        <v>0</v>
      </c>
      <c r="N17" s="78">
        <f>MAX('Enter Data Here'!L45:P45)</f>
        <v>0</v>
      </c>
      <c r="O17" s="141">
        <f>'Enter Data Here'!R11+'Enter Data Here'!T11+'Enter Data Here'!V11</f>
        <v>0</v>
      </c>
      <c r="P17" s="162">
        <f>'Enter Data Here'!S11+'Enter Data Here'!U11+'Enter Data Here'!W11</f>
        <v>0</v>
      </c>
      <c r="Q17" s="41">
        <f t="shared" si="2"/>
        <v>0</v>
      </c>
      <c r="R17" s="49">
        <f>MAX('Enter Data Here'!R45:V45)</f>
        <v>0</v>
      </c>
      <c r="S17" s="160">
        <f>'Enter Data Here'!X11+'Enter Data Here'!Z11+'Enter Data Here'!AB11</f>
        <v>0</v>
      </c>
      <c r="T17" s="163">
        <f>'Enter Data Here'!Y11+'Enter Data Here'!AA11+'Enter Data Here'!AC11</f>
        <v>0</v>
      </c>
      <c r="U17" s="46">
        <f t="shared" si="3"/>
        <v>0</v>
      </c>
      <c r="V17" s="81">
        <f>MAX('Enter Data Here'!X45:AB45)</f>
        <v>0</v>
      </c>
    </row>
    <row r="18" spans="1:22" ht="15" customHeight="1">
      <c r="A18" s="4">
        <v>9</v>
      </c>
      <c r="B18" s="151" t="str">
        <f>IF(ISBLANK('Enter Data Here'!B12), " ", 'Enter Data Here'!B12)</f>
        <v xml:space="preserve"> </v>
      </c>
      <c r="C18" s="334" t="str">
        <f>IF(ISBLANK('Enter Data Here'!C12), " ", 'Enter Data Here'!C12)</f>
        <v xml:space="preserve"> </v>
      </c>
      <c r="D18" s="336" t="str">
        <f>IF(ISBLANK('Enter Data Here'!D12), " ", 'Enter Data Here'!D12)</f>
        <v xml:space="preserve"> </v>
      </c>
      <c r="E18" s="337" t="str">
        <f>IF(ISBLANK('Enter Data Here'!E12), " ", 'Enter Data Here'!E12)</f>
        <v xml:space="preserve"> </v>
      </c>
      <c r="F18" s="159"/>
      <c r="G18" s="141">
        <f>'Enter Data Here'!F12+'Enter Data Here'!H12+'Enter Data Here'!J12</f>
        <v>0</v>
      </c>
      <c r="H18" s="142">
        <f>'Enter Data Here'!G12+'Enter Data Here'!I12+'Enter Data Here'!K12</f>
        <v>0</v>
      </c>
      <c r="I18" s="41">
        <f t="shared" si="0"/>
        <v>0</v>
      </c>
      <c r="J18" s="49">
        <f>MAX('Enter Data Here'!F46:J46)</f>
        <v>0</v>
      </c>
      <c r="K18" s="160">
        <f>'Enter Data Here'!L12+'Enter Data Here'!N12+'Enter Data Here'!P12</f>
        <v>0</v>
      </c>
      <c r="L18" s="161">
        <f>'Enter Data Here'!M12+'Enter Data Here'!O12+'Enter Data Here'!Q12</f>
        <v>0</v>
      </c>
      <c r="M18" s="46">
        <f t="shared" si="1"/>
        <v>0</v>
      </c>
      <c r="N18" s="78">
        <f>MAX('Enter Data Here'!L46:P46)</f>
        <v>0</v>
      </c>
      <c r="O18" s="141">
        <f>'Enter Data Here'!R12+'Enter Data Here'!T12+'Enter Data Here'!V12</f>
        <v>0</v>
      </c>
      <c r="P18" s="162">
        <f>'Enter Data Here'!S12+'Enter Data Here'!U12+'Enter Data Here'!W12</f>
        <v>0</v>
      </c>
      <c r="Q18" s="41">
        <f t="shared" si="2"/>
        <v>0</v>
      </c>
      <c r="R18" s="49">
        <f>MAX('Enter Data Here'!R46:V46)</f>
        <v>0</v>
      </c>
      <c r="S18" s="160">
        <f>'Enter Data Here'!X12+'Enter Data Here'!Z12+'Enter Data Here'!AB12</f>
        <v>0</v>
      </c>
      <c r="T18" s="163">
        <f>'Enter Data Here'!Y12+'Enter Data Here'!AA12+'Enter Data Here'!AC12</f>
        <v>0</v>
      </c>
      <c r="U18" s="46">
        <f t="shared" si="3"/>
        <v>0</v>
      </c>
      <c r="V18" s="81">
        <f>MAX('Enter Data Here'!X46:AB46)</f>
        <v>0</v>
      </c>
    </row>
    <row r="19" spans="1:22" ht="15" customHeight="1">
      <c r="A19" s="4">
        <v>10</v>
      </c>
      <c r="B19" s="151" t="str">
        <f>IF(ISBLANK('Enter Data Here'!B13), " ", 'Enter Data Here'!B13)</f>
        <v xml:space="preserve"> </v>
      </c>
      <c r="C19" s="334" t="str">
        <f>IF(ISBLANK('Enter Data Here'!C13), " ", 'Enter Data Here'!C13)</f>
        <v xml:space="preserve"> </v>
      </c>
      <c r="D19" s="336" t="str">
        <f>IF(ISBLANK('Enter Data Here'!D13), " ", 'Enter Data Here'!D13)</f>
        <v xml:space="preserve"> </v>
      </c>
      <c r="E19" s="337" t="str">
        <f>IF(ISBLANK('Enter Data Here'!E13), " ", 'Enter Data Here'!E13)</f>
        <v xml:space="preserve"> </v>
      </c>
      <c r="F19" s="159"/>
      <c r="G19" s="141">
        <f>'Enter Data Here'!F13+'Enter Data Here'!H13+'Enter Data Here'!J13</f>
        <v>0</v>
      </c>
      <c r="H19" s="142">
        <f>'Enter Data Here'!G13+'Enter Data Here'!I13+'Enter Data Here'!K13</f>
        <v>0</v>
      </c>
      <c r="I19" s="41">
        <f t="shared" si="0"/>
        <v>0</v>
      </c>
      <c r="J19" s="49">
        <f>MAX('Enter Data Here'!F47:J47)</f>
        <v>0</v>
      </c>
      <c r="K19" s="160">
        <f>'Enter Data Here'!L13+'Enter Data Here'!N13+'Enter Data Here'!P13</f>
        <v>0</v>
      </c>
      <c r="L19" s="161">
        <f>'Enter Data Here'!M13+'Enter Data Here'!O13+'Enter Data Here'!Q13</f>
        <v>0</v>
      </c>
      <c r="M19" s="46">
        <f t="shared" si="1"/>
        <v>0</v>
      </c>
      <c r="N19" s="78">
        <f>MAX('Enter Data Here'!L47:P47)</f>
        <v>0</v>
      </c>
      <c r="O19" s="141">
        <f>'Enter Data Here'!R13+'Enter Data Here'!T13+'Enter Data Here'!V13</f>
        <v>0</v>
      </c>
      <c r="P19" s="162">
        <f>'Enter Data Here'!S13+'Enter Data Here'!U13+'Enter Data Here'!W13</f>
        <v>0</v>
      </c>
      <c r="Q19" s="41">
        <f t="shared" si="2"/>
        <v>0</v>
      </c>
      <c r="R19" s="49">
        <f>MAX('Enter Data Here'!R47:V47)</f>
        <v>0</v>
      </c>
      <c r="S19" s="160">
        <f>'Enter Data Here'!X13+'Enter Data Here'!Z13+'Enter Data Here'!AB13</f>
        <v>0</v>
      </c>
      <c r="T19" s="163">
        <f>'Enter Data Here'!Y13+'Enter Data Here'!AA13+'Enter Data Here'!AC13</f>
        <v>0</v>
      </c>
      <c r="U19" s="46">
        <f t="shared" si="3"/>
        <v>0</v>
      </c>
      <c r="V19" s="81">
        <f>MAX('Enter Data Here'!X47:AB47)</f>
        <v>0</v>
      </c>
    </row>
    <row r="20" spans="1:22" ht="15" customHeight="1">
      <c r="A20" s="4">
        <v>11</v>
      </c>
      <c r="B20" s="151" t="str">
        <f>IF(ISBLANK('Enter Data Here'!B14), " ", 'Enter Data Here'!B14)</f>
        <v xml:space="preserve"> </v>
      </c>
      <c r="C20" s="334" t="str">
        <f>IF(ISBLANK('Enter Data Here'!C14), " ", 'Enter Data Here'!C14)</f>
        <v xml:space="preserve"> </v>
      </c>
      <c r="D20" s="336" t="str">
        <f>IF(ISBLANK('Enter Data Here'!D14), " ", 'Enter Data Here'!D14)</f>
        <v xml:space="preserve"> </v>
      </c>
      <c r="E20" s="337" t="str">
        <f>IF(ISBLANK('Enter Data Here'!E14), " ", 'Enter Data Here'!E14)</f>
        <v xml:space="preserve"> </v>
      </c>
      <c r="F20" s="159"/>
      <c r="G20" s="141">
        <f>'Enter Data Here'!F14+'Enter Data Here'!H14+'Enter Data Here'!J14</f>
        <v>0</v>
      </c>
      <c r="H20" s="142">
        <f>'Enter Data Here'!G14+'Enter Data Here'!I14+'Enter Data Here'!K14</f>
        <v>0</v>
      </c>
      <c r="I20" s="41">
        <f t="shared" si="0"/>
        <v>0</v>
      </c>
      <c r="J20" s="49">
        <f>MAX('Enter Data Here'!F48:J48)</f>
        <v>0</v>
      </c>
      <c r="K20" s="160">
        <f>'Enter Data Here'!L14+'Enter Data Here'!N14+'Enter Data Here'!P14</f>
        <v>0</v>
      </c>
      <c r="L20" s="161">
        <f>'Enter Data Here'!M14+'Enter Data Here'!O14+'Enter Data Here'!Q14</f>
        <v>0</v>
      </c>
      <c r="M20" s="46">
        <f t="shared" si="1"/>
        <v>0</v>
      </c>
      <c r="N20" s="78">
        <f>MAX('Enter Data Here'!L48:P48)</f>
        <v>0</v>
      </c>
      <c r="O20" s="141">
        <f>'Enter Data Here'!R14+'Enter Data Here'!T14+'Enter Data Here'!V14</f>
        <v>0</v>
      </c>
      <c r="P20" s="162">
        <f>'Enter Data Here'!S14+'Enter Data Here'!U14+'Enter Data Here'!W14</f>
        <v>0</v>
      </c>
      <c r="Q20" s="41">
        <f t="shared" si="2"/>
        <v>0</v>
      </c>
      <c r="R20" s="49">
        <f>MAX('Enter Data Here'!R48:V48)</f>
        <v>0</v>
      </c>
      <c r="S20" s="160">
        <f>'Enter Data Here'!X14+'Enter Data Here'!Z14+'Enter Data Here'!AB14</f>
        <v>0</v>
      </c>
      <c r="T20" s="163">
        <f>'Enter Data Here'!Y14+'Enter Data Here'!AA14+'Enter Data Here'!AC14</f>
        <v>0</v>
      </c>
      <c r="U20" s="46">
        <f t="shared" si="3"/>
        <v>0</v>
      </c>
      <c r="V20" s="81">
        <f>MAX('Enter Data Here'!X48:AB48)</f>
        <v>0</v>
      </c>
    </row>
    <row r="21" spans="1:22" ht="15" customHeight="1">
      <c r="A21" s="4">
        <v>12</v>
      </c>
      <c r="B21" s="151" t="str">
        <f>IF(ISBLANK('Enter Data Here'!B15), " ", 'Enter Data Here'!B15)</f>
        <v xml:space="preserve"> </v>
      </c>
      <c r="C21" s="334" t="str">
        <f>IF(ISBLANK('Enter Data Here'!C15), " ", 'Enter Data Here'!C15)</f>
        <v xml:space="preserve"> </v>
      </c>
      <c r="D21" s="336" t="str">
        <f>IF(ISBLANK('Enter Data Here'!D15), " ", 'Enter Data Here'!D15)</f>
        <v xml:space="preserve"> </v>
      </c>
      <c r="E21" s="337" t="str">
        <f>IF(ISBLANK('Enter Data Here'!E15), " ", 'Enter Data Here'!E15)</f>
        <v xml:space="preserve"> </v>
      </c>
      <c r="F21" s="159"/>
      <c r="G21" s="141">
        <f>'Enter Data Here'!F15+'Enter Data Here'!H15+'Enter Data Here'!J15</f>
        <v>0</v>
      </c>
      <c r="H21" s="142">
        <f>'Enter Data Here'!G15+'Enter Data Here'!I15+'Enter Data Here'!K15</f>
        <v>0</v>
      </c>
      <c r="I21" s="41">
        <f t="shared" si="0"/>
        <v>0</v>
      </c>
      <c r="J21" s="49">
        <f>MAX('Enter Data Here'!F49:J49)</f>
        <v>0</v>
      </c>
      <c r="K21" s="160">
        <f>'Enter Data Here'!L15+'Enter Data Here'!N15+'Enter Data Here'!P15</f>
        <v>0</v>
      </c>
      <c r="L21" s="161">
        <f>'Enter Data Here'!M15+'Enter Data Here'!O15+'Enter Data Here'!Q15</f>
        <v>0</v>
      </c>
      <c r="M21" s="46">
        <f t="shared" si="1"/>
        <v>0</v>
      </c>
      <c r="N21" s="78">
        <f>MAX('Enter Data Here'!L49:P49)</f>
        <v>0</v>
      </c>
      <c r="O21" s="141">
        <f>'Enter Data Here'!R15+'Enter Data Here'!T15+'Enter Data Here'!V15</f>
        <v>0</v>
      </c>
      <c r="P21" s="162">
        <f>'Enter Data Here'!S15+'Enter Data Here'!U15+'Enter Data Here'!W15</f>
        <v>0</v>
      </c>
      <c r="Q21" s="41">
        <f t="shared" si="2"/>
        <v>0</v>
      </c>
      <c r="R21" s="49">
        <f>MAX('Enter Data Here'!R49:V49)</f>
        <v>0</v>
      </c>
      <c r="S21" s="160">
        <f>'Enter Data Here'!X15+'Enter Data Here'!Z15+'Enter Data Here'!AB15</f>
        <v>0</v>
      </c>
      <c r="T21" s="163">
        <f>'Enter Data Here'!Y15+'Enter Data Here'!AA15+'Enter Data Here'!AC15</f>
        <v>0</v>
      </c>
      <c r="U21" s="46">
        <f t="shared" si="3"/>
        <v>0</v>
      </c>
      <c r="V21" s="81">
        <f>MAX('Enter Data Here'!X49:AB49)</f>
        <v>0</v>
      </c>
    </row>
    <row r="22" spans="1:22" ht="15" customHeight="1">
      <c r="A22" s="4">
        <v>13</v>
      </c>
      <c r="B22" s="151" t="str">
        <f>IF(ISBLANK('Enter Data Here'!B16), " ", 'Enter Data Here'!B16)</f>
        <v xml:space="preserve"> </v>
      </c>
      <c r="C22" s="334" t="str">
        <f>IF(ISBLANK('Enter Data Here'!C16), " ", 'Enter Data Here'!C16)</f>
        <v xml:space="preserve"> </v>
      </c>
      <c r="D22" s="336" t="str">
        <f>IF(ISBLANK('Enter Data Here'!D16), " ", 'Enter Data Here'!D16)</f>
        <v xml:space="preserve"> </v>
      </c>
      <c r="E22" s="337" t="str">
        <f>IF(ISBLANK('Enter Data Here'!E16), " ", 'Enter Data Here'!E16)</f>
        <v xml:space="preserve"> </v>
      </c>
      <c r="F22" s="159"/>
      <c r="G22" s="141">
        <f>'Enter Data Here'!F16+'Enter Data Here'!H16+'Enter Data Here'!J16</f>
        <v>0</v>
      </c>
      <c r="H22" s="142">
        <f>'Enter Data Here'!G16+'Enter Data Here'!I16+'Enter Data Here'!K16</f>
        <v>0</v>
      </c>
      <c r="I22" s="41">
        <f t="shared" si="0"/>
        <v>0</v>
      </c>
      <c r="J22" s="49">
        <f>MAX('Enter Data Here'!F50:J50)</f>
        <v>0</v>
      </c>
      <c r="K22" s="160">
        <f>'Enter Data Here'!L16+'Enter Data Here'!N16+'Enter Data Here'!P16</f>
        <v>0</v>
      </c>
      <c r="L22" s="161">
        <f>'Enter Data Here'!M16+'Enter Data Here'!O16+'Enter Data Here'!Q16</f>
        <v>0</v>
      </c>
      <c r="M22" s="46">
        <f t="shared" si="1"/>
        <v>0</v>
      </c>
      <c r="N22" s="78">
        <f>MAX('Enter Data Here'!L50:P50)</f>
        <v>0</v>
      </c>
      <c r="O22" s="141">
        <f>'Enter Data Here'!R16+'Enter Data Here'!T16+'Enter Data Here'!V16</f>
        <v>0</v>
      </c>
      <c r="P22" s="162">
        <f>'Enter Data Here'!S16+'Enter Data Here'!U16+'Enter Data Here'!W16</f>
        <v>0</v>
      </c>
      <c r="Q22" s="41">
        <f t="shared" si="2"/>
        <v>0</v>
      </c>
      <c r="R22" s="49">
        <f>MAX('Enter Data Here'!R50:V50)</f>
        <v>0</v>
      </c>
      <c r="S22" s="160">
        <f>'Enter Data Here'!X16+'Enter Data Here'!Z16+'Enter Data Here'!AB16</f>
        <v>0</v>
      </c>
      <c r="T22" s="163">
        <f>'Enter Data Here'!Y16+'Enter Data Here'!AA16+'Enter Data Here'!AC16</f>
        <v>0</v>
      </c>
      <c r="U22" s="46">
        <f t="shared" si="3"/>
        <v>0</v>
      </c>
      <c r="V22" s="81">
        <f>MAX('Enter Data Here'!X50:AB50)</f>
        <v>0</v>
      </c>
    </row>
    <row r="23" spans="1:22" ht="15" customHeight="1">
      <c r="A23" s="4">
        <v>14</v>
      </c>
      <c r="B23" s="151" t="str">
        <f>IF(ISBLANK('Enter Data Here'!B17), " ", 'Enter Data Here'!B17)</f>
        <v xml:space="preserve"> </v>
      </c>
      <c r="C23" s="334" t="str">
        <f>IF(ISBLANK('Enter Data Here'!C17), " ", 'Enter Data Here'!C17)</f>
        <v xml:space="preserve"> </v>
      </c>
      <c r="D23" s="336" t="str">
        <f>IF(ISBLANK('Enter Data Here'!D17), " ", 'Enter Data Here'!D17)</f>
        <v xml:space="preserve"> </v>
      </c>
      <c r="E23" s="337" t="str">
        <f>IF(ISBLANK('Enter Data Here'!E17), " ", 'Enter Data Here'!E17)</f>
        <v xml:space="preserve"> </v>
      </c>
      <c r="F23" s="159"/>
      <c r="G23" s="141">
        <f>'Enter Data Here'!F17+'Enter Data Here'!H17+'Enter Data Here'!J17</f>
        <v>0</v>
      </c>
      <c r="H23" s="142">
        <f>'Enter Data Here'!G17+'Enter Data Here'!I17+'Enter Data Here'!K17</f>
        <v>0</v>
      </c>
      <c r="I23" s="41">
        <f t="shared" si="0"/>
        <v>0</v>
      </c>
      <c r="J23" s="49">
        <f>MAX('Enter Data Here'!F51:J51)</f>
        <v>0</v>
      </c>
      <c r="K23" s="160">
        <f>'Enter Data Here'!L17+'Enter Data Here'!N17+'Enter Data Here'!P17</f>
        <v>0</v>
      </c>
      <c r="L23" s="161">
        <f>'Enter Data Here'!M17+'Enter Data Here'!O17+'Enter Data Here'!Q17</f>
        <v>0</v>
      </c>
      <c r="M23" s="46">
        <f t="shared" si="1"/>
        <v>0</v>
      </c>
      <c r="N23" s="78">
        <f>MAX('Enter Data Here'!L51:P51)</f>
        <v>0</v>
      </c>
      <c r="O23" s="141">
        <f>'Enter Data Here'!R17+'Enter Data Here'!T17+'Enter Data Here'!V17</f>
        <v>0</v>
      </c>
      <c r="P23" s="162">
        <f>'Enter Data Here'!S17+'Enter Data Here'!U17+'Enter Data Here'!W17</f>
        <v>0</v>
      </c>
      <c r="Q23" s="41">
        <f t="shared" si="2"/>
        <v>0</v>
      </c>
      <c r="R23" s="49">
        <f>MAX('Enter Data Here'!R51:V51)</f>
        <v>0</v>
      </c>
      <c r="S23" s="160">
        <f>'Enter Data Here'!X17+'Enter Data Here'!Z17+'Enter Data Here'!AB17</f>
        <v>0</v>
      </c>
      <c r="T23" s="163">
        <f>'Enter Data Here'!Y17+'Enter Data Here'!AA17+'Enter Data Here'!AC17</f>
        <v>0</v>
      </c>
      <c r="U23" s="46">
        <f t="shared" si="3"/>
        <v>0</v>
      </c>
      <c r="V23" s="81">
        <f>MAX('Enter Data Here'!X51:AB51)</f>
        <v>0</v>
      </c>
    </row>
    <row r="24" spans="1:22" ht="15" customHeight="1">
      <c r="A24" s="4">
        <v>15</v>
      </c>
      <c r="B24" s="151" t="str">
        <f>IF(ISBLANK('Enter Data Here'!B18), " ", 'Enter Data Here'!B18)</f>
        <v xml:space="preserve"> </v>
      </c>
      <c r="C24" s="334" t="str">
        <f>IF(ISBLANK('Enter Data Here'!C18), " ", 'Enter Data Here'!C18)</f>
        <v xml:space="preserve"> </v>
      </c>
      <c r="D24" s="336" t="str">
        <f>IF(ISBLANK('Enter Data Here'!D18), " ", 'Enter Data Here'!D18)</f>
        <v xml:space="preserve"> </v>
      </c>
      <c r="E24" s="337" t="str">
        <f>IF(ISBLANK('Enter Data Here'!E18), " ", 'Enter Data Here'!E18)</f>
        <v xml:space="preserve"> </v>
      </c>
      <c r="F24" s="159"/>
      <c r="G24" s="141">
        <f>'Enter Data Here'!F18+'Enter Data Here'!H18+'Enter Data Here'!J18</f>
        <v>0</v>
      </c>
      <c r="H24" s="142">
        <f>'Enter Data Here'!G18+'Enter Data Here'!I18+'Enter Data Here'!K18</f>
        <v>0</v>
      </c>
      <c r="I24" s="41">
        <f t="shared" si="0"/>
        <v>0</v>
      </c>
      <c r="J24" s="49">
        <f>MAX('Enter Data Here'!F52:J52)</f>
        <v>0</v>
      </c>
      <c r="K24" s="160">
        <f>'Enter Data Here'!L18+'Enter Data Here'!N18+'Enter Data Here'!P18</f>
        <v>0</v>
      </c>
      <c r="L24" s="161">
        <f>'Enter Data Here'!M18+'Enter Data Here'!O18+'Enter Data Here'!Q18</f>
        <v>0</v>
      </c>
      <c r="M24" s="46">
        <f t="shared" si="1"/>
        <v>0</v>
      </c>
      <c r="N24" s="78">
        <f>MAX('Enter Data Here'!L52:P52)</f>
        <v>0</v>
      </c>
      <c r="O24" s="141">
        <f>'Enter Data Here'!R18+'Enter Data Here'!T18+'Enter Data Here'!V18</f>
        <v>0</v>
      </c>
      <c r="P24" s="162">
        <f>'Enter Data Here'!S18+'Enter Data Here'!U18+'Enter Data Here'!W18</f>
        <v>0</v>
      </c>
      <c r="Q24" s="41">
        <f t="shared" si="2"/>
        <v>0</v>
      </c>
      <c r="R24" s="49">
        <f>MAX('Enter Data Here'!R52:V52)</f>
        <v>0</v>
      </c>
      <c r="S24" s="160">
        <f>'Enter Data Here'!X18+'Enter Data Here'!Z18+'Enter Data Here'!AB18</f>
        <v>0</v>
      </c>
      <c r="T24" s="163">
        <f>'Enter Data Here'!Y18+'Enter Data Here'!AA18+'Enter Data Here'!AC18</f>
        <v>0</v>
      </c>
      <c r="U24" s="46">
        <f t="shared" si="3"/>
        <v>0</v>
      </c>
      <c r="V24" s="81">
        <f>MAX('Enter Data Here'!X52:AB52)</f>
        <v>0</v>
      </c>
    </row>
    <row r="25" spans="1:22" ht="15" customHeight="1">
      <c r="A25" s="4">
        <v>16</v>
      </c>
      <c r="B25" s="151" t="str">
        <f>IF(ISBLANK('Enter Data Here'!B19), " ", 'Enter Data Here'!B19)</f>
        <v xml:space="preserve"> </v>
      </c>
      <c r="C25" s="334" t="str">
        <f>IF(ISBLANK('Enter Data Here'!C19), " ", 'Enter Data Here'!C19)</f>
        <v xml:space="preserve"> </v>
      </c>
      <c r="D25" s="336" t="str">
        <f>IF(ISBLANK('Enter Data Here'!D19), " ", 'Enter Data Here'!D19)</f>
        <v xml:space="preserve"> </v>
      </c>
      <c r="E25" s="337" t="str">
        <f>IF(ISBLANK('Enter Data Here'!E19), " ", 'Enter Data Here'!E19)</f>
        <v xml:space="preserve"> </v>
      </c>
      <c r="F25" s="159"/>
      <c r="G25" s="141">
        <f>'Enter Data Here'!F19+'Enter Data Here'!H19+'Enter Data Here'!J19</f>
        <v>0</v>
      </c>
      <c r="H25" s="142">
        <f>'Enter Data Here'!G19+'Enter Data Here'!I19+'Enter Data Here'!K19</f>
        <v>0</v>
      </c>
      <c r="I25" s="41">
        <f t="shared" si="0"/>
        <v>0</v>
      </c>
      <c r="J25" s="49">
        <f>MAX('Enter Data Here'!F53:J53)</f>
        <v>0</v>
      </c>
      <c r="K25" s="160">
        <f>'Enter Data Here'!L19+'Enter Data Here'!N19+'Enter Data Here'!P19</f>
        <v>0</v>
      </c>
      <c r="L25" s="161">
        <f>'Enter Data Here'!M19+'Enter Data Here'!O19+'Enter Data Here'!Q19</f>
        <v>0</v>
      </c>
      <c r="M25" s="46">
        <f t="shared" si="1"/>
        <v>0</v>
      </c>
      <c r="N25" s="78">
        <f>MAX('Enter Data Here'!L53:P53)</f>
        <v>0</v>
      </c>
      <c r="O25" s="141">
        <f>'Enter Data Here'!R19+'Enter Data Here'!T19+'Enter Data Here'!V19</f>
        <v>0</v>
      </c>
      <c r="P25" s="162">
        <f>'Enter Data Here'!S19+'Enter Data Here'!U19+'Enter Data Here'!W19</f>
        <v>0</v>
      </c>
      <c r="Q25" s="41">
        <f t="shared" si="2"/>
        <v>0</v>
      </c>
      <c r="R25" s="49">
        <f>MAX('Enter Data Here'!R53:V53)</f>
        <v>0</v>
      </c>
      <c r="S25" s="160">
        <f>'Enter Data Here'!X19+'Enter Data Here'!Z19+'Enter Data Here'!AB19</f>
        <v>0</v>
      </c>
      <c r="T25" s="163">
        <f>'Enter Data Here'!Y19+'Enter Data Here'!AA19+'Enter Data Here'!AC19</f>
        <v>0</v>
      </c>
      <c r="U25" s="46">
        <f t="shared" si="3"/>
        <v>0</v>
      </c>
      <c r="V25" s="81">
        <f>MAX('Enter Data Here'!X53:AB53)</f>
        <v>0</v>
      </c>
    </row>
    <row r="26" spans="1:22" ht="15" customHeight="1">
      <c r="A26" s="4">
        <v>17</v>
      </c>
      <c r="B26" s="151" t="str">
        <f>IF(ISBLANK('Enter Data Here'!B20), " ", 'Enter Data Here'!B20)</f>
        <v xml:space="preserve"> </v>
      </c>
      <c r="C26" s="334" t="str">
        <f>IF(ISBLANK('Enter Data Here'!C20), " ", 'Enter Data Here'!C20)</f>
        <v xml:space="preserve"> </v>
      </c>
      <c r="D26" s="336" t="str">
        <f>IF(ISBLANK('Enter Data Here'!D20), " ", 'Enter Data Here'!D20)</f>
        <v xml:space="preserve"> </v>
      </c>
      <c r="E26" s="337" t="str">
        <f>IF(ISBLANK('Enter Data Here'!E20), " ", 'Enter Data Here'!E20)</f>
        <v xml:space="preserve"> </v>
      </c>
      <c r="F26" s="159"/>
      <c r="G26" s="141">
        <f>'Enter Data Here'!F20+'Enter Data Here'!H20+'Enter Data Here'!J20</f>
        <v>0</v>
      </c>
      <c r="H26" s="142">
        <f>'Enter Data Here'!G20+'Enter Data Here'!I20+'Enter Data Here'!K20</f>
        <v>0</v>
      </c>
      <c r="I26" s="41">
        <f t="shared" si="0"/>
        <v>0</v>
      </c>
      <c r="J26" s="49">
        <f>MAX('Enter Data Here'!F54:J54)</f>
        <v>0</v>
      </c>
      <c r="K26" s="160">
        <f>'Enter Data Here'!L20+'Enter Data Here'!N20+'Enter Data Here'!P20</f>
        <v>0</v>
      </c>
      <c r="L26" s="161">
        <f>'Enter Data Here'!M20+'Enter Data Here'!O20+'Enter Data Here'!Q20</f>
        <v>0</v>
      </c>
      <c r="M26" s="46">
        <f t="shared" si="1"/>
        <v>0</v>
      </c>
      <c r="N26" s="78">
        <f>MAX('Enter Data Here'!L54:P54)</f>
        <v>0</v>
      </c>
      <c r="O26" s="141">
        <f>'Enter Data Here'!R20+'Enter Data Here'!T20+'Enter Data Here'!V20</f>
        <v>0</v>
      </c>
      <c r="P26" s="162">
        <f>'Enter Data Here'!S20+'Enter Data Here'!U20+'Enter Data Here'!W20</f>
        <v>0</v>
      </c>
      <c r="Q26" s="41">
        <f t="shared" si="2"/>
        <v>0</v>
      </c>
      <c r="R26" s="49">
        <f>MAX('Enter Data Here'!R54:V54)</f>
        <v>0</v>
      </c>
      <c r="S26" s="160">
        <f>'Enter Data Here'!X20+'Enter Data Here'!Z20+'Enter Data Here'!AB20</f>
        <v>0</v>
      </c>
      <c r="T26" s="163">
        <f>'Enter Data Here'!Y20+'Enter Data Here'!AA20+'Enter Data Here'!AC20</f>
        <v>0</v>
      </c>
      <c r="U26" s="46">
        <f t="shared" si="3"/>
        <v>0</v>
      </c>
      <c r="V26" s="81">
        <f>MAX('Enter Data Here'!X54:AB54)</f>
        <v>0</v>
      </c>
    </row>
    <row r="27" spans="1:22" ht="15" customHeight="1">
      <c r="A27" s="4">
        <v>18</v>
      </c>
      <c r="B27" s="151" t="str">
        <f>IF(ISBLANK('Enter Data Here'!B21), " ", 'Enter Data Here'!B21)</f>
        <v xml:space="preserve"> </v>
      </c>
      <c r="C27" s="334" t="str">
        <f>IF(ISBLANK('Enter Data Here'!C21), " ", 'Enter Data Here'!C21)</f>
        <v xml:space="preserve"> </v>
      </c>
      <c r="D27" s="336" t="str">
        <f>IF(ISBLANK('Enter Data Here'!D21), " ", 'Enter Data Here'!D21)</f>
        <v xml:space="preserve"> </v>
      </c>
      <c r="E27" s="337" t="str">
        <f>IF(ISBLANK('Enter Data Here'!E21), " ", 'Enter Data Here'!E21)</f>
        <v xml:space="preserve"> </v>
      </c>
      <c r="F27" s="159"/>
      <c r="G27" s="141">
        <f>'Enter Data Here'!F21+'Enter Data Here'!H21+'Enter Data Here'!J21</f>
        <v>0</v>
      </c>
      <c r="H27" s="142">
        <f>'Enter Data Here'!G21+'Enter Data Here'!I21+'Enter Data Here'!K21</f>
        <v>0</v>
      </c>
      <c r="I27" s="41">
        <f t="shared" si="0"/>
        <v>0</v>
      </c>
      <c r="J27" s="49">
        <f>MAX('Enter Data Here'!F55:J55)</f>
        <v>0</v>
      </c>
      <c r="K27" s="160">
        <f>'Enter Data Here'!L21+'Enter Data Here'!N21+'Enter Data Here'!P21</f>
        <v>0</v>
      </c>
      <c r="L27" s="161">
        <f>'Enter Data Here'!M21+'Enter Data Here'!O21+'Enter Data Here'!Q21</f>
        <v>0</v>
      </c>
      <c r="M27" s="46">
        <f t="shared" si="1"/>
        <v>0</v>
      </c>
      <c r="N27" s="78">
        <f>MAX('Enter Data Here'!L55:P55)</f>
        <v>0</v>
      </c>
      <c r="O27" s="141">
        <f>'Enter Data Here'!R21+'Enter Data Here'!T21+'Enter Data Here'!V21</f>
        <v>0</v>
      </c>
      <c r="P27" s="162">
        <f>'Enter Data Here'!S21+'Enter Data Here'!U21+'Enter Data Here'!W21</f>
        <v>0</v>
      </c>
      <c r="Q27" s="41">
        <f t="shared" si="2"/>
        <v>0</v>
      </c>
      <c r="R27" s="49">
        <f>MAX('Enter Data Here'!R55:V55)</f>
        <v>0</v>
      </c>
      <c r="S27" s="160">
        <f>'Enter Data Here'!X21+'Enter Data Here'!Z21+'Enter Data Here'!AB21</f>
        <v>0</v>
      </c>
      <c r="T27" s="163">
        <f>'Enter Data Here'!Y21+'Enter Data Here'!AA21+'Enter Data Here'!AC21</f>
        <v>0</v>
      </c>
      <c r="U27" s="46">
        <f t="shared" si="3"/>
        <v>0</v>
      </c>
      <c r="V27" s="81">
        <f>MAX('Enter Data Here'!X55:AB55)</f>
        <v>0</v>
      </c>
    </row>
    <row r="28" spans="1:22" ht="15" customHeight="1">
      <c r="A28" s="4">
        <v>19</v>
      </c>
      <c r="B28" s="151" t="str">
        <f>IF(ISBLANK('Enter Data Here'!B22), " ", 'Enter Data Here'!B22)</f>
        <v xml:space="preserve"> </v>
      </c>
      <c r="C28" s="334" t="str">
        <f>IF(ISBLANK('Enter Data Here'!C22), " ", 'Enter Data Here'!C22)</f>
        <v xml:space="preserve"> </v>
      </c>
      <c r="D28" s="336" t="str">
        <f>IF(ISBLANK('Enter Data Here'!D22), " ", 'Enter Data Here'!D22)</f>
        <v xml:space="preserve"> </v>
      </c>
      <c r="E28" s="337" t="str">
        <f>IF(ISBLANK('Enter Data Here'!E22), " ", 'Enter Data Here'!E22)</f>
        <v xml:space="preserve"> </v>
      </c>
      <c r="F28" s="159"/>
      <c r="G28" s="141">
        <f>'Enter Data Here'!F22+'Enter Data Here'!H22+'Enter Data Here'!J22</f>
        <v>0</v>
      </c>
      <c r="H28" s="142">
        <f>'Enter Data Here'!G22+'Enter Data Here'!I22+'Enter Data Here'!K22</f>
        <v>0</v>
      </c>
      <c r="I28" s="41">
        <f t="shared" si="0"/>
        <v>0</v>
      </c>
      <c r="J28" s="49">
        <f>MAX('Enter Data Here'!F56:J56)</f>
        <v>0</v>
      </c>
      <c r="K28" s="160">
        <f>'Enter Data Here'!L22+'Enter Data Here'!N22+'Enter Data Here'!P22</f>
        <v>0</v>
      </c>
      <c r="L28" s="161">
        <f>'Enter Data Here'!M22+'Enter Data Here'!O22+'Enter Data Here'!Q22</f>
        <v>0</v>
      </c>
      <c r="M28" s="46">
        <f t="shared" si="1"/>
        <v>0</v>
      </c>
      <c r="N28" s="78">
        <f>MAX('Enter Data Here'!L56:P56)</f>
        <v>0</v>
      </c>
      <c r="O28" s="141">
        <f>'Enter Data Here'!R22+'Enter Data Here'!T22+'Enter Data Here'!V22</f>
        <v>0</v>
      </c>
      <c r="P28" s="162">
        <f>'Enter Data Here'!S22+'Enter Data Here'!U22+'Enter Data Here'!W22</f>
        <v>0</v>
      </c>
      <c r="Q28" s="41">
        <f t="shared" si="2"/>
        <v>0</v>
      </c>
      <c r="R28" s="49">
        <f>MAX('Enter Data Here'!R56:V56)</f>
        <v>0</v>
      </c>
      <c r="S28" s="160">
        <f>'Enter Data Here'!X22+'Enter Data Here'!Z22+'Enter Data Here'!AB22</f>
        <v>0</v>
      </c>
      <c r="T28" s="163">
        <f>'Enter Data Here'!Y22+'Enter Data Here'!AA22+'Enter Data Here'!AC22</f>
        <v>0</v>
      </c>
      <c r="U28" s="46">
        <f t="shared" si="3"/>
        <v>0</v>
      </c>
      <c r="V28" s="81">
        <f>MAX('Enter Data Here'!X56:AB56)</f>
        <v>0</v>
      </c>
    </row>
    <row r="29" spans="1:22" ht="15" customHeight="1">
      <c r="A29" s="4">
        <v>20</v>
      </c>
      <c r="B29" s="151" t="str">
        <f>IF(ISBLANK('Enter Data Here'!B23), " ", 'Enter Data Here'!B23)</f>
        <v xml:space="preserve"> </v>
      </c>
      <c r="C29" s="334" t="str">
        <f>IF(ISBLANK('Enter Data Here'!C23), " ", 'Enter Data Here'!C23)</f>
        <v xml:space="preserve"> </v>
      </c>
      <c r="D29" s="336" t="str">
        <f>IF(ISBLANK('Enter Data Here'!D23), " ", 'Enter Data Here'!D23)</f>
        <v xml:space="preserve"> </v>
      </c>
      <c r="E29" s="337" t="str">
        <f>IF(ISBLANK('Enter Data Here'!E23), " ", 'Enter Data Here'!E23)</f>
        <v xml:space="preserve"> </v>
      </c>
      <c r="F29" s="159"/>
      <c r="G29" s="141">
        <f>'Enter Data Here'!F23+'Enter Data Here'!H23+'Enter Data Here'!J23</f>
        <v>0</v>
      </c>
      <c r="H29" s="142">
        <f>'Enter Data Here'!G23+'Enter Data Here'!I23+'Enter Data Here'!K23</f>
        <v>0</v>
      </c>
      <c r="I29" s="41">
        <f t="shared" si="0"/>
        <v>0</v>
      </c>
      <c r="J29" s="49">
        <f>MAX('Enter Data Here'!F57:J57)</f>
        <v>0</v>
      </c>
      <c r="K29" s="160">
        <f>'Enter Data Here'!L23+'Enter Data Here'!N23+'Enter Data Here'!P23</f>
        <v>0</v>
      </c>
      <c r="L29" s="161">
        <f>'Enter Data Here'!M23+'Enter Data Here'!O23+'Enter Data Here'!Q23</f>
        <v>0</v>
      </c>
      <c r="M29" s="46">
        <f t="shared" si="1"/>
        <v>0</v>
      </c>
      <c r="N29" s="78">
        <f>MAX('Enter Data Here'!L57:P57)</f>
        <v>0</v>
      </c>
      <c r="O29" s="141">
        <f>'Enter Data Here'!R23+'Enter Data Here'!T23+'Enter Data Here'!V23</f>
        <v>0</v>
      </c>
      <c r="P29" s="162">
        <f>'Enter Data Here'!S23+'Enter Data Here'!U23+'Enter Data Here'!W23</f>
        <v>0</v>
      </c>
      <c r="Q29" s="41">
        <f t="shared" si="2"/>
        <v>0</v>
      </c>
      <c r="R29" s="49">
        <f>MAX('Enter Data Here'!R57:V57)</f>
        <v>0</v>
      </c>
      <c r="S29" s="160">
        <f>'Enter Data Here'!X23+'Enter Data Here'!Z23+'Enter Data Here'!AB23</f>
        <v>0</v>
      </c>
      <c r="T29" s="163">
        <f>'Enter Data Here'!Y23+'Enter Data Here'!AA23+'Enter Data Here'!AC23</f>
        <v>0</v>
      </c>
      <c r="U29" s="46">
        <f t="shared" si="3"/>
        <v>0</v>
      </c>
      <c r="V29" s="81">
        <f>MAX('Enter Data Here'!X57:AB57)</f>
        <v>0</v>
      </c>
    </row>
    <row r="30" spans="1:22" ht="15" customHeight="1">
      <c r="A30" s="4">
        <v>21</v>
      </c>
      <c r="B30" s="151" t="str">
        <f>IF(ISBLANK('Enter Data Here'!B24), " ", 'Enter Data Here'!B24)</f>
        <v xml:space="preserve"> </v>
      </c>
      <c r="C30" s="334" t="str">
        <f>IF(ISBLANK('Enter Data Here'!C24), " ", 'Enter Data Here'!C24)</f>
        <v xml:space="preserve"> </v>
      </c>
      <c r="D30" s="336" t="str">
        <f>IF(ISBLANK('Enter Data Here'!D24), " ", 'Enter Data Here'!D24)</f>
        <v xml:space="preserve"> </v>
      </c>
      <c r="E30" s="337" t="str">
        <f>IF(ISBLANK('Enter Data Here'!E24), " ", 'Enter Data Here'!E24)</f>
        <v xml:space="preserve"> </v>
      </c>
      <c r="F30" s="159"/>
      <c r="G30" s="141">
        <f>'Enter Data Here'!F24+'Enter Data Here'!H24+'Enter Data Here'!J24</f>
        <v>0</v>
      </c>
      <c r="H30" s="142">
        <f>'Enter Data Here'!G24+'Enter Data Here'!I24+'Enter Data Here'!K24</f>
        <v>0</v>
      </c>
      <c r="I30" s="41">
        <f t="shared" si="0"/>
        <v>0</v>
      </c>
      <c r="J30" s="49">
        <f>MAX('Enter Data Here'!F58:J58)</f>
        <v>0</v>
      </c>
      <c r="K30" s="160">
        <f>'Enter Data Here'!L24+'Enter Data Here'!N24+'Enter Data Here'!P24</f>
        <v>0</v>
      </c>
      <c r="L30" s="161">
        <f>'Enter Data Here'!M24+'Enter Data Here'!O24+'Enter Data Here'!Q24</f>
        <v>0</v>
      </c>
      <c r="M30" s="46">
        <f t="shared" si="1"/>
        <v>0</v>
      </c>
      <c r="N30" s="78">
        <f>MAX('Enter Data Here'!L58:P58)</f>
        <v>0</v>
      </c>
      <c r="O30" s="141">
        <f>'Enter Data Here'!R24+'Enter Data Here'!T24+'Enter Data Here'!V24</f>
        <v>0</v>
      </c>
      <c r="P30" s="162">
        <f>'Enter Data Here'!S24+'Enter Data Here'!U24+'Enter Data Here'!W24</f>
        <v>0</v>
      </c>
      <c r="Q30" s="41">
        <f t="shared" si="2"/>
        <v>0</v>
      </c>
      <c r="R30" s="49">
        <f>MAX('Enter Data Here'!R58:V58)</f>
        <v>0</v>
      </c>
      <c r="S30" s="160">
        <f>'Enter Data Here'!X24+'Enter Data Here'!Z24+'Enter Data Here'!AB24</f>
        <v>0</v>
      </c>
      <c r="T30" s="163">
        <f>'Enter Data Here'!Y24+'Enter Data Here'!AA24+'Enter Data Here'!AC24</f>
        <v>0</v>
      </c>
      <c r="U30" s="46">
        <f t="shared" si="3"/>
        <v>0</v>
      </c>
      <c r="V30" s="81">
        <f>MAX('Enter Data Here'!X58:AB58)</f>
        <v>0</v>
      </c>
    </row>
    <row r="31" spans="1:22" ht="15" customHeight="1">
      <c r="A31" s="4">
        <v>22</v>
      </c>
      <c r="B31" s="151" t="str">
        <f>IF(ISBLANK('Enter Data Here'!B25), " ", 'Enter Data Here'!B25)</f>
        <v xml:space="preserve"> </v>
      </c>
      <c r="C31" s="334" t="str">
        <f>IF(ISBLANK('Enter Data Here'!C25), " ", 'Enter Data Here'!C25)</f>
        <v xml:space="preserve"> </v>
      </c>
      <c r="D31" s="336" t="str">
        <f>IF(ISBLANK('Enter Data Here'!D25), " ", 'Enter Data Here'!D25)</f>
        <v xml:space="preserve"> </v>
      </c>
      <c r="E31" s="337" t="str">
        <f>IF(ISBLANK('Enter Data Here'!E25), " ", 'Enter Data Here'!E25)</f>
        <v xml:space="preserve"> </v>
      </c>
      <c r="F31" s="159"/>
      <c r="G31" s="141">
        <f>'Enter Data Here'!F25+'Enter Data Here'!H25+'Enter Data Here'!J25</f>
        <v>0</v>
      </c>
      <c r="H31" s="142">
        <f>'Enter Data Here'!G25+'Enter Data Here'!I25+'Enter Data Here'!K25</f>
        <v>0</v>
      </c>
      <c r="I31" s="41">
        <f t="shared" si="0"/>
        <v>0</v>
      </c>
      <c r="J31" s="49">
        <f>MAX('Enter Data Here'!F59:J59)</f>
        <v>0</v>
      </c>
      <c r="K31" s="160">
        <f>'Enter Data Here'!L25+'Enter Data Here'!N25+'Enter Data Here'!P25</f>
        <v>0</v>
      </c>
      <c r="L31" s="161">
        <f>'Enter Data Here'!M25+'Enter Data Here'!O25+'Enter Data Here'!Q25</f>
        <v>0</v>
      </c>
      <c r="M31" s="46">
        <f t="shared" si="1"/>
        <v>0</v>
      </c>
      <c r="N31" s="78">
        <f>MAX('Enter Data Here'!L59:P59)</f>
        <v>0</v>
      </c>
      <c r="O31" s="141">
        <f>'Enter Data Here'!R25+'Enter Data Here'!T25+'Enter Data Here'!V25</f>
        <v>0</v>
      </c>
      <c r="P31" s="162">
        <f>'Enter Data Here'!S25+'Enter Data Here'!U25+'Enter Data Here'!W25</f>
        <v>0</v>
      </c>
      <c r="Q31" s="41">
        <f t="shared" si="2"/>
        <v>0</v>
      </c>
      <c r="R31" s="49">
        <f>MAX('Enter Data Here'!R59:V59)</f>
        <v>0</v>
      </c>
      <c r="S31" s="160">
        <f>'Enter Data Here'!X25+'Enter Data Here'!Z25+'Enter Data Here'!AB25</f>
        <v>0</v>
      </c>
      <c r="T31" s="163">
        <f>'Enter Data Here'!Y25+'Enter Data Here'!AA25+'Enter Data Here'!AC25</f>
        <v>0</v>
      </c>
      <c r="U31" s="46">
        <f t="shared" si="3"/>
        <v>0</v>
      </c>
      <c r="V31" s="81">
        <f>MAX('Enter Data Here'!X59:AB59)</f>
        <v>0</v>
      </c>
    </row>
    <row r="32" spans="1:22" ht="15" customHeight="1">
      <c r="A32" s="4">
        <v>23</v>
      </c>
      <c r="B32" s="151" t="str">
        <f>IF(ISBLANK('Enter Data Here'!B26), " ", 'Enter Data Here'!B26)</f>
        <v xml:space="preserve"> </v>
      </c>
      <c r="C32" s="334" t="str">
        <f>IF(ISBLANK('Enter Data Here'!C26), " ", 'Enter Data Here'!C26)</f>
        <v xml:space="preserve"> </v>
      </c>
      <c r="D32" s="336" t="str">
        <f>IF(ISBLANK('Enter Data Here'!D26), " ", 'Enter Data Here'!D26)</f>
        <v xml:space="preserve"> </v>
      </c>
      <c r="E32" s="337" t="str">
        <f>IF(ISBLANK('Enter Data Here'!E26), " ", 'Enter Data Here'!E26)</f>
        <v xml:space="preserve"> </v>
      </c>
      <c r="F32" s="159"/>
      <c r="G32" s="141">
        <f>'Enter Data Here'!F26+'Enter Data Here'!H26+'Enter Data Here'!J26</f>
        <v>0</v>
      </c>
      <c r="H32" s="142">
        <f>'Enter Data Here'!G26+'Enter Data Here'!I26+'Enter Data Here'!K26</f>
        <v>0</v>
      </c>
      <c r="I32" s="41">
        <f t="shared" si="0"/>
        <v>0</v>
      </c>
      <c r="J32" s="49">
        <f>MAX('Enter Data Here'!F60:J60)</f>
        <v>0</v>
      </c>
      <c r="K32" s="160">
        <f>'Enter Data Here'!L26+'Enter Data Here'!N26+'Enter Data Here'!P26</f>
        <v>0</v>
      </c>
      <c r="L32" s="161">
        <f>'Enter Data Here'!M26+'Enter Data Here'!O26+'Enter Data Here'!Q26</f>
        <v>0</v>
      </c>
      <c r="M32" s="46">
        <f t="shared" si="1"/>
        <v>0</v>
      </c>
      <c r="N32" s="78">
        <f>MAX('Enter Data Here'!L60:P60)</f>
        <v>0</v>
      </c>
      <c r="O32" s="141">
        <f>'Enter Data Here'!R26+'Enter Data Here'!T26+'Enter Data Here'!V26</f>
        <v>0</v>
      </c>
      <c r="P32" s="162">
        <f>'Enter Data Here'!S26+'Enter Data Here'!U26+'Enter Data Here'!W26</f>
        <v>0</v>
      </c>
      <c r="Q32" s="41">
        <f t="shared" si="2"/>
        <v>0</v>
      </c>
      <c r="R32" s="49">
        <f>MAX('Enter Data Here'!R60:V60)</f>
        <v>0</v>
      </c>
      <c r="S32" s="160">
        <f>'Enter Data Here'!X26+'Enter Data Here'!Z26+'Enter Data Here'!AB26</f>
        <v>0</v>
      </c>
      <c r="T32" s="163">
        <f>'Enter Data Here'!Y26+'Enter Data Here'!AA26+'Enter Data Here'!AC26</f>
        <v>0</v>
      </c>
      <c r="U32" s="46">
        <f t="shared" si="3"/>
        <v>0</v>
      </c>
      <c r="V32" s="81">
        <f>MAX('Enter Data Here'!X60:AB60)</f>
        <v>0</v>
      </c>
    </row>
    <row r="33" spans="1:22" ht="15" customHeight="1">
      <c r="A33" s="4">
        <v>24</v>
      </c>
      <c r="B33" s="151" t="str">
        <f>IF(ISBLANK('Enter Data Here'!B27), " ", 'Enter Data Here'!B27)</f>
        <v xml:space="preserve"> </v>
      </c>
      <c r="C33" s="334" t="str">
        <f>IF(ISBLANK('Enter Data Here'!C27), " ", 'Enter Data Here'!C27)</f>
        <v xml:space="preserve"> </v>
      </c>
      <c r="D33" s="336" t="str">
        <f>IF(ISBLANK('Enter Data Here'!D27), " ", 'Enter Data Here'!D27)</f>
        <v xml:space="preserve"> </v>
      </c>
      <c r="E33" s="337" t="str">
        <f>IF(ISBLANK('Enter Data Here'!E27), " ", 'Enter Data Here'!E27)</f>
        <v xml:space="preserve"> </v>
      </c>
      <c r="F33" s="159"/>
      <c r="G33" s="141">
        <f>'Enter Data Here'!F27+'Enter Data Here'!H27+'Enter Data Here'!J27</f>
        <v>0</v>
      </c>
      <c r="H33" s="142">
        <f>'Enter Data Here'!G27+'Enter Data Here'!I27+'Enter Data Here'!K27</f>
        <v>0</v>
      </c>
      <c r="I33" s="41">
        <f t="shared" si="0"/>
        <v>0</v>
      </c>
      <c r="J33" s="49">
        <f>MAX('Enter Data Here'!F61:J61)</f>
        <v>0</v>
      </c>
      <c r="K33" s="160">
        <f>'Enter Data Here'!L27+'Enter Data Here'!N27+'Enter Data Here'!P27</f>
        <v>0</v>
      </c>
      <c r="L33" s="161">
        <f>'Enter Data Here'!M27+'Enter Data Here'!O27+'Enter Data Here'!Q27</f>
        <v>0</v>
      </c>
      <c r="M33" s="46">
        <f t="shared" si="1"/>
        <v>0</v>
      </c>
      <c r="N33" s="78">
        <f>MAX('Enter Data Here'!L61:P61)</f>
        <v>0</v>
      </c>
      <c r="O33" s="141">
        <f>'Enter Data Here'!R27+'Enter Data Here'!T27+'Enter Data Here'!V27</f>
        <v>0</v>
      </c>
      <c r="P33" s="162">
        <f>'Enter Data Here'!S27+'Enter Data Here'!U27+'Enter Data Here'!W27</f>
        <v>0</v>
      </c>
      <c r="Q33" s="41">
        <f t="shared" si="2"/>
        <v>0</v>
      </c>
      <c r="R33" s="49">
        <f>MAX('Enter Data Here'!R61:V61)</f>
        <v>0</v>
      </c>
      <c r="S33" s="160">
        <f>'Enter Data Here'!X27+'Enter Data Here'!Z27+'Enter Data Here'!AB27</f>
        <v>0</v>
      </c>
      <c r="T33" s="163">
        <f>'Enter Data Here'!Y27+'Enter Data Here'!AA27+'Enter Data Here'!AC27</f>
        <v>0</v>
      </c>
      <c r="U33" s="46">
        <f t="shared" si="3"/>
        <v>0</v>
      </c>
      <c r="V33" s="81">
        <f>MAX('Enter Data Here'!X61:AB61)</f>
        <v>0</v>
      </c>
    </row>
    <row r="34" spans="1:22" ht="15" customHeight="1">
      <c r="A34" s="4">
        <v>25</v>
      </c>
      <c r="B34" s="151" t="str">
        <f>IF(ISBLANK('Enter Data Here'!B28), " ", 'Enter Data Here'!B28)</f>
        <v xml:space="preserve"> </v>
      </c>
      <c r="C34" s="334" t="str">
        <f>IF(ISBLANK('Enter Data Here'!C28), " ", 'Enter Data Here'!C28)</f>
        <v xml:space="preserve"> </v>
      </c>
      <c r="D34" s="336" t="str">
        <f>IF(ISBLANK('Enter Data Here'!D28), " ", 'Enter Data Here'!D28)</f>
        <v xml:space="preserve"> </v>
      </c>
      <c r="E34" s="337" t="str">
        <f>IF(ISBLANK('Enter Data Here'!E28), " ", 'Enter Data Here'!E28)</f>
        <v xml:space="preserve"> </v>
      </c>
      <c r="F34" s="159"/>
      <c r="G34" s="141">
        <f>'Enter Data Here'!F28+'Enter Data Here'!H28+'Enter Data Here'!J28</f>
        <v>0</v>
      </c>
      <c r="H34" s="142">
        <f>'Enter Data Here'!G28+'Enter Data Here'!I28+'Enter Data Here'!K28</f>
        <v>0</v>
      </c>
      <c r="I34" s="41">
        <f t="shared" si="0"/>
        <v>0</v>
      </c>
      <c r="J34" s="49">
        <f>MAX('Enter Data Here'!F62:J62)</f>
        <v>0</v>
      </c>
      <c r="K34" s="160">
        <f>'Enter Data Here'!L28+'Enter Data Here'!N28+'Enter Data Here'!P28</f>
        <v>0</v>
      </c>
      <c r="L34" s="161">
        <f>'Enter Data Here'!M28+'Enter Data Here'!O28+'Enter Data Here'!Q28</f>
        <v>0</v>
      </c>
      <c r="M34" s="46">
        <f t="shared" si="1"/>
        <v>0</v>
      </c>
      <c r="N34" s="78">
        <f>MAX('Enter Data Here'!L62:P62)</f>
        <v>0</v>
      </c>
      <c r="O34" s="141">
        <f>'Enter Data Here'!R28+'Enter Data Here'!T28+'Enter Data Here'!V28</f>
        <v>0</v>
      </c>
      <c r="P34" s="162">
        <f>'Enter Data Here'!S28+'Enter Data Here'!U28+'Enter Data Here'!W28</f>
        <v>0</v>
      </c>
      <c r="Q34" s="41">
        <f t="shared" si="2"/>
        <v>0</v>
      </c>
      <c r="R34" s="49">
        <f>MAX('Enter Data Here'!R62:V62)</f>
        <v>0</v>
      </c>
      <c r="S34" s="160">
        <f>'Enter Data Here'!X28+'Enter Data Here'!Z28+'Enter Data Here'!AB28</f>
        <v>0</v>
      </c>
      <c r="T34" s="163">
        <f>'Enter Data Here'!Y28+'Enter Data Here'!AA28+'Enter Data Here'!AC28</f>
        <v>0</v>
      </c>
      <c r="U34" s="46">
        <f t="shared" si="3"/>
        <v>0</v>
      </c>
      <c r="V34" s="81">
        <f>MAX('Enter Data Here'!X62:AB62)</f>
        <v>0</v>
      </c>
    </row>
    <row r="35" spans="1:22" ht="15" customHeight="1">
      <c r="A35" s="4">
        <v>26</v>
      </c>
      <c r="B35" s="151" t="str">
        <f>IF(ISBLANK('Enter Data Here'!B29), " ", 'Enter Data Here'!B29)</f>
        <v xml:space="preserve"> </v>
      </c>
      <c r="C35" s="334" t="str">
        <f>IF(ISBLANK('Enter Data Here'!C29), " ", 'Enter Data Here'!C29)</f>
        <v xml:space="preserve"> </v>
      </c>
      <c r="D35" s="336" t="str">
        <f>IF(ISBLANK('Enter Data Here'!D29), " ", 'Enter Data Here'!D29)</f>
        <v xml:space="preserve"> </v>
      </c>
      <c r="E35" s="337" t="str">
        <f>IF(ISBLANK('Enter Data Here'!E29), " ", 'Enter Data Here'!E29)</f>
        <v xml:space="preserve"> </v>
      </c>
      <c r="F35" s="159"/>
      <c r="G35" s="141">
        <f>'Enter Data Here'!F29+'Enter Data Here'!H29+'Enter Data Here'!J29</f>
        <v>0</v>
      </c>
      <c r="H35" s="142">
        <f>'Enter Data Here'!G29+'Enter Data Here'!I29+'Enter Data Here'!K29</f>
        <v>0</v>
      </c>
      <c r="I35" s="41">
        <f t="shared" si="0"/>
        <v>0</v>
      </c>
      <c r="J35" s="49">
        <f>MAX('Enter Data Here'!F63:J63)</f>
        <v>0</v>
      </c>
      <c r="K35" s="160">
        <f>'Enter Data Here'!L29+'Enter Data Here'!N29+'Enter Data Here'!P29</f>
        <v>0</v>
      </c>
      <c r="L35" s="161">
        <f>'Enter Data Here'!M29+'Enter Data Here'!O29+'Enter Data Here'!Q29</f>
        <v>0</v>
      </c>
      <c r="M35" s="46">
        <f t="shared" si="1"/>
        <v>0</v>
      </c>
      <c r="N35" s="78">
        <f>MAX('Enter Data Here'!L63:P63)</f>
        <v>0</v>
      </c>
      <c r="O35" s="141">
        <f>'Enter Data Here'!R29+'Enter Data Here'!T29+'Enter Data Here'!V29</f>
        <v>0</v>
      </c>
      <c r="P35" s="162">
        <f>'Enter Data Here'!S29+'Enter Data Here'!U29+'Enter Data Here'!W29</f>
        <v>0</v>
      </c>
      <c r="Q35" s="41">
        <f t="shared" si="2"/>
        <v>0</v>
      </c>
      <c r="R35" s="49">
        <f>MAX('Enter Data Here'!R63:V63)</f>
        <v>0</v>
      </c>
      <c r="S35" s="160">
        <f>'Enter Data Here'!X29+'Enter Data Here'!Z29+'Enter Data Here'!AB29</f>
        <v>0</v>
      </c>
      <c r="T35" s="163">
        <f>'Enter Data Here'!Y29+'Enter Data Here'!AA29+'Enter Data Here'!AC29</f>
        <v>0</v>
      </c>
      <c r="U35" s="46">
        <f t="shared" si="3"/>
        <v>0</v>
      </c>
      <c r="V35" s="81">
        <f>MAX('Enter Data Here'!X63:AB63)</f>
        <v>0</v>
      </c>
    </row>
    <row r="36" spans="1:22" ht="15" customHeight="1">
      <c r="A36" s="4">
        <v>27</v>
      </c>
      <c r="B36" s="151" t="str">
        <f>IF(ISBLANK('Enter Data Here'!B30), " ", 'Enter Data Here'!B30)</f>
        <v xml:space="preserve"> </v>
      </c>
      <c r="C36" s="334" t="str">
        <f>IF(ISBLANK('Enter Data Here'!C30), " ", 'Enter Data Here'!C30)</f>
        <v xml:space="preserve"> </v>
      </c>
      <c r="D36" s="336" t="str">
        <f>IF(ISBLANK('Enter Data Here'!D30), " ", 'Enter Data Here'!D30)</f>
        <v xml:space="preserve"> </v>
      </c>
      <c r="E36" s="337" t="str">
        <f>IF(ISBLANK('Enter Data Here'!E30), " ", 'Enter Data Here'!E30)</f>
        <v xml:space="preserve"> </v>
      </c>
      <c r="F36" s="159"/>
      <c r="G36" s="141">
        <f>'Enter Data Here'!F30+'Enter Data Here'!H30+'Enter Data Here'!J30</f>
        <v>0</v>
      </c>
      <c r="H36" s="142">
        <f>'Enter Data Here'!G30+'Enter Data Here'!I30+'Enter Data Here'!K30</f>
        <v>0</v>
      </c>
      <c r="I36" s="41">
        <f t="shared" si="0"/>
        <v>0</v>
      </c>
      <c r="J36" s="49">
        <f>MAX('Enter Data Here'!F64:J64)</f>
        <v>0</v>
      </c>
      <c r="K36" s="160">
        <f>'Enter Data Here'!L30+'Enter Data Here'!N30+'Enter Data Here'!P30</f>
        <v>0</v>
      </c>
      <c r="L36" s="161">
        <f>'Enter Data Here'!M30+'Enter Data Here'!O30+'Enter Data Here'!Q30</f>
        <v>0</v>
      </c>
      <c r="M36" s="46">
        <f t="shared" si="1"/>
        <v>0</v>
      </c>
      <c r="N36" s="78">
        <f>MAX('Enter Data Here'!L64:P64)</f>
        <v>0</v>
      </c>
      <c r="O36" s="141">
        <f>'Enter Data Here'!R30+'Enter Data Here'!T30+'Enter Data Here'!V30</f>
        <v>0</v>
      </c>
      <c r="P36" s="162">
        <f>'Enter Data Here'!S30+'Enter Data Here'!U30+'Enter Data Here'!W30</f>
        <v>0</v>
      </c>
      <c r="Q36" s="41">
        <f t="shared" si="2"/>
        <v>0</v>
      </c>
      <c r="R36" s="49">
        <f>MAX('Enter Data Here'!R64:V64)</f>
        <v>0</v>
      </c>
      <c r="S36" s="160">
        <f>'Enter Data Here'!X30+'Enter Data Here'!Z30+'Enter Data Here'!AB30</f>
        <v>0</v>
      </c>
      <c r="T36" s="163">
        <f>'Enter Data Here'!Y30+'Enter Data Here'!AA30+'Enter Data Here'!AC30</f>
        <v>0</v>
      </c>
      <c r="U36" s="46">
        <f t="shared" si="3"/>
        <v>0</v>
      </c>
      <c r="V36" s="81">
        <f>MAX('Enter Data Here'!X64:AB64)</f>
        <v>0</v>
      </c>
    </row>
    <row r="37" spans="1:22" ht="15" customHeight="1">
      <c r="A37" s="4">
        <v>28</v>
      </c>
      <c r="B37" s="151" t="str">
        <f>IF(ISBLANK('Enter Data Here'!B31), " ", 'Enter Data Here'!B31)</f>
        <v xml:space="preserve"> </v>
      </c>
      <c r="C37" s="334" t="str">
        <f>IF(ISBLANK('Enter Data Here'!C31), " ", 'Enter Data Here'!C31)</f>
        <v xml:space="preserve"> </v>
      </c>
      <c r="D37" s="336" t="str">
        <f>IF(ISBLANK('Enter Data Here'!D31), " ", 'Enter Data Here'!D31)</f>
        <v xml:space="preserve"> </v>
      </c>
      <c r="E37" s="337" t="str">
        <f>IF(ISBLANK('Enter Data Here'!E31), " ", 'Enter Data Here'!E31)</f>
        <v xml:space="preserve"> </v>
      </c>
      <c r="F37" s="159"/>
      <c r="G37" s="141">
        <f>'Enter Data Here'!F31+'Enter Data Here'!H31+'Enter Data Here'!J31</f>
        <v>0</v>
      </c>
      <c r="H37" s="142">
        <f>'Enter Data Here'!G31+'Enter Data Here'!I31+'Enter Data Here'!K31</f>
        <v>0</v>
      </c>
      <c r="I37" s="41">
        <f t="shared" si="0"/>
        <v>0</v>
      </c>
      <c r="J37" s="49">
        <f>MAX('Enter Data Here'!F65:J65)</f>
        <v>0</v>
      </c>
      <c r="K37" s="160">
        <f>'Enter Data Here'!L31+'Enter Data Here'!N31+'Enter Data Here'!P31</f>
        <v>0</v>
      </c>
      <c r="L37" s="161">
        <f>'Enter Data Here'!M31+'Enter Data Here'!O31+'Enter Data Here'!Q31</f>
        <v>0</v>
      </c>
      <c r="M37" s="46">
        <f t="shared" si="1"/>
        <v>0</v>
      </c>
      <c r="N37" s="78">
        <f>MAX('Enter Data Here'!L65:P65)</f>
        <v>0</v>
      </c>
      <c r="O37" s="141">
        <f>'Enter Data Here'!R31+'Enter Data Here'!T31+'Enter Data Here'!V31</f>
        <v>0</v>
      </c>
      <c r="P37" s="162">
        <f>'Enter Data Here'!S31+'Enter Data Here'!U31+'Enter Data Here'!W31</f>
        <v>0</v>
      </c>
      <c r="Q37" s="41">
        <f t="shared" si="2"/>
        <v>0</v>
      </c>
      <c r="R37" s="49">
        <f>MAX('Enter Data Here'!R65:V65)</f>
        <v>0</v>
      </c>
      <c r="S37" s="160">
        <f>'Enter Data Here'!X31+'Enter Data Here'!Z31+'Enter Data Here'!AB31</f>
        <v>0</v>
      </c>
      <c r="T37" s="163">
        <f>'Enter Data Here'!Y31+'Enter Data Here'!AA31+'Enter Data Here'!AC31</f>
        <v>0</v>
      </c>
      <c r="U37" s="46">
        <f t="shared" si="3"/>
        <v>0</v>
      </c>
      <c r="V37" s="81">
        <f>MAX('Enter Data Here'!X65:AB65)</f>
        <v>0</v>
      </c>
    </row>
    <row r="38" spans="1:22" ht="15" customHeight="1">
      <c r="A38" s="4">
        <v>29</v>
      </c>
      <c r="B38" s="151" t="str">
        <f>IF(ISBLANK('Enter Data Here'!B32), " ", 'Enter Data Here'!B32)</f>
        <v xml:space="preserve"> </v>
      </c>
      <c r="C38" s="334" t="str">
        <f>IF(ISBLANK('Enter Data Here'!C32), " ", 'Enter Data Here'!C32)</f>
        <v xml:space="preserve"> </v>
      </c>
      <c r="D38" s="336" t="str">
        <f>IF(ISBLANK('Enter Data Here'!D32), " ", 'Enter Data Here'!D32)</f>
        <v xml:space="preserve"> </v>
      </c>
      <c r="E38" s="337" t="str">
        <f>IF(ISBLANK('Enter Data Here'!E32), " ", 'Enter Data Here'!E32)</f>
        <v xml:space="preserve"> </v>
      </c>
      <c r="F38" s="159"/>
      <c r="G38" s="141">
        <f>'Enter Data Here'!F32+'Enter Data Here'!H32+'Enter Data Here'!J32</f>
        <v>0</v>
      </c>
      <c r="H38" s="142">
        <f>'Enter Data Here'!G32+'Enter Data Here'!I32+'Enter Data Here'!K32</f>
        <v>0</v>
      </c>
      <c r="I38" s="41">
        <f t="shared" si="0"/>
        <v>0</v>
      </c>
      <c r="J38" s="49">
        <f>MAX('Enter Data Here'!F66:J66)</f>
        <v>0</v>
      </c>
      <c r="K38" s="160">
        <f>'Enter Data Here'!L32+'Enter Data Here'!N32+'Enter Data Here'!P32</f>
        <v>0</v>
      </c>
      <c r="L38" s="161">
        <f>'Enter Data Here'!M32+'Enter Data Here'!O32+'Enter Data Here'!Q32</f>
        <v>0</v>
      </c>
      <c r="M38" s="46">
        <f t="shared" si="1"/>
        <v>0</v>
      </c>
      <c r="N38" s="78">
        <f>MAX('Enter Data Here'!L66:P66)</f>
        <v>0</v>
      </c>
      <c r="O38" s="141">
        <f>'Enter Data Here'!R32+'Enter Data Here'!T32+'Enter Data Here'!V32</f>
        <v>0</v>
      </c>
      <c r="P38" s="162">
        <f>'Enter Data Here'!S32+'Enter Data Here'!U32+'Enter Data Here'!W32</f>
        <v>0</v>
      </c>
      <c r="Q38" s="41">
        <f t="shared" si="2"/>
        <v>0</v>
      </c>
      <c r="R38" s="49">
        <f>MAX('Enter Data Here'!R66:V66)</f>
        <v>0</v>
      </c>
      <c r="S38" s="160">
        <f>'Enter Data Here'!X32+'Enter Data Here'!Z32+'Enter Data Here'!AB32</f>
        <v>0</v>
      </c>
      <c r="T38" s="163">
        <f>'Enter Data Here'!Y32+'Enter Data Here'!AA32+'Enter Data Here'!AC32</f>
        <v>0</v>
      </c>
      <c r="U38" s="46">
        <f t="shared" si="3"/>
        <v>0</v>
      </c>
      <c r="V38" s="81">
        <f>MAX('Enter Data Here'!X66:AB66)</f>
        <v>0</v>
      </c>
    </row>
    <row r="39" spans="1:22" ht="15" customHeight="1">
      <c r="A39" s="4">
        <v>30</v>
      </c>
      <c r="B39" s="151" t="str">
        <f>IF(ISBLANK('Enter Data Here'!B33), " ", 'Enter Data Here'!B33)</f>
        <v xml:space="preserve"> </v>
      </c>
      <c r="C39" s="334" t="str">
        <f>IF(ISBLANK('Enter Data Here'!C33), " ", 'Enter Data Here'!C33)</f>
        <v xml:space="preserve"> </v>
      </c>
      <c r="D39" s="336" t="str">
        <f>IF(ISBLANK('Enter Data Here'!D33), " ", 'Enter Data Here'!D33)</f>
        <v xml:space="preserve"> </v>
      </c>
      <c r="E39" s="337" t="str">
        <f>IF(ISBLANK('Enter Data Here'!E33), " ", 'Enter Data Here'!E33)</f>
        <v xml:space="preserve"> </v>
      </c>
      <c r="F39" s="159"/>
      <c r="G39" s="147">
        <f>'Enter Data Here'!F33+'Enter Data Here'!H33+'Enter Data Here'!J33</f>
        <v>0</v>
      </c>
      <c r="H39" s="148">
        <f>'Enter Data Here'!G33+'Enter Data Here'!I33+'Enter Data Here'!K33</f>
        <v>0</v>
      </c>
      <c r="I39" s="42">
        <f t="shared" si="0"/>
        <v>0</v>
      </c>
      <c r="J39" s="149">
        <f>MAX('Enter Data Here'!F67:J67)</f>
        <v>0</v>
      </c>
      <c r="K39" s="160">
        <f>'Enter Data Here'!L33+'Enter Data Here'!N33+'Enter Data Here'!P33</f>
        <v>0</v>
      </c>
      <c r="L39" s="161">
        <f>'Enter Data Here'!M33+'Enter Data Here'!O33+'Enter Data Here'!Q33</f>
        <v>0</v>
      </c>
      <c r="M39" s="46">
        <f t="shared" si="1"/>
        <v>0</v>
      </c>
      <c r="N39" s="78">
        <f>MAX('Enter Data Here'!L67:P67)</f>
        <v>0</v>
      </c>
      <c r="O39" s="141">
        <f>'Enter Data Here'!R33+'Enter Data Here'!T33+'Enter Data Here'!V33</f>
        <v>0</v>
      </c>
      <c r="P39" s="162">
        <f>'Enter Data Here'!S33+'Enter Data Here'!U33+'Enter Data Here'!W33</f>
        <v>0</v>
      </c>
      <c r="Q39" s="41">
        <f t="shared" si="2"/>
        <v>0</v>
      </c>
      <c r="R39" s="49">
        <f>MAX('Enter Data Here'!R67:V67)</f>
        <v>0</v>
      </c>
      <c r="S39" s="160">
        <f>'Enter Data Here'!X33+'Enter Data Here'!Z33+'Enter Data Here'!AB33</f>
        <v>0</v>
      </c>
      <c r="T39" s="163">
        <f>'Enter Data Here'!Y33+'Enter Data Here'!AA33+'Enter Data Here'!AC33</f>
        <v>0</v>
      </c>
      <c r="U39" s="46">
        <f t="shared" si="3"/>
        <v>0</v>
      </c>
      <c r="V39" s="81">
        <f>MAX('Enter Data Here'!X67:AB67)</f>
        <v>0</v>
      </c>
    </row>
    <row r="40" spans="1:22" ht="15" customHeight="1" thickBot="1">
      <c r="A40" s="4">
        <v>31</v>
      </c>
      <c r="B40" s="151" t="str">
        <f>IF(ISBLANK('Enter Data Here'!B34), " ", 'Enter Data Here'!B34)</f>
        <v xml:space="preserve"> </v>
      </c>
      <c r="C40" s="335" t="str">
        <f>IF(ISBLANK('Enter Data Here'!C34), " ", 'Enter Data Here'!C34)</f>
        <v xml:space="preserve"> </v>
      </c>
      <c r="D40" s="336" t="str">
        <f>IF(ISBLANK('Enter Data Here'!D34), " ", 'Enter Data Here'!D34)</f>
        <v xml:space="preserve"> </v>
      </c>
      <c r="E40" s="337" t="str">
        <f>IF(ISBLANK('Enter Data Here'!E34), " ", 'Enter Data Here'!E34)</f>
        <v xml:space="preserve"> </v>
      </c>
      <c r="F40" s="164"/>
      <c r="G40" s="165">
        <f>'Enter Data Here'!F34+'Enter Data Here'!H34+'Enter Data Here'!J34</f>
        <v>0</v>
      </c>
      <c r="H40" s="148">
        <f>'Enter Data Here'!G34+'Enter Data Here'!I34+'Enter Data Here'!K34</f>
        <v>0</v>
      </c>
      <c r="I40" s="140">
        <f t="shared" si="0"/>
        <v>0</v>
      </c>
      <c r="J40" s="75">
        <f>MAX('Enter Data Here'!F68:J68)</f>
        <v>0</v>
      </c>
      <c r="K40" s="166">
        <f>'Enter Data Here'!L34+'Enter Data Here'!N34+'Enter Data Here'!P34</f>
        <v>0</v>
      </c>
      <c r="L40" s="167">
        <f>'Enter Data Here'!M34+'Enter Data Here'!O34+'Enter Data Here'!Q34</f>
        <v>0</v>
      </c>
      <c r="M40" s="74">
        <f t="shared" si="1"/>
        <v>0</v>
      </c>
      <c r="N40" s="77">
        <f>MAX('Enter Data Here'!L68:P68)</f>
        <v>0</v>
      </c>
      <c r="O40" s="147">
        <f>'Enter Data Here'!R34+'Enter Data Here'!T34+'Enter Data Here'!V34</f>
        <v>0</v>
      </c>
      <c r="P40" s="168">
        <f>'Enter Data Here'!S34+'Enter Data Here'!U34+'Enter Data Here'!W34</f>
        <v>0</v>
      </c>
      <c r="Q40" s="140">
        <f t="shared" si="2"/>
        <v>0</v>
      </c>
      <c r="R40" s="75">
        <f>MAX('Enter Data Here'!R68:V68)</f>
        <v>0</v>
      </c>
      <c r="S40" s="169">
        <f>'Enter Data Here'!X34+'Enter Data Here'!Z34+'Enter Data Here'!AB34</f>
        <v>0</v>
      </c>
      <c r="T40" s="170">
        <f>'Enter Data Here'!Y34+'Enter Data Here'!AA34+'Enter Data Here'!AC34</f>
        <v>0</v>
      </c>
      <c r="U40" s="74">
        <f t="shared" si="3"/>
        <v>0</v>
      </c>
      <c r="V40" s="150">
        <f>MAX('Enter Data Here'!X68:AB68)</f>
        <v>0</v>
      </c>
    </row>
    <row r="41" spans="1:22" ht="15" customHeight="1">
      <c r="A41" s="236" t="s">
        <v>153</v>
      </c>
      <c r="B41" s="237"/>
      <c r="C41" s="237"/>
      <c r="D41" s="238"/>
      <c r="E41" s="238"/>
      <c r="F41" s="238"/>
      <c r="G41" s="39">
        <f>IF(ISBLANK($S1)," ",SUM(G10:G40))</f>
        <v>0</v>
      </c>
      <c r="H41" s="28"/>
      <c r="I41" s="43">
        <f>IF(ISBLANK($S1)," ",SUM(I10:I40))</f>
        <v>0</v>
      </c>
      <c r="J41" s="29"/>
      <c r="K41" s="44">
        <f>IF(ISBLANK($S1)," ",SUM(K10:K40))</f>
        <v>0</v>
      </c>
      <c r="L41" s="30"/>
      <c r="M41" s="47">
        <f>IF(ISBLANK($S1)," ",SUM(M10:M40))</f>
        <v>0</v>
      </c>
      <c r="N41" s="31"/>
      <c r="O41" s="39">
        <f>IF(ISBLANK($S1)," ",SUM(O10:O40))</f>
        <v>0</v>
      </c>
      <c r="P41" s="28"/>
      <c r="Q41" s="43">
        <f>IF(ISBLANK($S1)," ",SUM(Q10:Q40))</f>
        <v>0</v>
      </c>
      <c r="R41" s="29"/>
      <c r="S41" s="44">
        <f>IF(ISBLANK($S1)," ",SUM(S10:S40))</f>
        <v>0</v>
      </c>
      <c r="T41" s="30"/>
      <c r="U41" s="47">
        <f>IF(ISBLANK($S1)," ",SUM(U10:U40))</f>
        <v>0</v>
      </c>
      <c r="V41" s="32"/>
    </row>
    <row r="42" spans="1:22" ht="15" customHeight="1" thickBot="1">
      <c r="A42" s="207" t="s">
        <v>152</v>
      </c>
      <c r="B42" s="208"/>
      <c r="C42" s="208"/>
      <c r="D42" s="209"/>
      <c r="E42" s="209"/>
      <c r="F42" s="209"/>
      <c r="G42" s="64"/>
      <c r="H42" s="65"/>
      <c r="I42" s="66"/>
      <c r="J42" s="67"/>
      <c r="K42" s="68"/>
      <c r="L42" s="69"/>
      <c r="M42" s="70"/>
      <c r="N42" s="71"/>
      <c r="O42" s="64"/>
      <c r="P42" s="65"/>
      <c r="Q42" s="66"/>
      <c r="R42" s="67"/>
      <c r="S42" s="68"/>
      <c r="T42" s="69"/>
      <c r="U42" s="72"/>
      <c r="V42" s="73"/>
    </row>
  </sheetData>
  <sheetProtection password="CD0C"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showDropDown="1" showInputMessage="1" showErrorMessage="1" sqref="B10:E40"/>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ignoredErrors>
    <ignoredError sqref="B10:E40 G10:H10 G40:H40" unlockedFormula="1"/>
  </ignoredErrors>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92" customWidth="1"/>
    <col min="2" max="2" width="5.7109375" style="92"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245" t="s">
        <v>178</v>
      </c>
      <c r="B1" s="246"/>
      <c r="C1" s="246"/>
      <c r="D1" s="247" t="s">
        <v>184</v>
      </c>
      <c r="E1" s="247"/>
      <c r="F1" s="248"/>
      <c r="G1" s="258" t="s">
        <v>3</v>
      </c>
      <c r="H1" s="259"/>
      <c r="I1" s="247" t="s">
        <v>185</v>
      </c>
      <c r="J1" s="247"/>
      <c r="K1" s="247"/>
      <c r="L1" s="247"/>
      <c r="M1" s="247"/>
      <c r="N1" s="248"/>
      <c r="O1" s="34" t="s">
        <v>6</v>
      </c>
      <c r="P1" s="256" t="s">
        <v>92</v>
      </c>
      <c r="Q1" s="257"/>
      <c r="R1" s="34" t="s">
        <v>4</v>
      </c>
      <c r="S1" s="256" t="s">
        <v>117</v>
      </c>
      <c r="T1" s="257"/>
      <c r="U1" s="91" t="s">
        <v>5</v>
      </c>
      <c r="V1" s="90">
        <v>2014</v>
      </c>
      <c r="W1" s="2"/>
    </row>
    <row r="2" spans="1:23" ht="18.75" customHeight="1">
      <c r="A2" s="229" t="s">
        <v>174</v>
      </c>
      <c r="B2" s="230"/>
      <c r="C2" s="230"/>
      <c r="D2" s="230"/>
      <c r="E2" s="230"/>
      <c r="F2" s="230"/>
      <c r="G2" s="252" t="s">
        <v>142</v>
      </c>
      <c r="H2" s="253"/>
      <c r="I2" s="239">
        <v>5</v>
      </c>
      <c r="J2" s="240"/>
      <c r="K2" s="215" t="s">
        <v>142</v>
      </c>
      <c r="L2" s="216"/>
      <c r="M2" s="217">
        <v>6</v>
      </c>
      <c r="N2" s="260"/>
      <c r="O2" s="252" t="s">
        <v>142</v>
      </c>
      <c r="P2" s="253"/>
      <c r="Q2" s="239">
        <v>7</v>
      </c>
      <c r="R2" s="240"/>
      <c r="S2" s="215" t="s">
        <v>142</v>
      </c>
      <c r="T2" s="216"/>
      <c r="U2" s="217">
        <v>8</v>
      </c>
      <c r="V2" s="218"/>
    </row>
    <row r="3" spans="1:23" ht="18.75" customHeight="1">
      <c r="A3" s="231"/>
      <c r="B3" s="230"/>
      <c r="C3" s="230"/>
      <c r="D3" s="230"/>
      <c r="E3" s="230"/>
      <c r="F3" s="230"/>
      <c r="G3" s="225" t="s">
        <v>143</v>
      </c>
      <c r="H3" s="241"/>
      <c r="I3" s="226">
        <v>0.33800000000000002</v>
      </c>
      <c r="J3" s="227"/>
      <c r="K3" s="219" t="s">
        <v>143</v>
      </c>
      <c r="L3" s="220"/>
      <c r="M3" s="221">
        <v>0.32700000000000001</v>
      </c>
      <c r="N3" s="244"/>
      <c r="O3" s="225" t="s">
        <v>143</v>
      </c>
      <c r="P3" s="241"/>
      <c r="Q3" s="226">
        <v>0.33800000000000002</v>
      </c>
      <c r="R3" s="227"/>
      <c r="S3" s="219" t="s">
        <v>143</v>
      </c>
      <c r="T3" s="220"/>
      <c r="U3" s="221">
        <v>0.41299999999999998</v>
      </c>
      <c r="V3" s="222"/>
    </row>
    <row r="4" spans="1:23" ht="18.75" customHeight="1">
      <c r="A4" s="231"/>
      <c r="B4" s="230"/>
      <c r="C4" s="230"/>
      <c r="D4" s="230"/>
      <c r="E4" s="230"/>
      <c r="F4" s="230"/>
      <c r="G4" s="225" t="s">
        <v>144</v>
      </c>
      <c r="H4" s="214"/>
      <c r="I4" s="226" t="s">
        <v>186</v>
      </c>
      <c r="J4" s="227"/>
      <c r="K4" s="219" t="s">
        <v>144</v>
      </c>
      <c r="L4" s="223"/>
      <c r="M4" s="221" t="s">
        <v>186</v>
      </c>
      <c r="N4" s="244"/>
      <c r="O4" s="225" t="s">
        <v>144</v>
      </c>
      <c r="P4" s="214"/>
      <c r="Q4" s="226" t="s">
        <v>186</v>
      </c>
      <c r="R4" s="227"/>
      <c r="S4" s="219" t="s">
        <v>144</v>
      </c>
      <c r="T4" s="223"/>
      <c r="U4" s="221" t="s">
        <v>186</v>
      </c>
      <c r="V4" s="222"/>
    </row>
    <row r="5" spans="1:23" ht="18.75" customHeight="1">
      <c r="A5" s="232"/>
      <c r="B5" s="233"/>
      <c r="C5" s="233"/>
      <c r="D5" s="233"/>
      <c r="E5" s="233"/>
      <c r="F5" s="233"/>
      <c r="G5" s="225" t="s">
        <v>149</v>
      </c>
      <c r="H5" s="214"/>
      <c r="I5" s="226">
        <v>0.25</v>
      </c>
      <c r="J5" s="227"/>
      <c r="K5" s="219" t="s">
        <v>149</v>
      </c>
      <c r="L5" s="223"/>
      <c r="M5" s="221">
        <v>0.25</v>
      </c>
      <c r="N5" s="244"/>
      <c r="O5" s="225" t="s">
        <v>149</v>
      </c>
      <c r="P5" s="214"/>
      <c r="Q5" s="226">
        <v>0.25</v>
      </c>
      <c r="R5" s="227"/>
      <c r="S5" s="219" t="s">
        <v>149</v>
      </c>
      <c r="T5" s="223"/>
      <c r="U5" s="221">
        <v>0.25</v>
      </c>
      <c r="V5" s="222"/>
    </row>
    <row r="6" spans="1:23" ht="18.75" customHeight="1" thickBot="1">
      <c r="A6" s="234"/>
      <c r="B6" s="235"/>
      <c r="C6" s="235"/>
      <c r="D6" s="235"/>
      <c r="E6" s="235"/>
      <c r="F6" s="235"/>
      <c r="G6" s="213" t="s">
        <v>150</v>
      </c>
      <c r="H6" s="214"/>
      <c r="I6" s="226">
        <v>39</v>
      </c>
      <c r="J6" s="228"/>
      <c r="K6" s="224" t="s">
        <v>150</v>
      </c>
      <c r="L6" s="223"/>
      <c r="M6" s="221">
        <v>39</v>
      </c>
      <c r="N6" s="244"/>
      <c r="O6" s="213" t="s">
        <v>150</v>
      </c>
      <c r="P6" s="214"/>
      <c r="Q6" s="226">
        <v>39</v>
      </c>
      <c r="R6" s="227"/>
      <c r="S6" s="224" t="s">
        <v>150</v>
      </c>
      <c r="T6" s="223"/>
      <c r="U6" s="221">
        <v>39</v>
      </c>
      <c r="V6" s="222"/>
    </row>
    <row r="7" spans="1:23" ht="18.75" customHeight="1" thickBot="1">
      <c r="A7" s="249" t="s">
        <v>8</v>
      </c>
      <c r="B7" s="210" t="s">
        <v>180</v>
      </c>
      <c r="C7" s="211"/>
      <c r="D7" s="212"/>
      <c r="E7" s="254" t="s">
        <v>179</v>
      </c>
      <c r="F7" s="255"/>
      <c r="G7" s="213" t="s">
        <v>151</v>
      </c>
      <c r="H7" s="214"/>
      <c r="I7" s="17"/>
      <c r="J7" s="36"/>
      <c r="K7" s="224" t="s">
        <v>151</v>
      </c>
      <c r="L7" s="223"/>
      <c r="M7" s="16"/>
      <c r="N7" s="37"/>
      <c r="O7" s="213" t="s">
        <v>151</v>
      </c>
      <c r="P7" s="214"/>
      <c r="Q7" s="17"/>
      <c r="R7" s="36"/>
      <c r="S7" s="224" t="s">
        <v>151</v>
      </c>
      <c r="T7" s="223"/>
      <c r="U7" s="16"/>
      <c r="V7" s="38"/>
    </row>
    <row r="8" spans="1:23" ht="75" customHeight="1">
      <c r="A8" s="250"/>
      <c r="B8" s="242" t="s">
        <v>138</v>
      </c>
      <c r="C8" s="13" t="s">
        <v>2</v>
      </c>
      <c r="D8" s="14" t="s">
        <v>139</v>
      </c>
      <c r="E8" s="87" t="s">
        <v>181</v>
      </c>
      <c r="F8" s="85" t="s">
        <v>182</v>
      </c>
      <c r="G8" s="19" t="s">
        <v>210</v>
      </c>
      <c r="H8" s="10" t="s">
        <v>208</v>
      </c>
      <c r="I8" s="10" t="s">
        <v>146</v>
      </c>
      <c r="J8" s="20" t="s">
        <v>148</v>
      </c>
      <c r="K8" s="23" t="s">
        <v>210</v>
      </c>
      <c r="L8" s="9" t="s">
        <v>209</v>
      </c>
      <c r="M8" s="9" t="s">
        <v>146</v>
      </c>
      <c r="N8" s="24" t="s">
        <v>148</v>
      </c>
      <c r="O8" s="19" t="s">
        <v>210</v>
      </c>
      <c r="P8" s="10" t="s">
        <v>208</v>
      </c>
      <c r="Q8" s="10" t="s">
        <v>146</v>
      </c>
      <c r="R8" s="20" t="s">
        <v>148</v>
      </c>
      <c r="S8" s="23" t="s">
        <v>210</v>
      </c>
      <c r="T8" s="9" t="s">
        <v>209</v>
      </c>
      <c r="U8" s="9" t="s">
        <v>146</v>
      </c>
      <c r="V8" s="27" t="s">
        <v>148</v>
      </c>
    </row>
    <row r="9" spans="1:23" ht="15.75" customHeight="1" thickBot="1">
      <c r="A9" s="251"/>
      <c r="B9" s="243"/>
      <c r="C9" s="15" t="s">
        <v>141</v>
      </c>
      <c r="D9" s="7" t="s">
        <v>140</v>
      </c>
      <c r="E9" s="88" t="s">
        <v>137</v>
      </c>
      <c r="F9" s="86" t="s">
        <v>137</v>
      </c>
      <c r="G9" s="21" t="s">
        <v>147</v>
      </c>
      <c r="H9" s="8" t="s">
        <v>145</v>
      </c>
      <c r="I9" s="8" t="s">
        <v>140</v>
      </c>
      <c r="J9" s="22" t="s">
        <v>140</v>
      </c>
      <c r="K9" s="25" t="s">
        <v>147</v>
      </c>
      <c r="L9" s="6" t="s">
        <v>145</v>
      </c>
      <c r="M9" s="6" t="s">
        <v>140</v>
      </c>
      <c r="N9" s="26" t="s">
        <v>140</v>
      </c>
      <c r="O9" s="21" t="s">
        <v>147</v>
      </c>
      <c r="P9" s="8" t="s">
        <v>145</v>
      </c>
      <c r="Q9" s="8" t="s">
        <v>140</v>
      </c>
      <c r="R9" s="22" t="s">
        <v>140</v>
      </c>
      <c r="S9" s="25" t="s">
        <v>147</v>
      </c>
      <c r="T9" s="6" t="s">
        <v>145</v>
      </c>
      <c r="U9" s="33" t="s">
        <v>140</v>
      </c>
      <c r="V9" s="79" t="s">
        <v>140</v>
      </c>
    </row>
    <row r="10" spans="1:23" ht="15" customHeight="1">
      <c r="A10" s="4">
        <v>1</v>
      </c>
      <c r="B10" s="151" t="str">
        <f>IF(ISBLANK('Enter Data Here'!B4), " ", 'Enter Data Here'!B4)</f>
        <v xml:space="preserve"> </v>
      </c>
      <c r="C10" s="333" t="str">
        <f>IF(ISBLANK('Enter Data Here'!C4), " ", 'Enter Data Here'!C4)</f>
        <v xml:space="preserve"> </v>
      </c>
      <c r="D10" s="336" t="str">
        <f>IF(ISBLANK('Enter Data Here'!D4), " ", 'Enter Data Here'!D4)</f>
        <v xml:space="preserve"> </v>
      </c>
      <c r="E10" s="337" t="str">
        <f>IF(ISBLANK('Enter Data Here'!E4), " ", 'Enter Data Here'!E4)</f>
        <v xml:space="preserve"> </v>
      </c>
      <c r="F10" s="152"/>
      <c r="G10" s="153">
        <f>'Enter Data Here'!AD4+'Enter Data Here'!AF4+'Enter Data Here'!AH4</f>
        <v>0</v>
      </c>
      <c r="H10" s="154">
        <f>'Enter Data Here'!AE4+'Enter Data Here'!AG4+'Enter Data Here'!AI4</f>
        <v>0</v>
      </c>
      <c r="I10" s="40">
        <f>IF((ISBLANK($G10))," ", ($G10)/($I$3*27152))</f>
        <v>0</v>
      </c>
      <c r="J10" s="48">
        <f>MAX('Enter Data Here'!AD38:AH38)</f>
        <v>0</v>
      </c>
      <c r="K10" s="155">
        <f>'Enter Data Here'!AJ4+'Enter Data Here'!AL4+'Enter Data Here'!AN4</f>
        <v>0</v>
      </c>
      <c r="L10" s="156">
        <f>'Enter Data Here'!AK4+'Enter Data Here'!AM4+'Enter Data Here'!AO4</f>
        <v>0</v>
      </c>
      <c r="M10" s="45">
        <f>IF((ISBLANK($K10))," ",($K10)/($M$3*27152))</f>
        <v>0</v>
      </c>
      <c r="N10" s="76">
        <f>MAX('Enter Data Here'!AJ38:AN38)</f>
        <v>0</v>
      </c>
      <c r="O10" s="157">
        <f>'Enter Data Here'!AP4+'Enter Data Here'!AR4+'Enter Data Here'!AT4</f>
        <v>0</v>
      </c>
      <c r="P10" s="139">
        <f>'Enter Data Here'!AQ4+'Enter Data Here'!AS4+'Enter Data Here'!AU4</f>
        <v>0</v>
      </c>
      <c r="Q10" s="40">
        <f>IF((ISBLANK($O10))," ",($O10)/($Q$3*27152))</f>
        <v>0</v>
      </c>
      <c r="R10" s="48">
        <f>MAX('Enter Data Here'!AP38:AT38)</f>
        <v>0</v>
      </c>
      <c r="S10" s="155">
        <f>'Enter Data Here'!AV4+'Enter Data Here'!AX4+'Enter Data Here'!AZ4</f>
        <v>0</v>
      </c>
      <c r="T10" s="158">
        <f>'Enter Data Here'!AW4+'Enter Data Here'!AY4+'Enter Data Here'!BA4</f>
        <v>0</v>
      </c>
      <c r="U10" s="45">
        <f>IF((ISBLANK($S10))," ",($S10)/($U$3*27152))</f>
        <v>0</v>
      </c>
      <c r="V10" s="80">
        <f>MAX('Enter Data Here'!AV38:AZ38)</f>
        <v>0</v>
      </c>
    </row>
    <row r="11" spans="1:23" ht="15" customHeight="1">
      <c r="A11" s="4">
        <v>2</v>
      </c>
      <c r="B11" s="151" t="str">
        <f>IF(ISBLANK('Enter Data Here'!B5), " ", 'Enter Data Here'!B5)</f>
        <v xml:space="preserve"> </v>
      </c>
      <c r="C11" s="334" t="str">
        <f>IF(ISBLANK('Enter Data Here'!C5), " ", 'Enter Data Here'!C5)</f>
        <v xml:space="preserve"> </v>
      </c>
      <c r="D11" s="336" t="str">
        <f>IF(ISBLANK('Enter Data Here'!D5), " ", 'Enter Data Here'!D5)</f>
        <v xml:space="preserve"> </v>
      </c>
      <c r="E11" s="337" t="str">
        <f>IF(ISBLANK('Enter Data Here'!E5), " ", 'Enter Data Here'!E5)</f>
        <v xml:space="preserve"> </v>
      </c>
      <c r="F11" s="159"/>
      <c r="G11" s="173">
        <f>'Enter Data Here'!AD5+'Enter Data Here'!AF5+'Enter Data Here'!AH5</f>
        <v>0</v>
      </c>
      <c r="H11" s="142">
        <f>'Enter Data Here'!AE5+'Enter Data Here'!AG5+'Enter Data Here'!AI5</f>
        <v>0</v>
      </c>
      <c r="I11" s="41">
        <f t="shared" ref="I11:I40" si="0">IF((ISBLANK($G11))," ", ($G11)/($I$3*27152))</f>
        <v>0</v>
      </c>
      <c r="J11" s="49">
        <f>MAX('Enter Data Here'!AD39:AH39)</f>
        <v>0</v>
      </c>
      <c r="K11" s="160">
        <f>'Enter Data Here'!AJ5+'Enter Data Here'!AL5+'Enter Data Here'!AN5</f>
        <v>0</v>
      </c>
      <c r="L11" s="161">
        <f>'Enter Data Here'!AK5+'Enter Data Here'!AM5+'Enter Data Here'!AO5</f>
        <v>0</v>
      </c>
      <c r="M11" s="46">
        <f t="shared" ref="M11:M40" si="1">IF((ISBLANK($K11))," ",($K11)/($M$3*27152))</f>
        <v>0</v>
      </c>
      <c r="N11" s="78">
        <f>MAX('Enter Data Here'!AJ39:AN39)</f>
        <v>0</v>
      </c>
      <c r="O11" s="141">
        <f>'Enter Data Here'!AP5+'Enter Data Here'!AR5+'Enter Data Here'!AT5</f>
        <v>0</v>
      </c>
      <c r="P11" s="162">
        <f>'Enter Data Here'!AQ5+'Enter Data Here'!AS5+'Enter Data Here'!AU5</f>
        <v>0</v>
      </c>
      <c r="Q11" s="41">
        <f t="shared" ref="Q11:Q40" si="2">IF((ISBLANK($O11))," ",($O11)/($Q$3*27152))</f>
        <v>0</v>
      </c>
      <c r="R11" s="49">
        <f>MAX('Enter Data Here'!AP39:AT39)</f>
        <v>0</v>
      </c>
      <c r="S11" s="160">
        <f>'Enter Data Here'!AV5+'Enter Data Here'!AX5+'Enter Data Here'!AZ5</f>
        <v>0</v>
      </c>
      <c r="T11" s="163">
        <f>'Enter Data Here'!AW5+'Enter Data Here'!AY5+'Enter Data Here'!BA5</f>
        <v>0</v>
      </c>
      <c r="U11" s="46">
        <f t="shared" ref="U11:U40" si="3">IF((ISBLANK($S11))," ",($S11)/($U$3*27152))</f>
        <v>0</v>
      </c>
      <c r="V11" s="81">
        <f>MAX('Enter Data Here'!AV39:AZ39)</f>
        <v>0</v>
      </c>
    </row>
    <row r="12" spans="1:23" ht="15" customHeight="1">
      <c r="A12" s="4">
        <v>3</v>
      </c>
      <c r="B12" s="151" t="str">
        <f>IF(ISBLANK('Enter Data Here'!B6), " ", 'Enter Data Here'!B6)</f>
        <v xml:space="preserve"> </v>
      </c>
      <c r="C12" s="334" t="str">
        <f>IF(ISBLANK('Enter Data Here'!C6), " ", 'Enter Data Here'!C6)</f>
        <v xml:space="preserve"> </v>
      </c>
      <c r="D12" s="336" t="str">
        <f>IF(ISBLANK('Enter Data Here'!D6), " ", 'Enter Data Here'!D6)</f>
        <v xml:space="preserve"> </v>
      </c>
      <c r="E12" s="337" t="str">
        <f>IF(ISBLANK('Enter Data Here'!E6), " ", 'Enter Data Here'!E6)</f>
        <v xml:space="preserve"> </v>
      </c>
      <c r="F12" s="159"/>
      <c r="G12" s="173">
        <f>'Enter Data Here'!AD6+'Enter Data Here'!AF6+'Enter Data Here'!AH6</f>
        <v>0</v>
      </c>
      <c r="H12" s="142">
        <f>'Enter Data Here'!AE6+'Enter Data Here'!AG6+'Enter Data Here'!AI6</f>
        <v>0</v>
      </c>
      <c r="I12" s="41">
        <f t="shared" si="0"/>
        <v>0</v>
      </c>
      <c r="J12" s="49">
        <f>MAX('Enter Data Here'!AD40:AH40)</f>
        <v>0</v>
      </c>
      <c r="K12" s="160">
        <f>'Enter Data Here'!AJ6+'Enter Data Here'!AL6+'Enter Data Here'!AN6</f>
        <v>0</v>
      </c>
      <c r="L12" s="161">
        <f>'Enter Data Here'!AK6+'Enter Data Here'!AM6+'Enter Data Here'!AO6</f>
        <v>0</v>
      </c>
      <c r="M12" s="46">
        <f t="shared" si="1"/>
        <v>0</v>
      </c>
      <c r="N12" s="78">
        <f>MAX('Enter Data Here'!AJ40:AN40)</f>
        <v>0</v>
      </c>
      <c r="O12" s="141">
        <f>'Enter Data Here'!AP6+'Enter Data Here'!AR6+'Enter Data Here'!AT6</f>
        <v>0</v>
      </c>
      <c r="P12" s="162">
        <f>'Enter Data Here'!AQ6+'Enter Data Here'!AS6+'Enter Data Here'!AU6</f>
        <v>0</v>
      </c>
      <c r="Q12" s="41">
        <f t="shared" si="2"/>
        <v>0</v>
      </c>
      <c r="R12" s="49">
        <f>MAX('Enter Data Here'!AP40:AT40)</f>
        <v>0</v>
      </c>
      <c r="S12" s="160">
        <f>'Enter Data Here'!AV6+'Enter Data Here'!AX6+'Enter Data Here'!AZ6</f>
        <v>0</v>
      </c>
      <c r="T12" s="163">
        <f>'Enter Data Here'!AW6+'Enter Data Here'!AY6+'Enter Data Here'!BA6</f>
        <v>0</v>
      </c>
      <c r="U12" s="46">
        <f t="shared" si="3"/>
        <v>0</v>
      </c>
      <c r="V12" s="81">
        <f>MAX('Enter Data Here'!AV40:AZ40)</f>
        <v>0</v>
      </c>
    </row>
    <row r="13" spans="1:23" ht="15" customHeight="1">
      <c r="A13" s="4">
        <v>4</v>
      </c>
      <c r="B13" s="151" t="str">
        <f>IF(ISBLANK('Enter Data Here'!B7), " ", 'Enter Data Here'!B7)</f>
        <v xml:space="preserve"> </v>
      </c>
      <c r="C13" s="334" t="str">
        <f>IF(ISBLANK('Enter Data Here'!C7), " ", 'Enter Data Here'!C7)</f>
        <v xml:space="preserve"> </v>
      </c>
      <c r="D13" s="336" t="str">
        <f>IF(ISBLANK('Enter Data Here'!D7), " ", 'Enter Data Here'!D7)</f>
        <v xml:space="preserve"> </v>
      </c>
      <c r="E13" s="337" t="str">
        <f>IF(ISBLANK('Enter Data Here'!E7), " ", 'Enter Data Here'!E7)</f>
        <v xml:space="preserve"> </v>
      </c>
      <c r="F13" s="159"/>
      <c r="G13" s="173">
        <f>'Enter Data Here'!AD7+'Enter Data Here'!AF7+'Enter Data Here'!AH7</f>
        <v>0</v>
      </c>
      <c r="H13" s="142">
        <f>'Enter Data Here'!AE7+'Enter Data Here'!AG7+'Enter Data Here'!AI7</f>
        <v>0</v>
      </c>
      <c r="I13" s="41">
        <f t="shared" si="0"/>
        <v>0</v>
      </c>
      <c r="J13" s="49">
        <f>MAX('Enter Data Here'!AD41:AH41)</f>
        <v>0</v>
      </c>
      <c r="K13" s="160">
        <f>'Enter Data Here'!AJ7+'Enter Data Here'!AL7+'Enter Data Here'!AN7</f>
        <v>0</v>
      </c>
      <c r="L13" s="161">
        <f>'Enter Data Here'!AK7+'Enter Data Here'!AM7+'Enter Data Here'!AO7</f>
        <v>0</v>
      </c>
      <c r="M13" s="46">
        <f t="shared" si="1"/>
        <v>0</v>
      </c>
      <c r="N13" s="78">
        <f>MAX('Enter Data Here'!AJ41:AN41)</f>
        <v>0</v>
      </c>
      <c r="O13" s="141">
        <f>'Enter Data Here'!AP7+'Enter Data Here'!AR7+'Enter Data Here'!AT7</f>
        <v>0</v>
      </c>
      <c r="P13" s="162">
        <f>'Enter Data Here'!AQ7+'Enter Data Here'!AS7+'Enter Data Here'!AU7</f>
        <v>0</v>
      </c>
      <c r="Q13" s="41">
        <f t="shared" si="2"/>
        <v>0</v>
      </c>
      <c r="R13" s="49">
        <f>MAX('Enter Data Here'!AP41:AT41)</f>
        <v>0</v>
      </c>
      <c r="S13" s="160">
        <f>'Enter Data Here'!AV7+'Enter Data Here'!AX7+'Enter Data Here'!AZ7</f>
        <v>0</v>
      </c>
      <c r="T13" s="163">
        <f>'Enter Data Here'!AW7+'Enter Data Here'!AY7+'Enter Data Here'!BA7</f>
        <v>0</v>
      </c>
      <c r="U13" s="46">
        <f t="shared" si="3"/>
        <v>0</v>
      </c>
      <c r="V13" s="81">
        <f>MAX('Enter Data Here'!AV41:AZ41)</f>
        <v>0</v>
      </c>
    </row>
    <row r="14" spans="1:23" ht="15" customHeight="1">
      <c r="A14" s="4">
        <v>5</v>
      </c>
      <c r="B14" s="151" t="str">
        <f>IF(ISBLANK('Enter Data Here'!B8), " ", 'Enter Data Here'!B8)</f>
        <v xml:space="preserve"> </v>
      </c>
      <c r="C14" s="334" t="str">
        <f>IF(ISBLANK('Enter Data Here'!C8), " ", 'Enter Data Here'!C8)</f>
        <v xml:space="preserve"> </v>
      </c>
      <c r="D14" s="336" t="str">
        <f>IF(ISBLANK('Enter Data Here'!D8), " ", 'Enter Data Here'!D8)</f>
        <v xml:space="preserve"> </v>
      </c>
      <c r="E14" s="337" t="str">
        <f>IF(ISBLANK('Enter Data Here'!E8), " ", 'Enter Data Here'!E8)</f>
        <v xml:space="preserve"> </v>
      </c>
      <c r="F14" s="159"/>
      <c r="G14" s="173">
        <f>'Enter Data Here'!AD8+'Enter Data Here'!AF8+'Enter Data Here'!AH8</f>
        <v>0</v>
      </c>
      <c r="H14" s="142">
        <f>'Enter Data Here'!AE8+'Enter Data Here'!AG8+'Enter Data Here'!AI8</f>
        <v>0</v>
      </c>
      <c r="I14" s="41">
        <f t="shared" si="0"/>
        <v>0</v>
      </c>
      <c r="J14" s="49">
        <f>MAX('Enter Data Here'!AD42:AH42)</f>
        <v>0</v>
      </c>
      <c r="K14" s="160">
        <f>'Enter Data Here'!AJ8+'Enter Data Here'!AL8+'Enter Data Here'!AN8</f>
        <v>0</v>
      </c>
      <c r="L14" s="161">
        <f>'Enter Data Here'!AK8+'Enter Data Here'!AM8+'Enter Data Here'!AO8</f>
        <v>0</v>
      </c>
      <c r="M14" s="46">
        <f t="shared" si="1"/>
        <v>0</v>
      </c>
      <c r="N14" s="78">
        <f>MAX('Enter Data Here'!AJ42:AN42)</f>
        <v>0</v>
      </c>
      <c r="O14" s="141">
        <f>'Enter Data Here'!AP8+'Enter Data Here'!AR8+'Enter Data Here'!AT8</f>
        <v>0</v>
      </c>
      <c r="P14" s="162">
        <f>'Enter Data Here'!AQ8+'Enter Data Here'!AS8+'Enter Data Here'!AU8</f>
        <v>0</v>
      </c>
      <c r="Q14" s="41">
        <f t="shared" si="2"/>
        <v>0</v>
      </c>
      <c r="R14" s="49">
        <f>MAX('Enter Data Here'!AP42:AT42)</f>
        <v>0</v>
      </c>
      <c r="S14" s="160">
        <f>'Enter Data Here'!AV8+'Enter Data Here'!AX8+'Enter Data Here'!AZ8</f>
        <v>0</v>
      </c>
      <c r="T14" s="163">
        <f>'Enter Data Here'!AW8+'Enter Data Here'!AY8+'Enter Data Here'!BA8</f>
        <v>0</v>
      </c>
      <c r="U14" s="46">
        <f t="shared" si="3"/>
        <v>0</v>
      </c>
      <c r="V14" s="81">
        <f>MAX('Enter Data Here'!AV42:AZ42)</f>
        <v>0</v>
      </c>
    </row>
    <row r="15" spans="1:23" ht="15" customHeight="1">
      <c r="A15" s="4">
        <v>6</v>
      </c>
      <c r="B15" s="151" t="str">
        <f>IF(ISBLANK('Enter Data Here'!B9), " ", 'Enter Data Here'!B9)</f>
        <v xml:space="preserve"> </v>
      </c>
      <c r="C15" s="334" t="str">
        <f>IF(ISBLANK('Enter Data Here'!C9), " ", 'Enter Data Here'!C9)</f>
        <v xml:space="preserve"> </v>
      </c>
      <c r="D15" s="336" t="str">
        <f>IF(ISBLANK('Enter Data Here'!D9), " ", 'Enter Data Here'!D9)</f>
        <v xml:space="preserve"> </v>
      </c>
      <c r="E15" s="337" t="str">
        <f>IF(ISBLANK('Enter Data Here'!E9), " ", 'Enter Data Here'!E9)</f>
        <v xml:space="preserve"> </v>
      </c>
      <c r="F15" s="159"/>
      <c r="G15" s="173">
        <f>'Enter Data Here'!AD9+'Enter Data Here'!AF9+'Enter Data Here'!AH9</f>
        <v>0</v>
      </c>
      <c r="H15" s="142">
        <f>'Enter Data Here'!AE9+'Enter Data Here'!AG9+'Enter Data Here'!AI9</f>
        <v>0</v>
      </c>
      <c r="I15" s="41">
        <f t="shared" si="0"/>
        <v>0</v>
      </c>
      <c r="J15" s="49">
        <f>MAX('Enter Data Here'!AD43:AH43)</f>
        <v>0</v>
      </c>
      <c r="K15" s="160">
        <f>'Enter Data Here'!AJ9+'Enter Data Here'!AL9+'Enter Data Here'!AN9</f>
        <v>0</v>
      </c>
      <c r="L15" s="161">
        <f>'Enter Data Here'!AK9+'Enter Data Here'!AM9+'Enter Data Here'!AO9</f>
        <v>0</v>
      </c>
      <c r="M15" s="46">
        <f t="shared" si="1"/>
        <v>0</v>
      </c>
      <c r="N15" s="78">
        <f>MAX('Enter Data Here'!AJ43:AN43)</f>
        <v>0</v>
      </c>
      <c r="O15" s="141">
        <f>'Enter Data Here'!AP9+'Enter Data Here'!AR9+'Enter Data Here'!AT9</f>
        <v>0</v>
      </c>
      <c r="P15" s="162">
        <f>'Enter Data Here'!AQ9+'Enter Data Here'!AS9+'Enter Data Here'!AU9</f>
        <v>0</v>
      </c>
      <c r="Q15" s="41">
        <f t="shared" si="2"/>
        <v>0</v>
      </c>
      <c r="R15" s="49">
        <f>MAX('Enter Data Here'!AP43:AT43)</f>
        <v>0</v>
      </c>
      <c r="S15" s="160">
        <f>'Enter Data Here'!AV9+'Enter Data Here'!AX9+'Enter Data Here'!AZ9</f>
        <v>0</v>
      </c>
      <c r="T15" s="163">
        <f>'Enter Data Here'!AW9+'Enter Data Here'!AY9+'Enter Data Here'!BA9</f>
        <v>0</v>
      </c>
      <c r="U15" s="46">
        <f t="shared" si="3"/>
        <v>0</v>
      </c>
      <c r="V15" s="81">
        <f>MAX('Enter Data Here'!AV43:AZ43)</f>
        <v>0</v>
      </c>
    </row>
    <row r="16" spans="1:23" ht="15" customHeight="1">
      <c r="A16" s="4">
        <v>7</v>
      </c>
      <c r="B16" s="151" t="str">
        <f>IF(ISBLANK('Enter Data Here'!B10), " ", 'Enter Data Here'!B10)</f>
        <v xml:space="preserve"> </v>
      </c>
      <c r="C16" s="334" t="str">
        <f>IF(ISBLANK('Enter Data Here'!C10), " ", 'Enter Data Here'!C10)</f>
        <v xml:space="preserve"> </v>
      </c>
      <c r="D16" s="336" t="str">
        <f>IF(ISBLANK('Enter Data Here'!D10), " ", 'Enter Data Here'!D10)</f>
        <v xml:space="preserve"> </v>
      </c>
      <c r="E16" s="337" t="str">
        <f>IF(ISBLANK('Enter Data Here'!E10), " ", 'Enter Data Here'!E10)</f>
        <v xml:space="preserve"> </v>
      </c>
      <c r="F16" s="159"/>
      <c r="G16" s="173">
        <f>'Enter Data Here'!AD10+'Enter Data Here'!AF10+'Enter Data Here'!AH10</f>
        <v>0</v>
      </c>
      <c r="H16" s="142">
        <f>'Enter Data Here'!AE10+'Enter Data Here'!AG10+'Enter Data Here'!AI10</f>
        <v>0</v>
      </c>
      <c r="I16" s="41">
        <f t="shared" si="0"/>
        <v>0</v>
      </c>
      <c r="J16" s="49">
        <f>MAX('Enter Data Here'!AD44:AH44)</f>
        <v>0</v>
      </c>
      <c r="K16" s="160">
        <f>'Enter Data Here'!AJ10+'Enter Data Here'!AL10+'Enter Data Here'!AN10</f>
        <v>0</v>
      </c>
      <c r="L16" s="161">
        <f>'Enter Data Here'!AK10+'Enter Data Here'!AM10+'Enter Data Here'!AO10</f>
        <v>0</v>
      </c>
      <c r="M16" s="46">
        <f t="shared" si="1"/>
        <v>0</v>
      </c>
      <c r="N16" s="78">
        <f>MAX('Enter Data Here'!AJ44:AN44)</f>
        <v>0</v>
      </c>
      <c r="O16" s="141">
        <f>'Enter Data Here'!AP10+'Enter Data Here'!AR10+'Enter Data Here'!AT10</f>
        <v>0</v>
      </c>
      <c r="P16" s="162">
        <f>'Enter Data Here'!AQ10+'Enter Data Here'!AS10+'Enter Data Here'!AU10</f>
        <v>0</v>
      </c>
      <c r="Q16" s="41">
        <f t="shared" si="2"/>
        <v>0</v>
      </c>
      <c r="R16" s="49">
        <f>MAX('Enter Data Here'!AP44:AT44)</f>
        <v>0</v>
      </c>
      <c r="S16" s="160">
        <f>'Enter Data Here'!AV10+'Enter Data Here'!AX10+'Enter Data Here'!AZ10</f>
        <v>0</v>
      </c>
      <c r="T16" s="163">
        <f>'Enter Data Here'!AW10+'Enter Data Here'!AY10+'Enter Data Here'!BA10</f>
        <v>0</v>
      </c>
      <c r="U16" s="46">
        <f t="shared" si="3"/>
        <v>0</v>
      </c>
      <c r="V16" s="81">
        <f>MAX('Enter Data Here'!AV44:AZ44)</f>
        <v>0</v>
      </c>
    </row>
    <row r="17" spans="1:22" ht="15" customHeight="1">
      <c r="A17" s="4">
        <v>8</v>
      </c>
      <c r="B17" s="151" t="str">
        <f>IF(ISBLANK('Enter Data Here'!B11), " ", 'Enter Data Here'!B11)</f>
        <v xml:space="preserve"> </v>
      </c>
      <c r="C17" s="334" t="str">
        <f>IF(ISBLANK('Enter Data Here'!C11), " ", 'Enter Data Here'!C11)</f>
        <v xml:space="preserve"> </v>
      </c>
      <c r="D17" s="336" t="str">
        <f>IF(ISBLANK('Enter Data Here'!D11), " ", 'Enter Data Here'!D11)</f>
        <v xml:space="preserve"> </v>
      </c>
      <c r="E17" s="337" t="str">
        <f>IF(ISBLANK('Enter Data Here'!E11), " ", 'Enter Data Here'!E11)</f>
        <v xml:space="preserve"> </v>
      </c>
      <c r="F17" s="159"/>
      <c r="G17" s="173">
        <f>'Enter Data Here'!AD11+'Enter Data Here'!AF11+'Enter Data Here'!AH11</f>
        <v>0</v>
      </c>
      <c r="H17" s="142">
        <f>'Enter Data Here'!AE11+'Enter Data Here'!AG11+'Enter Data Here'!AI11</f>
        <v>0</v>
      </c>
      <c r="I17" s="41">
        <f t="shared" si="0"/>
        <v>0</v>
      </c>
      <c r="J17" s="49">
        <f>MAX('Enter Data Here'!AD45:AH45)</f>
        <v>0</v>
      </c>
      <c r="K17" s="160">
        <f>'Enter Data Here'!AJ11+'Enter Data Here'!AL11+'Enter Data Here'!AN11</f>
        <v>0</v>
      </c>
      <c r="L17" s="161">
        <f>'Enter Data Here'!AK11+'Enter Data Here'!AM11+'Enter Data Here'!AO11</f>
        <v>0</v>
      </c>
      <c r="M17" s="46">
        <f t="shared" si="1"/>
        <v>0</v>
      </c>
      <c r="N17" s="78">
        <f>MAX('Enter Data Here'!AJ45:AN45)</f>
        <v>0</v>
      </c>
      <c r="O17" s="141">
        <f>'Enter Data Here'!AP11+'Enter Data Here'!AR11+'Enter Data Here'!AT11</f>
        <v>0</v>
      </c>
      <c r="P17" s="162">
        <f>'Enter Data Here'!AQ11+'Enter Data Here'!AS11+'Enter Data Here'!AU11</f>
        <v>0</v>
      </c>
      <c r="Q17" s="41">
        <f t="shared" si="2"/>
        <v>0</v>
      </c>
      <c r="R17" s="49">
        <f>MAX('Enter Data Here'!AP45:AT45)</f>
        <v>0</v>
      </c>
      <c r="S17" s="160">
        <f>'Enter Data Here'!AV11+'Enter Data Here'!AX11+'Enter Data Here'!AZ11</f>
        <v>0</v>
      </c>
      <c r="T17" s="163">
        <f>'Enter Data Here'!AW11+'Enter Data Here'!AY11+'Enter Data Here'!BA11</f>
        <v>0</v>
      </c>
      <c r="U17" s="46">
        <f t="shared" si="3"/>
        <v>0</v>
      </c>
      <c r="V17" s="81">
        <f>MAX('Enter Data Here'!AV45:AZ45)</f>
        <v>0</v>
      </c>
    </row>
    <row r="18" spans="1:22" ht="15" customHeight="1">
      <c r="A18" s="4">
        <v>9</v>
      </c>
      <c r="B18" s="151" t="str">
        <f>IF(ISBLANK('Enter Data Here'!B12), " ", 'Enter Data Here'!B12)</f>
        <v xml:space="preserve"> </v>
      </c>
      <c r="C18" s="334" t="str">
        <f>IF(ISBLANK('Enter Data Here'!C12), " ", 'Enter Data Here'!C12)</f>
        <v xml:space="preserve"> </v>
      </c>
      <c r="D18" s="336" t="str">
        <f>IF(ISBLANK('Enter Data Here'!D12), " ", 'Enter Data Here'!D12)</f>
        <v xml:space="preserve"> </v>
      </c>
      <c r="E18" s="337" t="str">
        <f>IF(ISBLANK('Enter Data Here'!E12), " ", 'Enter Data Here'!E12)</f>
        <v xml:space="preserve"> </v>
      </c>
      <c r="F18" s="159"/>
      <c r="G18" s="173">
        <f>'Enter Data Here'!AD12+'Enter Data Here'!AF12+'Enter Data Here'!AH12</f>
        <v>0</v>
      </c>
      <c r="H18" s="142">
        <f>'Enter Data Here'!AE12+'Enter Data Here'!AG12+'Enter Data Here'!AI12</f>
        <v>0</v>
      </c>
      <c r="I18" s="41">
        <f t="shared" si="0"/>
        <v>0</v>
      </c>
      <c r="J18" s="49">
        <f>MAX('Enter Data Here'!AD46:AH46)</f>
        <v>0</v>
      </c>
      <c r="K18" s="160">
        <f>'Enter Data Here'!AJ12+'Enter Data Here'!AL12+'Enter Data Here'!AN12</f>
        <v>0</v>
      </c>
      <c r="L18" s="161">
        <f>'Enter Data Here'!AK12+'Enter Data Here'!AM12+'Enter Data Here'!AO12</f>
        <v>0</v>
      </c>
      <c r="M18" s="46">
        <f t="shared" si="1"/>
        <v>0</v>
      </c>
      <c r="N18" s="78">
        <f>MAX('Enter Data Here'!AJ46:AN46)</f>
        <v>0</v>
      </c>
      <c r="O18" s="141">
        <f>'Enter Data Here'!AP12+'Enter Data Here'!AR12+'Enter Data Here'!AT12</f>
        <v>0</v>
      </c>
      <c r="P18" s="162">
        <f>'Enter Data Here'!AQ12+'Enter Data Here'!AS12+'Enter Data Here'!AU12</f>
        <v>0</v>
      </c>
      <c r="Q18" s="41">
        <f t="shared" si="2"/>
        <v>0</v>
      </c>
      <c r="R18" s="49">
        <f>MAX('Enter Data Here'!AP46:AT46)</f>
        <v>0</v>
      </c>
      <c r="S18" s="160">
        <f>'Enter Data Here'!AV12+'Enter Data Here'!AX12+'Enter Data Here'!AZ12</f>
        <v>0</v>
      </c>
      <c r="T18" s="163">
        <f>'Enter Data Here'!AW12+'Enter Data Here'!AY12+'Enter Data Here'!BA12</f>
        <v>0</v>
      </c>
      <c r="U18" s="46">
        <f t="shared" si="3"/>
        <v>0</v>
      </c>
      <c r="V18" s="81">
        <f>MAX('Enter Data Here'!AV46:AZ46)</f>
        <v>0</v>
      </c>
    </row>
    <row r="19" spans="1:22" ht="15" customHeight="1">
      <c r="A19" s="4">
        <v>10</v>
      </c>
      <c r="B19" s="151" t="str">
        <f>IF(ISBLANK('Enter Data Here'!B13), " ", 'Enter Data Here'!B13)</f>
        <v xml:space="preserve"> </v>
      </c>
      <c r="C19" s="334" t="str">
        <f>IF(ISBLANK('Enter Data Here'!C13), " ", 'Enter Data Here'!C13)</f>
        <v xml:space="preserve"> </v>
      </c>
      <c r="D19" s="336" t="str">
        <f>IF(ISBLANK('Enter Data Here'!D13), " ", 'Enter Data Here'!D13)</f>
        <v xml:space="preserve"> </v>
      </c>
      <c r="E19" s="337" t="str">
        <f>IF(ISBLANK('Enter Data Here'!E13), " ", 'Enter Data Here'!E13)</f>
        <v xml:space="preserve"> </v>
      </c>
      <c r="F19" s="159"/>
      <c r="G19" s="173">
        <f>'Enter Data Here'!AD13+'Enter Data Here'!AF13+'Enter Data Here'!AH13</f>
        <v>0</v>
      </c>
      <c r="H19" s="142">
        <f>'Enter Data Here'!AE13+'Enter Data Here'!AG13+'Enter Data Here'!AI13</f>
        <v>0</v>
      </c>
      <c r="I19" s="41">
        <f t="shared" si="0"/>
        <v>0</v>
      </c>
      <c r="J19" s="49">
        <f>MAX('Enter Data Here'!AD47:AH47)</f>
        <v>0</v>
      </c>
      <c r="K19" s="160">
        <f>'Enter Data Here'!AJ13+'Enter Data Here'!AL13+'Enter Data Here'!AN13</f>
        <v>0</v>
      </c>
      <c r="L19" s="161">
        <f>'Enter Data Here'!AK13+'Enter Data Here'!AM13+'Enter Data Here'!AO13</f>
        <v>0</v>
      </c>
      <c r="M19" s="46">
        <f t="shared" si="1"/>
        <v>0</v>
      </c>
      <c r="N19" s="78">
        <f>MAX('Enter Data Here'!AJ47:AN47)</f>
        <v>0</v>
      </c>
      <c r="O19" s="141">
        <f>'Enter Data Here'!AP13+'Enter Data Here'!AR13+'Enter Data Here'!AT13</f>
        <v>0</v>
      </c>
      <c r="P19" s="162">
        <f>'Enter Data Here'!AQ13+'Enter Data Here'!AS13+'Enter Data Here'!AU13</f>
        <v>0</v>
      </c>
      <c r="Q19" s="41">
        <f t="shared" si="2"/>
        <v>0</v>
      </c>
      <c r="R19" s="49">
        <f>MAX('Enter Data Here'!AP47:AT47)</f>
        <v>0</v>
      </c>
      <c r="S19" s="160">
        <f>'Enter Data Here'!AV13+'Enter Data Here'!AX13+'Enter Data Here'!AZ13</f>
        <v>0</v>
      </c>
      <c r="T19" s="163">
        <f>'Enter Data Here'!AW13+'Enter Data Here'!AY13+'Enter Data Here'!BA13</f>
        <v>0</v>
      </c>
      <c r="U19" s="46">
        <f t="shared" si="3"/>
        <v>0</v>
      </c>
      <c r="V19" s="81">
        <f>MAX('Enter Data Here'!AV47:AZ47)</f>
        <v>0</v>
      </c>
    </row>
    <row r="20" spans="1:22" ht="15" customHeight="1">
      <c r="A20" s="4">
        <v>11</v>
      </c>
      <c r="B20" s="151" t="str">
        <f>IF(ISBLANK('Enter Data Here'!B14), " ", 'Enter Data Here'!B14)</f>
        <v xml:space="preserve"> </v>
      </c>
      <c r="C20" s="334" t="str">
        <f>IF(ISBLANK('Enter Data Here'!C14), " ", 'Enter Data Here'!C14)</f>
        <v xml:space="preserve"> </v>
      </c>
      <c r="D20" s="336" t="str">
        <f>IF(ISBLANK('Enter Data Here'!D14), " ", 'Enter Data Here'!D14)</f>
        <v xml:space="preserve"> </v>
      </c>
      <c r="E20" s="337" t="str">
        <f>IF(ISBLANK('Enter Data Here'!E14), " ", 'Enter Data Here'!E14)</f>
        <v xml:space="preserve"> </v>
      </c>
      <c r="F20" s="159"/>
      <c r="G20" s="173">
        <f>'Enter Data Here'!AD14+'Enter Data Here'!AF14+'Enter Data Here'!AH14</f>
        <v>0</v>
      </c>
      <c r="H20" s="142">
        <f>'Enter Data Here'!AE14+'Enter Data Here'!AG14+'Enter Data Here'!AI14</f>
        <v>0</v>
      </c>
      <c r="I20" s="41">
        <f t="shared" si="0"/>
        <v>0</v>
      </c>
      <c r="J20" s="49">
        <f>MAX('Enter Data Here'!AD48:AH48)</f>
        <v>0</v>
      </c>
      <c r="K20" s="160">
        <f>'Enter Data Here'!AJ14+'Enter Data Here'!AL14+'Enter Data Here'!AN14</f>
        <v>0</v>
      </c>
      <c r="L20" s="161">
        <f>'Enter Data Here'!AK14+'Enter Data Here'!AM14+'Enter Data Here'!AO14</f>
        <v>0</v>
      </c>
      <c r="M20" s="46">
        <f t="shared" si="1"/>
        <v>0</v>
      </c>
      <c r="N20" s="78">
        <f>MAX('Enter Data Here'!AJ48:AN48)</f>
        <v>0</v>
      </c>
      <c r="O20" s="141">
        <f>'Enter Data Here'!AP14+'Enter Data Here'!AR14+'Enter Data Here'!AT14</f>
        <v>0</v>
      </c>
      <c r="P20" s="162">
        <f>'Enter Data Here'!AQ14+'Enter Data Here'!AS14+'Enter Data Here'!AU14</f>
        <v>0</v>
      </c>
      <c r="Q20" s="41">
        <f t="shared" si="2"/>
        <v>0</v>
      </c>
      <c r="R20" s="49">
        <f>MAX('Enter Data Here'!AP48:AT48)</f>
        <v>0</v>
      </c>
      <c r="S20" s="160">
        <f>'Enter Data Here'!AV14+'Enter Data Here'!AX14+'Enter Data Here'!AZ14</f>
        <v>0</v>
      </c>
      <c r="T20" s="163">
        <f>'Enter Data Here'!AW14+'Enter Data Here'!AY14+'Enter Data Here'!BA14</f>
        <v>0</v>
      </c>
      <c r="U20" s="46">
        <f t="shared" si="3"/>
        <v>0</v>
      </c>
      <c r="V20" s="81">
        <f>MAX('Enter Data Here'!AV48:AZ48)</f>
        <v>0</v>
      </c>
    </row>
    <row r="21" spans="1:22" ht="15" customHeight="1">
      <c r="A21" s="4">
        <v>12</v>
      </c>
      <c r="B21" s="151" t="str">
        <f>IF(ISBLANK('Enter Data Here'!B15), " ", 'Enter Data Here'!B15)</f>
        <v xml:space="preserve"> </v>
      </c>
      <c r="C21" s="334" t="str">
        <f>IF(ISBLANK('Enter Data Here'!C15), " ", 'Enter Data Here'!C15)</f>
        <v xml:space="preserve"> </v>
      </c>
      <c r="D21" s="336" t="str">
        <f>IF(ISBLANK('Enter Data Here'!D15), " ", 'Enter Data Here'!D15)</f>
        <v xml:space="preserve"> </v>
      </c>
      <c r="E21" s="337" t="str">
        <f>IF(ISBLANK('Enter Data Here'!E15), " ", 'Enter Data Here'!E15)</f>
        <v xml:space="preserve"> </v>
      </c>
      <c r="F21" s="159"/>
      <c r="G21" s="173">
        <f>'Enter Data Here'!AD15+'Enter Data Here'!AF15+'Enter Data Here'!AH15</f>
        <v>0</v>
      </c>
      <c r="H21" s="142">
        <f>'Enter Data Here'!AE15+'Enter Data Here'!AG15+'Enter Data Here'!AI15</f>
        <v>0</v>
      </c>
      <c r="I21" s="41">
        <f t="shared" si="0"/>
        <v>0</v>
      </c>
      <c r="J21" s="49">
        <f>MAX('Enter Data Here'!AD49:AH49)</f>
        <v>0</v>
      </c>
      <c r="K21" s="160">
        <f>'Enter Data Here'!AJ15+'Enter Data Here'!AL15+'Enter Data Here'!AN15</f>
        <v>0</v>
      </c>
      <c r="L21" s="161">
        <f>'Enter Data Here'!AK15+'Enter Data Here'!AM15+'Enter Data Here'!AO15</f>
        <v>0</v>
      </c>
      <c r="M21" s="46">
        <f t="shared" si="1"/>
        <v>0</v>
      </c>
      <c r="N21" s="78">
        <f>MAX('Enter Data Here'!AJ49:AN49)</f>
        <v>0</v>
      </c>
      <c r="O21" s="141">
        <f>'Enter Data Here'!AP15+'Enter Data Here'!AR15+'Enter Data Here'!AT15</f>
        <v>0</v>
      </c>
      <c r="P21" s="162">
        <f>'Enter Data Here'!AQ15+'Enter Data Here'!AS15+'Enter Data Here'!AU15</f>
        <v>0</v>
      </c>
      <c r="Q21" s="41">
        <f t="shared" si="2"/>
        <v>0</v>
      </c>
      <c r="R21" s="49">
        <f>MAX('Enter Data Here'!AP49:AT49)</f>
        <v>0</v>
      </c>
      <c r="S21" s="160">
        <f>'Enter Data Here'!AV15+'Enter Data Here'!AX15+'Enter Data Here'!AZ15</f>
        <v>0</v>
      </c>
      <c r="T21" s="163">
        <f>'Enter Data Here'!AW15+'Enter Data Here'!AY15+'Enter Data Here'!BA15</f>
        <v>0</v>
      </c>
      <c r="U21" s="46">
        <f t="shared" si="3"/>
        <v>0</v>
      </c>
      <c r="V21" s="81">
        <f>MAX('Enter Data Here'!AV49:AZ49)</f>
        <v>0</v>
      </c>
    </row>
    <row r="22" spans="1:22" ht="15" customHeight="1">
      <c r="A22" s="4">
        <v>13</v>
      </c>
      <c r="B22" s="151" t="str">
        <f>IF(ISBLANK('Enter Data Here'!B16), " ", 'Enter Data Here'!B16)</f>
        <v xml:space="preserve"> </v>
      </c>
      <c r="C22" s="334" t="str">
        <f>IF(ISBLANK('Enter Data Here'!C16), " ", 'Enter Data Here'!C16)</f>
        <v xml:space="preserve"> </v>
      </c>
      <c r="D22" s="336" t="str">
        <f>IF(ISBLANK('Enter Data Here'!D16), " ", 'Enter Data Here'!D16)</f>
        <v xml:space="preserve"> </v>
      </c>
      <c r="E22" s="337" t="str">
        <f>IF(ISBLANK('Enter Data Here'!E16), " ", 'Enter Data Here'!E16)</f>
        <v xml:space="preserve"> </v>
      </c>
      <c r="F22" s="159"/>
      <c r="G22" s="173">
        <f>'Enter Data Here'!AD16+'Enter Data Here'!AF16+'Enter Data Here'!AH16</f>
        <v>0</v>
      </c>
      <c r="H22" s="142">
        <f>'Enter Data Here'!AE16+'Enter Data Here'!AG16+'Enter Data Here'!AI16</f>
        <v>0</v>
      </c>
      <c r="I22" s="41">
        <f t="shared" si="0"/>
        <v>0</v>
      </c>
      <c r="J22" s="49">
        <f>MAX('Enter Data Here'!AD50:AH50)</f>
        <v>0</v>
      </c>
      <c r="K22" s="160">
        <f>'Enter Data Here'!AJ16+'Enter Data Here'!AL16+'Enter Data Here'!AN16</f>
        <v>0</v>
      </c>
      <c r="L22" s="161">
        <f>'Enter Data Here'!AK16+'Enter Data Here'!AM16+'Enter Data Here'!AO16</f>
        <v>0</v>
      </c>
      <c r="M22" s="46">
        <f t="shared" si="1"/>
        <v>0</v>
      </c>
      <c r="N22" s="78">
        <f>MAX('Enter Data Here'!AJ50:AN50)</f>
        <v>0</v>
      </c>
      <c r="O22" s="141">
        <f>'Enter Data Here'!AP16+'Enter Data Here'!AR16+'Enter Data Here'!AT16</f>
        <v>0</v>
      </c>
      <c r="P22" s="162">
        <f>'Enter Data Here'!AQ16+'Enter Data Here'!AS16+'Enter Data Here'!AU16</f>
        <v>0</v>
      </c>
      <c r="Q22" s="41">
        <f t="shared" si="2"/>
        <v>0</v>
      </c>
      <c r="R22" s="49">
        <f>MAX('Enter Data Here'!AP50:AT50)</f>
        <v>0</v>
      </c>
      <c r="S22" s="160">
        <f>'Enter Data Here'!AV16+'Enter Data Here'!AX16+'Enter Data Here'!AZ16</f>
        <v>0</v>
      </c>
      <c r="T22" s="163">
        <f>'Enter Data Here'!AW16+'Enter Data Here'!AY16+'Enter Data Here'!BA16</f>
        <v>0</v>
      </c>
      <c r="U22" s="46">
        <f t="shared" si="3"/>
        <v>0</v>
      </c>
      <c r="V22" s="81">
        <f>MAX('Enter Data Here'!AV50:AZ50)</f>
        <v>0</v>
      </c>
    </row>
    <row r="23" spans="1:22" ht="15" customHeight="1">
      <c r="A23" s="4">
        <v>14</v>
      </c>
      <c r="B23" s="151" t="str">
        <f>IF(ISBLANK('Enter Data Here'!B17), " ", 'Enter Data Here'!B17)</f>
        <v xml:space="preserve"> </v>
      </c>
      <c r="C23" s="334" t="str">
        <f>IF(ISBLANK('Enter Data Here'!C17), " ", 'Enter Data Here'!C17)</f>
        <v xml:space="preserve"> </v>
      </c>
      <c r="D23" s="336" t="str">
        <f>IF(ISBLANK('Enter Data Here'!D17), " ", 'Enter Data Here'!D17)</f>
        <v xml:space="preserve"> </v>
      </c>
      <c r="E23" s="337" t="str">
        <f>IF(ISBLANK('Enter Data Here'!E17), " ", 'Enter Data Here'!E17)</f>
        <v xml:space="preserve"> </v>
      </c>
      <c r="F23" s="159"/>
      <c r="G23" s="173">
        <f>'Enter Data Here'!AD17+'Enter Data Here'!AF17+'Enter Data Here'!AH17</f>
        <v>0</v>
      </c>
      <c r="H23" s="142">
        <f>'Enter Data Here'!AE17+'Enter Data Here'!AG17+'Enter Data Here'!AI17</f>
        <v>0</v>
      </c>
      <c r="I23" s="41">
        <f t="shared" si="0"/>
        <v>0</v>
      </c>
      <c r="J23" s="49">
        <f>MAX('Enter Data Here'!AD51:AH51)</f>
        <v>0</v>
      </c>
      <c r="K23" s="160">
        <f>'Enter Data Here'!AJ17+'Enter Data Here'!AL17+'Enter Data Here'!AN17</f>
        <v>0</v>
      </c>
      <c r="L23" s="161">
        <f>'Enter Data Here'!AK17+'Enter Data Here'!AM17+'Enter Data Here'!AO17</f>
        <v>0</v>
      </c>
      <c r="M23" s="46">
        <f t="shared" si="1"/>
        <v>0</v>
      </c>
      <c r="N23" s="78">
        <f>MAX('Enter Data Here'!AJ51:AN51)</f>
        <v>0</v>
      </c>
      <c r="O23" s="141">
        <f>'Enter Data Here'!AP17+'Enter Data Here'!AR17+'Enter Data Here'!AT17</f>
        <v>0</v>
      </c>
      <c r="P23" s="162">
        <f>'Enter Data Here'!AQ17+'Enter Data Here'!AS17+'Enter Data Here'!AU17</f>
        <v>0</v>
      </c>
      <c r="Q23" s="41">
        <f t="shared" si="2"/>
        <v>0</v>
      </c>
      <c r="R23" s="49">
        <f>MAX('Enter Data Here'!AP51:AT51)</f>
        <v>0</v>
      </c>
      <c r="S23" s="160">
        <f>'Enter Data Here'!AV17+'Enter Data Here'!AX17+'Enter Data Here'!AZ17</f>
        <v>0</v>
      </c>
      <c r="T23" s="163">
        <f>'Enter Data Here'!AW17+'Enter Data Here'!AY17+'Enter Data Here'!BA17</f>
        <v>0</v>
      </c>
      <c r="U23" s="46">
        <f t="shared" si="3"/>
        <v>0</v>
      </c>
      <c r="V23" s="81">
        <f>MAX('Enter Data Here'!AV51:AZ51)</f>
        <v>0</v>
      </c>
    </row>
    <row r="24" spans="1:22" ht="15" customHeight="1">
      <c r="A24" s="4">
        <v>15</v>
      </c>
      <c r="B24" s="151" t="str">
        <f>IF(ISBLANK('Enter Data Here'!B18), " ", 'Enter Data Here'!B18)</f>
        <v xml:space="preserve"> </v>
      </c>
      <c r="C24" s="334" t="str">
        <f>IF(ISBLANK('Enter Data Here'!C18), " ", 'Enter Data Here'!C18)</f>
        <v xml:space="preserve"> </v>
      </c>
      <c r="D24" s="336" t="str">
        <f>IF(ISBLANK('Enter Data Here'!D18), " ", 'Enter Data Here'!D18)</f>
        <v xml:space="preserve"> </v>
      </c>
      <c r="E24" s="337" t="str">
        <f>IF(ISBLANK('Enter Data Here'!E18), " ", 'Enter Data Here'!E18)</f>
        <v xml:space="preserve"> </v>
      </c>
      <c r="F24" s="159"/>
      <c r="G24" s="173">
        <f>'Enter Data Here'!AD18+'Enter Data Here'!AF18+'Enter Data Here'!AH18</f>
        <v>0</v>
      </c>
      <c r="H24" s="142">
        <f>'Enter Data Here'!AE18+'Enter Data Here'!AG18+'Enter Data Here'!AI18</f>
        <v>0</v>
      </c>
      <c r="I24" s="41">
        <f t="shared" si="0"/>
        <v>0</v>
      </c>
      <c r="J24" s="49">
        <f>MAX('Enter Data Here'!AD52:AH52)</f>
        <v>0</v>
      </c>
      <c r="K24" s="160">
        <f>'Enter Data Here'!AJ18+'Enter Data Here'!AL18+'Enter Data Here'!AN18</f>
        <v>0</v>
      </c>
      <c r="L24" s="161">
        <f>'Enter Data Here'!AK18+'Enter Data Here'!AM18+'Enter Data Here'!AO18</f>
        <v>0</v>
      </c>
      <c r="M24" s="46">
        <f t="shared" si="1"/>
        <v>0</v>
      </c>
      <c r="N24" s="78">
        <f>MAX('Enter Data Here'!AJ52:AN52)</f>
        <v>0</v>
      </c>
      <c r="O24" s="141">
        <f>'Enter Data Here'!AP18+'Enter Data Here'!AR18+'Enter Data Here'!AT18</f>
        <v>0</v>
      </c>
      <c r="P24" s="162">
        <f>'Enter Data Here'!AQ18+'Enter Data Here'!AS18+'Enter Data Here'!AU18</f>
        <v>0</v>
      </c>
      <c r="Q24" s="41">
        <f t="shared" si="2"/>
        <v>0</v>
      </c>
      <c r="R24" s="49">
        <f>MAX('Enter Data Here'!AP52:AT52)</f>
        <v>0</v>
      </c>
      <c r="S24" s="160">
        <f>'Enter Data Here'!AV18+'Enter Data Here'!AX18+'Enter Data Here'!AZ18</f>
        <v>0</v>
      </c>
      <c r="T24" s="163">
        <f>'Enter Data Here'!AW18+'Enter Data Here'!AY18+'Enter Data Here'!BA18</f>
        <v>0</v>
      </c>
      <c r="U24" s="46">
        <f t="shared" si="3"/>
        <v>0</v>
      </c>
      <c r="V24" s="81">
        <f>MAX('Enter Data Here'!AV52:AZ52)</f>
        <v>0</v>
      </c>
    </row>
    <row r="25" spans="1:22" ht="15" customHeight="1">
      <c r="A25" s="4">
        <v>16</v>
      </c>
      <c r="B25" s="151" t="str">
        <f>IF(ISBLANK('Enter Data Here'!B19), " ", 'Enter Data Here'!B19)</f>
        <v xml:space="preserve"> </v>
      </c>
      <c r="C25" s="334" t="str">
        <f>IF(ISBLANK('Enter Data Here'!C19), " ", 'Enter Data Here'!C19)</f>
        <v xml:space="preserve"> </v>
      </c>
      <c r="D25" s="336" t="str">
        <f>IF(ISBLANK('Enter Data Here'!D19), " ", 'Enter Data Here'!D19)</f>
        <v xml:space="preserve"> </v>
      </c>
      <c r="E25" s="337" t="str">
        <f>IF(ISBLANK('Enter Data Here'!E19), " ", 'Enter Data Here'!E19)</f>
        <v xml:space="preserve"> </v>
      </c>
      <c r="F25" s="159"/>
      <c r="G25" s="173">
        <f>'Enter Data Here'!AD19+'Enter Data Here'!AF19+'Enter Data Here'!AH19</f>
        <v>0</v>
      </c>
      <c r="H25" s="142">
        <f>'Enter Data Here'!AE19+'Enter Data Here'!AG19+'Enter Data Here'!AI19</f>
        <v>0</v>
      </c>
      <c r="I25" s="41">
        <f t="shared" si="0"/>
        <v>0</v>
      </c>
      <c r="J25" s="49">
        <f>MAX('Enter Data Here'!AD53:AH53)</f>
        <v>0</v>
      </c>
      <c r="K25" s="160">
        <f>'Enter Data Here'!AJ19+'Enter Data Here'!AL19+'Enter Data Here'!AN19</f>
        <v>0</v>
      </c>
      <c r="L25" s="161">
        <f>'Enter Data Here'!AK19+'Enter Data Here'!AM19+'Enter Data Here'!AO19</f>
        <v>0</v>
      </c>
      <c r="M25" s="46">
        <f t="shared" si="1"/>
        <v>0</v>
      </c>
      <c r="N25" s="78">
        <f>MAX('Enter Data Here'!AJ53:AN53)</f>
        <v>0</v>
      </c>
      <c r="O25" s="141">
        <f>'Enter Data Here'!AP19+'Enter Data Here'!AR19+'Enter Data Here'!AT19</f>
        <v>0</v>
      </c>
      <c r="P25" s="162">
        <f>'Enter Data Here'!AQ19+'Enter Data Here'!AS19+'Enter Data Here'!AU19</f>
        <v>0</v>
      </c>
      <c r="Q25" s="41">
        <f t="shared" si="2"/>
        <v>0</v>
      </c>
      <c r="R25" s="49">
        <f>MAX('Enter Data Here'!AP53:AT53)</f>
        <v>0</v>
      </c>
      <c r="S25" s="160">
        <f>'Enter Data Here'!AV19+'Enter Data Here'!AX19+'Enter Data Here'!AZ19</f>
        <v>0</v>
      </c>
      <c r="T25" s="163">
        <f>'Enter Data Here'!AW19+'Enter Data Here'!AY19+'Enter Data Here'!BA19</f>
        <v>0</v>
      </c>
      <c r="U25" s="46">
        <f t="shared" si="3"/>
        <v>0</v>
      </c>
      <c r="V25" s="81">
        <f>MAX('Enter Data Here'!AV53:AZ53)</f>
        <v>0</v>
      </c>
    </row>
    <row r="26" spans="1:22" ht="15" customHeight="1">
      <c r="A26" s="4">
        <v>17</v>
      </c>
      <c r="B26" s="151" t="str">
        <f>IF(ISBLANK('Enter Data Here'!B20), " ", 'Enter Data Here'!B20)</f>
        <v xml:space="preserve"> </v>
      </c>
      <c r="C26" s="334" t="str">
        <f>IF(ISBLANK('Enter Data Here'!C20), " ", 'Enter Data Here'!C20)</f>
        <v xml:space="preserve"> </v>
      </c>
      <c r="D26" s="336" t="str">
        <f>IF(ISBLANK('Enter Data Here'!D20), " ", 'Enter Data Here'!D20)</f>
        <v xml:space="preserve"> </v>
      </c>
      <c r="E26" s="337" t="str">
        <f>IF(ISBLANK('Enter Data Here'!E20), " ", 'Enter Data Here'!E20)</f>
        <v xml:space="preserve"> </v>
      </c>
      <c r="F26" s="159"/>
      <c r="G26" s="173">
        <f>'Enter Data Here'!AD20+'Enter Data Here'!AF20+'Enter Data Here'!AH20</f>
        <v>0</v>
      </c>
      <c r="H26" s="142">
        <f>'Enter Data Here'!AE20+'Enter Data Here'!AG20+'Enter Data Here'!AI20</f>
        <v>0</v>
      </c>
      <c r="I26" s="41">
        <f t="shared" si="0"/>
        <v>0</v>
      </c>
      <c r="J26" s="49">
        <f>MAX('Enter Data Here'!AD54:AH54)</f>
        <v>0</v>
      </c>
      <c r="K26" s="160">
        <f>'Enter Data Here'!AJ20+'Enter Data Here'!AL20+'Enter Data Here'!AN20</f>
        <v>0</v>
      </c>
      <c r="L26" s="161">
        <f>'Enter Data Here'!AK20+'Enter Data Here'!AM20+'Enter Data Here'!AO20</f>
        <v>0</v>
      </c>
      <c r="M26" s="46">
        <f t="shared" si="1"/>
        <v>0</v>
      </c>
      <c r="N26" s="78">
        <f>MAX('Enter Data Here'!AJ54:AN54)</f>
        <v>0</v>
      </c>
      <c r="O26" s="141">
        <f>'Enter Data Here'!AP20+'Enter Data Here'!AR20+'Enter Data Here'!AT20</f>
        <v>0</v>
      </c>
      <c r="P26" s="162">
        <f>'Enter Data Here'!AQ20+'Enter Data Here'!AS20+'Enter Data Here'!AU20</f>
        <v>0</v>
      </c>
      <c r="Q26" s="41">
        <f t="shared" si="2"/>
        <v>0</v>
      </c>
      <c r="R26" s="49">
        <f>MAX('Enter Data Here'!AP54:AT54)</f>
        <v>0</v>
      </c>
      <c r="S26" s="160">
        <f>'Enter Data Here'!AV20+'Enter Data Here'!AX20+'Enter Data Here'!AZ20</f>
        <v>0</v>
      </c>
      <c r="T26" s="163">
        <f>'Enter Data Here'!AW20+'Enter Data Here'!AY20+'Enter Data Here'!BA20</f>
        <v>0</v>
      </c>
      <c r="U26" s="46">
        <f t="shared" si="3"/>
        <v>0</v>
      </c>
      <c r="V26" s="81">
        <f>MAX('Enter Data Here'!AV54:AZ54)</f>
        <v>0</v>
      </c>
    </row>
    <row r="27" spans="1:22" ht="15" customHeight="1">
      <c r="A27" s="4">
        <v>18</v>
      </c>
      <c r="B27" s="151" t="str">
        <f>IF(ISBLANK('Enter Data Here'!B21), " ", 'Enter Data Here'!B21)</f>
        <v xml:space="preserve"> </v>
      </c>
      <c r="C27" s="334" t="str">
        <f>IF(ISBLANK('Enter Data Here'!C21), " ", 'Enter Data Here'!C21)</f>
        <v xml:space="preserve"> </v>
      </c>
      <c r="D27" s="336" t="str">
        <f>IF(ISBLANK('Enter Data Here'!D21), " ", 'Enter Data Here'!D21)</f>
        <v xml:space="preserve"> </v>
      </c>
      <c r="E27" s="337" t="str">
        <f>IF(ISBLANK('Enter Data Here'!E21), " ", 'Enter Data Here'!E21)</f>
        <v xml:space="preserve"> </v>
      </c>
      <c r="F27" s="159"/>
      <c r="G27" s="173">
        <f>'Enter Data Here'!AD21+'Enter Data Here'!AF21+'Enter Data Here'!AH21</f>
        <v>0</v>
      </c>
      <c r="H27" s="142">
        <f>'Enter Data Here'!AE21+'Enter Data Here'!AG21+'Enter Data Here'!AI21</f>
        <v>0</v>
      </c>
      <c r="I27" s="41">
        <f t="shared" si="0"/>
        <v>0</v>
      </c>
      <c r="J27" s="49">
        <f>MAX('Enter Data Here'!AD55:AH55)</f>
        <v>0</v>
      </c>
      <c r="K27" s="160">
        <f>'Enter Data Here'!AJ21+'Enter Data Here'!AL21+'Enter Data Here'!AN21</f>
        <v>0</v>
      </c>
      <c r="L27" s="161">
        <f>'Enter Data Here'!AK21+'Enter Data Here'!AM21+'Enter Data Here'!AO21</f>
        <v>0</v>
      </c>
      <c r="M27" s="46">
        <f t="shared" si="1"/>
        <v>0</v>
      </c>
      <c r="N27" s="78">
        <f>MAX('Enter Data Here'!AJ55:AN55)</f>
        <v>0</v>
      </c>
      <c r="O27" s="141">
        <f>'Enter Data Here'!AP21+'Enter Data Here'!AR21+'Enter Data Here'!AT21</f>
        <v>0</v>
      </c>
      <c r="P27" s="162">
        <f>'Enter Data Here'!AQ21+'Enter Data Here'!AS21+'Enter Data Here'!AU21</f>
        <v>0</v>
      </c>
      <c r="Q27" s="41">
        <f t="shared" si="2"/>
        <v>0</v>
      </c>
      <c r="R27" s="49">
        <f>MAX('Enter Data Here'!AP55:AT55)</f>
        <v>0</v>
      </c>
      <c r="S27" s="160">
        <f>'Enter Data Here'!AV21+'Enter Data Here'!AX21+'Enter Data Here'!AZ21</f>
        <v>0</v>
      </c>
      <c r="T27" s="163">
        <f>'Enter Data Here'!AW21+'Enter Data Here'!AY21+'Enter Data Here'!BA21</f>
        <v>0</v>
      </c>
      <c r="U27" s="46">
        <f t="shared" si="3"/>
        <v>0</v>
      </c>
      <c r="V27" s="81">
        <f>MAX('Enter Data Here'!AV55:AZ55)</f>
        <v>0</v>
      </c>
    </row>
    <row r="28" spans="1:22" ht="15" customHeight="1">
      <c r="A28" s="4">
        <v>19</v>
      </c>
      <c r="B28" s="151" t="str">
        <f>IF(ISBLANK('Enter Data Here'!B22), " ", 'Enter Data Here'!B22)</f>
        <v xml:space="preserve"> </v>
      </c>
      <c r="C28" s="334" t="str">
        <f>IF(ISBLANK('Enter Data Here'!C22), " ", 'Enter Data Here'!C22)</f>
        <v xml:space="preserve"> </v>
      </c>
      <c r="D28" s="336" t="str">
        <f>IF(ISBLANK('Enter Data Here'!D22), " ", 'Enter Data Here'!D22)</f>
        <v xml:space="preserve"> </v>
      </c>
      <c r="E28" s="337" t="str">
        <f>IF(ISBLANK('Enter Data Here'!E22), " ", 'Enter Data Here'!E22)</f>
        <v xml:space="preserve"> </v>
      </c>
      <c r="F28" s="159"/>
      <c r="G28" s="173">
        <f>'Enter Data Here'!AD22+'Enter Data Here'!AF22+'Enter Data Here'!AH22</f>
        <v>0</v>
      </c>
      <c r="H28" s="142">
        <f>'Enter Data Here'!AE22+'Enter Data Here'!AG22+'Enter Data Here'!AI22</f>
        <v>0</v>
      </c>
      <c r="I28" s="41">
        <f t="shared" si="0"/>
        <v>0</v>
      </c>
      <c r="J28" s="49">
        <f>MAX('Enter Data Here'!AD56:AH56)</f>
        <v>0</v>
      </c>
      <c r="K28" s="160">
        <f>'Enter Data Here'!AJ22+'Enter Data Here'!AL22+'Enter Data Here'!AN22</f>
        <v>0</v>
      </c>
      <c r="L28" s="161">
        <f>'Enter Data Here'!AK22+'Enter Data Here'!AM22+'Enter Data Here'!AO22</f>
        <v>0</v>
      </c>
      <c r="M28" s="46">
        <f t="shared" si="1"/>
        <v>0</v>
      </c>
      <c r="N28" s="78">
        <f>MAX('Enter Data Here'!AJ56:AN56)</f>
        <v>0</v>
      </c>
      <c r="O28" s="141">
        <f>'Enter Data Here'!AP22+'Enter Data Here'!AR22+'Enter Data Here'!AT22</f>
        <v>0</v>
      </c>
      <c r="P28" s="162">
        <f>'Enter Data Here'!AQ22+'Enter Data Here'!AS22+'Enter Data Here'!AU22</f>
        <v>0</v>
      </c>
      <c r="Q28" s="41">
        <f t="shared" si="2"/>
        <v>0</v>
      </c>
      <c r="R28" s="49">
        <f>MAX('Enter Data Here'!AP56:AT56)</f>
        <v>0</v>
      </c>
      <c r="S28" s="160">
        <f>'Enter Data Here'!AV22+'Enter Data Here'!AX22+'Enter Data Here'!AZ22</f>
        <v>0</v>
      </c>
      <c r="T28" s="163">
        <f>'Enter Data Here'!AW22+'Enter Data Here'!AY22+'Enter Data Here'!BA22</f>
        <v>0</v>
      </c>
      <c r="U28" s="46">
        <f t="shared" si="3"/>
        <v>0</v>
      </c>
      <c r="V28" s="81">
        <f>MAX('Enter Data Here'!AV56:AZ56)</f>
        <v>0</v>
      </c>
    </row>
    <row r="29" spans="1:22" ht="15" customHeight="1">
      <c r="A29" s="4">
        <v>20</v>
      </c>
      <c r="B29" s="151" t="str">
        <f>IF(ISBLANK('Enter Data Here'!B23), " ", 'Enter Data Here'!B23)</f>
        <v xml:space="preserve"> </v>
      </c>
      <c r="C29" s="334" t="str">
        <f>IF(ISBLANK('Enter Data Here'!C23), " ", 'Enter Data Here'!C23)</f>
        <v xml:space="preserve"> </v>
      </c>
      <c r="D29" s="336" t="str">
        <f>IF(ISBLANK('Enter Data Here'!D23), " ", 'Enter Data Here'!D23)</f>
        <v xml:space="preserve"> </v>
      </c>
      <c r="E29" s="337" t="str">
        <f>IF(ISBLANK('Enter Data Here'!E23), " ", 'Enter Data Here'!E23)</f>
        <v xml:space="preserve"> </v>
      </c>
      <c r="F29" s="159"/>
      <c r="G29" s="173">
        <f>'Enter Data Here'!AD23+'Enter Data Here'!AF23+'Enter Data Here'!AH23</f>
        <v>0</v>
      </c>
      <c r="H29" s="142">
        <f>'Enter Data Here'!AE23+'Enter Data Here'!AG23+'Enter Data Here'!AI23</f>
        <v>0</v>
      </c>
      <c r="I29" s="41">
        <f t="shared" si="0"/>
        <v>0</v>
      </c>
      <c r="J29" s="49">
        <f>MAX('Enter Data Here'!AD57:AH57)</f>
        <v>0</v>
      </c>
      <c r="K29" s="160">
        <f>'Enter Data Here'!AJ23+'Enter Data Here'!AL23+'Enter Data Here'!AN23</f>
        <v>0</v>
      </c>
      <c r="L29" s="161">
        <f>'Enter Data Here'!AK23+'Enter Data Here'!AM23+'Enter Data Here'!AO23</f>
        <v>0</v>
      </c>
      <c r="M29" s="46">
        <f t="shared" si="1"/>
        <v>0</v>
      </c>
      <c r="N29" s="78">
        <f>MAX('Enter Data Here'!AJ57:AN57)</f>
        <v>0</v>
      </c>
      <c r="O29" s="141">
        <f>'Enter Data Here'!AP23+'Enter Data Here'!AR23+'Enter Data Here'!AT23</f>
        <v>0</v>
      </c>
      <c r="P29" s="162">
        <f>'Enter Data Here'!AQ23+'Enter Data Here'!AS23+'Enter Data Here'!AU23</f>
        <v>0</v>
      </c>
      <c r="Q29" s="41">
        <f t="shared" si="2"/>
        <v>0</v>
      </c>
      <c r="R29" s="49">
        <f>MAX('Enter Data Here'!AP57:AT57)</f>
        <v>0</v>
      </c>
      <c r="S29" s="160">
        <f>'Enter Data Here'!AV23+'Enter Data Here'!AX23+'Enter Data Here'!AZ23</f>
        <v>0</v>
      </c>
      <c r="T29" s="163">
        <f>'Enter Data Here'!AW23+'Enter Data Here'!AY23+'Enter Data Here'!BA23</f>
        <v>0</v>
      </c>
      <c r="U29" s="46">
        <f t="shared" si="3"/>
        <v>0</v>
      </c>
      <c r="V29" s="81">
        <f>MAX('Enter Data Here'!AV57:AZ57)</f>
        <v>0</v>
      </c>
    </row>
    <row r="30" spans="1:22" ht="15" customHeight="1">
      <c r="A30" s="4">
        <v>21</v>
      </c>
      <c r="B30" s="151" t="str">
        <f>IF(ISBLANK('Enter Data Here'!B24), " ", 'Enter Data Here'!B24)</f>
        <v xml:space="preserve"> </v>
      </c>
      <c r="C30" s="334" t="str">
        <f>IF(ISBLANK('Enter Data Here'!C24), " ", 'Enter Data Here'!C24)</f>
        <v xml:space="preserve"> </v>
      </c>
      <c r="D30" s="336" t="str">
        <f>IF(ISBLANK('Enter Data Here'!D24), " ", 'Enter Data Here'!D24)</f>
        <v xml:space="preserve"> </v>
      </c>
      <c r="E30" s="337" t="str">
        <f>IF(ISBLANK('Enter Data Here'!E24), " ", 'Enter Data Here'!E24)</f>
        <v xml:space="preserve"> </v>
      </c>
      <c r="F30" s="159"/>
      <c r="G30" s="173">
        <f>'Enter Data Here'!AD24+'Enter Data Here'!AF24+'Enter Data Here'!AH24</f>
        <v>0</v>
      </c>
      <c r="H30" s="142">
        <f>'Enter Data Here'!AE24+'Enter Data Here'!AG24+'Enter Data Here'!AI24</f>
        <v>0</v>
      </c>
      <c r="I30" s="41">
        <f t="shared" si="0"/>
        <v>0</v>
      </c>
      <c r="J30" s="49">
        <f>MAX('Enter Data Here'!AD58:AH58)</f>
        <v>0</v>
      </c>
      <c r="K30" s="160">
        <f>'Enter Data Here'!AJ24+'Enter Data Here'!AL24+'Enter Data Here'!AN24</f>
        <v>0</v>
      </c>
      <c r="L30" s="161">
        <f>'Enter Data Here'!AK24+'Enter Data Here'!AM24+'Enter Data Here'!AO24</f>
        <v>0</v>
      </c>
      <c r="M30" s="46">
        <f t="shared" si="1"/>
        <v>0</v>
      </c>
      <c r="N30" s="78">
        <f>MAX('Enter Data Here'!AJ58:AN58)</f>
        <v>0</v>
      </c>
      <c r="O30" s="141">
        <f>'Enter Data Here'!AP24+'Enter Data Here'!AR24+'Enter Data Here'!AT24</f>
        <v>0</v>
      </c>
      <c r="P30" s="162">
        <f>'Enter Data Here'!AQ24+'Enter Data Here'!AS24+'Enter Data Here'!AU24</f>
        <v>0</v>
      </c>
      <c r="Q30" s="41">
        <f t="shared" si="2"/>
        <v>0</v>
      </c>
      <c r="R30" s="49">
        <f>MAX('Enter Data Here'!AP58:AT58)</f>
        <v>0</v>
      </c>
      <c r="S30" s="160">
        <f>'Enter Data Here'!AV24+'Enter Data Here'!AX24+'Enter Data Here'!AZ24</f>
        <v>0</v>
      </c>
      <c r="T30" s="163">
        <f>'Enter Data Here'!AW24+'Enter Data Here'!AY24+'Enter Data Here'!BA24</f>
        <v>0</v>
      </c>
      <c r="U30" s="46">
        <f t="shared" si="3"/>
        <v>0</v>
      </c>
      <c r="V30" s="81">
        <f>MAX('Enter Data Here'!AV58:AZ58)</f>
        <v>0</v>
      </c>
    </row>
    <row r="31" spans="1:22" ht="15" customHeight="1">
      <c r="A31" s="4">
        <v>22</v>
      </c>
      <c r="B31" s="151" t="str">
        <f>IF(ISBLANK('Enter Data Here'!B25), " ", 'Enter Data Here'!B25)</f>
        <v xml:space="preserve"> </v>
      </c>
      <c r="C31" s="334" t="str">
        <f>IF(ISBLANK('Enter Data Here'!C25), " ", 'Enter Data Here'!C25)</f>
        <v xml:space="preserve"> </v>
      </c>
      <c r="D31" s="336" t="str">
        <f>IF(ISBLANK('Enter Data Here'!D25), " ", 'Enter Data Here'!D25)</f>
        <v xml:space="preserve"> </v>
      </c>
      <c r="E31" s="337" t="str">
        <f>IF(ISBLANK('Enter Data Here'!E25), " ", 'Enter Data Here'!E25)</f>
        <v xml:space="preserve"> </v>
      </c>
      <c r="F31" s="159"/>
      <c r="G31" s="173">
        <f>'Enter Data Here'!AD25+'Enter Data Here'!AF25+'Enter Data Here'!AH25</f>
        <v>0</v>
      </c>
      <c r="H31" s="142">
        <f>'Enter Data Here'!AE25+'Enter Data Here'!AG25+'Enter Data Here'!AI25</f>
        <v>0</v>
      </c>
      <c r="I31" s="41">
        <f t="shared" si="0"/>
        <v>0</v>
      </c>
      <c r="J31" s="49">
        <f>MAX('Enter Data Here'!AD59:AH59)</f>
        <v>0</v>
      </c>
      <c r="K31" s="160">
        <f>'Enter Data Here'!AJ25+'Enter Data Here'!AL25+'Enter Data Here'!AN25</f>
        <v>0</v>
      </c>
      <c r="L31" s="161">
        <f>'Enter Data Here'!AK25+'Enter Data Here'!AM25+'Enter Data Here'!AO25</f>
        <v>0</v>
      </c>
      <c r="M31" s="46">
        <f t="shared" si="1"/>
        <v>0</v>
      </c>
      <c r="N31" s="78">
        <f>MAX('Enter Data Here'!AJ59:AN59)</f>
        <v>0</v>
      </c>
      <c r="O31" s="141">
        <f>'Enter Data Here'!AP25+'Enter Data Here'!AR25+'Enter Data Here'!AT25</f>
        <v>0</v>
      </c>
      <c r="P31" s="162">
        <f>'Enter Data Here'!AQ25+'Enter Data Here'!AS25+'Enter Data Here'!AU25</f>
        <v>0</v>
      </c>
      <c r="Q31" s="41">
        <f t="shared" si="2"/>
        <v>0</v>
      </c>
      <c r="R31" s="49">
        <f>MAX('Enter Data Here'!AP59:AT59)</f>
        <v>0</v>
      </c>
      <c r="S31" s="160">
        <f>'Enter Data Here'!AV25+'Enter Data Here'!AX25+'Enter Data Here'!AZ25</f>
        <v>0</v>
      </c>
      <c r="T31" s="163">
        <f>'Enter Data Here'!AW25+'Enter Data Here'!AY25+'Enter Data Here'!BA25</f>
        <v>0</v>
      </c>
      <c r="U31" s="46">
        <f t="shared" si="3"/>
        <v>0</v>
      </c>
      <c r="V31" s="81">
        <f>MAX('Enter Data Here'!AV59:AZ59)</f>
        <v>0</v>
      </c>
    </row>
    <row r="32" spans="1:22" ht="15" customHeight="1">
      <c r="A32" s="4">
        <v>23</v>
      </c>
      <c r="B32" s="151" t="str">
        <f>IF(ISBLANK('Enter Data Here'!B26), " ", 'Enter Data Here'!B26)</f>
        <v xml:space="preserve"> </v>
      </c>
      <c r="C32" s="334" t="str">
        <f>IF(ISBLANK('Enter Data Here'!C26), " ", 'Enter Data Here'!C26)</f>
        <v xml:space="preserve"> </v>
      </c>
      <c r="D32" s="336" t="str">
        <f>IF(ISBLANK('Enter Data Here'!D26), " ", 'Enter Data Here'!D26)</f>
        <v xml:space="preserve"> </v>
      </c>
      <c r="E32" s="337" t="str">
        <f>IF(ISBLANK('Enter Data Here'!E26), " ", 'Enter Data Here'!E26)</f>
        <v xml:space="preserve"> </v>
      </c>
      <c r="F32" s="159"/>
      <c r="G32" s="173">
        <f>'Enter Data Here'!AD26+'Enter Data Here'!AF26+'Enter Data Here'!AH26</f>
        <v>0</v>
      </c>
      <c r="H32" s="142">
        <f>'Enter Data Here'!AE26+'Enter Data Here'!AG26+'Enter Data Here'!AI26</f>
        <v>0</v>
      </c>
      <c r="I32" s="41">
        <f t="shared" si="0"/>
        <v>0</v>
      </c>
      <c r="J32" s="49">
        <f>MAX('Enter Data Here'!AD60:AH60)</f>
        <v>0</v>
      </c>
      <c r="K32" s="160">
        <f>'Enter Data Here'!AJ26+'Enter Data Here'!AL26+'Enter Data Here'!AN26</f>
        <v>0</v>
      </c>
      <c r="L32" s="161">
        <f>'Enter Data Here'!AK26+'Enter Data Here'!AM26+'Enter Data Here'!AO26</f>
        <v>0</v>
      </c>
      <c r="M32" s="46">
        <f t="shared" si="1"/>
        <v>0</v>
      </c>
      <c r="N32" s="78">
        <f>MAX('Enter Data Here'!AJ60:AN60)</f>
        <v>0</v>
      </c>
      <c r="O32" s="141">
        <f>'Enter Data Here'!AP26+'Enter Data Here'!AR26+'Enter Data Here'!AT26</f>
        <v>0</v>
      </c>
      <c r="P32" s="162">
        <f>'Enter Data Here'!AQ26+'Enter Data Here'!AS26+'Enter Data Here'!AU26</f>
        <v>0</v>
      </c>
      <c r="Q32" s="41">
        <f t="shared" si="2"/>
        <v>0</v>
      </c>
      <c r="R32" s="49">
        <f>MAX('Enter Data Here'!AP60:AT60)</f>
        <v>0</v>
      </c>
      <c r="S32" s="160">
        <f>'Enter Data Here'!AV26+'Enter Data Here'!AX26+'Enter Data Here'!AZ26</f>
        <v>0</v>
      </c>
      <c r="T32" s="163">
        <f>'Enter Data Here'!AW26+'Enter Data Here'!AY26+'Enter Data Here'!BA26</f>
        <v>0</v>
      </c>
      <c r="U32" s="46">
        <f t="shared" si="3"/>
        <v>0</v>
      </c>
      <c r="V32" s="81">
        <f>MAX('Enter Data Here'!AV60:AZ60)</f>
        <v>0</v>
      </c>
    </row>
    <row r="33" spans="1:22" ht="15" customHeight="1">
      <c r="A33" s="4">
        <v>24</v>
      </c>
      <c r="B33" s="151" t="str">
        <f>IF(ISBLANK('Enter Data Here'!B27), " ", 'Enter Data Here'!B27)</f>
        <v xml:space="preserve"> </v>
      </c>
      <c r="C33" s="334" t="str">
        <f>IF(ISBLANK('Enter Data Here'!C27), " ", 'Enter Data Here'!C27)</f>
        <v xml:space="preserve"> </v>
      </c>
      <c r="D33" s="336" t="str">
        <f>IF(ISBLANK('Enter Data Here'!D27), " ", 'Enter Data Here'!D27)</f>
        <v xml:space="preserve"> </v>
      </c>
      <c r="E33" s="337" t="str">
        <f>IF(ISBLANK('Enter Data Here'!E27), " ", 'Enter Data Here'!E27)</f>
        <v xml:space="preserve"> </v>
      </c>
      <c r="F33" s="159"/>
      <c r="G33" s="173">
        <f>'Enter Data Here'!AD27+'Enter Data Here'!AF27+'Enter Data Here'!AH27</f>
        <v>0</v>
      </c>
      <c r="H33" s="142">
        <f>'Enter Data Here'!AE27+'Enter Data Here'!AG27+'Enter Data Here'!AI27</f>
        <v>0</v>
      </c>
      <c r="I33" s="41">
        <f t="shared" si="0"/>
        <v>0</v>
      </c>
      <c r="J33" s="49">
        <f>MAX('Enter Data Here'!AD61:AH61)</f>
        <v>0</v>
      </c>
      <c r="K33" s="160">
        <f>'Enter Data Here'!AJ27+'Enter Data Here'!AL27+'Enter Data Here'!AN27</f>
        <v>0</v>
      </c>
      <c r="L33" s="161">
        <f>'Enter Data Here'!AK27+'Enter Data Here'!AM27+'Enter Data Here'!AO27</f>
        <v>0</v>
      </c>
      <c r="M33" s="46">
        <f t="shared" si="1"/>
        <v>0</v>
      </c>
      <c r="N33" s="78">
        <f>MAX('Enter Data Here'!AJ61:AN61)</f>
        <v>0</v>
      </c>
      <c r="O33" s="141">
        <f>'Enter Data Here'!AP27+'Enter Data Here'!AR27+'Enter Data Here'!AT27</f>
        <v>0</v>
      </c>
      <c r="P33" s="162">
        <f>'Enter Data Here'!AQ27+'Enter Data Here'!AS27+'Enter Data Here'!AU27</f>
        <v>0</v>
      </c>
      <c r="Q33" s="41">
        <f t="shared" si="2"/>
        <v>0</v>
      </c>
      <c r="R33" s="49">
        <f>MAX('Enter Data Here'!AP61:AT61)</f>
        <v>0</v>
      </c>
      <c r="S33" s="160">
        <f>'Enter Data Here'!AV27+'Enter Data Here'!AX27+'Enter Data Here'!AZ27</f>
        <v>0</v>
      </c>
      <c r="T33" s="163">
        <f>'Enter Data Here'!AW27+'Enter Data Here'!AY27+'Enter Data Here'!BA27</f>
        <v>0</v>
      </c>
      <c r="U33" s="46">
        <f t="shared" si="3"/>
        <v>0</v>
      </c>
      <c r="V33" s="81">
        <f>MAX('Enter Data Here'!AV61:AZ61)</f>
        <v>0</v>
      </c>
    </row>
    <row r="34" spans="1:22" ht="15" customHeight="1">
      <c r="A34" s="4">
        <v>25</v>
      </c>
      <c r="B34" s="151" t="str">
        <f>IF(ISBLANK('Enter Data Here'!B28), " ", 'Enter Data Here'!B28)</f>
        <v xml:space="preserve"> </v>
      </c>
      <c r="C34" s="334" t="str">
        <f>IF(ISBLANK('Enter Data Here'!C28), " ", 'Enter Data Here'!C28)</f>
        <v xml:space="preserve"> </v>
      </c>
      <c r="D34" s="336" t="str">
        <f>IF(ISBLANK('Enter Data Here'!D28), " ", 'Enter Data Here'!D28)</f>
        <v xml:space="preserve"> </v>
      </c>
      <c r="E34" s="337" t="str">
        <f>IF(ISBLANK('Enter Data Here'!E28), " ", 'Enter Data Here'!E28)</f>
        <v xml:space="preserve"> </v>
      </c>
      <c r="F34" s="159"/>
      <c r="G34" s="173">
        <f>'Enter Data Here'!AD28+'Enter Data Here'!AF28+'Enter Data Here'!AH28</f>
        <v>0</v>
      </c>
      <c r="H34" s="142">
        <f>'Enter Data Here'!AE28+'Enter Data Here'!AG28+'Enter Data Here'!AI28</f>
        <v>0</v>
      </c>
      <c r="I34" s="41">
        <f t="shared" si="0"/>
        <v>0</v>
      </c>
      <c r="J34" s="49">
        <f>MAX('Enter Data Here'!AD62:AH62)</f>
        <v>0</v>
      </c>
      <c r="K34" s="160">
        <f>'Enter Data Here'!AJ28+'Enter Data Here'!AL28+'Enter Data Here'!AN28</f>
        <v>0</v>
      </c>
      <c r="L34" s="161">
        <f>'Enter Data Here'!AK28+'Enter Data Here'!AM28+'Enter Data Here'!AO28</f>
        <v>0</v>
      </c>
      <c r="M34" s="46">
        <f t="shared" si="1"/>
        <v>0</v>
      </c>
      <c r="N34" s="78">
        <f>MAX('Enter Data Here'!AJ62:AN62)</f>
        <v>0</v>
      </c>
      <c r="O34" s="141">
        <f>'Enter Data Here'!AP28+'Enter Data Here'!AR28+'Enter Data Here'!AT28</f>
        <v>0</v>
      </c>
      <c r="P34" s="162">
        <f>'Enter Data Here'!AQ28+'Enter Data Here'!AS28+'Enter Data Here'!AU28</f>
        <v>0</v>
      </c>
      <c r="Q34" s="41">
        <f t="shared" si="2"/>
        <v>0</v>
      </c>
      <c r="R34" s="49">
        <f>MAX('Enter Data Here'!AP62:AT62)</f>
        <v>0</v>
      </c>
      <c r="S34" s="160">
        <f>'Enter Data Here'!AV28+'Enter Data Here'!AX28+'Enter Data Here'!AZ28</f>
        <v>0</v>
      </c>
      <c r="T34" s="163">
        <f>'Enter Data Here'!AW28+'Enter Data Here'!AY28+'Enter Data Here'!BA28</f>
        <v>0</v>
      </c>
      <c r="U34" s="46">
        <f t="shared" si="3"/>
        <v>0</v>
      </c>
      <c r="V34" s="81">
        <f>MAX('Enter Data Here'!AV62:AZ62)</f>
        <v>0</v>
      </c>
    </row>
    <row r="35" spans="1:22" ht="15" customHeight="1">
      <c r="A35" s="4">
        <v>26</v>
      </c>
      <c r="B35" s="151" t="str">
        <f>IF(ISBLANK('Enter Data Here'!B29), " ", 'Enter Data Here'!B29)</f>
        <v xml:space="preserve"> </v>
      </c>
      <c r="C35" s="334" t="str">
        <f>IF(ISBLANK('Enter Data Here'!C29), " ", 'Enter Data Here'!C29)</f>
        <v xml:space="preserve"> </v>
      </c>
      <c r="D35" s="336" t="str">
        <f>IF(ISBLANK('Enter Data Here'!D29), " ", 'Enter Data Here'!D29)</f>
        <v xml:space="preserve"> </v>
      </c>
      <c r="E35" s="337" t="str">
        <f>IF(ISBLANK('Enter Data Here'!E29), " ", 'Enter Data Here'!E29)</f>
        <v xml:space="preserve"> </v>
      </c>
      <c r="F35" s="159"/>
      <c r="G35" s="173">
        <f>'Enter Data Here'!AD29+'Enter Data Here'!AF29+'Enter Data Here'!AH29</f>
        <v>0</v>
      </c>
      <c r="H35" s="142">
        <f>'Enter Data Here'!AE29+'Enter Data Here'!AG29+'Enter Data Here'!AI29</f>
        <v>0</v>
      </c>
      <c r="I35" s="41">
        <f t="shared" si="0"/>
        <v>0</v>
      </c>
      <c r="J35" s="49">
        <f>MAX('Enter Data Here'!AD63:AH63)</f>
        <v>0</v>
      </c>
      <c r="K35" s="160">
        <f>'Enter Data Here'!AJ29+'Enter Data Here'!AL29+'Enter Data Here'!AN29</f>
        <v>0</v>
      </c>
      <c r="L35" s="161">
        <f>'Enter Data Here'!AK29+'Enter Data Here'!AM29+'Enter Data Here'!AO29</f>
        <v>0</v>
      </c>
      <c r="M35" s="46">
        <f t="shared" si="1"/>
        <v>0</v>
      </c>
      <c r="N35" s="78">
        <f>MAX('Enter Data Here'!AJ63:AN63)</f>
        <v>0</v>
      </c>
      <c r="O35" s="141">
        <f>'Enter Data Here'!AP29+'Enter Data Here'!AR29+'Enter Data Here'!AT29</f>
        <v>0</v>
      </c>
      <c r="P35" s="162">
        <f>'Enter Data Here'!AQ29+'Enter Data Here'!AS29+'Enter Data Here'!AU29</f>
        <v>0</v>
      </c>
      <c r="Q35" s="41">
        <f t="shared" si="2"/>
        <v>0</v>
      </c>
      <c r="R35" s="49">
        <f>MAX('Enter Data Here'!AP63:AT63)</f>
        <v>0</v>
      </c>
      <c r="S35" s="160">
        <f>'Enter Data Here'!AV29+'Enter Data Here'!AX29+'Enter Data Here'!AZ29</f>
        <v>0</v>
      </c>
      <c r="T35" s="163">
        <f>'Enter Data Here'!AW29+'Enter Data Here'!AY29+'Enter Data Here'!BA29</f>
        <v>0</v>
      </c>
      <c r="U35" s="46">
        <f t="shared" si="3"/>
        <v>0</v>
      </c>
      <c r="V35" s="81">
        <f>MAX('Enter Data Here'!AV63:AZ63)</f>
        <v>0</v>
      </c>
    </row>
    <row r="36" spans="1:22" ht="15" customHeight="1">
      <c r="A36" s="4">
        <v>27</v>
      </c>
      <c r="B36" s="151" t="str">
        <f>IF(ISBLANK('Enter Data Here'!B30), " ", 'Enter Data Here'!B30)</f>
        <v xml:space="preserve"> </v>
      </c>
      <c r="C36" s="334" t="str">
        <f>IF(ISBLANK('Enter Data Here'!C30), " ", 'Enter Data Here'!C30)</f>
        <v xml:space="preserve"> </v>
      </c>
      <c r="D36" s="336" t="str">
        <f>IF(ISBLANK('Enter Data Here'!D30), " ", 'Enter Data Here'!D30)</f>
        <v xml:space="preserve"> </v>
      </c>
      <c r="E36" s="337" t="str">
        <f>IF(ISBLANK('Enter Data Here'!E30), " ", 'Enter Data Here'!E30)</f>
        <v xml:space="preserve"> </v>
      </c>
      <c r="F36" s="159"/>
      <c r="G36" s="173">
        <f>'Enter Data Here'!AD30+'Enter Data Here'!AF30+'Enter Data Here'!AH30</f>
        <v>0</v>
      </c>
      <c r="H36" s="142">
        <f>'Enter Data Here'!AE30+'Enter Data Here'!AG30+'Enter Data Here'!AI30</f>
        <v>0</v>
      </c>
      <c r="I36" s="41">
        <f t="shared" si="0"/>
        <v>0</v>
      </c>
      <c r="J36" s="49">
        <f>MAX('Enter Data Here'!AD64:AH64)</f>
        <v>0</v>
      </c>
      <c r="K36" s="160">
        <f>'Enter Data Here'!AJ30+'Enter Data Here'!AL30+'Enter Data Here'!AN30</f>
        <v>0</v>
      </c>
      <c r="L36" s="161">
        <f>'Enter Data Here'!AK30+'Enter Data Here'!AM30+'Enter Data Here'!AO30</f>
        <v>0</v>
      </c>
      <c r="M36" s="46">
        <f t="shared" si="1"/>
        <v>0</v>
      </c>
      <c r="N36" s="78">
        <f>MAX('Enter Data Here'!AJ64:AN64)</f>
        <v>0</v>
      </c>
      <c r="O36" s="141">
        <f>'Enter Data Here'!AP30+'Enter Data Here'!AR30+'Enter Data Here'!AT30</f>
        <v>0</v>
      </c>
      <c r="P36" s="162">
        <f>'Enter Data Here'!AQ30+'Enter Data Here'!AS30+'Enter Data Here'!AU30</f>
        <v>0</v>
      </c>
      <c r="Q36" s="41">
        <f t="shared" si="2"/>
        <v>0</v>
      </c>
      <c r="R36" s="49">
        <f>MAX('Enter Data Here'!AP64:AT64)</f>
        <v>0</v>
      </c>
      <c r="S36" s="160">
        <f>'Enter Data Here'!AV30+'Enter Data Here'!AX30+'Enter Data Here'!AZ30</f>
        <v>0</v>
      </c>
      <c r="T36" s="163">
        <f>'Enter Data Here'!AW30+'Enter Data Here'!AY30+'Enter Data Here'!BA30</f>
        <v>0</v>
      </c>
      <c r="U36" s="46">
        <f t="shared" si="3"/>
        <v>0</v>
      </c>
      <c r="V36" s="81">
        <f>MAX('Enter Data Here'!AV64:AZ64)</f>
        <v>0</v>
      </c>
    </row>
    <row r="37" spans="1:22" ht="15" customHeight="1">
      <c r="A37" s="4">
        <v>28</v>
      </c>
      <c r="B37" s="151" t="str">
        <f>IF(ISBLANK('Enter Data Here'!B31), " ", 'Enter Data Here'!B31)</f>
        <v xml:space="preserve"> </v>
      </c>
      <c r="C37" s="334" t="str">
        <f>IF(ISBLANK('Enter Data Here'!C31), " ", 'Enter Data Here'!C31)</f>
        <v xml:space="preserve"> </v>
      </c>
      <c r="D37" s="336" t="str">
        <f>IF(ISBLANK('Enter Data Here'!D31), " ", 'Enter Data Here'!D31)</f>
        <v xml:space="preserve"> </v>
      </c>
      <c r="E37" s="337" t="str">
        <f>IF(ISBLANK('Enter Data Here'!E31), " ", 'Enter Data Here'!E31)</f>
        <v xml:space="preserve"> </v>
      </c>
      <c r="F37" s="159"/>
      <c r="G37" s="173">
        <f>'Enter Data Here'!AD31+'Enter Data Here'!AF31+'Enter Data Here'!AH31</f>
        <v>0</v>
      </c>
      <c r="H37" s="142">
        <f>'Enter Data Here'!AE31+'Enter Data Here'!AG31+'Enter Data Here'!AI31</f>
        <v>0</v>
      </c>
      <c r="I37" s="41">
        <f t="shared" si="0"/>
        <v>0</v>
      </c>
      <c r="J37" s="49">
        <f>MAX('Enter Data Here'!AD65:AH65)</f>
        <v>0</v>
      </c>
      <c r="K37" s="160">
        <f>'Enter Data Here'!AJ31+'Enter Data Here'!AL31+'Enter Data Here'!AN31</f>
        <v>0</v>
      </c>
      <c r="L37" s="161">
        <f>'Enter Data Here'!AK31+'Enter Data Here'!AM31+'Enter Data Here'!AO31</f>
        <v>0</v>
      </c>
      <c r="M37" s="46">
        <f t="shared" si="1"/>
        <v>0</v>
      </c>
      <c r="N37" s="78">
        <f>MAX('Enter Data Here'!AJ65:AN65)</f>
        <v>0</v>
      </c>
      <c r="O37" s="141">
        <f>'Enter Data Here'!AP31+'Enter Data Here'!AR31+'Enter Data Here'!AT31</f>
        <v>0</v>
      </c>
      <c r="P37" s="162">
        <f>'Enter Data Here'!AQ31+'Enter Data Here'!AS31+'Enter Data Here'!AU31</f>
        <v>0</v>
      </c>
      <c r="Q37" s="41">
        <f t="shared" si="2"/>
        <v>0</v>
      </c>
      <c r="R37" s="49">
        <f>MAX('Enter Data Here'!AP65:AT65)</f>
        <v>0</v>
      </c>
      <c r="S37" s="160">
        <f>'Enter Data Here'!AV31+'Enter Data Here'!AX31+'Enter Data Here'!AZ31</f>
        <v>0</v>
      </c>
      <c r="T37" s="163">
        <f>'Enter Data Here'!AW31+'Enter Data Here'!AY31+'Enter Data Here'!BA31</f>
        <v>0</v>
      </c>
      <c r="U37" s="46">
        <f t="shared" si="3"/>
        <v>0</v>
      </c>
      <c r="V37" s="81">
        <f>MAX('Enter Data Here'!AV65:AZ65)</f>
        <v>0</v>
      </c>
    </row>
    <row r="38" spans="1:22" ht="15" customHeight="1">
      <c r="A38" s="4">
        <v>29</v>
      </c>
      <c r="B38" s="151" t="str">
        <f>IF(ISBLANK('Enter Data Here'!B32), " ", 'Enter Data Here'!B32)</f>
        <v xml:space="preserve"> </v>
      </c>
      <c r="C38" s="334" t="str">
        <f>IF(ISBLANK('Enter Data Here'!C32), " ", 'Enter Data Here'!C32)</f>
        <v xml:space="preserve"> </v>
      </c>
      <c r="D38" s="336" t="str">
        <f>IF(ISBLANK('Enter Data Here'!D32), " ", 'Enter Data Here'!D32)</f>
        <v xml:space="preserve"> </v>
      </c>
      <c r="E38" s="337" t="str">
        <f>IF(ISBLANK('Enter Data Here'!E32), " ", 'Enter Data Here'!E32)</f>
        <v xml:space="preserve"> </v>
      </c>
      <c r="F38" s="159"/>
      <c r="G38" s="173">
        <f>'Enter Data Here'!AD32+'Enter Data Here'!AF32+'Enter Data Here'!AH32</f>
        <v>0</v>
      </c>
      <c r="H38" s="142">
        <f>'Enter Data Here'!AE32+'Enter Data Here'!AG32+'Enter Data Here'!AI32</f>
        <v>0</v>
      </c>
      <c r="I38" s="41">
        <f t="shared" si="0"/>
        <v>0</v>
      </c>
      <c r="J38" s="49">
        <f>MAX('Enter Data Here'!AD66:AH66)</f>
        <v>0</v>
      </c>
      <c r="K38" s="160">
        <f>'Enter Data Here'!AJ32+'Enter Data Here'!AL32+'Enter Data Here'!AN32</f>
        <v>0</v>
      </c>
      <c r="L38" s="161">
        <f>'Enter Data Here'!AK32+'Enter Data Here'!AM32+'Enter Data Here'!AO32</f>
        <v>0</v>
      </c>
      <c r="M38" s="46">
        <f t="shared" si="1"/>
        <v>0</v>
      </c>
      <c r="N38" s="78">
        <f>MAX('Enter Data Here'!AJ66:AN66)</f>
        <v>0</v>
      </c>
      <c r="O38" s="141">
        <f>'Enter Data Here'!AP32+'Enter Data Here'!AR32+'Enter Data Here'!AT32</f>
        <v>0</v>
      </c>
      <c r="P38" s="162">
        <f>'Enter Data Here'!AQ32+'Enter Data Here'!AS32+'Enter Data Here'!AU32</f>
        <v>0</v>
      </c>
      <c r="Q38" s="41">
        <f t="shared" si="2"/>
        <v>0</v>
      </c>
      <c r="R38" s="49">
        <f>MAX('Enter Data Here'!AP66:AT66)</f>
        <v>0</v>
      </c>
      <c r="S38" s="160">
        <f>'Enter Data Here'!AV32+'Enter Data Here'!AX32+'Enter Data Here'!AZ32</f>
        <v>0</v>
      </c>
      <c r="T38" s="163">
        <f>'Enter Data Here'!AW32+'Enter Data Here'!AY32+'Enter Data Here'!BA32</f>
        <v>0</v>
      </c>
      <c r="U38" s="46">
        <f t="shared" si="3"/>
        <v>0</v>
      </c>
      <c r="V38" s="81">
        <f>MAX('Enter Data Here'!AV66:AZ66)</f>
        <v>0</v>
      </c>
    </row>
    <row r="39" spans="1:22" ht="15" customHeight="1">
      <c r="A39" s="4">
        <v>30</v>
      </c>
      <c r="B39" s="151" t="str">
        <f>IF(ISBLANK('Enter Data Here'!B33), " ", 'Enter Data Here'!B33)</f>
        <v xml:space="preserve"> </v>
      </c>
      <c r="C39" s="334" t="str">
        <f>IF(ISBLANK('Enter Data Here'!C33), " ", 'Enter Data Here'!C33)</f>
        <v xml:space="preserve"> </v>
      </c>
      <c r="D39" s="336" t="str">
        <f>IF(ISBLANK('Enter Data Here'!D33), " ", 'Enter Data Here'!D33)</f>
        <v xml:space="preserve"> </v>
      </c>
      <c r="E39" s="337" t="str">
        <f>IF(ISBLANK('Enter Data Here'!E33), " ", 'Enter Data Here'!E33)</f>
        <v xml:space="preserve"> </v>
      </c>
      <c r="F39" s="159"/>
      <c r="G39" s="173">
        <f>'Enter Data Here'!AD33+'Enter Data Here'!AF33+'Enter Data Here'!AH33</f>
        <v>0</v>
      </c>
      <c r="H39" s="142">
        <f>'Enter Data Here'!AE33+'Enter Data Here'!AG33+'Enter Data Here'!AI33</f>
        <v>0</v>
      </c>
      <c r="I39" s="41">
        <f t="shared" si="0"/>
        <v>0</v>
      </c>
      <c r="J39" s="49">
        <f>MAX('Enter Data Here'!AD67:AH67)</f>
        <v>0</v>
      </c>
      <c r="K39" s="160">
        <f>'Enter Data Here'!AJ33+'Enter Data Here'!AL33+'Enter Data Here'!AN33</f>
        <v>0</v>
      </c>
      <c r="L39" s="161">
        <f>'Enter Data Here'!AK33+'Enter Data Here'!AM33+'Enter Data Here'!AO33</f>
        <v>0</v>
      </c>
      <c r="M39" s="46">
        <f t="shared" si="1"/>
        <v>0</v>
      </c>
      <c r="N39" s="78">
        <f>MAX('Enter Data Here'!AJ67:AN67)</f>
        <v>0</v>
      </c>
      <c r="O39" s="141">
        <f>'Enter Data Here'!AP33+'Enter Data Here'!AR33+'Enter Data Here'!AT33</f>
        <v>0</v>
      </c>
      <c r="P39" s="162">
        <f>'Enter Data Here'!AQ33+'Enter Data Here'!AS33+'Enter Data Here'!AU33</f>
        <v>0</v>
      </c>
      <c r="Q39" s="41">
        <f t="shared" si="2"/>
        <v>0</v>
      </c>
      <c r="R39" s="49">
        <f>MAX('Enter Data Here'!AP67:AT67)</f>
        <v>0</v>
      </c>
      <c r="S39" s="160">
        <f>'Enter Data Here'!AV33+'Enter Data Here'!AX33+'Enter Data Here'!AZ33</f>
        <v>0</v>
      </c>
      <c r="T39" s="163">
        <f>'Enter Data Here'!AW33+'Enter Data Here'!AY33+'Enter Data Here'!BA33</f>
        <v>0</v>
      </c>
      <c r="U39" s="46">
        <f t="shared" si="3"/>
        <v>0</v>
      </c>
      <c r="V39" s="81">
        <f>MAX('Enter Data Here'!AV67:AZ67)</f>
        <v>0</v>
      </c>
    </row>
    <row r="40" spans="1:22" ht="15" customHeight="1" thickBot="1">
      <c r="A40" s="4">
        <v>31</v>
      </c>
      <c r="B40" s="151" t="str">
        <f>IF(ISBLANK('Enter Data Here'!B34), " ", 'Enter Data Here'!B34)</f>
        <v xml:space="preserve"> </v>
      </c>
      <c r="C40" s="335" t="str">
        <f>IF(ISBLANK('Enter Data Here'!C34), " ", 'Enter Data Here'!C34)</f>
        <v xml:space="preserve"> </v>
      </c>
      <c r="D40" s="336" t="str">
        <f>IF(ISBLANK('Enter Data Here'!D34), " ", 'Enter Data Here'!D34)</f>
        <v xml:space="preserve"> </v>
      </c>
      <c r="E40" s="337" t="str">
        <f>IF(ISBLANK('Enter Data Here'!E34), " ", 'Enter Data Here'!E34)</f>
        <v xml:space="preserve"> </v>
      </c>
      <c r="F40" s="164"/>
      <c r="G40" s="171">
        <f>'Enter Data Here'!AD34+'Enter Data Here'!AF34+'Enter Data Here'!AH34</f>
        <v>0</v>
      </c>
      <c r="H40" s="172">
        <f>'Enter Data Here'!AE34+'Enter Data Here'!AG34+'Enter Data Here'!AI34</f>
        <v>0</v>
      </c>
      <c r="I40" s="140">
        <f t="shared" si="0"/>
        <v>0</v>
      </c>
      <c r="J40" s="75">
        <f>MAX('Enter Data Here'!AD68:AH68)</f>
        <v>0</v>
      </c>
      <c r="K40" s="166">
        <f>'Enter Data Here'!AJ34+'Enter Data Here'!AL34+'Enter Data Here'!AN34</f>
        <v>0</v>
      </c>
      <c r="L40" s="167">
        <f>'Enter Data Here'!AK34+'Enter Data Here'!AM34+'Enter Data Here'!AO34</f>
        <v>0</v>
      </c>
      <c r="M40" s="74">
        <f t="shared" si="1"/>
        <v>0</v>
      </c>
      <c r="N40" s="77">
        <f>MAX('Enter Data Here'!AJ68:AN68)</f>
        <v>0</v>
      </c>
      <c r="O40" s="174">
        <f>'Enter Data Here'!AP34+'Enter Data Here'!AR34+'Enter Data Here'!AT34</f>
        <v>0</v>
      </c>
      <c r="P40" s="175">
        <f>'Enter Data Here'!AQ34+'Enter Data Here'!AS34+'Enter Data Here'!AU34</f>
        <v>0</v>
      </c>
      <c r="Q40" s="140">
        <f t="shared" si="2"/>
        <v>0</v>
      </c>
      <c r="R40" s="75">
        <f>MAX('Enter Data Here'!AP68:AT68)</f>
        <v>0</v>
      </c>
      <c r="S40" s="166">
        <f>'Enter Data Here'!AV34+'Enter Data Here'!AX34+'Enter Data Here'!AZ34</f>
        <v>0</v>
      </c>
      <c r="T40" s="176">
        <f>'Enter Data Here'!AW34+'Enter Data Here'!AY34+'Enter Data Here'!BA34</f>
        <v>0</v>
      </c>
      <c r="U40" s="74">
        <f t="shared" si="3"/>
        <v>0</v>
      </c>
      <c r="V40" s="150">
        <f>MAX('Enter Data Here'!AV68:AZ68)</f>
        <v>0</v>
      </c>
    </row>
    <row r="41" spans="1:22" ht="15" customHeight="1">
      <c r="A41" s="236" t="s">
        <v>153</v>
      </c>
      <c r="B41" s="237"/>
      <c r="C41" s="237"/>
      <c r="D41" s="238"/>
      <c r="E41" s="238"/>
      <c r="F41" s="238"/>
      <c r="G41" s="39">
        <f>IF(ISBLANK($S1)," ",SUM(G10:G40))</f>
        <v>0</v>
      </c>
      <c r="H41" s="28"/>
      <c r="I41" s="43">
        <f>IF(ISBLANK($S1)," ",SUM(I10:I40))</f>
        <v>0</v>
      </c>
      <c r="J41" s="29"/>
      <c r="K41" s="44">
        <f>IF(ISBLANK($S1)," ",SUM(K10:K40))</f>
        <v>0</v>
      </c>
      <c r="L41" s="30"/>
      <c r="M41" s="47">
        <f>IF(ISBLANK($S1)," ",SUM(M10:M40))</f>
        <v>0</v>
      </c>
      <c r="N41" s="31"/>
      <c r="O41" s="39">
        <f>IF(ISBLANK($S1)," ",SUM(O10:O40))</f>
        <v>0</v>
      </c>
      <c r="P41" s="28"/>
      <c r="Q41" s="43">
        <f>IF(ISBLANK($S1)," ",SUM(Q10:Q40))</f>
        <v>0</v>
      </c>
      <c r="R41" s="29"/>
      <c r="S41" s="44">
        <f>IF(ISBLANK($S1)," ",SUM(S10:S40))</f>
        <v>0</v>
      </c>
      <c r="T41" s="30"/>
      <c r="U41" s="47">
        <f>IF(ISBLANK($S1)," ",SUM(U10:U40))</f>
        <v>0</v>
      </c>
      <c r="V41" s="32"/>
    </row>
    <row r="42" spans="1:22" ht="15" customHeight="1" thickBot="1">
      <c r="A42" s="207" t="s">
        <v>152</v>
      </c>
      <c r="B42" s="208"/>
      <c r="C42" s="208"/>
      <c r="D42" s="209"/>
      <c r="E42" s="209"/>
      <c r="F42" s="209"/>
      <c r="G42" s="64"/>
      <c r="H42" s="65"/>
      <c r="I42" s="66"/>
      <c r="J42" s="67"/>
      <c r="K42" s="68"/>
      <c r="L42" s="69"/>
      <c r="M42" s="70"/>
      <c r="N42" s="71"/>
      <c r="O42" s="64"/>
      <c r="P42" s="65"/>
      <c r="Q42" s="66"/>
      <c r="R42" s="67"/>
      <c r="S42" s="68"/>
      <c r="T42" s="69"/>
      <c r="U42" s="72"/>
      <c r="V42" s="73"/>
    </row>
  </sheetData>
  <sheetProtection password="CD0C"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showDropDown="1" showInputMessage="1" showErrorMessage="1" sqref="B10:E40"/>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95" customWidth="1"/>
    <col min="2" max="2" width="5.7109375" style="9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245" t="s">
        <v>178</v>
      </c>
      <c r="B1" s="246"/>
      <c r="C1" s="246"/>
      <c r="D1" s="247" t="s">
        <v>184</v>
      </c>
      <c r="E1" s="247"/>
      <c r="F1" s="248"/>
      <c r="G1" s="258" t="s">
        <v>3</v>
      </c>
      <c r="H1" s="259"/>
      <c r="I1" s="247" t="s">
        <v>185</v>
      </c>
      <c r="J1" s="247"/>
      <c r="K1" s="247"/>
      <c r="L1" s="247"/>
      <c r="M1" s="247"/>
      <c r="N1" s="248"/>
      <c r="O1" s="34" t="s">
        <v>6</v>
      </c>
      <c r="P1" s="256" t="s">
        <v>92</v>
      </c>
      <c r="Q1" s="257"/>
      <c r="R1" s="34" t="s">
        <v>4</v>
      </c>
      <c r="S1" s="256" t="s">
        <v>117</v>
      </c>
      <c r="T1" s="257"/>
      <c r="U1" s="93" t="s">
        <v>5</v>
      </c>
      <c r="V1" s="94">
        <v>2014</v>
      </c>
      <c r="W1" s="2"/>
    </row>
    <row r="2" spans="1:23" ht="18.75" customHeight="1">
      <c r="A2" s="229" t="s">
        <v>174</v>
      </c>
      <c r="B2" s="230"/>
      <c r="C2" s="230"/>
      <c r="D2" s="230"/>
      <c r="E2" s="230"/>
      <c r="F2" s="230"/>
      <c r="G2" s="252" t="s">
        <v>142</v>
      </c>
      <c r="H2" s="253"/>
      <c r="I2" s="239">
        <v>9</v>
      </c>
      <c r="J2" s="240"/>
      <c r="K2" s="215" t="s">
        <v>142</v>
      </c>
      <c r="L2" s="216"/>
      <c r="M2" s="217">
        <v>10</v>
      </c>
      <c r="N2" s="260"/>
      <c r="O2" s="252" t="s">
        <v>142</v>
      </c>
      <c r="P2" s="253"/>
      <c r="Q2" s="239">
        <v>11</v>
      </c>
      <c r="R2" s="240"/>
      <c r="S2" s="215" t="s">
        <v>142</v>
      </c>
      <c r="T2" s="216"/>
      <c r="U2" s="217">
        <v>12</v>
      </c>
      <c r="V2" s="218"/>
    </row>
    <row r="3" spans="1:23" ht="18.75" customHeight="1">
      <c r="A3" s="231"/>
      <c r="B3" s="230"/>
      <c r="C3" s="230"/>
      <c r="D3" s="230"/>
      <c r="E3" s="230"/>
      <c r="F3" s="230"/>
      <c r="G3" s="225" t="s">
        <v>143</v>
      </c>
      <c r="H3" s="241"/>
      <c r="I3" s="226">
        <v>0.314</v>
      </c>
      <c r="J3" s="227"/>
      <c r="K3" s="219" t="s">
        <v>143</v>
      </c>
      <c r="L3" s="220"/>
      <c r="M3" s="221">
        <v>0.38300000000000001</v>
      </c>
      <c r="N3" s="244"/>
      <c r="O3" s="225" t="s">
        <v>143</v>
      </c>
      <c r="P3" s="241"/>
      <c r="Q3" s="226">
        <v>0.372</v>
      </c>
      <c r="R3" s="227"/>
      <c r="S3" s="219" t="s">
        <v>143</v>
      </c>
      <c r="T3" s="220"/>
      <c r="U3" s="221">
        <v>0.224</v>
      </c>
      <c r="V3" s="222"/>
    </row>
    <row r="4" spans="1:23" ht="18.75" customHeight="1">
      <c r="A4" s="231"/>
      <c r="B4" s="230"/>
      <c r="C4" s="230"/>
      <c r="D4" s="230"/>
      <c r="E4" s="230"/>
      <c r="F4" s="230"/>
      <c r="G4" s="225" t="s">
        <v>144</v>
      </c>
      <c r="H4" s="214"/>
      <c r="I4" s="226" t="s">
        <v>186</v>
      </c>
      <c r="J4" s="227"/>
      <c r="K4" s="219" t="s">
        <v>144</v>
      </c>
      <c r="L4" s="223"/>
      <c r="M4" s="221" t="s">
        <v>186</v>
      </c>
      <c r="N4" s="244"/>
      <c r="O4" s="225" t="s">
        <v>144</v>
      </c>
      <c r="P4" s="214"/>
      <c r="Q4" s="226" t="s">
        <v>186</v>
      </c>
      <c r="R4" s="227"/>
      <c r="S4" s="219" t="s">
        <v>144</v>
      </c>
      <c r="T4" s="223"/>
      <c r="U4" s="221" t="s">
        <v>186</v>
      </c>
      <c r="V4" s="222"/>
    </row>
    <row r="5" spans="1:23" ht="18.75" customHeight="1">
      <c r="A5" s="232"/>
      <c r="B5" s="233"/>
      <c r="C5" s="233"/>
      <c r="D5" s="233"/>
      <c r="E5" s="233"/>
      <c r="F5" s="233"/>
      <c r="G5" s="225" t="s">
        <v>149</v>
      </c>
      <c r="H5" s="214"/>
      <c r="I5" s="226">
        <v>0.25</v>
      </c>
      <c r="J5" s="227"/>
      <c r="K5" s="219" t="s">
        <v>149</v>
      </c>
      <c r="L5" s="223"/>
      <c r="M5" s="221">
        <v>0.25</v>
      </c>
      <c r="N5" s="244"/>
      <c r="O5" s="225" t="s">
        <v>149</v>
      </c>
      <c r="P5" s="214"/>
      <c r="Q5" s="226">
        <v>0.25</v>
      </c>
      <c r="R5" s="227"/>
      <c r="S5" s="219" t="s">
        <v>149</v>
      </c>
      <c r="T5" s="223"/>
      <c r="U5" s="221">
        <v>0.25</v>
      </c>
      <c r="V5" s="222"/>
    </row>
    <row r="6" spans="1:23" ht="18.75" customHeight="1" thickBot="1">
      <c r="A6" s="234"/>
      <c r="B6" s="235"/>
      <c r="C6" s="235"/>
      <c r="D6" s="235"/>
      <c r="E6" s="235"/>
      <c r="F6" s="235"/>
      <c r="G6" s="213" t="s">
        <v>150</v>
      </c>
      <c r="H6" s="214"/>
      <c r="I6" s="226">
        <v>39</v>
      </c>
      <c r="J6" s="228"/>
      <c r="K6" s="224" t="s">
        <v>150</v>
      </c>
      <c r="L6" s="223"/>
      <c r="M6" s="221">
        <v>39</v>
      </c>
      <c r="N6" s="244"/>
      <c r="O6" s="213" t="s">
        <v>150</v>
      </c>
      <c r="P6" s="214"/>
      <c r="Q6" s="226">
        <v>39</v>
      </c>
      <c r="R6" s="227"/>
      <c r="S6" s="224" t="s">
        <v>150</v>
      </c>
      <c r="T6" s="223"/>
      <c r="U6" s="221">
        <v>39</v>
      </c>
      <c r="V6" s="222"/>
    </row>
    <row r="7" spans="1:23" ht="18.75" customHeight="1" thickBot="1">
      <c r="A7" s="249" t="s">
        <v>8</v>
      </c>
      <c r="B7" s="210" t="s">
        <v>180</v>
      </c>
      <c r="C7" s="211"/>
      <c r="D7" s="212"/>
      <c r="E7" s="254" t="s">
        <v>179</v>
      </c>
      <c r="F7" s="255"/>
      <c r="G7" s="213" t="s">
        <v>151</v>
      </c>
      <c r="H7" s="214"/>
      <c r="I7" s="17"/>
      <c r="J7" s="36"/>
      <c r="K7" s="224" t="s">
        <v>151</v>
      </c>
      <c r="L7" s="223"/>
      <c r="M7" s="16"/>
      <c r="N7" s="37"/>
      <c r="O7" s="213" t="s">
        <v>151</v>
      </c>
      <c r="P7" s="214"/>
      <c r="Q7" s="17"/>
      <c r="R7" s="36"/>
      <c r="S7" s="224" t="s">
        <v>151</v>
      </c>
      <c r="T7" s="223"/>
      <c r="U7" s="16"/>
      <c r="V7" s="38"/>
    </row>
    <row r="8" spans="1:23" ht="75" customHeight="1">
      <c r="A8" s="250"/>
      <c r="B8" s="242" t="s">
        <v>138</v>
      </c>
      <c r="C8" s="13" t="s">
        <v>2</v>
      </c>
      <c r="D8" s="14" t="s">
        <v>139</v>
      </c>
      <c r="E8" s="87" t="s">
        <v>181</v>
      </c>
      <c r="F8" s="85" t="s">
        <v>182</v>
      </c>
      <c r="G8" s="19" t="s">
        <v>210</v>
      </c>
      <c r="H8" s="10" t="s">
        <v>208</v>
      </c>
      <c r="I8" s="10" t="s">
        <v>146</v>
      </c>
      <c r="J8" s="20" t="s">
        <v>148</v>
      </c>
      <c r="K8" s="23" t="s">
        <v>210</v>
      </c>
      <c r="L8" s="9" t="s">
        <v>209</v>
      </c>
      <c r="M8" s="9" t="s">
        <v>146</v>
      </c>
      <c r="N8" s="24" t="s">
        <v>148</v>
      </c>
      <c r="O8" s="19" t="s">
        <v>210</v>
      </c>
      <c r="P8" s="10" t="s">
        <v>208</v>
      </c>
      <c r="Q8" s="10" t="s">
        <v>146</v>
      </c>
      <c r="R8" s="20" t="s">
        <v>148</v>
      </c>
      <c r="S8" s="23" t="s">
        <v>210</v>
      </c>
      <c r="T8" s="9" t="s">
        <v>209</v>
      </c>
      <c r="U8" s="9" t="s">
        <v>146</v>
      </c>
      <c r="V8" s="27" t="s">
        <v>148</v>
      </c>
    </row>
    <row r="9" spans="1:23" ht="15.75" customHeight="1" thickBot="1">
      <c r="A9" s="251"/>
      <c r="B9" s="243"/>
      <c r="C9" s="15" t="s">
        <v>141</v>
      </c>
      <c r="D9" s="7" t="s">
        <v>140</v>
      </c>
      <c r="E9" s="88" t="s">
        <v>137</v>
      </c>
      <c r="F9" s="86" t="s">
        <v>137</v>
      </c>
      <c r="G9" s="21" t="s">
        <v>147</v>
      </c>
      <c r="H9" s="8" t="s">
        <v>145</v>
      </c>
      <c r="I9" s="8" t="s">
        <v>140</v>
      </c>
      <c r="J9" s="22" t="s">
        <v>140</v>
      </c>
      <c r="K9" s="25" t="s">
        <v>147</v>
      </c>
      <c r="L9" s="6" t="s">
        <v>145</v>
      </c>
      <c r="M9" s="6" t="s">
        <v>140</v>
      </c>
      <c r="N9" s="26" t="s">
        <v>140</v>
      </c>
      <c r="O9" s="21" t="s">
        <v>147</v>
      </c>
      <c r="P9" s="8" t="s">
        <v>145</v>
      </c>
      <c r="Q9" s="8" t="s">
        <v>140</v>
      </c>
      <c r="R9" s="22" t="s">
        <v>140</v>
      </c>
      <c r="S9" s="25" t="s">
        <v>147</v>
      </c>
      <c r="T9" s="6" t="s">
        <v>145</v>
      </c>
      <c r="U9" s="33" t="s">
        <v>140</v>
      </c>
      <c r="V9" s="79" t="s">
        <v>140</v>
      </c>
    </row>
    <row r="10" spans="1:23" ht="15" customHeight="1">
      <c r="A10" s="4">
        <v>1</v>
      </c>
      <c r="B10" s="151" t="str">
        <f>IF(ISBLANK('Enter Data Here'!B4), " ", 'Enter Data Here'!B4)</f>
        <v xml:space="preserve"> </v>
      </c>
      <c r="C10" s="333" t="str">
        <f>IF(ISBLANK('Enter Data Here'!C4), " ", 'Enter Data Here'!C4)</f>
        <v xml:space="preserve"> </v>
      </c>
      <c r="D10" s="336" t="str">
        <f>IF(ISBLANK('Enter Data Here'!D4), " ", 'Enter Data Here'!D4)</f>
        <v xml:space="preserve"> </v>
      </c>
      <c r="E10" s="337" t="str">
        <f>IF(ISBLANK('Enter Data Here'!E4), " ", 'Enter Data Here'!E4)</f>
        <v xml:space="preserve"> </v>
      </c>
      <c r="F10" s="152"/>
      <c r="G10" s="153">
        <f>'Enter Data Here'!BB4+'Enter Data Here'!BD4+'Enter Data Here'!BF4</f>
        <v>0</v>
      </c>
      <c r="H10" s="154">
        <f>'Enter Data Here'!BC4+'Enter Data Here'!BE4+'Enter Data Here'!BG4</f>
        <v>0</v>
      </c>
      <c r="I10" s="40">
        <f>IF((ISBLANK($G10))," ", ($G10)/($I$3*27152))</f>
        <v>0</v>
      </c>
      <c r="J10" s="48">
        <f>MAX('Enter Data Here'!BB38:BF38)</f>
        <v>0</v>
      </c>
      <c r="K10" s="155">
        <f>'Enter Data Here'!BH4+'Enter Data Here'!BJ4+'Enter Data Here'!BL4</f>
        <v>0</v>
      </c>
      <c r="L10" s="156">
        <f>'Enter Data Here'!BI4+'Enter Data Here'!BK4+'Enter Data Here'!BM4</f>
        <v>0</v>
      </c>
      <c r="M10" s="45">
        <f>IF((ISBLANK($K10))," ",($K10)/($M$3*27152))</f>
        <v>0</v>
      </c>
      <c r="N10" s="76">
        <f>MAX('Enter Data Here'!BH38:BL38)</f>
        <v>0</v>
      </c>
      <c r="O10" s="157">
        <f>'Enter Data Here'!BN4+'Enter Data Here'!BP4+'Enter Data Here'!BR4</f>
        <v>0</v>
      </c>
      <c r="P10" s="139">
        <f>'Enter Data Here'!BO4+'Enter Data Here'!BQ4+'Enter Data Here'!BS4</f>
        <v>0</v>
      </c>
      <c r="Q10" s="40">
        <f>IF((ISBLANK($O10))," ",($O10)/($Q$3*27152))</f>
        <v>0</v>
      </c>
      <c r="R10" s="48">
        <f>MAX('Enter Data Here'!BN38:BR38)</f>
        <v>0</v>
      </c>
      <c r="S10" s="155">
        <f>'Enter Data Here'!BT4+'Enter Data Here'!BV4+'Enter Data Here'!BX4</f>
        <v>0</v>
      </c>
      <c r="T10" s="158">
        <f>'Enter Data Here'!BU4+'Enter Data Here'!BW4+'Enter Data Here'!BY4</f>
        <v>0</v>
      </c>
      <c r="U10" s="45">
        <f>IF((ISBLANK($S10))," ",($S10)/($U$3*27152))</f>
        <v>0</v>
      </c>
      <c r="V10" s="80">
        <f>MAX('Enter Data Here'!BT38:BX38)</f>
        <v>0</v>
      </c>
    </row>
    <row r="11" spans="1:23" ht="15" customHeight="1">
      <c r="A11" s="4">
        <v>2</v>
      </c>
      <c r="B11" s="151" t="str">
        <f>IF(ISBLANK('Enter Data Here'!B5), " ", 'Enter Data Here'!B5)</f>
        <v xml:space="preserve"> </v>
      </c>
      <c r="C11" s="334" t="str">
        <f>IF(ISBLANK('Enter Data Here'!C5), " ", 'Enter Data Here'!C5)</f>
        <v xml:space="preserve"> </v>
      </c>
      <c r="D11" s="336" t="str">
        <f>IF(ISBLANK('Enter Data Here'!D5), " ", 'Enter Data Here'!D5)</f>
        <v xml:space="preserve"> </v>
      </c>
      <c r="E11" s="337" t="str">
        <f>IF(ISBLANK('Enter Data Here'!E5), " ", 'Enter Data Here'!E5)</f>
        <v xml:space="preserve"> </v>
      </c>
      <c r="F11" s="159"/>
      <c r="G11" s="173">
        <f>'Enter Data Here'!BB5+'Enter Data Here'!BD5+'Enter Data Here'!BF5</f>
        <v>0</v>
      </c>
      <c r="H11" s="142">
        <f>'Enter Data Here'!BC5+'Enter Data Here'!BE5+'Enter Data Here'!BG5</f>
        <v>0</v>
      </c>
      <c r="I11" s="41">
        <f t="shared" ref="I11:I40" si="0">IF((ISBLANK($G11))," ", ($G11)/($I$3*27152))</f>
        <v>0</v>
      </c>
      <c r="J11" s="49">
        <f>MAX('Enter Data Here'!BB39:BF39)</f>
        <v>0</v>
      </c>
      <c r="K11" s="160">
        <f>'Enter Data Here'!BH5+'Enter Data Here'!BJ5+'Enter Data Here'!BL5</f>
        <v>0</v>
      </c>
      <c r="L11" s="161">
        <f>'Enter Data Here'!BI5+'Enter Data Here'!BK5+'Enter Data Here'!BM5</f>
        <v>0</v>
      </c>
      <c r="M11" s="46">
        <f t="shared" ref="M11:M40" si="1">IF((ISBLANK($K11))," ",($K11)/($M$3*27152))</f>
        <v>0</v>
      </c>
      <c r="N11" s="78">
        <f>MAX('Enter Data Here'!BH39:BL39)</f>
        <v>0</v>
      </c>
      <c r="O11" s="141">
        <f>'Enter Data Here'!BN5+'Enter Data Here'!BP5+'Enter Data Here'!BR5</f>
        <v>0</v>
      </c>
      <c r="P11" s="162">
        <f>'Enter Data Here'!BO5+'Enter Data Here'!BQ5+'Enter Data Here'!BS5</f>
        <v>0</v>
      </c>
      <c r="Q11" s="41">
        <f t="shared" ref="Q11:Q40" si="2">IF((ISBLANK($O11))," ",($O11)/($Q$3*27152))</f>
        <v>0</v>
      </c>
      <c r="R11" s="49">
        <f>MAX('Enter Data Here'!BN39:BR39)</f>
        <v>0</v>
      </c>
      <c r="S11" s="160">
        <f>'Enter Data Here'!BT5+'Enter Data Here'!BV5+'Enter Data Here'!BX5</f>
        <v>0</v>
      </c>
      <c r="T11" s="163">
        <f>'Enter Data Here'!BU5+'Enter Data Here'!BW5+'Enter Data Here'!BY5</f>
        <v>0</v>
      </c>
      <c r="U11" s="46">
        <f t="shared" ref="U11:U40" si="3">IF((ISBLANK($S11))," ",($S11)/($U$3*27152))</f>
        <v>0</v>
      </c>
      <c r="V11" s="81">
        <f>MAX('Enter Data Here'!BT39:BX39)</f>
        <v>0</v>
      </c>
    </row>
    <row r="12" spans="1:23" ht="15" customHeight="1">
      <c r="A12" s="4">
        <v>3</v>
      </c>
      <c r="B12" s="151" t="str">
        <f>IF(ISBLANK('Enter Data Here'!B6), " ", 'Enter Data Here'!B6)</f>
        <v xml:space="preserve"> </v>
      </c>
      <c r="C12" s="334" t="str">
        <f>IF(ISBLANK('Enter Data Here'!C6), " ", 'Enter Data Here'!C6)</f>
        <v xml:space="preserve"> </v>
      </c>
      <c r="D12" s="336" t="str">
        <f>IF(ISBLANK('Enter Data Here'!D6), " ", 'Enter Data Here'!D6)</f>
        <v xml:space="preserve"> </v>
      </c>
      <c r="E12" s="337" t="str">
        <f>IF(ISBLANK('Enter Data Here'!E6), " ", 'Enter Data Here'!E6)</f>
        <v xml:space="preserve"> </v>
      </c>
      <c r="F12" s="159"/>
      <c r="G12" s="173">
        <f>'Enter Data Here'!BB6+'Enter Data Here'!BD6+'Enter Data Here'!BF6</f>
        <v>0</v>
      </c>
      <c r="H12" s="142">
        <f>'Enter Data Here'!BC6+'Enter Data Here'!BE6+'Enter Data Here'!BG6</f>
        <v>0</v>
      </c>
      <c r="I12" s="41">
        <f t="shared" si="0"/>
        <v>0</v>
      </c>
      <c r="J12" s="49">
        <f>MAX('Enter Data Here'!BB40:BF40)</f>
        <v>0</v>
      </c>
      <c r="K12" s="160">
        <f>'Enter Data Here'!BH6+'Enter Data Here'!BJ6+'Enter Data Here'!BL6</f>
        <v>0</v>
      </c>
      <c r="L12" s="161">
        <f>'Enter Data Here'!BI6+'Enter Data Here'!BK6+'Enter Data Here'!BM6</f>
        <v>0</v>
      </c>
      <c r="M12" s="46">
        <f t="shared" si="1"/>
        <v>0</v>
      </c>
      <c r="N12" s="78">
        <f>MAX('Enter Data Here'!BH40:BL40)</f>
        <v>0</v>
      </c>
      <c r="O12" s="141">
        <f>'Enter Data Here'!BN6+'Enter Data Here'!BP6+'Enter Data Here'!BR6</f>
        <v>0</v>
      </c>
      <c r="P12" s="162">
        <f>'Enter Data Here'!BO6+'Enter Data Here'!BQ6+'Enter Data Here'!BS6</f>
        <v>0</v>
      </c>
      <c r="Q12" s="41">
        <f t="shared" si="2"/>
        <v>0</v>
      </c>
      <c r="R12" s="49">
        <f>MAX('Enter Data Here'!BN40:BR40)</f>
        <v>0</v>
      </c>
      <c r="S12" s="160">
        <f>'Enter Data Here'!BT6+'Enter Data Here'!BV6+'Enter Data Here'!BX6</f>
        <v>0</v>
      </c>
      <c r="T12" s="163">
        <f>'Enter Data Here'!BU6+'Enter Data Here'!BW6+'Enter Data Here'!BY6</f>
        <v>0</v>
      </c>
      <c r="U12" s="46">
        <f t="shared" si="3"/>
        <v>0</v>
      </c>
      <c r="V12" s="81">
        <f>MAX('Enter Data Here'!BT40:BX40)</f>
        <v>0</v>
      </c>
    </row>
    <row r="13" spans="1:23" ht="15" customHeight="1">
      <c r="A13" s="4">
        <v>4</v>
      </c>
      <c r="B13" s="151" t="str">
        <f>IF(ISBLANK('Enter Data Here'!B7), " ", 'Enter Data Here'!B7)</f>
        <v xml:space="preserve"> </v>
      </c>
      <c r="C13" s="334" t="str">
        <f>IF(ISBLANK('Enter Data Here'!C7), " ", 'Enter Data Here'!C7)</f>
        <v xml:space="preserve"> </v>
      </c>
      <c r="D13" s="336" t="str">
        <f>IF(ISBLANK('Enter Data Here'!D7), " ", 'Enter Data Here'!D7)</f>
        <v xml:space="preserve"> </v>
      </c>
      <c r="E13" s="337" t="str">
        <f>IF(ISBLANK('Enter Data Here'!E7), " ", 'Enter Data Here'!E7)</f>
        <v xml:space="preserve"> </v>
      </c>
      <c r="F13" s="159"/>
      <c r="G13" s="173">
        <f>'Enter Data Here'!BB7+'Enter Data Here'!BD7+'Enter Data Here'!BF7</f>
        <v>0</v>
      </c>
      <c r="H13" s="142">
        <f>'Enter Data Here'!BC7+'Enter Data Here'!BE7+'Enter Data Here'!BG7</f>
        <v>0</v>
      </c>
      <c r="I13" s="41">
        <f t="shared" si="0"/>
        <v>0</v>
      </c>
      <c r="J13" s="49">
        <f>MAX('Enter Data Here'!BB41:BF41)</f>
        <v>0</v>
      </c>
      <c r="K13" s="160">
        <f>'Enter Data Here'!BH7+'Enter Data Here'!BJ7+'Enter Data Here'!BL7</f>
        <v>0</v>
      </c>
      <c r="L13" s="161">
        <f>'Enter Data Here'!BI7+'Enter Data Here'!BK7+'Enter Data Here'!BM7</f>
        <v>0</v>
      </c>
      <c r="M13" s="46">
        <f t="shared" si="1"/>
        <v>0</v>
      </c>
      <c r="N13" s="78">
        <f>MAX('Enter Data Here'!BH41:BL41)</f>
        <v>0</v>
      </c>
      <c r="O13" s="141">
        <f>'Enter Data Here'!BN7+'Enter Data Here'!BP7+'Enter Data Here'!BR7</f>
        <v>0</v>
      </c>
      <c r="P13" s="162">
        <f>'Enter Data Here'!BO7+'Enter Data Here'!BQ7+'Enter Data Here'!BS7</f>
        <v>0</v>
      </c>
      <c r="Q13" s="41">
        <f t="shared" si="2"/>
        <v>0</v>
      </c>
      <c r="R13" s="49">
        <f>MAX('Enter Data Here'!BN41:BR41)</f>
        <v>0</v>
      </c>
      <c r="S13" s="160">
        <f>'Enter Data Here'!BT7+'Enter Data Here'!BV7+'Enter Data Here'!BX7</f>
        <v>0</v>
      </c>
      <c r="T13" s="163">
        <f>'Enter Data Here'!BU7+'Enter Data Here'!BW7+'Enter Data Here'!BY7</f>
        <v>0</v>
      </c>
      <c r="U13" s="46">
        <f t="shared" si="3"/>
        <v>0</v>
      </c>
      <c r="V13" s="81">
        <f>MAX('Enter Data Here'!BT41:BX41)</f>
        <v>0</v>
      </c>
    </row>
    <row r="14" spans="1:23" ht="15" customHeight="1">
      <c r="A14" s="4">
        <v>5</v>
      </c>
      <c r="B14" s="151" t="str">
        <f>IF(ISBLANK('Enter Data Here'!B8), " ", 'Enter Data Here'!B8)</f>
        <v xml:space="preserve"> </v>
      </c>
      <c r="C14" s="334" t="str">
        <f>IF(ISBLANK('Enter Data Here'!C8), " ", 'Enter Data Here'!C8)</f>
        <v xml:space="preserve"> </v>
      </c>
      <c r="D14" s="336" t="str">
        <f>IF(ISBLANK('Enter Data Here'!D8), " ", 'Enter Data Here'!D8)</f>
        <v xml:space="preserve"> </v>
      </c>
      <c r="E14" s="337" t="str">
        <f>IF(ISBLANK('Enter Data Here'!E8), " ", 'Enter Data Here'!E8)</f>
        <v xml:space="preserve"> </v>
      </c>
      <c r="F14" s="159"/>
      <c r="G14" s="173">
        <f>'Enter Data Here'!BB8+'Enter Data Here'!BD8+'Enter Data Here'!BF8</f>
        <v>0</v>
      </c>
      <c r="H14" s="142">
        <f>'Enter Data Here'!BC8+'Enter Data Here'!BE8+'Enter Data Here'!BG8</f>
        <v>0</v>
      </c>
      <c r="I14" s="41">
        <f t="shared" si="0"/>
        <v>0</v>
      </c>
      <c r="J14" s="49">
        <f>MAX('Enter Data Here'!BB42:BF42)</f>
        <v>0</v>
      </c>
      <c r="K14" s="160">
        <f>'Enter Data Here'!BH8+'Enter Data Here'!BJ8+'Enter Data Here'!BL8</f>
        <v>0</v>
      </c>
      <c r="L14" s="161">
        <f>'Enter Data Here'!BI8+'Enter Data Here'!BK8+'Enter Data Here'!BM8</f>
        <v>0</v>
      </c>
      <c r="M14" s="46">
        <f t="shared" si="1"/>
        <v>0</v>
      </c>
      <c r="N14" s="78">
        <f>MAX('Enter Data Here'!BH42:BL42)</f>
        <v>0</v>
      </c>
      <c r="O14" s="141">
        <f>'Enter Data Here'!BN8+'Enter Data Here'!BP8+'Enter Data Here'!BR8</f>
        <v>0</v>
      </c>
      <c r="P14" s="162">
        <f>'Enter Data Here'!BO8+'Enter Data Here'!BQ8+'Enter Data Here'!BS8</f>
        <v>0</v>
      </c>
      <c r="Q14" s="41">
        <f t="shared" si="2"/>
        <v>0</v>
      </c>
      <c r="R14" s="49">
        <f>MAX('Enter Data Here'!BN42:BR42)</f>
        <v>0</v>
      </c>
      <c r="S14" s="160">
        <f>'Enter Data Here'!BT8+'Enter Data Here'!BV8+'Enter Data Here'!BX8</f>
        <v>0</v>
      </c>
      <c r="T14" s="163">
        <f>'Enter Data Here'!BU8+'Enter Data Here'!BW8+'Enter Data Here'!BY8</f>
        <v>0</v>
      </c>
      <c r="U14" s="46">
        <f t="shared" si="3"/>
        <v>0</v>
      </c>
      <c r="V14" s="81">
        <f>MAX('Enter Data Here'!BT42:BX42)</f>
        <v>0</v>
      </c>
    </row>
    <row r="15" spans="1:23" ht="15" customHeight="1">
      <c r="A15" s="4">
        <v>6</v>
      </c>
      <c r="B15" s="151" t="str">
        <f>IF(ISBLANK('Enter Data Here'!B9), " ", 'Enter Data Here'!B9)</f>
        <v xml:space="preserve"> </v>
      </c>
      <c r="C15" s="334" t="str">
        <f>IF(ISBLANK('Enter Data Here'!C9), " ", 'Enter Data Here'!C9)</f>
        <v xml:space="preserve"> </v>
      </c>
      <c r="D15" s="336" t="str">
        <f>IF(ISBLANK('Enter Data Here'!D9), " ", 'Enter Data Here'!D9)</f>
        <v xml:space="preserve"> </v>
      </c>
      <c r="E15" s="337" t="str">
        <f>IF(ISBLANK('Enter Data Here'!E9), " ", 'Enter Data Here'!E9)</f>
        <v xml:space="preserve"> </v>
      </c>
      <c r="F15" s="159"/>
      <c r="G15" s="173">
        <f>'Enter Data Here'!BB9+'Enter Data Here'!BD9+'Enter Data Here'!BF9</f>
        <v>0</v>
      </c>
      <c r="H15" s="142">
        <f>'Enter Data Here'!BC9+'Enter Data Here'!BE9+'Enter Data Here'!BG9</f>
        <v>0</v>
      </c>
      <c r="I15" s="41">
        <f t="shared" si="0"/>
        <v>0</v>
      </c>
      <c r="J15" s="49">
        <f>MAX('Enter Data Here'!BB43:BF43)</f>
        <v>0</v>
      </c>
      <c r="K15" s="160">
        <f>'Enter Data Here'!BH9+'Enter Data Here'!BJ9+'Enter Data Here'!BL9</f>
        <v>0</v>
      </c>
      <c r="L15" s="161">
        <f>'Enter Data Here'!BI9+'Enter Data Here'!BK9+'Enter Data Here'!BM9</f>
        <v>0</v>
      </c>
      <c r="M15" s="46">
        <f t="shared" si="1"/>
        <v>0</v>
      </c>
      <c r="N15" s="78">
        <f>MAX('Enter Data Here'!BH43:BL43)</f>
        <v>0</v>
      </c>
      <c r="O15" s="141">
        <f>'Enter Data Here'!BN9+'Enter Data Here'!BP9+'Enter Data Here'!BR9</f>
        <v>0</v>
      </c>
      <c r="P15" s="162">
        <f>'Enter Data Here'!BO9+'Enter Data Here'!BQ9+'Enter Data Here'!BS9</f>
        <v>0</v>
      </c>
      <c r="Q15" s="41">
        <f t="shared" si="2"/>
        <v>0</v>
      </c>
      <c r="R15" s="49">
        <f>MAX('Enter Data Here'!BN43:BR43)</f>
        <v>0</v>
      </c>
      <c r="S15" s="160">
        <f>'Enter Data Here'!BT9+'Enter Data Here'!BV9+'Enter Data Here'!BX9</f>
        <v>0</v>
      </c>
      <c r="T15" s="163">
        <f>'Enter Data Here'!BU9+'Enter Data Here'!BW9+'Enter Data Here'!BY9</f>
        <v>0</v>
      </c>
      <c r="U15" s="46">
        <f t="shared" si="3"/>
        <v>0</v>
      </c>
      <c r="V15" s="81">
        <f>MAX('Enter Data Here'!BT43:BX43)</f>
        <v>0</v>
      </c>
    </row>
    <row r="16" spans="1:23" ht="15" customHeight="1">
      <c r="A16" s="4">
        <v>7</v>
      </c>
      <c r="B16" s="151" t="str">
        <f>IF(ISBLANK('Enter Data Here'!B10), " ", 'Enter Data Here'!B10)</f>
        <v xml:space="preserve"> </v>
      </c>
      <c r="C16" s="334" t="str">
        <f>IF(ISBLANK('Enter Data Here'!C10), " ", 'Enter Data Here'!C10)</f>
        <v xml:space="preserve"> </v>
      </c>
      <c r="D16" s="336" t="str">
        <f>IF(ISBLANK('Enter Data Here'!D10), " ", 'Enter Data Here'!D10)</f>
        <v xml:space="preserve"> </v>
      </c>
      <c r="E16" s="337" t="str">
        <f>IF(ISBLANK('Enter Data Here'!E10), " ", 'Enter Data Here'!E10)</f>
        <v xml:space="preserve"> </v>
      </c>
      <c r="F16" s="159"/>
      <c r="G16" s="173">
        <f>'Enter Data Here'!BB10+'Enter Data Here'!BD10+'Enter Data Here'!BF10</f>
        <v>0</v>
      </c>
      <c r="H16" s="142">
        <f>'Enter Data Here'!BC10+'Enter Data Here'!BE10+'Enter Data Here'!BG10</f>
        <v>0</v>
      </c>
      <c r="I16" s="41">
        <f t="shared" si="0"/>
        <v>0</v>
      </c>
      <c r="J16" s="49">
        <f>MAX('Enter Data Here'!BB44:BF44)</f>
        <v>0</v>
      </c>
      <c r="K16" s="160">
        <f>'Enter Data Here'!BH10+'Enter Data Here'!BJ10+'Enter Data Here'!BL10</f>
        <v>0</v>
      </c>
      <c r="L16" s="161">
        <f>'Enter Data Here'!BI10+'Enter Data Here'!BK10+'Enter Data Here'!BM10</f>
        <v>0</v>
      </c>
      <c r="M16" s="46">
        <f t="shared" si="1"/>
        <v>0</v>
      </c>
      <c r="N16" s="78">
        <f>MAX('Enter Data Here'!BH44:BL44)</f>
        <v>0</v>
      </c>
      <c r="O16" s="141">
        <f>'Enter Data Here'!BN10+'Enter Data Here'!BP10+'Enter Data Here'!BR10</f>
        <v>0</v>
      </c>
      <c r="P16" s="162">
        <f>'Enter Data Here'!BO10+'Enter Data Here'!BQ10+'Enter Data Here'!BS10</f>
        <v>0</v>
      </c>
      <c r="Q16" s="41">
        <f t="shared" si="2"/>
        <v>0</v>
      </c>
      <c r="R16" s="49">
        <f>MAX('Enter Data Here'!BN44:BR44)</f>
        <v>0</v>
      </c>
      <c r="S16" s="160">
        <f>'Enter Data Here'!BT10+'Enter Data Here'!BV10+'Enter Data Here'!BX10</f>
        <v>0</v>
      </c>
      <c r="T16" s="163">
        <f>'Enter Data Here'!BU10+'Enter Data Here'!BW10+'Enter Data Here'!BY10</f>
        <v>0</v>
      </c>
      <c r="U16" s="46">
        <f t="shared" si="3"/>
        <v>0</v>
      </c>
      <c r="V16" s="81">
        <f>MAX('Enter Data Here'!BT44:BX44)</f>
        <v>0</v>
      </c>
    </row>
    <row r="17" spans="1:22" ht="15" customHeight="1">
      <c r="A17" s="4">
        <v>8</v>
      </c>
      <c r="B17" s="151" t="str">
        <f>IF(ISBLANK('Enter Data Here'!B11), " ", 'Enter Data Here'!B11)</f>
        <v xml:space="preserve"> </v>
      </c>
      <c r="C17" s="334" t="str">
        <f>IF(ISBLANK('Enter Data Here'!C11), " ", 'Enter Data Here'!C11)</f>
        <v xml:space="preserve"> </v>
      </c>
      <c r="D17" s="336" t="str">
        <f>IF(ISBLANK('Enter Data Here'!D11), " ", 'Enter Data Here'!D11)</f>
        <v xml:space="preserve"> </v>
      </c>
      <c r="E17" s="337" t="str">
        <f>IF(ISBLANK('Enter Data Here'!E11), " ", 'Enter Data Here'!E11)</f>
        <v xml:space="preserve"> </v>
      </c>
      <c r="F17" s="159"/>
      <c r="G17" s="173">
        <f>'Enter Data Here'!BB11+'Enter Data Here'!BD11+'Enter Data Here'!BF11</f>
        <v>0</v>
      </c>
      <c r="H17" s="142">
        <f>'Enter Data Here'!BC11+'Enter Data Here'!BE11+'Enter Data Here'!BG11</f>
        <v>0</v>
      </c>
      <c r="I17" s="41">
        <f t="shared" si="0"/>
        <v>0</v>
      </c>
      <c r="J17" s="49">
        <f>MAX('Enter Data Here'!BB45:BF45)</f>
        <v>0</v>
      </c>
      <c r="K17" s="160">
        <f>'Enter Data Here'!BH11+'Enter Data Here'!BJ11+'Enter Data Here'!BL11</f>
        <v>0</v>
      </c>
      <c r="L17" s="161">
        <f>'Enter Data Here'!BI11+'Enter Data Here'!BK11+'Enter Data Here'!BM11</f>
        <v>0</v>
      </c>
      <c r="M17" s="46">
        <f t="shared" si="1"/>
        <v>0</v>
      </c>
      <c r="N17" s="78">
        <f>MAX('Enter Data Here'!BH45:BL45)</f>
        <v>0</v>
      </c>
      <c r="O17" s="141">
        <f>'Enter Data Here'!BN11+'Enter Data Here'!BP11+'Enter Data Here'!BR11</f>
        <v>0</v>
      </c>
      <c r="P17" s="162">
        <f>'Enter Data Here'!BO11+'Enter Data Here'!BQ11+'Enter Data Here'!BS11</f>
        <v>0</v>
      </c>
      <c r="Q17" s="41">
        <f t="shared" si="2"/>
        <v>0</v>
      </c>
      <c r="R17" s="49">
        <f>MAX('Enter Data Here'!BN45:BR45)</f>
        <v>0</v>
      </c>
      <c r="S17" s="160">
        <f>'Enter Data Here'!BT11+'Enter Data Here'!BV11+'Enter Data Here'!BX11</f>
        <v>0</v>
      </c>
      <c r="T17" s="163">
        <f>'Enter Data Here'!BU11+'Enter Data Here'!BW11+'Enter Data Here'!BY11</f>
        <v>0</v>
      </c>
      <c r="U17" s="46">
        <f t="shared" si="3"/>
        <v>0</v>
      </c>
      <c r="V17" s="81">
        <f>MAX('Enter Data Here'!BT45:BX45)</f>
        <v>0</v>
      </c>
    </row>
    <row r="18" spans="1:22" ht="15" customHeight="1">
      <c r="A18" s="4">
        <v>9</v>
      </c>
      <c r="B18" s="151" t="str">
        <f>IF(ISBLANK('Enter Data Here'!B12), " ", 'Enter Data Here'!B12)</f>
        <v xml:space="preserve"> </v>
      </c>
      <c r="C18" s="334" t="str">
        <f>IF(ISBLANK('Enter Data Here'!C12), " ", 'Enter Data Here'!C12)</f>
        <v xml:space="preserve"> </v>
      </c>
      <c r="D18" s="336" t="str">
        <f>IF(ISBLANK('Enter Data Here'!D12), " ", 'Enter Data Here'!D12)</f>
        <v xml:space="preserve"> </v>
      </c>
      <c r="E18" s="337" t="str">
        <f>IF(ISBLANK('Enter Data Here'!E12), " ", 'Enter Data Here'!E12)</f>
        <v xml:space="preserve"> </v>
      </c>
      <c r="F18" s="159"/>
      <c r="G18" s="173">
        <f>'Enter Data Here'!BB12+'Enter Data Here'!BD12+'Enter Data Here'!BF12</f>
        <v>0</v>
      </c>
      <c r="H18" s="142">
        <f>'Enter Data Here'!BC12+'Enter Data Here'!BE12+'Enter Data Here'!BG12</f>
        <v>0</v>
      </c>
      <c r="I18" s="41">
        <f t="shared" si="0"/>
        <v>0</v>
      </c>
      <c r="J18" s="49">
        <f>MAX('Enter Data Here'!BB46:BF46)</f>
        <v>0</v>
      </c>
      <c r="K18" s="160">
        <f>'Enter Data Here'!BH12+'Enter Data Here'!BJ12+'Enter Data Here'!BL12</f>
        <v>0</v>
      </c>
      <c r="L18" s="161">
        <f>'Enter Data Here'!BI12+'Enter Data Here'!BK12+'Enter Data Here'!BM12</f>
        <v>0</v>
      </c>
      <c r="M18" s="46">
        <f t="shared" si="1"/>
        <v>0</v>
      </c>
      <c r="N18" s="78">
        <f>MAX('Enter Data Here'!BH46:BL46)</f>
        <v>0</v>
      </c>
      <c r="O18" s="141">
        <f>'Enter Data Here'!BN12+'Enter Data Here'!BP12+'Enter Data Here'!BR12</f>
        <v>0</v>
      </c>
      <c r="P18" s="162">
        <f>'Enter Data Here'!BO12+'Enter Data Here'!BQ12+'Enter Data Here'!BS12</f>
        <v>0</v>
      </c>
      <c r="Q18" s="41">
        <f t="shared" si="2"/>
        <v>0</v>
      </c>
      <c r="R18" s="49">
        <f>MAX('Enter Data Here'!BN46:BR46)</f>
        <v>0</v>
      </c>
      <c r="S18" s="160">
        <f>'Enter Data Here'!BT12+'Enter Data Here'!BV12+'Enter Data Here'!BX12</f>
        <v>0</v>
      </c>
      <c r="T18" s="163">
        <f>'Enter Data Here'!BU12+'Enter Data Here'!BW12+'Enter Data Here'!BY12</f>
        <v>0</v>
      </c>
      <c r="U18" s="46">
        <f t="shared" si="3"/>
        <v>0</v>
      </c>
      <c r="V18" s="81">
        <f>MAX('Enter Data Here'!BT46:BX46)</f>
        <v>0</v>
      </c>
    </row>
    <row r="19" spans="1:22" ht="15" customHeight="1">
      <c r="A19" s="4">
        <v>10</v>
      </c>
      <c r="B19" s="151" t="str">
        <f>IF(ISBLANK('Enter Data Here'!B13), " ", 'Enter Data Here'!B13)</f>
        <v xml:space="preserve"> </v>
      </c>
      <c r="C19" s="334" t="str">
        <f>IF(ISBLANK('Enter Data Here'!C13), " ", 'Enter Data Here'!C13)</f>
        <v xml:space="preserve"> </v>
      </c>
      <c r="D19" s="336" t="str">
        <f>IF(ISBLANK('Enter Data Here'!D13), " ", 'Enter Data Here'!D13)</f>
        <v xml:space="preserve"> </v>
      </c>
      <c r="E19" s="337" t="str">
        <f>IF(ISBLANK('Enter Data Here'!E13), " ", 'Enter Data Here'!E13)</f>
        <v xml:space="preserve"> </v>
      </c>
      <c r="F19" s="159"/>
      <c r="G19" s="173">
        <f>'Enter Data Here'!BB13+'Enter Data Here'!BD13+'Enter Data Here'!BF13</f>
        <v>0</v>
      </c>
      <c r="H19" s="142">
        <f>'Enter Data Here'!BC13+'Enter Data Here'!BE13+'Enter Data Here'!BG13</f>
        <v>0</v>
      </c>
      <c r="I19" s="41">
        <f t="shared" si="0"/>
        <v>0</v>
      </c>
      <c r="J19" s="49">
        <f>MAX('Enter Data Here'!BB47:BF47)</f>
        <v>0</v>
      </c>
      <c r="K19" s="160">
        <f>'Enter Data Here'!BH13+'Enter Data Here'!BJ13+'Enter Data Here'!BL13</f>
        <v>0</v>
      </c>
      <c r="L19" s="161">
        <f>'Enter Data Here'!BI13+'Enter Data Here'!BK13+'Enter Data Here'!BM13</f>
        <v>0</v>
      </c>
      <c r="M19" s="46">
        <f t="shared" si="1"/>
        <v>0</v>
      </c>
      <c r="N19" s="78">
        <f>MAX('Enter Data Here'!BH47:BL47)</f>
        <v>0</v>
      </c>
      <c r="O19" s="141">
        <f>'Enter Data Here'!BN13+'Enter Data Here'!BP13+'Enter Data Here'!BR13</f>
        <v>0</v>
      </c>
      <c r="P19" s="162">
        <f>'Enter Data Here'!BO13+'Enter Data Here'!BQ13+'Enter Data Here'!BS13</f>
        <v>0</v>
      </c>
      <c r="Q19" s="41">
        <f t="shared" si="2"/>
        <v>0</v>
      </c>
      <c r="R19" s="49">
        <f>MAX('Enter Data Here'!BN47:BR47)</f>
        <v>0</v>
      </c>
      <c r="S19" s="160">
        <f>'Enter Data Here'!BT13+'Enter Data Here'!BV13+'Enter Data Here'!BX13</f>
        <v>0</v>
      </c>
      <c r="T19" s="163">
        <f>'Enter Data Here'!BU13+'Enter Data Here'!BW13+'Enter Data Here'!BY13</f>
        <v>0</v>
      </c>
      <c r="U19" s="46">
        <f t="shared" si="3"/>
        <v>0</v>
      </c>
      <c r="V19" s="81">
        <f>MAX('Enter Data Here'!BT47:BX47)</f>
        <v>0</v>
      </c>
    </row>
    <row r="20" spans="1:22" ht="15" customHeight="1">
      <c r="A20" s="4">
        <v>11</v>
      </c>
      <c r="B20" s="151" t="str">
        <f>IF(ISBLANK('Enter Data Here'!B14), " ", 'Enter Data Here'!B14)</f>
        <v xml:space="preserve"> </v>
      </c>
      <c r="C20" s="334" t="str">
        <f>IF(ISBLANK('Enter Data Here'!C14), " ", 'Enter Data Here'!C14)</f>
        <v xml:space="preserve"> </v>
      </c>
      <c r="D20" s="336" t="str">
        <f>IF(ISBLANK('Enter Data Here'!D14), " ", 'Enter Data Here'!D14)</f>
        <v xml:space="preserve"> </v>
      </c>
      <c r="E20" s="337" t="str">
        <f>IF(ISBLANK('Enter Data Here'!E14), " ", 'Enter Data Here'!E14)</f>
        <v xml:space="preserve"> </v>
      </c>
      <c r="F20" s="159"/>
      <c r="G20" s="173">
        <f>'Enter Data Here'!BB14+'Enter Data Here'!BD14+'Enter Data Here'!BF14</f>
        <v>0</v>
      </c>
      <c r="H20" s="142">
        <f>'Enter Data Here'!BC14+'Enter Data Here'!BE14+'Enter Data Here'!BG14</f>
        <v>0</v>
      </c>
      <c r="I20" s="41">
        <f t="shared" si="0"/>
        <v>0</v>
      </c>
      <c r="J20" s="49">
        <f>MAX('Enter Data Here'!BB48:BF48)</f>
        <v>0</v>
      </c>
      <c r="K20" s="160">
        <f>'Enter Data Here'!BH14+'Enter Data Here'!BJ14+'Enter Data Here'!BL14</f>
        <v>0</v>
      </c>
      <c r="L20" s="161">
        <f>'Enter Data Here'!BI14+'Enter Data Here'!BK14+'Enter Data Here'!BM14</f>
        <v>0</v>
      </c>
      <c r="M20" s="46">
        <f t="shared" si="1"/>
        <v>0</v>
      </c>
      <c r="N20" s="78">
        <f>MAX('Enter Data Here'!BH48:BL48)</f>
        <v>0</v>
      </c>
      <c r="O20" s="141">
        <f>'Enter Data Here'!BN14+'Enter Data Here'!BP14+'Enter Data Here'!BR14</f>
        <v>0</v>
      </c>
      <c r="P20" s="162">
        <f>'Enter Data Here'!BO14+'Enter Data Here'!BQ14+'Enter Data Here'!BS14</f>
        <v>0</v>
      </c>
      <c r="Q20" s="41">
        <f t="shared" si="2"/>
        <v>0</v>
      </c>
      <c r="R20" s="49">
        <f>MAX('Enter Data Here'!BN48:BR48)</f>
        <v>0</v>
      </c>
      <c r="S20" s="160">
        <f>'Enter Data Here'!BT14+'Enter Data Here'!BV14+'Enter Data Here'!BX14</f>
        <v>0</v>
      </c>
      <c r="T20" s="163">
        <f>'Enter Data Here'!BU14+'Enter Data Here'!BW14+'Enter Data Here'!BY14</f>
        <v>0</v>
      </c>
      <c r="U20" s="46">
        <f t="shared" si="3"/>
        <v>0</v>
      </c>
      <c r="V20" s="81">
        <f>MAX('Enter Data Here'!BT48:BX48)</f>
        <v>0</v>
      </c>
    </row>
    <row r="21" spans="1:22" ht="15" customHeight="1">
      <c r="A21" s="4">
        <v>12</v>
      </c>
      <c r="B21" s="151" t="str">
        <f>IF(ISBLANK('Enter Data Here'!B15), " ", 'Enter Data Here'!B15)</f>
        <v xml:space="preserve"> </v>
      </c>
      <c r="C21" s="334" t="str">
        <f>IF(ISBLANK('Enter Data Here'!C15), " ", 'Enter Data Here'!C15)</f>
        <v xml:space="preserve"> </v>
      </c>
      <c r="D21" s="336" t="str">
        <f>IF(ISBLANK('Enter Data Here'!D15), " ", 'Enter Data Here'!D15)</f>
        <v xml:space="preserve"> </v>
      </c>
      <c r="E21" s="337" t="str">
        <f>IF(ISBLANK('Enter Data Here'!E15), " ", 'Enter Data Here'!E15)</f>
        <v xml:space="preserve"> </v>
      </c>
      <c r="F21" s="159"/>
      <c r="G21" s="173">
        <f>'Enter Data Here'!BB15+'Enter Data Here'!BD15+'Enter Data Here'!BF15</f>
        <v>0</v>
      </c>
      <c r="H21" s="142">
        <f>'Enter Data Here'!BC15+'Enter Data Here'!BE15+'Enter Data Here'!BG15</f>
        <v>0</v>
      </c>
      <c r="I21" s="41">
        <f t="shared" si="0"/>
        <v>0</v>
      </c>
      <c r="J21" s="49">
        <f>MAX('Enter Data Here'!BB49:BF49)</f>
        <v>0</v>
      </c>
      <c r="K21" s="160">
        <f>'Enter Data Here'!BH15+'Enter Data Here'!BJ15+'Enter Data Here'!BL15</f>
        <v>0</v>
      </c>
      <c r="L21" s="161">
        <f>'Enter Data Here'!BI15+'Enter Data Here'!BK15+'Enter Data Here'!BM15</f>
        <v>0</v>
      </c>
      <c r="M21" s="46">
        <f t="shared" si="1"/>
        <v>0</v>
      </c>
      <c r="N21" s="78">
        <f>MAX('Enter Data Here'!BH49:BL49)</f>
        <v>0</v>
      </c>
      <c r="O21" s="141">
        <f>'Enter Data Here'!BN15+'Enter Data Here'!BP15+'Enter Data Here'!BR15</f>
        <v>0</v>
      </c>
      <c r="P21" s="162">
        <f>'Enter Data Here'!BO15+'Enter Data Here'!BQ15+'Enter Data Here'!BS15</f>
        <v>0</v>
      </c>
      <c r="Q21" s="41">
        <f t="shared" si="2"/>
        <v>0</v>
      </c>
      <c r="R21" s="49">
        <f>MAX('Enter Data Here'!BN49:BR49)</f>
        <v>0</v>
      </c>
      <c r="S21" s="160">
        <f>'Enter Data Here'!BT15+'Enter Data Here'!BV15+'Enter Data Here'!BX15</f>
        <v>0</v>
      </c>
      <c r="T21" s="163">
        <f>'Enter Data Here'!BU15+'Enter Data Here'!BW15+'Enter Data Here'!BY15</f>
        <v>0</v>
      </c>
      <c r="U21" s="46">
        <f t="shared" si="3"/>
        <v>0</v>
      </c>
      <c r="V21" s="81">
        <f>MAX('Enter Data Here'!BT49:BX49)</f>
        <v>0</v>
      </c>
    </row>
    <row r="22" spans="1:22" ht="15" customHeight="1">
      <c r="A22" s="4">
        <v>13</v>
      </c>
      <c r="B22" s="151" t="str">
        <f>IF(ISBLANK('Enter Data Here'!B16), " ", 'Enter Data Here'!B16)</f>
        <v xml:space="preserve"> </v>
      </c>
      <c r="C22" s="334" t="str">
        <f>IF(ISBLANK('Enter Data Here'!C16), " ", 'Enter Data Here'!C16)</f>
        <v xml:space="preserve"> </v>
      </c>
      <c r="D22" s="336" t="str">
        <f>IF(ISBLANK('Enter Data Here'!D16), " ", 'Enter Data Here'!D16)</f>
        <v xml:space="preserve"> </v>
      </c>
      <c r="E22" s="337" t="str">
        <f>IF(ISBLANK('Enter Data Here'!E16), " ", 'Enter Data Here'!E16)</f>
        <v xml:space="preserve"> </v>
      </c>
      <c r="F22" s="159"/>
      <c r="G22" s="173">
        <f>'Enter Data Here'!BB16+'Enter Data Here'!BD16+'Enter Data Here'!BF16</f>
        <v>0</v>
      </c>
      <c r="H22" s="142">
        <f>'Enter Data Here'!BC16+'Enter Data Here'!BE16+'Enter Data Here'!BG16</f>
        <v>0</v>
      </c>
      <c r="I22" s="41">
        <f t="shared" si="0"/>
        <v>0</v>
      </c>
      <c r="J22" s="49">
        <f>MAX('Enter Data Here'!BB50:BF50)</f>
        <v>0</v>
      </c>
      <c r="K22" s="160">
        <f>'Enter Data Here'!BH16+'Enter Data Here'!BJ16+'Enter Data Here'!BL16</f>
        <v>0</v>
      </c>
      <c r="L22" s="161">
        <f>'Enter Data Here'!BI16+'Enter Data Here'!BK16+'Enter Data Here'!BM16</f>
        <v>0</v>
      </c>
      <c r="M22" s="46">
        <f t="shared" si="1"/>
        <v>0</v>
      </c>
      <c r="N22" s="78">
        <f>MAX('Enter Data Here'!BH50:BL50)</f>
        <v>0</v>
      </c>
      <c r="O22" s="141">
        <f>'Enter Data Here'!BN16+'Enter Data Here'!BP16+'Enter Data Here'!BR16</f>
        <v>0</v>
      </c>
      <c r="P22" s="162">
        <f>'Enter Data Here'!BO16+'Enter Data Here'!BQ16+'Enter Data Here'!BS16</f>
        <v>0</v>
      </c>
      <c r="Q22" s="41">
        <f t="shared" si="2"/>
        <v>0</v>
      </c>
      <c r="R22" s="49">
        <f>MAX('Enter Data Here'!BN50:BR50)</f>
        <v>0</v>
      </c>
      <c r="S22" s="160">
        <f>'Enter Data Here'!BT16+'Enter Data Here'!BV16+'Enter Data Here'!BX16</f>
        <v>0</v>
      </c>
      <c r="T22" s="163">
        <f>'Enter Data Here'!BU16+'Enter Data Here'!BW16+'Enter Data Here'!BY16</f>
        <v>0</v>
      </c>
      <c r="U22" s="46">
        <f t="shared" si="3"/>
        <v>0</v>
      </c>
      <c r="V22" s="81">
        <f>MAX('Enter Data Here'!BT50:BX50)</f>
        <v>0</v>
      </c>
    </row>
    <row r="23" spans="1:22" ht="15" customHeight="1">
      <c r="A23" s="4">
        <v>14</v>
      </c>
      <c r="B23" s="151" t="str">
        <f>IF(ISBLANK('Enter Data Here'!B17), " ", 'Enter Data Here'!B17)</f>
        <v xml:space="preserve"> </v>
      </c>
      <c r="C23" s="334" t="str">
        <f>IF(ISBLANK('Enter Data Here'!C17), " ", 'Enter Data Here'!C17)</f>
        <v xml:space="preserve"> </v>
      </c>
      <c r="D23" s="336" t="str">
        <f>IF(ISBLANK('Enter Data Here'!D17), " ", 'Enter Data Here'!D17)</f>
        <v xml:space="preserve"> </v>
      </c>
      <c r="E23" s="337" t="str">
        <f>IF(ISBLANK('Enter Data Here'!E17), " ", 'Enter Data Here'!E17)</f>
        <v xml:space="preserve"> </v>
      </c>
      <c r="F23" s="159"/>
      <c r="G23" s="173">
        <f>'Enter Data Here'!BB17+'Enter Data Here'!BD17+'Enter Data Here'!BF17</f>
        <v>0</v>
      </c>
      <c r="H23" s="142">
        <f>'Enter Data Here'!BC17+'Enter Data Here'!BE17+'Enter Data Here'!BG17</f>
        <v>0</v>
      </c>
      <c r="I23" s="41">
        <f t="shared" si="0"/>
        <v>0</v>
      </c>
      <c r="J23" s="49">
        <f>MAX('Enter Data Here'!BB51:BF51)</f>
        <v>0</v>
      </c>
      <c r="K23" s="160">
        <f>'Enter Data Here'!BH17+'Enter Data Here'!BJ17+'Enter Data Here'!BL17</f>
        <v>0</v>
      </c>
      <c r="L23" s="161">
        <f>'Enter Data Here'!BI17+'Enter Data Here'!BK17+'Enter Data Here'!BM17</f>
        <v>0</v>
      </c>
      <c r="M23" s="46">
        <f t="shared" si="1"/>
        <v>0</v>
      </c>
      <c r="N23" s="78">
        <f>MAX('Enter Data Here'!BH51:BL51)</f>
        <v>0</v>
      </c>
      <c r="O23" s="141">
        <f>'Enter Data Here'!BN17+'Enter Data Here'!BP17+'Enter Data Here'!BR17</f>
        <v>0</v>
      </c>
      <c r="P23" s="162">
        <f>'Enter Data Here'!BO17+'Enter Data Here'!BQ17+'Enter Data Here'!BS17</f>
        <v>0</v>
      </c>
      <c r="Q23" s="41">
        <f t="shared" si="2"/>
        <v>0</v>
      </c>
      <c r="R23" s="49">
        <f>MAX('Enter Data Here'!BN51:BR51)</f>
        <v>0</v>
      </c>
      <c r="S23" s="160">
        <f>'Enter Data Here'!BT17+'Enter Data Here'!BV17+'Enter Data Here'!BX17</f>
        <v>0</v>
      </c>
      <c r="T23" s="163">
        <f>'Enter Data Here'!BU17+'Enter Data Here'!BW17+'Enter Data Here'!BY17</f>
        <v>0</v>
      </c>
      <c r="U23" s="46">
        <f t="shared" si="3"/>
        <v>0</v>
      </c>
      <c r="V23" s="81">
        <f>MAX('Enter Data Here'!BT51:BX51)</f>
        <v>0</v>
      </c>
    </row>
    <row r="24" spans="1:22" ht="15" customHeight="1">
      <c r="A24" s="4">
        <v>15</v>
      </c>
      <c r="B24" s="151" t="str">
        <f>IF(ISBLANK('Enter Data Here'!B18), " ", 'Enter Data Here'!B18)</f>
        <v xml:space="preserve"> </v>
      </c>
      <c r="C24" s="334" t="str">
        <f>IF(ISBLANK('Enter Data Here'!C18), " ", 'Enter Data Here'!C18)</f>
        <v xml:space="preserve"> </v>
      </c>
      <c r="D24" s="336" t="str">
        <f>IF(ISBLANK('Enter Data Here'!D18), " ", 'Enter Data Here'!D18)</f>
        <v xml:space="preserve"> </v>
      </c>
      <c r="E24" s="337" t="str">
        <f>IF(ISBLANK('Enter Data Here'!E18), " ", 'Enter Data Here'!E18)</f>
        <v xml:space="preserve"> </v>
      </c>
      <c r="F24" s="159"/>
      <c r="G24" s="173">
        <f>'Enter Data Here'!BB18+'Enter Data Here'!BD18+'Enter Data Here'!BF18</f>
        <v>0</v>
      </c>
      <c r="H24" s="142">
        <f>'Enter Data Here'!BC18+'Enter Data Here'!BE18+'Enter Data Here'!BG18</f>
        <v>0</v>
      </c>
      <c r="I24" s="41">
        <f t="shared" si="0"/>
        <v>0</v>
      </c>
      <c r="J24" s="49">
        <f>MAX('Enter Data Here'!BB52:BF52)</f>
        <v>0</v>
      </c>
      <c r="K24" s="160">
        <f>'Enter Data Here'!BH18+'Enter Data Here'!BJ18+'Enter Data Here'!BL18</f>
        <v>0</v>
      </c>
      <c r="L24" s="161">
        <f>'Enter Data Here'!BI18+'Enter Data Here'!BK18+'Enter Data Here'!BM18</f>
        <v>0</v>
      </c>
      <c r="M24" s="46">
        <f t="shared" si="1"/>
        <v>0</v>
      </c>
      <c r="N24" s="78">
        <f>MAX('Enter Data Here'!BH52:BL52)</f>
        <v>0</v>
      </c>
      <c r="O24" s="141">
        <f>'Enter Data Here'!BN18+'Enter Data Here'!BP18+'Enter Data Here'!BR18</f>
        <v>0</v>
      </c>
      <c r="P24" s="162">
        <f>'Enter Data Here'!BO18+'Enter Data Here'!BQ18+'Enter Data Here'!BS18</f>
        <v>0</v>
      </c>
      <c r="Q24" s="41">
        <f t="shared" si="2"/>
        <v>0</v>
      </c>
      <c r="R24" s="49">
        <f>MAX('Enter Data Here'!BN52:BR52)</f>
        <v>0</v>
      </c>
      <c r="S24" s="160">
        <f>'Enter Data Here'!BT18+'Enter Data Here'!BV18+'Enter Data Here'!BX18</f>
        <v>0</v>
      </c>
      <c r="T24" s="163">
        <f>'Enter Data Here'!BU18+'Enter Data Here'!BW18+'Enter Data Here'!BY18</f>
        <v>0</v>
      </c>
      <c r="U24" s="46">
        <f t="shared" si="3"/>
        <v>0</v>
      </c>
      <c r="V24" s="81">
        <f>MAX('Enter Data Here'!BT52:BX52)</f>
        <v>0</v>
      </c>
    </row>
    <row r="25" spans="1:22" ht="15" customHeight="1">
      <c r="A25" s="4">
        <v>16</v>
      </c>
      <c r="B25" s="151" t="str">
        <f>IF(ISBLANK('Enter Data Here'!B19), " ", 'Enter Data Here'!B19)</f>
        <v xml:space="preserve"> </v>
      </c>
      <c r="C25" s="334" t="str">
        <f>IF(ISBLANK('Enter Data Here'!C19), " ", 'Enter Data Here'!C19)</f>
        <v xml:space="preserve"> </v>
      </c>
      <c r="D25" s="336" t="str">
        <f>IF(ISBLANK('Enter Data Here'!D19), " ", 'Enter Data Here'!D19)</f>
        <v xml:space="preserve"> </v>
      </c>
      <c r="E25" s="337" t="str">
        <f>IF(ISBLANK('Enter Data Here'!E19), " ", 'Enter Data Here'!E19)</f>
        <v xml:space="preserve"> </v>
      </c>
      <c r="F25" s="159"/>
      <c r="G25" s="173">
        <f>'Enter Data Here'!BB19+'Enter Data Here'!BD19+'Enter Data Here'!BF19</f>
        <v>0</v>
      </c>
      <c r="H25" s="142">
        <f>'Enter Data Here'!BC19+'Enter Data Here'!BE19+'Enter Data Here'!BG19</f>
        <v>0</v>
      </c>
      <c r="I25" s="41">
        <f t="shared" si="0"/>
        <v>0</v>
      </c>
      <c r="J25" s="49">
        <f>MAX('Enter Data Here'!BB53:BF53)</f>
        <v>0</v>
      </c>
      <c r="K25" s="160">
        <f>'Enter Data Here'!BH19+'Enter Data Here'!BJ19+'Enter Data Here'!BL19</f>
        <v>0</v>
      </c>
      <c r="L25" s="161">
        <f>'Enter Data Here'!BI19+'Enter Data Here'!BK19+'Enter Data Here'!BM19</f>
        <v>0</v>
      </c>
      <c r="M25" s="46">
        <f t="shared" si="1"/>
        <v>0</v>
      </c>
      <c r="N25" s="78">
        <f>MAX('Enter Data Here'!BH53:BL53)</f>
        <v>0</v>
      </c>
      <c r="O25" s="141">
        <f>'Enter Data Here'!BN19+'Enter Data Here'!BP19+'Enter Data Here'!BR19</f>
        <v>0</v>
      </c>
      <c r="P25" s="162">
        <f>'Enter Data Here'!BO19+'Enter Data Here'!BQ19+'Enter Data Here'!BS19</f>
        <v>0</v>
      </c>
      <c r="Q25" s="41">
        <f t="shared" si="2"/>
        <v>0</v>
      </c>
      <c r="R25" s="49">
        <f>MAX('Enter Data Here'!BN53:BR53)</f>
        <v>0</v>
      </c>
      <c r="S25" s="160">
        <f>'Enter Data Here'!BT19+'Enter Data Here'!BV19+'Enter Data Here'!BX19</f>
        <v>0</v>
      </c>
      <c r="T25" s="163">
        <f>'Enter Data Here'!BU19+'Enter Data Here'!BW19+'Enter Data Here'!BY19</f>
        <v>0</v>
      </c>
      <c r="U25" s="46">
        <f t="shared" si="3"/>
        <v>0</v>
      </c>
      <c r="V25" s="81">
        <f>MAX('Enter Data Here'!BT53:BX53)</f>
        <v>0</v>
      </c>
    </row>
    <row r="26" spans="1:22" ht="15" customHeight="1">
      <c r="A26" s="4">
        <v>17</v>
      </c>
      <c r="B26" s="151" t="str">
        <f>IF(ISBLANK('Enter Data Here'!B20), " ", 'Enter Data Here'!B20)</f>
        <v xml:space="preserve"> </v>
      </c>
      <c r="C26" s="334" t="str">
        <f>IF(ISBLANK('Enter Data Here'!C20), " ", 'Enter Data Here'!C20)</f>
        <v xml:space="preserve"> </v>
      </c>
      <c r="D26" s="336" t="str">
        <f>IF(ISBLANK('Enter Data Here'!D20), " ", 'Enter Data Here'!D20)</f>
        <v xml:space="preserve"> </v>
      </c>
      <c r="E26" s="337" t="str">
        <f>IF(ISBLANK('Enter Data Here'!E20), " ", 'Enter Data Here'!E20)</f>
        <v xml:space="preserve"> </v>
      </c>
      <c r="F26" s="159"/>
      <c r="G26" s="173">
        <f>'Enter Data Here'!BB20+'Enter Data Here'!BD20+'Enter Data Here'!BF20</f>
        <v>0</v>
      </c>
      <c r="H26" s="142">
        <f>'Enter Data Here'!BC20+'Enter Data Here'!BE20+'Enter Data Here'!BG20</f>
        <v>0</v>
      </c>
      <c r="I26" s="41">
        <f t="shared" si="0"/>
        <v>0</v>
      </c>
      <c r="J26" s="49">
        <f>MAX('Enter Data Here'!BB54:BF54)</f>
        <v>0</v>
      </c>
      <c r="K26" s="160">
        <f>'Enter Data Here'!BH20+'Enter Data Here'!BJ20+'Enter Data Here'!BL20</f>
        <v>0</v>
      </c>
      <c r="L26" s="161">
        <f>'Enter Data Here'!BI20+'Enter Data Here'!BK20+'Enter Data Here'!BM20</f>
        <v>0</v>
      </c>
      <c r="M26" s="46">
        <f t="shared" si="1"/>
        <v>0</v>
      </c>
      <c r="N26" s="78">
        <f>MAX('Enter Data Here'!BH54:BL54)</f>
        <v>0</v>
      </c>
      <c r="O26" s="141">
        <f>'Enter Data Here'!BN20+'Enter Data Here'!BP20+'Enter Data Here'!BR20</f>
        <v>0</v>
      </c>
      <c r="P26" s="162">
        <f>'Enter Data Here'!BO20+'Enter Data Here'!BQ20+'Enter Data Here'!BS20</f>
        <v>0</v>
      </c>
      <c r="Q26" s="41">
        <f t="shared" si="2"/>
        <v>0</v>
      </c>
      <c r="R26" s="49">
        <f>MAX('Enter Data Here'!BN54:BR54)</f>
        <v>0</v>
      </c>
      <c r="S26" s="160">
        <f>'Enter Data Here'!BT20+'Enter Data Here'!BV20+'Enter Data Here'!BX20</f>
        <v>0</v>
      </c>
      <c r="T26" s="163">
        <f>'Enter Data Here'!BU20+'Enter Data Here'!BW20+'Enter Data Here'!BY20</f>
        <v>0</v>
      </c>
      <c r="U26" s="46">
        <f t="shared" si="3"/>
        <v>0</v>
      </c>
      <c r="V26" s="81">
        <f>MAX('Enter Data Here'!BT54:BX54)</f>
        <v>0</v>
      </c>
    </row>
    <row r="27" spans="1:22" ht="15" customHeight="1">
      <c r="A27" s="4">
        <v>18</v>
      </c>
      <c r="B27" s="151" t="str">
        <f>IF(ISBLANK('Enter Data Here'!B21), " ", 'Enter Data Here'!B21)</f>
        <v xml:space="preserve"> </v>
      </c>
      <c r="C27" s="334" t="str">
        <f>IF(ISBLANK('Enter Data Here'!C21), " ", 'Enter Data Here'!C21)</f>
        <v xml:space="preserve"> </v>
      </c>
      <c r="D27" s="336" t="str">
        <f>IF(ISBLANK('Enter Data Here'!D21), " ", 'Enter Data Here'!D21)</f>
        <v xml:space="preserve"> </v>
      </c>
      <c r="E27" s="337" t="str">
        <f>IF(ISBLANK('Enter Data Here'!E21), " ", 'Enter Data Here'!E21)</f>
        <v xml:space="preserve"> </v>
      </c>
      <c r="F27" s="159"/>
      <c r="G27" s="173">
        <f>'Enter Data Here'!BB21+'Enter Data Here'!BD21+'Enter Data Here'!BF21</f>
        <v>0</v>
      </c>
      <c r="H27" s="142">
        <f>'Enter Data Here'!BC21+'Enter Data Here'!BE21+'Enter Data Here'!BG21</f>
        <v>0</v>
      </c>
      <c r="I27" s="41">
        <f t="shared" si="0"/>
        <v>0</v>
      </c>
      <c r="J27" s="49">
        <f>MAX('Enter Data Here'!BB55:BF55)</f>
        <v>0</v>
      </c>
      <c r="K27" s="160">
        <f>'Enter Data Here'!BH21+'Enter Data Here'!BJ21+'Enter Data Here'!BL21</f>
        <v>0</v>
      </c>
      <c r="L27" s="161">
        <f>'Enter Data Here'!BI21+'Enter Data Here'!BK21+'Enter Data Here'!BM21</f>
        <v>0</v>
      </c>
      <c r="M27" s="46">
        <f t="shared" si="1"/>
        <v>0</v>
      </c>
      <c r="N27" s="78">
        <f>MAX('Enter Data Here'!BH55:BL55)</f>
        <v>0</v>
      </c>
      <c r="O27" s="141">
        <f>'Enter Data Here'!BN21+'Enter Data Here'!BP21+'Enter Data Here'!BR21</f>
        <v>0</v>
      </c>
      <c r="P27" s="162">
        <f>'Enter Data Here'!BO21+'Enter Data Here'!BQ21+'Enter Data Here'!BS21</f>
        <v>0</v>
      </c>
      <c r="Q27" s="41">
        <f t="shared" si="2"/>
        <v>0</v>
      </c>
      <c r="R27" s="49">
        <f>MAX('Enter Data Here'!BN55:BR55)</f>
        <v>0</v>
      </c>
      <c r="S27" s="160">
        <f>'Enter Data Here'!BT21+'Enter Data Here'!BV21+'Enter Data Here'!BX21</f>
        <v>0</v>
      </c>
      <c r="T27" s="163">
        <f>'Enter Data Here'!BU21+'Enter Data Here'!BW21+'Enter Data Here'!BY21</f>
        <v>0</v>
      </c>
      <c r="U27" s="46">
        <f t="shared" si="3"/>
        <v>0</v>
      </c>
      <c r="V27" s="81">
        <f>MAX('Enter Data Here'!BT55:BX55)</f>
        <v>0</v>
      </c>
    </row>
    <row r="28" spans="1:22" ht="15" customHeight="1">
      <c r="A28" s="4">
        <v>19</v>
      </c>
      <c r="B28" s="151" t="str">
        <f>IF(ISBLANK('Enter Data Here'!B22), " ", 'Enter Data Here'!B22)</f>
        <v xml:space="preserve"> </v>
      </c>
      <c r="C28" s="334" t="str">
        <f>IF(ISBLANK('Enter Data Here'!C22), " ", 'Enter Data Here'!C22)</f>
        <v xml:space="preserve"> </v>
      </c>
      <c r="D28" s="336" t="str">
        <f>IF(ISBLANK('Enter Data Here'!D22), " ", 'Enter Data Here'!D22)</f>
        <v xml:space="preserve"> </v>
      </c>
      <c r="E28" s="337" t="str">
        <f>IF(ISBLANK('Enter Data Here'!E22), " ", 'Enter Data Here'!E22)</f>
        <v xml:space="preserve"> </v>
      </c>
      <c r="F28" s="159"/>
      <c r="G28" s="173">
        <f>'Enter Data Here'!BB22+'Enter Data Here'!BD22+'Enter Data Here'!BF22</f>
        <v>0</v>
      </c>
      <c r="H28" s="142">
        <f>'Enter Data Here'!BC22+'Enter Data Here'!BE22+'Enter Data Here'!BG22</f>
        <v>0</v>
      </c>
      <c r="I28" s="41">
        <f t="shared" si="0"/>
        <v>0</v>
      </c>
      <c r="J28" s="49">
        <f>MAX('Enter Data Here'!BB56:BF56)</f>
        <v>0</v>
      </c>
      <c r="K28" s="160">
        <f>'Enter Data Here'!BH22+'Enter Data Here'!BJ22+'Enter Data Here'!BL22</f>
        <v>0</v>
      </c>
      <c r="L28" s="161">
        <f>'Enter Data Here'!BI22+'Enter Data Here'!BK22+'Enter Data Here'!BM22</f>
        <v>0</v>
      </c>
      <c r="M28" s="46">
        <f t="shared" si="1"/>
        <v>0</v>
      </c>
      <c r="N28" s="78">
        <f>MAX('Enter Data Here'!BH56:BL56)</f>
        <v>0</v>
      </c>
      <c r="O28" s="141">
        <f>'Enter Data Here'!BN22+'Enter Data Here'!BP22+'Enter Data Here'!BR22</f>
        <v>0</v>
      </c>
      <c r="P28" s="162">
        <f>'Enter Data Here'!BO22+'Enter Data Here'!BQ22+'Enter Data Here'!BS22</f>
        <v>0</v>
      </c>
      <c r="Q28" s="41">
        <f t="shared" si="2"/>
        <v>0</v>
      </c>
      <c r="R28" s="49">
        <f>MAX('Enter Data Here'!BN56:BR56)</f>
        <v>0</v>
      </c>
      <c r="S28" s="160">
        <f>'Enter Data Here'!BT22+'Enter Data Here'!BV22+'Enter Data Here'!BX22</f>
        <v>0</v>
      </c>
      <c r="T28" s="163">
        <f>'Enter Data Here'!BU22+'Enter Data Here'!BW22+'Enter Data Here'!BY22</f>
        <v>0</v>
      </c>
      <c r="U28" s="46">
        <f t="shared" si="3"/>
        <v>0</v>
      </c>
      <c r="V28" s="81">
        <f>MAX('Enter Data Here'!BT56:BX56)</f>
        <v>0</v>
      </c>
    </row>
    <row r="29" spans="1:22" ht="15" customHeight="1">
      <c r="A29" s="4">
        <v>20</v>
      </c>
      <c r="B29" s="151" t="str">
        <f>IF(ISBLANK('Enter Data Here'!B23), " ", 'Enter Data Here'!B23)</f>
        <v xml:space="preserve"> </v>
      </c>
      <c r="C29" s="334" t="str">
        <f>IF(ISBLANK('Enter Data Here'!C23), " ", 'Enter Data Here'!C23)</f>
        <v xml:space="preserve"> </v>
      </c>
      <c r="D29" s="336" t="str">
        <f>IF(ISBLANK('Enter Data Here'!D23), " ", 'Enter Data Here'!D23)</f>
        <v xml:space="preserve"> </v>
      </c>
      <c r="E29" s="337" t="str">
        <f>IF(ISBLANK('Enter Data Here'!E23), " ", 'Enter Data Here'!E23)</f>
        <v xml:space="preserve"> </v>
      </c>
      <c r="F29" s="159"/>
      <c r="G29" s="173">
        <f>'Enter Data Here'!BB23+'Enter Data Here'!BD23+'Enter Data Here'!BF23</f>
        <v>0</v>
      </c>
      <c r="H29" s="142">
        <f>'Enter Data Here'!BC23+'Enter Data Here'!BE23+'Enter Data Here'!BG23</f>
        <v>0</v>
      </c>
      <c r="I29" s="41">
        <f t="shared" si="0"/>
        <v>0</v>
      </c>
      <c r="J29" s="49">
        <f>MAX('Enter Data Here'!BB57:BF57)</f>
        <v>0</v>
      </c>
      <c r="K29" s="160">
        <f>'Enter Data Here'!BH23+'Enter Data Here'!BJ23+'Enter Data Here'!BL23</f>
        <v>0</v>
      </c>
      <c r="L29" s="161">
        <f>'Enter Data Here'!BI23+'Enter Data Here'!BK23+'Enter Data Here'!BM23</f>
        <v>0</v>
      </c>
      <c r="M29" s="46">
        <f t="shared" si="1"/>
        <v>0</v>
      </c>
      <c r="N29" s="78">
        <f>MAX('Enter Data Here'!BH57:BL57)</f>
        <v>0</v>
      </c>
      <c r="O29" s="141">
        <f>'Enter Data Here'!BN23+'Enter Data Here'!BP23+'Enter Data Here'!BR23</f>
        <v>0</v>
      </c>
      <c r="P29" s="162">
        <f>'Enter Data Here'!BO23+'Enter Data Here'!BQ23+'Enter Data Here'!BS23</f>
        <v>0</v>
      </c>
      <c r="Q29" s="41">
        <f t="shared" si="2"/>
        <v>0</v>
      </c>
      <c r="R29" s="49">
        <f>MAX('Enter Data Here'!BN57:BR57)</f>
        <v>0</v>
      </c>
      <c r="S29" s="160">
        <f>'Enter Data Here'!BT23+'Enter Data Here'!BV23+'Enter Data Here'!BX23</f>
        <v>0</v>
      </c>
      <c r="T29" s="163">
        <f>'Enter Data Here'!BU23+'Enter Data Here'!BW23+'Enter Data Here'!BY23</f>
        <v>0</v>
      </c>
      <c r="U29" s="46">
        <f t="shared" si="3"/>
        <v>0</v>
      </c>
      <c r="V29" s="81">
        <f>MAX('Enter Data Here'!BT57:BX57)</f>
        <v>0</v>
      </c>
    </row>
    <row r="30" spans="1:22" ht="15" customHeight="1">
      <c r="A30" s="4">
        <v>21</v>
      </c>
      <c r="B30" s="151" t="str">
        <f>IF(ISBLANK('Enter Data Here'!B24), " ", 'Enter Data Here'!B24)</f>
        <v xml:space="preserve"> </v>
      </c>
      <c r="C30" s="334" t="str">
        <f>IF(ISBLANK('Enter Data Here'!C24), " ", 'Enter Data Here'!C24)</f>
        <v xml:space="preserve"> </v>
      </c>
      <c r="D30" s="336" t="str">
        <f>IF(ISBLANK('Enter Data Here'!D24), " ", 'Enter Data Here'!D24)</f>
        <v xml:space="preserve"> </v>
      </c>
      <c r="E30" s="337" t="str">
        <f>IF(ISBLANK('Enter Data Here'!E24), " ", 'Enter Data Here'!E24)</f>
        <v xml:space="preserve"> </v>
      </c>
      <c r="F30" s="159"/>
      <c r="G30" s="173">
        <f>'Enter Data Here'!BB24+'Enter Data Here'!BD24+'Enter Data Here'!BF24</f>
        <v>0</v>
      </c>
      <c r="H30" s="142">
        <f>'Enter Data Here'!BC24+'Enter Data Here'!BE24+'Enter Data Here'!BG24</f>
        <v>0</v>
      </c>
      <c r="I30" s="41">
        <f t="shared" si="0"/>
        <v>0</v>
      </c>
      <c r="J30" s="49">
        <f>MAX('Enter Data Here'!BB58:BF58)</f>
        <v>0</v>
      </c>
      <c r="K30" s="160">
        <f>'Enter Data Here'!BH24+'Enter Data Here'!BJ24+'Enter Data Here'!BL24</f>
        <v>0</v>
      </c>
      <c r="L30" s="161">
        <f>'Enter Data Here'!BI24+'Enter Data Here'!BK24+'Enter Data Here'!BM24</f>
        <v>0</v>
      </c>
      <c r="M30" s="46">
        <f t="shared" si="1"/>
        <v>0</v>
      </c>
      <c r="N30" s="78">
        <f>MAX('Enter Data Here'!BH58:BL58)</f>
        <v>0</v>
      </c>
      <c r="O30" s="141">
        <f>'Enter Data Here'!BN24+'Enter Data Here'!BP24+'Enter Data Here'!BR24</f>
        <v>0</v>
      </c>
      <c r="P30" s="162">
        <f>'Enter Data Here'!BO24+'Enter Data Here'!BQ24+'Enter Data Here'!BS24</f>
        <v>0</v>
      </c>
      <c r="Q30" s="41">
        <f t="shared" si="2"/>
        <v>0</v>
      </c>
      <c r="R30" s="49">
        <f>MAX('Enter Data Here'!BN58:BR58)</f>
        <v>0</v>
      </c>
      <c r="S30" s="160">
        <f>'Enter Data Here'!BT24+'Enter Data Here'!BV24+'Enter Data Here'!BX24</f>
        <v>0</v>
      </c>
      <c r="T30" s="163">
        <f>'Enter Data Here'!BU24+'Enter Data Here'!BW24+'Enter Data Here'!BY24</f>
        <v>0</v>
      </c>
      <c r="U30" s="46">
        <f t="shared" si="3"/>
        <v>0</v>
      </c>
      <c r="V30" s="81">
        <f>MAX('Enter Data Here'!BT58:BX58)</f>
        <v>0</v>
      </c>
    </row>
    <row r="31" spans="1:22" ht="15" customHeight="1">
      <c r="A31" s="4">
        <v>22</v>
      </c>
      <c r="B31" s="151" t="str">
        <f>IF(ISBLANK('Enter Data Here'!B25), " ", 'Enter Data Here'!B25)</f>
        <v xml:space="preserve"> </v>
      </c>
      <c r="C31" s="334" t="str">
        <f>IF(ISBLANK('Enter Data Here'!C25), " ", 'Enter Data Here'!C25)</f>
        <v xml:space="preserve"> </v>
      </c>
      <c r="D31" s="336" t="str">
        <f>IF(ISBLANK('Enter Data Here'!D25), " ", 'Enter Data Here'!D25)</f>
        <v xml:space="preserve"> </v>
      </c>
      <c r="E31" s="337" t="str">
        <f>IF(ISBLANK('Enter Data Here'!E25), " ", 'Enter Data Here'!E25)</f>
        <v xml:space="preserve"> </v>
      </c>
      <c r="F31" s="159"/>
      <c r="G31" s="173">
        <f>'Enter Data Here'!BB25+'Enter Data Here'!BD25+'Enter Data Here'!BF25</f>
        <v>0</v>
      </c>
      <c r="H31" s="142">
        <f>'Enter Data Here'!BC25+'Enter Data Here'!BE25+'Enter Data Here'!BG25</f>
        <v>0</v>
      </c>
      <c r="I31" s="41">
        <f t="shared" si="0"/>
        <v>0</v>
      </c>
      <c r="J31" s="49">
        <f>MAX('Enter Data Here'!BB59:BF59)</f>
        <v>0</v>
      </c>
      <c r="K31" s="160">
        <f>'Enter Data Here'!BH25+'Enter Data Here'!BJ25+'Enter Data Here'!BL25</f>
        <v>0</v>
      </c>
      <c r="L31" s="161">
        <f>'Enter Data Here'!BI25+'Enter Data Here'!BK25+'Enter Data Here'!BM25</f>
        <v>0</v>
      </c>
      <c r="M31" s="46">
        <f t="shared" si="1"/>
        <v>0</v>
      </c>
      <c r="N31" s="78">
        <f>MAX('Enter Data Here'!BH59:BL59)</f>
        <v>0</v>
      </c>
      <c r="O31" s="141">
        <f>'Enter Data Here'!BN25+'Enter Data Here'!BP25+'Enter Data Here'!BR25</f>
        <v>0</v>
      </c>
      <c r="P31" s="162">
        <f>'Enter Data Here'!BO25+'Enter Data Here'!BQ25+'Enter Data Here'!BS25</f>
        <v>0</v>
      </c>
      <c r="Q31" s="41">
        <f t="shared" si="2"/>
        <v>0</v>
      </c>
      <c r="R31" s="49">
        <f>MAX('Enter Data Here'!BN59:BR59)</f>
        <v>0</v>
      </c>
      <c r="S31" s="160">
        <f>'Enter Data Here'!BT25+'Enter Data Here'!BV25+'Enter Data Here'!BX25</f>
        <v>0</v>
      </c>
      <c r="T31" s="163">
        <f>'Enter Data Here'!BU25+'Enter Data Here'!BW25+'Enter Data Here'!BY25</f>
        <v>0</v>
      </c>
      <c r="U31" s="46">
        <f t="shared" si="3"/>
        <v>0</v>
      </c>
      <c r="V31" s="81">
        <f>MAX('Enter Data Here'!BT59:BX59)</f>
        <v>0</v>
      </c>
    </row>
    <row r="32" spans="1:22" ht="15" customHeight="1">
      <c r="A32" s="4">
        <v>23</v>
      </c>
      <c r="B32" s="151" t="str">
        <f>IF(ISBLANK('Enter Data Here'!B26), " ", 'Enter Data Here'!B26)</f>
        <v xml:space="preserve"> </v>
      </c>
      <c r="C32" s="334" t="str">
        <f>IF(ISBLANK('Enter Data Here'!C26), " ", 'Enter Data Here'!C26)</f>
        <v xml:space="preserve"> </v>
      </c>
      <c r="D32" s="336" t="str">
        <f>IF(ISBLANK('Enter Data Here'!D26), " ", 'Enter Data Here'!D26)</f>
        <v xml:space="preserve"> </v>
      </c>
      <c r="E32" s="337" t="str">
        <f>IF(ISBLANK('Enter Data Here'!E26), " ", 'Enter Data Here'!E26)</f>
        <v xml:space="preserve"> </v>
      </c>
      <c r="F32" s="159"/>
      <c r="G32" s="173">
        <f>'Enter Data Here'!BB26+'Enter Data Here'!BD26+'Enter Data Here'!BF26</f>
        <v>0</v>
      </c>
      <c r="H32" s="142">
        <f>'Enter Data Here'!BC26+'Enter Data Here'!BE26+'Enter Data Here'!BG26</f>
        <v>0</v>
      </c>
      <c r="I32" s="41">
        <f t="shared" si="0"/>
        <v>0</v>
      </c>
      <c r="J32" s="49">
        <f>MAX('Enter Data Here'!BB60:BF60)</f>
        <v>0</v>
      </c>
      <c r="K32" s="160">
        <f>'Enter Data Here'!BH26+'Enter Data Here'!BJ26+'Enter Data Here'!BL26</f>
        <v>0</v>
      </c>
      <c r="L32" s="161">
        <f>'Enter Data Here'!BI26+'Enter Data Here'!BK26+'Enter Data Here'!BM26</f>
        <v>0</v>
      </c>
      <c r="M32" s="46">
        <f t="shared" si="1"/>
        <v>0</v>
      </c>
      <c r="N32" s="78">
        <f>MAX('Enter Data Here'!BH60:BL60)</f>
        <v>0</v>
      </c>
      <c r="O32" s="141">
        <f>'Enter Data Here'!BN26+'Enter Data Here'!BP26+'Enter Data Here'!BR26</f>
        <v>0</v>
      </c>
      <c r="P32" s="162">
        <f>'Enter Data Here'!BO26+'Enter Data Here'!BQ26+'Enter Data Here'!BS26</f>
        <v>0</v>
      </c>
      <c r="Q32" s="41">
        <f t="shared" si="2"/>
        <v>0</v>
      </c>
      <c r="R32" s="49">
        <f>MAX('Enter Data Here'!BN60:BR60)</f>
        <v>0</v>
      </c>
      <c r="S32" s="160">
        <f>'Enter Data Here'!BT26+'Enter Data Here'!BV26+'Enter Data Here'!BX26</f>
        <v>0</v>
      </c>
      <c r="T32" s="163">
        <f>'Enter Data Here'!BU26+'Enter Data Here'!BW26+'Enter Data Here'!BY26</f>
        <v>0</v>
      </c>
      <c r="U32" s="46">
        <f t="shared" si="3"/>
        <v>0</v>
      </c>
      <c r="V32" s="81">
        <f>MAX('Enter Data Here'!BT60:BX60)</f>
        <v>0</v>
      </c>
    </row>
    <row r="33" spans="1:22" ht="15" customHeight="1">
      <c r="A33" s="4">
        <v>24</v>
      </c>
      <c r="B33" s="151" t="str">
        <f>IF(ISBLANK('Enter Data Here'!B27), " ", 'Enter Data Here'!B27)</f>
        <v xml:space="preserve"> </v>
      </c>
      <c r="C33" s="334" t="str">
        <f>IF(ISBLANK('Enter Data Here'!C27), " ", 'Enter Data Here'!C27)</f>
        <v xml:space="preserve"> </v>
      </c>
      <c r="D33" s="336" t="str">
        <f>IF(ISBLANK('Enter Data Here'!D27), " ", 'Enter Data Here'!D27)</f>
        <v xml:space="preserve"> </v>
      </c>
      <c r="E33" s="337" t="str">
        <f>IF(ISBLANK('Enter Data Here'!E27), " ", 'Enter Data Here'!E27)</f>
        <v xml:space="preserve"> </v>
      </c>
      <c r="F33" s="159"/>
      <c r="G33" s="173">
        <f>'Enter Data Here'!BB27+'Enter Data Here'!BD27+'Enter Data Here'!BF27</f>
        <v>0</v>
      </c>
      <c r="H33" s="142">
        <f>'Enter Data Here'!BC27+'Enter Data Here'!BE27+'Enter Data Here'!BG27</f>
        <v>0</v>
      </c>
      <c r="I33" s="41">
        <f t="shared" si="0"/>
        <v>0</v>
      </c>
      <c r="J33" s="49">
        <f>MAX('Enter Data Here'!BB61:BF61)</f>
        <v>0</v>
      </c>
      <c r="K33" s="160">
        <f>'Enter Data Here'!BH27+'Enter Data Here'!BJ27+'Enter Data Here'!BL27</f>
        <v>0</v>
      </c>
      <c r="L33" s="161">
        <f>'Enter Data Here'!BI27+'Enter Data Here'!BK27+'Enter Data Here'!BM27</f>
        <v>0</v>
      </c>
      <c r="M33" s="46">
        <f t="shared" si="1"/>
        <v>0</v>
      </c>
      <c r="N33" s="78">
        <f>MAX('Enter Data Here'!BH61:BL61)</f>
        <v>0</v>
      </c>
      <c r="O33" s="141">
        <f>'Enter Data Here'!BN27+'Enter Data Here'!BP27+'Enter Data Here'!BR27</f>
        <v>0</v>
      </c>
      <c r="P33" s="162">
        <f>'Enter Data Here'!BO27+'Enter Data Here'!BQ27+'Enter Data Here'!BS27</f>
        <v>0</v>
      </c>
      <c r="Q33" s="41">
        <f t="shared" si="2"/>
        <v>0</v>
      </c>
      <c r="R33" s="49">
        <f>MAX('Enter Data Here'!BN61:BR61)</f>
        <v>0</v>
      </c>
      <c r="S33" s="160">
        <f>'Enter Data Here'!BT27+'Enter Data Here'!BV27+'Enter Data Here'!BX27</f>
        <v>0</v>
      </c>
      <c r="T33" s="163">
        <f>'Enter Data Here'!BU27+'Enter Data Here'!BW27+'Enter Data Here'!BY27</f>
        <v>0</v>
      </c>
      <c r="U33" s="46">
        <f t="shared" si="3"/>
        <v>0</v>
      </c>
      <c r="V33" s="81">
        <f>MAX('Enter Data Here'!BT61:BX61)</f>
        <v>0</v>
      </c>
    </row>
    <row r="34" spans="1:22" ht="15" customHeight="1">
      <c r="A34" s="4">
        <v>25</v>
      </c>
      <c r="B34" s="151" t="str">
        <f>IF(ISBLANK('Enter Data Here'!B28), " ", 'Enter Data Here'!B28)</f>
        <v xml:space="preserve"> </v>
      </c>
      <c r="C34" s="334" t="str">
        <f>IF(ISBLANK('Enter Data Here'!C28), " ", 'Enter Data Here'!C28)</f>
        <v xml:space="preserve"> </v>
      </c>
      <c r="D34" s="336" t="str">
        <f>IF(ISBLANK('Enter Data Here'!D28), " ", 'Enter Data Here'!D28)</f>
        <v xml:space="preserve"> </v>
      </c>
      <c r="E34" s="337" t="str">
        <f>IF(ISBLANK('Enter Data Here'!E28), " ", 'Enter Data Here'!E28)</f>
        <v xml:space="preserve"> </v>
      </c>
      <c r="F34" s="159"/>
      <c r="G34" s="173">
        <f>'Enter Data Here'!BB28+'Enter Data Here'!BD28+'Enter Data Here'!BF28</f>
        <v>0</v>
      </c>
      <c r="H34" s="142">
        <f>'Enter Data Here'!BC28+'Enter Data Here'!BE28+'Enter Data Here'!BG28</f>
        <v>0</v>
      </c>
      <c r="I34" s="41">
        <f t="shared" si="0"/>
        <v>0</v>
      </c>
      <c r="J34" s="49">
        <f>MAX('Enter Data Here'!BB62:BF62)</f>
        <v>0</v>
      </c>
      <c r="K34" s="160">
        <f>'Enter Data Here'!BH28+'Enter Data Here'!BJ28+'Enter Data Here'!BL28</f>
        <v>0</v>
      </c>
      <c r="L34" s="161">
        <f>'Enter Data Here'!BI28+'Enter Data Here'!BK28+'Enter Data Here'!BM28</f>
        <v>0</v>
      </c>
      <c r="M34" s="46">
        <f t="shared" si="1"/>
        <v>0</v>
      </c>
      <c r="N34" s="78">
        <f>MAX('Enter Data Here'!BH62:BL62)</f>
        <v>0</v>
      </c>
      <c r="O34" s="141">
        <f>'Enter Data Here'!BN28+'Enter Data Here'!BP28+'Enter Data Here'!BR28</f>
        <v>0</v>
      </c>
      <c r="P34" s="162">
        <f>'Enter Data Here'!BO28+'Enter Data Here'!BQ28+'Enter Data Here'!BS28</f>
        <v>0</v>
      </c>
      <c r="Q34" s="41">
        <f t="shared" si="2"/>
        <v>0</v>
      </c>
      <c r="R34" s="49">
        <f>MAX('Enter Data Here'!BN62:BR62)</f>
        <v>0</v>
      </c>
      <c r="S34" s="160">
        <f>'Enter Data Here'!BT28+'Enter Data Here'!BV28+'Enter Data Here'!BX28</f>
        <v>0</v>
      </c>
      <c r="T34" s="163">
        <f>'Enter Data Here'!BU28+'Enter Data Here'!BW28+'Enter Data Here'!BY28</f>
        <v>0</v>
      </c>
      <c r="U34" s="46">
        <f t="shared" si="3"/>
        <v>0</v>
      </c>
      <c r="V34" s="81">
        <f>MAX('Enter Data Here'!BT62:BX62)</f>
        <v>0</v>
      </c>
    </row>
    <row r="35" spans="1:22" ht="15" customHeight="1">
      <c r="A35" s="4">
        <v>26</v>
      </c>
      <c r="B35" s="151" t="str">
        <f>IF(ISBLANK('Enter Data Here'!B29), " ", 'Enter Data Here'!B29)</f>
        <v xml:space="preserve"> </v>
      </c>
      <c r="C35" s="334" t="str">
        <f>IF(ISBLANK('Enter Data Here'!C29), " ", 'Enter Data Here'!C29)</f>
        <v xml:space="preserve"> </v>
      </c>
      <c r="D35" s="336" t="str">
        <f>IF(ISBLANK('Enter Data Here'!D29), " ", 'Enter Data Here'!D29)</f>
        <v xml:space="preserve"> </v>
      </c>
      <c r="E35" s="337" t="str">
        <f>IF(ISBLANK('Enter Data Here'!E29), " ", 'Enter Data Here'!E29)</f>
        <v xml:space="preserve"> </v>
      </c>
      <c r="F35" s="159"/>
      <c r="G35" s="173">
        <f>'Enter Data Here'!BB29+'Enter Data Here'!BD29+'Enter Data Here'!BF29</f>
        <v>0</v>
      </c>
      <c r="H35" s="142">
        <f>'Enter Data Here'!BC29+'Enter Data Here'!BE29+'Enter Data Here'!BG29</f>
        <v>0</v>
      </c>
      <c r="I35" s="41">
        <f t="shared" si="0"/>
        <v>0</v>
      </c>
      <c r="J35" s="49">
        <f>MAX('Enter Data Here'!BB63:BF63)</f>
        <v>0</v>
      </c>
      <c r="K35" s="160">
        <f>'Enter Data Here'!BH29+'Enter Data Here'!BJ29+'Enter Data Here'!BL29</f>
        <v>0</v>
      </c>
      <c r="L35" s="161">
        <f>'Enter Data Here'!BI29+'Enter Data Here'!BK29+'Enter Data Here'!BM29</f>
        <v>0</v>
      </c>
      <c r="M35" s="46">
        <f t="shared" si="1"/>
        <v>0</v>
      </c>
      <c r="N35" s="78">
        <f>MAX('Enter Data Here'!BH63:BL63)</f>
        <v>0</v>
      </c>
      <c r="O35" s="141">
        <f>'Enter Data Here'!BN29+'Enter Data Here'!BP29+'Enter Data Here'!BR29</f>
        <v>0</v>
      </c>
      <c r="P35" s="162">
        <f>'Enter Data Here'!BO29+'Enter Data Here'!BQ29+'Enter Data Here'!BS29</f>
        <v>0</v>
      </c>
      <c r="Q35" s="41">
        <f t="shared" si="2"/>
        <v>0</v>
      </c>
      <c r="R35" s="49">
        <f>MAX('Enter Data Here'!BN63:BR63)</f>
        <v>0</v>
      </c>
      <c r="S35" s="160">
        <f>'Enter Data Here'!BT29+'Enter Data Here'!BV29+'Enter Data Here'!BX29</f>
        <v>0</v>
      </c>
      <c r="T35" s="163">
        <f>'Enter Data Here'!BU29+'Enter Data Here'!BW29+'Enter Data Here'!BY29</f>
        <v>0</v>
      </c>
      <c r="U35" s="46">
        <f t="shared" si="3"/>
        <v>0</v>
      </c>
      <c r="V35" s="81">
        <f>MAX('Enter Data Here'!BT63:BX63)</f>
        <v>0</v>
      </c>
    </row>
    <row r="36" spans="1:22" ht="15" customHeight="1">
      <c r="A36" s="4">
        <v>27</v>
      </c>
      <c r="B36" s="151" t="str">
        <f>IF(ISBLANK('Enter Data Here'!B30), " ", 'Enter Data Here'!B30)</f>
        <v xml:space="preserve"> </v>
      </c>
      <c r="C36" s="334" t="str">
        <f>IF(ISBLANK('Enter Data Here'!C30), " ", 'Enter Data Here'!C30)</f>
        <v xml:space="preserve"> </v>
      </c>
      <c r="D36" s="336" t="str">
        <f>IF(ISBLANK('Enter Data Here'!D30), " ", 'Enter Data Here'!D30)</f>
        <v xml:space="preserve"> </v>
      </c>
      <c r="E36" s="337" t="str">
        <f>IF(ISBLANK('Enter Data Here'!E30), " ", 'Enter Data Here'!E30)</f>
        <v xml:space="preserve"> </v>
      </c>
      <c r="F36" s="159"/>
      <c r="G36" s="173">
        <f>'Enter Data Here'!BB30+'Enter Data Here'!BD30+'Enter Data Here'!BF30</f>
        <v>0</v>
      </c>
      <c r="H36" s="142">
        <f>'Enter Data Here'!BC30+'Enter Data Here'!BE30+'Enter Data Here'!BG30</f>
        <v>0</v>
      </c>
      <c r="I36" s="41">
        <f t="shared" si="0"/>
        <v>0</v>
      </c>
      <c r="J36" s="49">
        <f>MAX('Enter Data Here'!BB64:BF64)</f>
        <v>0</v>
      </c>
      <c r="K36" s="160">
        <f>'Enter Data Here'!BH30+'Enter Data Here'!BJ30+'Enter Data Here'!BL30</f>
        <v>0</v>
      </c>
      <c r="L36" s="161">
        <f>'Enter Data Here'!BI30+'Enter Data Here'!BK30+'Enter Data Here'!BM30</f>
        <v>0</v>
      </c>
      <c r="M36" s="46">
        <f t="shared" si="1"/>
        <v>0</v>
      </c>
      <c r="N36" s="78">
        <f>MAX('Enter Data Here'!BH64:BL64)</f>
        <v>0</v>
      </c>
      <c r="O36" s="141">
        <f>'Enter Data Here'!BN30+'Enter Data Here'!BP30+'Enter Data Here'!BR30</f>
        <v>0</v>
      </c>
      <c r="P36" s="162">
        <f>'Enter Data Here'!BO30+'Enter Data Here'!BQ30+'Enter Data Here'!BS30</f>
        <v>0</v>
      </c>
      <c r="Q36" s="41">
        <f t="shared" si="2"/>
        <v>0</v>
      </c>
      <c r="R36" s="49">
        <f>MAX('Enter Data Here'!BN64:BR64)</f>
        <v>0</v>
      </c>
      <c r="S36" s="160">
        <f>'Enter Data Here'!BT30+'Enter Data Here'!BV30+'Enter Data Here'!BX30</f>
        <v>0</v>
      </c>
      <c r="T36" s="163">
        <f>'Enter Data Here'!BU30+'Enter Data Here'!BW30+'Enter Data Here'!BY30</f>
        <v>0</v>
      </c>
      <c r="U36" s="46">
        <f t="shared" si="3"/>
        <v>0</v>
      </c>
      <c r="V36" s="81">
        <f>MAX('Enter Data Here'!BT64:BX64)</f>
        <v>0</v>
      </c>
    </row>
    <row r="37" spans="1:22" ht="15" customHeight="1">
      <c r="A37" s="4">
        <v>28</v>
      </c>
      <c r="B37" s="151" t="str">
        <f>IF(ISBLANK('Enter Data Here'!B31), " ", 'Enter Data Here'!B31)</f>
        <v xml:space="preserve"> </v>
      </c>
      <c r="C37" s="334" t="str">
        <f>IF(ISBLANK('Enter Data Here'!C31), " ", 'Enter Data Here'!C31)</f>
        <v xml:space="preserve"> </v>
      </c>
      <c r="D37" s="336" t="str">
        <f>IF(ISBLANK('Enter Data Here'!D31), " ", 'Enter Data Here'!D31)</f>
        <v xml:space="preserve"> </v>
      </c>
      <c r="E37" s="337" t="str">
        <f>IF(ISBLANK('Enter Data Here'!E31), " ", 'Enter Data Here'!E31)</f>
        <v xml:space="preserve"> </v>
      </c>
      <c r="F37" s="159"/>
      <c r="G37" s="173">
        <f>'Enter Data Here'!BB31+'Enter Data Here'!BD31+'Enter Data Here'!BF31</f>
        <v>0</v>
      </c>
      <c r="H37" s="142">
        <f>'Enter Data Here'!BC31+'Enter Data Here'!BE31+'Enter Data Here'!BG31</f>
        <v>0</v>
      </c>
      <c r="I37" s="41">
        <f t="shared" si="0"/>
        <v>0</v>
      </c>
      <c r="J37" s="49">
        <f>MAX('Enter Data Here'!BB65:BF65)</f>
        <v>0</v>
      </c>
      <c r="K37" s="160">
        <f>'Enter Data Here'!BH31+'Enter Data Here'!BJ31+'Enter Data Here'!BL31</f>
        <v>0</v>
      </c>
      <c r="L37" s="161">
        <f>'Enter Data Here'!BI31+'Enter Data Here'!BK31+'Enter Data Here'!BM31</f>
        <v>0</v>
      </c>
      <c r="M37" s="46">
        <f t="shared" si="1"/>
        <v>0</v>
      </c>
      <c r="N37" s="78">
        <f>MAX('Enter Data Here'!BH65:BL65)</f>
        <v>0</v>
      </c>
      <c r="O37" s="141">
        <f>'Enter Data Here'!BN31+'Enter Data Here'!BP31+'Enter Data Here'!BR31</f>
        <v>0</v>
      </c>
      <c r="P37" s="162">
        <f>'Enter Data Here'!BO31+'Enter Data Here'!BQ31+'Enter Data Here'!BS31</f>
        <v>0</v>
      </c>
      <c r="Q37" s="41">
        <f t="shared" si="2"/>
        <v>0</v>
      </c>
      <c r="R37" s="49">
        <f>MAX('Enter Data Here'!BN65:BR65)</f>
        <v>0</v>
      </c>
      <c r="S37" s="160">
        <f>'Enter Data Here'!BT31+'Enter Data Here'!BV31+'Enter Data Here'!BX31</f>
        <v>0</v>
      </c>
      <c r="T37" s="163">
        <f>'Enter Data Here'!BU31+'Enter Data Here'!BW31+'Enter Data Here'!BY31</f>
        <v>0</v>
      </c>
      <c r="U37" s="46">
        <f t="shared" si="3"/>
        <v>0</v>
      </c>
      <c r="V37" s="81">
        <f>MAX('Enter Data Here'!BT65:BX65)</f>
        <v>0</v>
      </c>
    </row>
    <row r="38" spans="1:22" ht="15" customHeight="1">
      <c r="A38" s="4">
        <v>29</v>
      </c>
      <c r="B38" s="151" t="str">
        <f>IF(ISBLANK('Enter Data Here'!B32), " ", 'Enter Data Here'!B32)</f>
        <v xml:space="preserve"> </v>
      </c>
      <c r="C38" s="334" t="str">
        <f>IF(ISBLANK('Enter Data Here'!C32), " ", 'Enter Data Here'!C32)</f>
        <v xml:space="preserve"> </v>
      </c>
      <c r="D38" s="336" t="str">
        <f>IF(ISBLANK('Enter Data Here'!D32), " ", 'Enter Data Here'!D32)</f>
        <v xml:space="preserve"> </v>
      </c>
      <c r="E38" s="337" t="str">
        <f>IF(ISBLANK('Enter Data Here'!E32), " ", 'Enter Data Here'!E32)</f>
        <v xml:space="preserve"> </v>
      </c>
      <c r="F38" s="159"/>
      <c r="G38" s="173">
        <f>'Enter Data Here'!BB32+'Enter Data Here'!BD32+'Enter Data Here'!BF32</f>
        <v>0</v>
      </c>
      <c r="H38" s="142">
        <f>'Enter Data Here'!BC32+'Enter Data Here'!BE32+'Enter Data Here'!BG32</f>
        <v>0</v>
      </c>
      <c r="I38" s="41">
        <f t="shared" si="0"/>
        <v>0</v>
      </c>
      <c r="J38" s="49">
        <f>MAX('Enter Data Here'!BB66:BF66)</f>
        <v>0</v>
      </c>
      <c r="K38" s="160">
        <f>'Enter Data Here'!BH32+'Enter Data Here'!BJ32+'Enter Data Here'!BL32</f>
        <v>0</v>
      </c>
      <c r="L38" s="161">
        <f>'Enter Data Here'!BI32+'Enter Data Here'!BK32+'Enter Data Here'!BM32</f>
        <v>0</v>
      </c>
      <c r="M38" s="46">
        <f t="shared" si="1"/>
        <v>0</v>
      </c>
      <c r="N38" s="78">
        <f>MAX('Enter Data Here'!BH66:BL66)</f>
        <v>0</v>
      </c>
      <c r="O38" s="141">
        <f>'Enter Data Here'!BN32+'Enter Data Here'!BP32+'Enter Data Here'!BR32</f>
        <v>0</v>
      </c>
      <c r="P38" s="162">
        <f>'Enter Data Here'!BO32+'Enter Data Here'!BQ32+'Enter Data Here'!BS32</f>
        <v>0</v>
      </c>
      <c r="Q38" s="41">
        <f t="shared" si="2"/>
        <v>0</v>
      </c>
      <c r="R38" s="49">
        <f>MAX('Enter Data Here'!BN66:BR66)</f>
        <v>0</v>
      </c>
      <c r="S38" s="160">
        <f>'Enter Data Here'!BT32+'Enter Data Here'!BV32+'Enter Data Here'!BX32</f>
        <v>0</v>
      </c>
      <c r="T38" s="163">
        <f>'Enter Data Here'!BU32+'Enter Data Here'!BW32+'Enter Data Here'!BY32</f>
        <v>0</v>
      </c>
      <c r="U38" s="46">
        <f t="shared" si="3"/>
        <v>0</v>
      </c>
      <c r="V38" s="81">
        <f>MAX('Enter Data Here'!BT66:BX66)</f>
        <v>0</v>
      </c>
    </row>
    <row r="39" spans="1:22" ht="15" customHeight="1">
      <c r="A39" s="4">
        <v>30</v>
      </c>
      <c r="B39" s="151" t="str">
        <f>IF(ISBLANK('Enter Data Here'!B33), " ", 'Enter Data Here'!B33)</f>
        <v xml:space="preserve"> </v>
      </c>
      <c r="C39" s="334" t="str">
        <f>IF(ISBLANK('Enter Data Here'!C33), " ", 'Enter Data Here'!C33)</f>
        <v xml:space="preserve"> </v>
      </c>
      <c r="D39" s="336" t="str">
        <f>IF(ISBLANK('Enter Data Here'!D33), " ", 'Enter Data Here'!D33)</f>
        <v xml:space="preserve"> </v>
      </c>
      <c r="E39" s="337" t="str">
        <f>IF(ISBLANK('Enter Data Here'!E33), " ", 'Enter Data Here'!E33)</f>
        <v xml:space="preserve"> </v>
      </c>
      <c r="F39" s="159"/>
      <c r="G39" s="173">
        <f>'Enter Data Here'!BB33+'Enter Data Here'!BD33+'Enter Data Here'!BF33</f>
        <v>0</v>
      </c>
      <c r="H39" s="142">
        <f>'Enter Data Here'!BC33+'Enter Data Here'!BE33+'Enter Data Here'!BG33</f>
        <v>0</v>
      </c>
      <c r="I39" s="41">
        <f t="shared" si="0"/>
        <v>0</v>
      </c>
      <c r="J39" s="49">
        <f>MAX('Enter Data Here'!BB67:BF67)</f>
        <v>0</v>
      </c>
      <c r="K39" s="160">
        <f>'Enter Data Here'!BH33+'Enter Data Here'!BJ33+'Enter Data Here'!BL33</f>
        <v>0</v>
      </c>
      <c r="L39" s="161">
        <f>'Enter Data Here'!BI33+'Enter Data Here'!BK33+'Enter Data Here'!BM33</f>
        <v>0</v>
      </c>
      <c r="M39" s="46">
        <f t="shared" si="1"/>
        <v>0</v>
      </c>
      <c r="N39" s="78">
        <f>MAX('Enter Data Here'!BH67:BL67)</f>
        <v>0</v>
      </c>
      <c r="O39" s="141">
        <f>'Enter Data Here'!BN33+'Enter Data Here'!BP33+'Enter Data Here'!BR33</f>
        <v>0</v>
      </c>
      <c r="P39" s="162">
        <f>'Enter Data Here'!BO33+'Enter Data Here'!BQ33+'Enter Data Here'!BS33</f>
        <v>0</v>
      </c>
      <c r="Q39" s="41">
        <f t="shared" si="2"/>
        <v>0</v>
      </c>
      <c r="R39" s="49">
        <f>MAX('Enter Data Here'!BN67:BR67)</f>
        <v>0</v>
      </c>
      <c r="S39" s="160">
        <f>'Enter Data Here'!BT33+'Enter Data Here'!BV33+'Enter Data Here'!BX33</f>
        <v>0</v>
      </c>
      <c r="T39" s="163">
        <f>'Enter Data Here'!BU33+'Enter Data Here'!BW33+'Enter Data Here'!BY33</f>
        <v>0</v>
      </c>
      <c r="U39" s="46">
        <f t="shared" si="3"/>
        <v>0</v>
      </c>
      <c r="V39" s="81">
        <f>MAX('Enter Data Here'!BT67:BX67)</f>
        <v>0</v>
      </c>
    </row>
    <row r="40" spans="1:22" ht="15" customHeight="1" thickBot="1">
      <c r="A40" s="4">
        <v>31</v>
      </c>
      <c r="B40" s="151" t="str">
        <f>IF(ISBLANK('Enter Data Here'!B34), " ", 'Enter Data Here'!B34)</f>
        <v xml:space="preserve"> </v>
      </c>
      <c r="C40" s="335" t="str">
        <f>IF(ISBLANK('Enter Data Here'!C34), " ", 'Enter Data Here'!C34)</f>
        <v xml:space="preserve"> </v>
      </c>
      <c r="D40" s="336" t="str">
        <f>IF(ISBLANK('Enter Data Here'!D34), " ", 'Enter Data Here'!D34)</f>
        <v xml:space="preserve"> </v>
      </c>
      <c r="E40" s="337" t="str">
        <f>IF(ISBLANK('Enter Data Here'!E34), " ", 'Enter Data Here'!E34)</f>
        <v xml:space="preserve"> </v>
      </c>
      <c r="F40" s="164"/>
      <c r="G40" s="171">
        <f>'Enter Data Here'!BB34+'Enter Data Here'!BD34+'Enter Data Here'!BF34</f>
        <v>0</v>
      </c>
      <c r="H40" s="172">
        <f>'Enter Data Here'!BC34+'Enter Data Here'!BE34+'Enter Data Here'!BG34</f>
        <v>0</v>
      </c>
      <c r="I40" s="140">
        <f t="shared" si="0"/>
        <v>0</v>
      </c>
      <c r="J40" s="75">
        <f>MAX('Enter Data Here'!BB68:BF68)</f>
        <v>0</v>
      </c>
      <c r="K40" s="166">
        <f>'Enter Data Here'!BH34+'Enter Data Here'!BJ34+'Enter Data Here'!BL34</f>
        <v>0</v>
      </c>
      <c r="L40" s="167">
        <f>'Enter Data Here'!BI34+'Enter Data Here'!BK34+'Enter Data Here'!BM34</f>
        <v>0</v>
      </c>
      <c r="M40" s="74">
        <f t="shared" si="1"/>
        <v>0</v>
      </c>
      <c r="N40" s="77">
        <f>MAX('Enter Data Here'!BH68:BL68)</f>
        <v>0</v>
      </c>
      <c r="O40" s="174">
        <f>'Enter Data Here'!BN34+'Enter Data Here'!BP34+'Enter Data Here'!BR34</f>
        <v>0</v>
      </c>
      <c r="P40" s="175">
        <f>'Enter Data Here'!BO34+'Enter Data Here'!BQ34+'Enter Data Here'!BS34</f>
        <v>0</v>
      </c>
      <c r="Q40" s="140">
        <f t="shared" si="2"/>
        <v>0</v>
      </c>
      <c r="R40" s="75">
        <f>MAX('Enter Data Here'!BN68:BR68)</f>
        <v>0</v>
      </c>
      <c r="S40" s="166">
        <f>'Enter Data Here'!BT34+'Enter Data Here'!BV34+'Enter Data Here'!BX34</f>
        <v>0</v>
      </c>
      <c r="T40" s="176">
        <f>'Enter Data Here'!BU34+'Enter Data Here'!BW34+'Enter Data Here'!BY34</f>
        <v>0</v>
      </c>
      <c r="U40" s="74">
        <f t="shared" si="3"/>
        <v>0</v>
      </c>
      <c r="V40" s="150">
        <f>MAX('Enter Data Here'!BT68:BX68)</f>
        <v>0</v>
      </c>
    </row>
    <row r="41" spans="1:22" ht="15" customHeight="1">
      <c r="A41" s="236" t="s">
        <v>153</v>
      </c>
      <c r="B41" s="237"/>
      <c r="C41" s="237"/>
      <c r="D41" s="238"/>
      <c r="E41" s="238"/>
      <c r="F41" s="238"/>
      <c r="G41" s="39">
        <f>IF(ISBLANK($S1)," ",SUM(G10:G40))</f>
        <v>0</v>
      </c>
      <c r="H41" s="28"/>
      <c r="I41" s="43">
        <f>IF(ISBLANK($S1)," ",SUM(I10:I40))</f>
        <v>0</v>
      </c>
      <c r="J41" s="29"/>
      <c r="K41" s="44">
        <f>IF(ISBLANK($S1)," ",SUM(K10:K40))</f>
        <v>0</v>
      </c>
      <c r="L41" s="30"/>
      <c r="M41" s="47">
        <f>IF(ISBLANK($S1)," ",SUM(M10:M40))</f>
        <v>0</v>
      </c>
      <c r="N41" s="31"/>
      <c r="O41" s="39">
        <f>IF(ISBLANK($S1)," ",SUM(O10:O40))</f>
        <v>0</v>
      </c>
      <c r="P41" s="28"/>
      <c r="Q41" s="43">
        <f>IF(ISBLANK($S1)," ",SUM(Q10:Q40))</f>
        <v>0</v>
      </c>
      <c r="R41" s="29"/>
      <c r="S41" s="44">
        <f>IF(ISBLANK($S1)," ",SUM(S10:S40))</f>
        <v>0</v>
      </c>
      <c r="T41" s="30"/>
      <c r="U41" s="47">
        <f>IF(ISBLANK($S1)," ",SUM(U10:U40))</f>
        <v>0</v>
      </c>
      <c r="V41" s="32"/>
    </row>
    <row r="42" spans="1:22" ht="15" customHeight="1" thickBot="1">
      <c r="A42" s="207" t="s">
        <v>152</v>
      </c>
      <c r="B42" s="208"/>
      <c r="C42" s="208"/>
      <c r="D42" s="209"/>
      <c r="E42" s="209"/>
      <c r="F42" s="209"/>
      <c r="G42" s="64"/>
      <c r="H42" s="65"/>
      <c r="I42" s="66"/>
      <c r="J42" s="67"/>
      <c r="K42" s="68"/>
      <c r="L42" s="69"/>
      <c r="M42" s="70"/>
      <c r="N42" s="71"/>
      <c r="O42" s="64"/>
      <c r="P42" s="65"/>
      <c r="Q42" s="66"/>
      <c r="R42" s="67"/>
      <c r="S42" s="68"/>
      <c r="T42" s="69"/>
      <c r="U42" s="72"/>
      <c r="V42" s="73"/>
    </row>
  </sheetData>
  <sheetProtection password="CD0C"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showDropDown="1" showInputMessage="1" showErrorMessage="1" sqref="B10:E40"/>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95" customWidth="1"/>
    <col min="2" max="2" width="5.7109375" style="9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245" t="s">
        <v>178</v>
      </c>
      <c r="B1" s="246"/>
      <c r="C1" s="246"/>
      <c r="D1" s="247" t="s">
        <v>184</v>
      </c>
      <c r="E1" s="247"/>
      <c r="F1" s="248"/>
      <c r="G1" s="258" t="s">
        <v>3</v>
      </c>
      <c r="H1" s="259"/>
      <c r="I1" s="247" t="s">
        <v>185</v>
      </c>
      <c r="J1" s="247"/>
      <c r="K1" s="247"/>
      <c r="L1" s="247"/>
      <c r="M1" s="247"/>
      <c r="N1" s="248"/>
      <c r="O1" s="34" t="s">
        <v>6</v>
      </c>
      <c r="P1" s="256" t="s">
        <v>92</v>
      </c>
      <c r="Q1" s="257"/>
      <c r="R1" s="34" t="s">
        <v>4</v>
      </c>
      <c r="S1" s="256" t="s">
        <v>117</v>
      </c>
      <c r="T1" s="257"/>
      <c r="U1" s="93" t="s">
        <v>5</v>
      </c>
      <c r="V1" s="94">
        <v>2014</v>
      </c>
      <c r="W1" s="2"/>
    </row>
    <row r="2" spans="1:23" ht="18.75" customHeight="1">
      <c r="A2" s="229" t="s">
        <v>174</v>
      </c>
      <c r="B2" s="230"/>
      <c r="C2" s="230"/>
      <c r="D2" s="230"/>
      <c r="E2" s="230"/>
      <c r="F2" s="230"/>
      <c r="G2" s="252" t="s">
        <v>142</v>
      </c>
      <c r="H2" s="253"/>
      <c r="I2" s="239">
        <v>13</v>
      </c>
      <c r="J2" s="240"/>
      <c r="K2" s="215" t="s">
        <v>142</v>
      </c>
      <c r="L2" s="216"/>
      <c r="M2" s="217">
        <v>14</v>
      </c>
      <c r="N2" s="260"/>
      <c r="O2" s="252" t="s">
        <v>142</v>
      </c>
      <c r="P2" s="253"/>
      <c r="Q2" s="239">
        <v>15</v>
      </c>
      <c r="R2" s="240"/>
      <c r="S2" s="215" t="s">
        <v>142</v>
      </c>
      <c r="T2" s="216"/>
      <c r="U2" s="217">
        <v>16</v>
      </c>
      <c r="V2" s="218"/>
    </row>
    <row r="3" spans="1:23" ht="18.75" customHeight="1">
      <c r="A3" s="231"/>
      <c r="B3" s="230"/>
      <c r="C3" s="230"/>
      <c r="D3" s="230"/>
      <c r="E3" s="230"/>
      <c r="F3" s="230"/>
      <c r="G3" s="225" t="s">
        <v>143</v>
      </c>
      <c r="H3" s="241"/>
      <c r="I3" s="226">
        <v>0.317</v>
      </c>
      <c r="J3" s="227"/>
      <c r="K3" s="219" t="s">
        <v>143</v>
      </c>
      <c r="L3" s="220"/>
      <c r="M3" s="221">
        <v>0.33500000000000002</v>
      </c>
      <c r="N3" s="244"/>
      <c r="O3" s="225" t="s">
        <v>143</v>
      </c>
      <c r="P3" s="241"/>
      <c r="Q3" s="226">
        <v>0.63800000000000001</v>
      </c>
      <c r="R3" s="227"/>
      <c r="S3" s="219" t="s">
        <v>143</v>
      </c>
      <c r="T3" s="220"/>
      <c r="U3" s="221">
        <v>0.48499999999999999</v>
      </c>
      <c r="V3" s="222"/>
    </row>
    <row r="4" spans="1:23" ht="18.75" customHeight="1">
      <c r="A4" s="231"/>
      <c r="B4" s="230"/>
      <c r="C4" s="230"/>
      <c r="D4" s="230"/>
      <c r="E4" s="230"/>
      <c r="F4" s="230"/>
      <c r="G4" s="225" t="s">
        <v>144</v>
      </c>
      <c r="H4" s="214"/>
      <c r="I4" s="226" t="s">
        <v>213</v>
      </c>
      <c r="J4" s="227"/>
      <c r="K4" s="219" t="s">
        <v>144</v>
      </c>
      <c r="L4" s="223"/>
      <c r="M4" s="221" t="s">
        <v>213</v>
      </c>
      <c r="N4" s="244"/>
      <c r="O4" s="225" t="s">
        <v>144</v>
      </c>
      <c r="P4" s="214"/>
      <c r="Q4" s="226" t="s">
        <v>213</v>
      </c>
      <c r="R4" s="227"/>
      <c r="S4" s="219" t="s">
        <v>144</v>
      </c>
      <c r="T4" s="223"/>
      <c r="U4" s="221" t="s">
        <v>213</v>
      </c>
      <c r="V4" s="222"/>
    </row>
    <row r="5" spans="1:23" ht="18.75" customHeight="1">
      <c r="A5" s="232"/>
      <c r="B5" s="233"/>
      <c r="C5" s="233"/>
      <c r="D5" s="233"/>
      <c r="E5" s="233"/>
      <c r="F5" s="233"/>
      <c r="G5" s="225" t="s">
        <v>149</v>
      </c>
      <c r="H5" s="214"/>
      <c r="I5" s="226">
        <v>0.25</v>
      </c>
      <c r="J5" s="227"/>
      <c r="K5" s="219" t="s">
        <v>149</v>
      </c>
      <c r="L5" s="223"/>
      <c r="M5" s="221">
        <v>0.25</v>
      </c>
      <c r="N5" s="244"/>
      <c r="O5" s="225" t="s">
        <v>149</v>
      </c>
      <c r="P5" s="214"/>
      <c r="Q5" s="226">
        <v>0.25</v>
      </c>
      <c r="R5" s="227"/>
      <c r="S5" s="219" t="s">
        <v>149</v>
      </c>
      <c r="T5" s="223"/>
      <c r="U5" s="221">
        <v>0.25</v>
      </c>
      <c r="V5" s="222"/>
    </row>
    <row r="6" spans="1:23" ht="18.75" customHeight="1" thickBot="1">
      <c r="A6" s="234"/>
      <c r="B6" s="235"/>
      <c r="C6" s="235"/>
      <c r="D6" s="235"/>
      <c r="E6" s="235"/>
      <c r="F6" s="235"/>
      <c r="G6" s="213" t="s">
        <v>150</v>
      </c>
      <c r="H6" s="214"/>
      <c r="I6" s="226">
        <v>39</v>
      </c>
      <c r="J6" s="228"/>
      <c r="K6" s="224" t="s">
        <v>150</v>
      </c>
      <c r="L6" s="223"/>
      <c r="M6" s="221">
        <v>39</v>
      </c>
      <c r="N6" s="244"/>
      <c r="O6" s="213" t="s">
        <v>150</v>
      </c>
      <c r="P6" s="214"/>
      <c r="Q6" s="226">
        <v>39</v>
      </c>
      <c r="R6" s="227"/>
      <c r="S6" s="224" t="s">
        <v>150</v>
      </c>
      <c r="T6" s="223"/>
      <c r="U6" s="221">
        <v>39</v>
      </c>
      <c r="V6" s="222"/>
    </row>
    <row r="7" spans="1:23" ht="18.75" customHeight="1" thickBot="1">
      <c r="A7" s="249" t="s">
        <v>8</v>
      </c>
      <c r="B7" s="210" t="s">
        <v>180</v>
      </c>
      <c r="C7" s="211"/>
      <c r="D7" s="212"/>
      <c r="E7" s="254" t="s">
        <v>179</v>
      </c>
      <c r="F7" s="255"/>
      <c r="G7" s="213" t="s">
        <v>151</v>
      </c>
      <c r="H7" s="214"/>
      <c r="I7" s="17"/>
      <c r="J7" s="36"/>
      <c r="K7" s="224" t="s">
        <v>151</v>
      </c>
      <c r="L7" s="223"/>
      <c r="M7" s="16"/>
      <c r="N7" s="37"/>
      <c r="O7" s="213" t="s">
        <v>151</v>
      </c>
      <c r="P7" s="214"/>
      <c r="Q7" s="17"/>
      <c r="R7" s="36"/>
      <c r="S7" s="224" t="s">
        <v>151</v>
      </c>
      <c r="T7" s="223"/>
      <c r="U7" s="16"/>
      <c r="V7" s="38"/>
    </row>
    <row r="8" spans="1:23" ht="75" customHeight="1">
      <c r="A8" s="250"/>
      <c r="B8" s="242" t="s">
        <v>138</v>
      </c>
      <c r="C8" s="13" t="s">
        <v>2</v>
      </c>
      <c r="D8" s="14" t="s">
        <v>139</v>
      </c>
      <c r="E8" s="87" t="s">
        <v>181</v>
      </c>
      <c r="F8" s="85" t="s">
        <v>182</v>
      </c>
      <c r="G8" s="19" t="s">
        <v>210</v>
      </c>
      <c r="H8" s="10" t="s">
        <v>208</v>
      </c>
      <c r="I8" s="10" t="s">
        <v>146</v>
      </c>
      <c r="J8" s="20" t="s">
        <v>148</v>
      </c>
      <c r="K8" s="23" t="s">
        <v>210</v>
      </c>
      <c r="L8" s="9" t="s">
        <v>209</v>
      </c>
      <c r="M8" s="9" t="s">
        <v>146</v>
      </c>
      <c r="N8" s="24" t="s">
        <v>148</v>
      </c>
      <c r="O8" s="19" t="s">
        <v>210</v>
      </c>
      <c r="P8" s="10" t="s">
        <v>208</v>
      </c>
      <c r="Q8" s="10" t="s">
        <v>146</v>
      </c>
      <c r="R8" s="20" t="s">
        <v>148</v>
      </c>
      <c r="S8" s="23" t="s">
        <v>210</v>
      </c>
      <c r="T8" s="9" t="s">
        <v>209</v>
      </c>
      <c r="U8" s="9" t="s">
        <v>146</v>
      </c>
      <c r="V8" s="27" t="s">
        <v>148</v>
      </c>
    </row>
    <row r="9" spans="1:23" ht="15.75" customHeight="1" thickBot="1">
      <c r="A9" s="251"/>
      <c r="B9" s="243"/>
      <c r="C9" s="15" t="s">
        <v>141</v>
      </c>
      <c r="D9" s="7" t="s">
        <v>140</v>
      </c>
      <c r="E9" s="88" t="s">
        <v>137</v>
      </c>
      <c r="F9" s="86" t="s">
        <v>137</v>
      </c>
      <c r="G9" s="21" t="s">
        <v>147</v>
      </c>
      <c r="H9" s="8" t="s">
        <v>145</v>
      </c>
      <c r="I9" s="8" t="s">
        <v>140</v>
      </c>
      <c r="J9" s="22" t="s">
        <v>140</v>
      </c>
      <c r="K9" s="25" t="s">
        <v>147</v>
      </c>
      <c r="L9" s="6" t="s">
        <v>145</v>
      </c>
      <c r="M9" s="6" t="s">
        <v>140</v>
      </c>
      <c r="N9" s="26" t="s">
        <v>140</v>
      </c>
      <c r="O9" s="21" t="s">
        <v>147</v>
      </c>
      <c r="P9" s="8" t="s">
        <v>145</v>
      </c>
      <c r="Q9" s="8" t="s">
        <v>140</v>
      </c>
      <c r="R9" s="22" t="s">
        <v>140</v>
      </c>
      <c r="S9" s="25" t="s">
        <v>147</v>
      </c>
      <c r="T9" s="6" t="s">
        <v>145</v>
      </c>
      <c r="U9" s="33" t="s">
        <v>140</v>
      </c>
      <c r="V9" s="79" t="s">
        <v>140</v>
      </c>
    </row>
    <row r="10" spans="1:23" ht="15" customHeight="1">
      <c r="A10" s="4">
        <v>1</v>
      </c>
      <c r="B10" s="151" t="str">
        <f>IF(ISBLANK('Enter Data Here'!B4), " ", 'Enter Data Here'!B4)</f>
        <v xml:space="preserve"> </v>
      </c>
      <c r="C10" s="333" t="str">
        <f>IF(ISBLANK('Enter Data Here'!C4), " ", 'Enter Data Here'!C4)</f>
        <v xml:space="preserve"> </v>
      </c>
      <c r="D10" s="336" t="str">
        <f>IF(ISBLANK('Enter Data Here'!D4), " ", 'Enter Data Here'!D4)</f>
        <v xml:space="preserve"> </v>
      </c>
      <c r="E10" s="337" t="str">
        <f>IF(ISBLANK('Enter Data Here'!E4), " ", 'Enter Data Here'!E4)</f>
        <v xml:space="preserve"> </v>
      </c>
      <c r="F10" s="152"/>
      <c r="G10" s="153">
        <f>'Enter Data Here'!BZ4+'Enter Data Here'!CB4+'Enter Data Here'!CD4</f>
        <v>0</v>
      </c>
      <c r="H10" s="154">
        <f>'Enter Data Here'!CG4+'Enter Data Here'!CI4+'Enter Data Here'!CK4</f>
        <v>0</v>
      </c>
      <c r="I10" s="40">
        <f>IF((ISBLANK($G10))," ", ($G10)/($I$3*27152))</f>
        <v>0</v>
      </c>
      <c r="J10" s="48">
        <f>MAX('Enter Data Here'!BZ38:CD38)</f>
        <v>0</v>
      </c>
      <c r="K10" s="155">
        <f>'Enter Data Here'!CF4+'Enter Data Here'!CH4+'Enter Data Here'!CJ4</f>
        <v>0</v>
      </c>
      <c r="L10" s="156">
        <f>'Enter Data Here'!CG4+'Enter Data Here'!CI4+'Enter Data Here'!CK4</f>
        <v>0</v>
      </c>
      <c r="M10" s="45">
        <f>IF((ISBLANK($K10))," ",($K10)/($M$3*27152))</f>
        <v>0</v>
      </c>
      <c r="N10" s="76">
        <f>MAX('Enter Data Here'!CF38:CJ38)</f>
        <v>0</v>
      </c>
      <c r="O10" s="157">
        <f>'Enter Data Here'!CL4+'Enter Data Here'!CN4+'Enter Data Here'!CP4</f>
        <v>0</v>
      </c>
      <c r="P10" s="139">
        <f>'Enter Data Here'!CM4+'Enter Data Here'!CO4+'Enter Data Here'!CQ4</f>
        <v>0</v>
      </c>
      <c r="Q10" s="40">
        <f>IF((ISBLANK($O10))," ",($O10)/($Q$3*27152))</f>
        <v>0</v>
      </c>
      <c r="R10" s="48">
        <f>MAX('Enter Data Here'!CL38:CP38)</f>
        <v>0</v>
      </c>
      <c r="S10" s="155">
        <f>'Enter Data Here'!CR4+'Enter Data Here'!CT4+'Enter Data Here'!CV4</f>
        <v>0</v>
      </c>
      <c r="T10" s="158">
        <f>'Enter Data Here'!CS4+'Enter Data Here'!CU4+'Enter Data Here'!CW4</f>
        <v>0</v>
      </c>
      <c r="U10" s="45">
        <f>IF((ISBLANK($S10))," ",($S10)/($U$3*27152))</f>
        <v>0</v>
      </c>
      <c r="V10" s="80">
        <f>MAX('Enter Data Here'!CR38:CV38)</f>
        <v>0</v>
      </c>
    </row>
    <row r="11" spans="1:23" ht="15" customHeight="1">
      <c r="A11" s="4">
        <v>2</v>
      </c>
      <c r="B11" s="151" t="str">
        <f>IF(ISBLANK('Enter Data Here'!B5), " ", 'Enter Data Here'!B5)</f>
        <v xml:space="preserve"> </v>
      </c>
      <c r="C11" s="334" t="str">
        <f>IF(ISBLANK('Enter Data Here'!C5), " ", 'Enter Data Here'!C5)</f>
        <v xml:space="preserve"> </v>
      </c>
      <c r="D11" s="336" t="str">
        <f>IF(ISBLANK('Enter Data Here'!D5), " ", 'Enter Data Here'!D5)</f>
        <v xml:space="preserve"> </v>
      </c>
      <c r="E11" s="337" t="str">
        <f>IF(ISBLANK('Enter Data Here'!E5), " ", 'Enter Data Here'!E5)</f>
        <v xml:space="preserve"> </v>
      </c>
      <c r="F11" s="159"/>
      <c r="G11" s="173">
        <f>'Enter Data Here'!BZ5+'Enter Data Here'!CB5+'Enter Data Here'!CD5</f>
        <v>0</v>
      </c>
      <c r="H11" s="142">
        <f>'Enter Data Here'!CG5+'Enter Data Here'!CI5+'Enter Data Here'!CK5</f>
        <v>0</v>
      </c>
      <c r="I11" s="41">
        <f t="shared" ref="I11:I40" si="0">IF((ISBLANK($G11))," ", ($G11)/($I$3*27152))</f>
        <v>0</v>
      </c>
      <c r="J11" s="49">
        <f>MAX('Enter Data Here'!BZ39:CD39)</f>
        <v>0</v>
      </c>
      <c r="K11" s="160">
        <f>'Enter Data Here'!CF5+'Enter Data Here'!CH5+'Enter Data Here'!CJ5</f>
        <v>0</v>
      </c>
      <c r="L11" s="161">
        <f>'Enter Data Here'!CG5+'Enter Data Here'!CI5+'Enter Data Here'!CK5</f>
        <v>0</v>
      </c>
      <c r="M11" s="46">
        <f t="shared" ref="M11:M40" si="1">IF((ISBLANK($K11))," ",($K11)/($M$3*27152))</f>
        <v>0</v>
      </c>
      <c r="N11" s="78">
        <f>MAX('Enter Data Here'!CF39:CJ39)</f>
        <v>0</v>
      </c>
      <c r="O11" s="141">
        <f>'Enter Data Here'!CL5+'Enter Data Here'!CN5+'Enter Data Here'!CP5</f>
        <v>0</v>
      </c>
      <c r="P11" s="162">
        <f>'Enter Data Here'!CM5+'Enter Data Here'!CO5+'Enter Data Here'!CQ5</f>
        <v>0</v>
      </c>
      <c r="Q11" s="41">
        <f t="shared" ref="Q11:Q40" si="2">IF((ISBLANK($O11))," ",($O11)/($Q$3*27152))</f>
        <v>0</v>
      </c>
      <c r="R11" s="49">
        <f>MAX('Enter Data Here'!CL39:CP39)</f>
        <v>0</v>
      </c>
      <c r="S11" s="160">
        <f>'Enter Data Here'!CR5+'Enter Data Here'!CT5+'Enter Data Here'!CV5</f>
        <v>0</v>
      </c>
      <c r="T11" s="163">
        <f>'Enter Data Here'!CS5+'Enter Data Here'!CU5+'Enter Data Here'!CW5</f>
        <v>0</v>
      </c>
      <c r="U11" s="46">
        <f t="shared" ref="U11:U40" si="3">IF((ISBLANK($S11))," ",($S11)/($U$3*27152))</f>
        <v>0</v>
      </c>
      <c r="V11" s="81">
        <f>MAX('Enter Data Here'!CR39:CV39)</f>
        <v>0</v>
      </c>
    </row>
    <row r="12" spans="1:23" ht="15" customHeight="1">
      <c r="A12" s="4">
        <v>3</v>
      </c>
      <c r="B12" s="151" t="str">
        <f>IF(ISBLANK('Enter Data Here'!B6), " ", 'Enter Data Here'!B6)</f>
        <v xml:space="preserve"> </v>
      </c>
      <c r="C12" s="334" t="str">
        <f>IF(ISBLANK('Enter Data Here'!C6), " ", 'Enter Data Here'!C6)</f>
        <v xml:space="preserve"> </v>
      </c>
      <c r="D12" s="336" t="str">
        <f>IF(ISBLANK('Enter Data Here'!D6), " ", 'Enter Data Here'!D6)</f>
        <v xml:space="preserve"> </v>
      </c>
      <c r="E12" s="337" t="str">
        <f>IF(ISBLANK('Enter Data Here'!E6), " ", 'Enter Data Here'!E6)</f>
        <v xml:space="preserve"> </v>
      </c>
      <c r="F12" s="159"/>
      <c r="G12" s="173">
        <f>'Enter Data Here'!BZ6+'Enter Data Here'!CB6+'Enter Data Here'!CD6</f>
        <v>0</v>
      </c>
      <c r="H12" s="142">
        <f>'Enter Data Here'!CG6+'Enter Data Here'!CI6+'Enter Data Here'!CK6</f>
        <v>0</v>
      </c>
      <c r="I12" s="41">
        <f t="shared" si="0"/>
        <v>0</v>
      </c>
      <c r="J12" s="49">
        <f>MAX('Enter Data Here'!BZ40:CD40)</f>
        <v>0</v>
      </c>
      <c r="K12" s="160">
        <f>'Enter Data Here'!CF6+'Enter Data Here'!CH6+'Enter Data Here'!CJ6</f>
        <v>0</v>
      </c>
      <c r="L12" s="161">
        <f>'Enter Data Here'!CG6+'Enter Data Here'!CI6+'Enter Data Here'!CK6</f>
        <v>0</v>
      </c>
      <c r="M12" s="46">
        <f t="shared" si="1"/>
        <v>0</v>
      </c>
      <c r="N12" s="78">
        <f>MAX('Enter Data Here'!CF40:CJ40)</f>
        <v>0</v>
      </c>
      <c r="O12" s="141">
        <f>'Enter Data Here'!CL6+'Enter Data Here'!CN6+'Enter Data Here'!CP6</f>
        <v>0</v>
      </c>
      <c r="P12" s="162">
        <f>'Enter Data Here'!CM6+'Enter Data Here'!CO6+'Enter Data Here'!CQ6</f>
        <v>0</v>
      </c>
      <c r="Q12" s="41">
        <f t="shared" si="2"/>
        <v>0</v>
      </c>
      <c r="R12" s="49">
        <f>MAX('Enter Data Here'!CL40:CP40)</f>
        <v>0</v>
      </c>
      <c r="S12" s="160">
        <f>'Enter Data Here'!CR6+'Enter Data Here'!CT6+'Enter Data Here'!CV6</f>
        <v>0</v>
      </c>
      <c r="T12" s="163">
        <f>'Enter Data Here'!CS6+'Enter Data Here'!CU6+'Enter Data Here'!CW6</f>
        <v>0</v>
      </c>
      <c r="U12" s="46">
        <f t="shared" si="3"/>
        <v>0</v>
      </c>
      <c r="V12" s="81">
        <f>MAX('Enter Data Here'!CR40:CV40)</f>
        <v>0</v>
      </c>
    </row>
    <row r="13" spans="1:23" ht="15" customHeight="1">
      <c r="A13" s="4">
        <v>4</v>
      </c>
      <c r="B13" s="151" t="str">
        <f>IF(ISBLANK('Enter Data Here'!B7), " ", 'Enter Data Here'!B7)</f>
        <v xml:space="preserve"> </v>
      </c>
      <c r="C13" s="334" t="str">
        <f>IF(ISBLANK('Enter Data Here'!C7), " ", 'Enter Data Here'!C7)</f>
        <v xml:space="preserve"> </v>
      </c>
      <c r="D13" s="336" t="str">
        <f>IF(ISBLANK('Enter Data Here'!D7), " ", 'Enter Data Here'!D7)</f>
        <v xml:space="preserve"> </v>
      </c>
      <c r="E13" s="337" t="str">
        <f>IF(ISBLANK('Enter Data Here'!E7), " ", 'Enter Data Here'!E7)</f>
        <v xml:space="preserve"> </v>
      </c>
      <c r="F13" s="159"/>
      <c r="G13" s="173">
        <f>'Enter Data Here'!BZ7+'Enter Data Here'!CB7+'Enter Data Here'!CD7</f>
        <v>0</v>
      </c>
      <c r="H13" s="142">
        <f>'Enter Data Here'!CG7+'Enter Data Here'!CI7+'Enter Data Here'!CK7</f>
        <v>0</v>
      </c>
      <c r="I13" s="41">
        <f t="shared" si="0"/>
        <v>0</v>
      </c>
      <c r="J13" s="49">
        <f>MAX('Enter Data Here'!BZ41:CD41)</f>
        <v>0</v>
      </c>
      <c r="K13" s="160">
        <f>'Enter Data Here'!CF7+'Enter Data Here'!CH7+'Enter Data Here'!CJ7</f>
        <v>0</v>
      </c>
      <c r="L13" s="161">
        <f>'Enter Data Here'!CG7+'Enter Data Here'!CI7+'Enter Data Here'!CK7</f>
        <v>0</v>
      </c>
      <c r="M13" s="46">
        <f t="shared" si="1"/>
        <v>0</v>
      </c>
      <c r="N13" s="78">
        <f>MAX('Enter Data Here'!CF41:CJ41)</f>
        <v>0</v>
      </c>
      <c r="O13" s="141">
        <f>'Enter Data Here'!CL7+'Enter Data Here'!CN7+'Enter Data Here'!CP7</f>
        <v>0</v>
      </c>
      <c r="P13" s="162">
        <f>'Enter Data Here'!CM7+'Enter Data Here'!CO7+'Enter Data Here'!CQ7</f>
        <v>0</v>
      </c>
      <c r="Q13" s="41">
        <f t="shared" si="2"/>
        <v>0</v>
      </c>
      <c r="R13" s="49">
        <f>MAX('Enter Data Here'!CL41:CP41)</f>
        <v>0</v>
      </c>
      <c r="S13" s="160">
        <f>'Enter Data Here'!CR7+'Enter Data Here'!CT7+'Enter Data Here'!CV7</f>
        <v>0</v>
      </c>
      <c r="T13" s="163">
        <f>'Enter Data Here'!CS7+'Enter Data Here'!CU7+'Enter Data Here'!CW7</f>
        <v>0</v>
      </c>
      <c r="U13" s="46">
        <f t="shared" si="3"/>
        <v>0</v>
      </c>
      <c r="V13" s="81">
        <f>MAX('Enter Data Here'!CR41:CV41)</f>
        <v>0</v>
      </c>
    </row>
    <row r="14" spans="1:23" ht="15" customHeight="1">
      <c r="A14" s="4">
        <v>5</v>
      </c>
      <c r="B14" s="151" t="str">
        <f>IF(ISBLANK('Enter Data Here'!B8), " ", 'Enter Data Here'!B8)</f>
        <v xml:space="preserve"> </v>
      </c>
      <c r="C14" s="334" t="str">
        <f>IF(ISBLANK('Enter Data Here'!C8), " ", 'Enter Data Here'!C8)</f>
        <v xml:space="preserve"> </v>
      </c>
      <c r="D14" s="336" t="str">
        <f>IF(ISBLANK('Enter Data Here'!D8), " ", 'Enter Data Here'!D8)</f>
        <v xml:space="preserve"> </v>
      </c>
      <c r="E14" s="337" t="str">
        <f>IF(ISBLANK('Enter Data Here'!E8), " ", 'Enter Data Here'!E8)</f>
        <v xml:space="preserve"> </v>
      </c>
      <c r="F14" s="159"/>
      <c r="G14" s="173">
        <f>'Enter Data Here'!BZ8+'Enter Data Here'!CB8+'Enter Data Here'!CD8</f>
        <v>0</v>
      </c>
      <c r="H14" s="142">
        <f>'Enter Data Here'!CG8+'Enter Data Here'!CI8+'Enter Data Here'!CK8</f>
        <v>0</v>
      </c>
      <c r="I14" s="41">
        <f t="shared" si="0"/>
        <v>0</v>
      </c>
      <c r="J14" s="49">
        <f>MAX('Enter Data Here'!BZ42:CD42)</f>
        <v>0</v>
      </c>
      <c r="K14" s="160">
        <f>'Enter Data Here'!CF8+'Enter Data Here'!CH8+'Enter Data Here'!CJ8</f>
        <v>0</v>
      </c>
      <c r="L14" s="161">
        <f>'Enter Data Here'!CG8+'Enter Data Here'!CI8+'Enter Data Here'!CK8</f>
        <v>0</v>
      </c>
      <c r="M14" s="46">
        <f t="shared" si="1"/>
        <v>0</v>
      </c>
      <c r="N14" s="78">
        <f>MAX('Enter Data Here'!CF42:CJ42)</f>
        <v>0</v>
      </c>
      <c r="O14" s="141">
        <f>'Enter Data Here'!CL8+'Enter Data Here'!CN8+'Enter Data Here'!CP8</f>
        <v>0</v>
      </c>
      <c r="P14" s="162">
        <f>'Enter Data Here'!CM8+'Enter Data Here'!CO8+'Enter Data Here'!CQ8</f>
        <v>0</v>
      </c>
      <c r="Q14" s="41">
        <f t="shared" si="2"/>
        <v>0</v>
      </c>
      <c r="R14" s="49">
        <f>MAX('Enter Data Here'!CL42:CP42)</f>
        <v>0</v>
      </c>
      <c r="S14" s="160">
        <f>'Enter Data Here'!CR8+'Enter Data Here'!CT8+'Enter Data Here'!CV8</f>
        <v>0</v>
      </c>
      <c r="T14" s="163">
        <f>'Enter Data Here'!CS8+'Enter Data Here'!CU8+'Enter Data Here'!CW8</f>
        <v>0</v>
      </c>
      <c r="U14" s="46">
        <f t="shared" si="3"/>
        <v>0</v>
      </c>
      <c r="V14" s="81">
        <f>MAX('Enter Data Here'!CR42:CV42)</f>
        <v>0</v>
      </c>
    </row>
    <row r="15" spans="1:23" ht="15" customHeight="1">
      <c r="A15" s="4">
        <v>6</v>
      </c>
      <c r="B15" s="151" t="str">
        <f>IF(ISBLANK('Enter Data Here'!B9), " ", 'Enter Data Here'!B9)</f>
        <v xml:space="preserve"> </v>
      </c>
      <c r="C15" s="334" t="str">
        <f>IF(ISBLANK('Enter Data Here'!C9), " ", 'Enter Data Here'!C9)</f>
        <v xml:space="preserve"> </v>
      </c>
      <c r="D15" s="336" t="str">
        <f>IF(ISBLANK('Enter Data Here'!D9), " ", 'Enter Data Here'!D9)</f>
        <v xml:space="preserve"> </v>
      </c>
      <c r="E15" s="337" t="str">
        <f>IF(ISBLANK('Enter Data Here'!E9), " ", 'Enter Data Here'!E9)</f>
        <v xml:space="preserve"> </v>
      </c>
      <c r="F15" s="159"/>
      <c r="G15" s="173">
        <f>'Enter Data Here'!BZ9+'Enter Data Here'!CB9+'Enter Data Here'!CD9</f>
        <v>0</v>
      </c>
      <c r="H15" s="142">
        <f>'Enter Data Here'!CG9+'Enter Data Here'!CI9+'Enter Data Here'!CK9</f>
        <v>0</v>
      </c>
      <c r="I15" s="41">
        <f t="shared" si="0"/>
        <v>0</v>
      </c>
      <c r="J15" s="49">
        <f>MAX('Enter Data Here'!BZ43:CD43)</f>
        <v>0</v>
      </c>
      <c r="K15" s="160">
        <f>'Enter Data Here'!CF9+'Enter Data Here'!CH9+'Enter Data Here'!CJ9</f>
        <v>0</v>
      </c>
      <c r="L15" s="161">
        <f>'Enter Data Here'!CG9+'Enter Data Here'!CI9+'Enter Data Here'!CK9</f>
        <v>0</v>
      </c>
      <c r="M15" s="46">
        <f t="shared" si="1"/>
        <v>0</v>
      </c>
      <c r="N15" s="78">
        <f>MAX('Enter Data Here'!CF43:CJ43)</f>
        <v>0</v>
      </c>
      <c r="O15" s="141">
        <f>'Enter Data Here'!CL9+'Enter Data Here'!CN9+'Enter Data Here'!CP9</f>
        <v>0</v>
      </c>
      <c r="P15" s="162">
        <f>'Enter Data Here'!CM9+'Enter Data Here'!CO9+'Enter Data Here'!CQ9</f>
        <v>0</v>
      </c>
      <c r="Q15" s="41">
        <f t="shared" si="2"/>
        <v>0</v>
      </c>
      <c r="R15" s="49">
        <f>MAX('Enter Data Here'!CL43:CP43)</f>
        <v>0</v>
      </c>
      <c r="S15" s="160">
        <f>'Enter Data Here'!CR9+'Enter Data Here'!CT9+'Enter Data Here'!CV9</f>
        <v>0</v>
      </c>
      <c r="T15" s="163">
        <f>'Enter Data Here'!CS9+'Enter Data Here'!CU9+'Enter Data Here'!CW9</f>
        <v>0</v>
      </c>
      <c r="U15" s="46">
        <f t="shared" si="3"/>
        <v>0</v>
      </c>
      <c r="V15" s="81">
        <f>MAX('Enter Data Here'!CR43:CV43)</f>
        <v>0</v>
      </c>
    </row>
    <row r="16" spans="1:23" ht="15" customHeight="1">
      <c r="A16" s="4">
        <v>7</v>
      </c>
      <c r="B16" s="151" t="str">
        <f>IF(ISBLANK('Enter Data Here'!B10), " ", 'Enter Data Here'!B10)</f>
        <v xml:space="preserve"> </v>
      </c>
      <c r="C16" s="334" t="str">
        <f>IF(ISBLANK('Enter Data Here'!C10), " ", 'Enter Data Here'!C10)</f>
        <v xml:space="preserve"> </v>
      </c>
      <c r="D16" s="336" t="str">
        <f>IF(ISBLANK('Enter Data Here'!D10), " ", 'Enter Data Here'!D10)</f>
        <v xml:space="preserve"> </v>
      </c>
      <c r="E16" s="337" t="str">
        <f>IF(ISBLANK('Enter Data Here'!E10), " ", 'Enter Data Here'!E10)</f>
        <v xml:space="preserve"> </v>
      </c>
      <c r="F16" s="159"/>
      <c r="G16" s="173">
        <f>'Enter Data Here'!BZ10+'Enter Data Here'!CB10+'Enter Data Here'!CD10</f>
        <v>0</v>
      </c>
      <c r="H16" s="142">
        <f>'Enter Data Here'!CG10+'Enter Data Here'!CI10+'Enter Data Here'!CK10</f>
        <v>0</v>
      </c>
      <c r="I16" s="41">
        <f t="shared" si="0"/>
        <v>0</v>
      </c>
      <c r="J16" s="49">
        <f>MAX('Enter Data Here'!BZ44:CD44)</f>
        <v>0</v>
      </c>
      <c r="K16" s="160">
        <f>'Enter Data Here'!CF10+'Enter Data Here'!CH10+'Enter Data Here'!CJ10</f>
        <v>0</v>
      </c>
      <c r="L16" s="161">
        <f>'Enter Data Here'!CG10+'Enter Data Here'!CI10+'Enter Data Here'!CK10</f>
        <v>0</v>
      </c>
      <c r="M16" s="46">
        <f t="shared" si="1"/>
        <v>0</v>
      </c>
      <c r="N16" s="78">
        <f>MAX('Enter Data Here'!CF44:CJ44)</f>
        <v>0</v>
      </c>
      <c r="O16" s="141">
        <f>'Enter Data Here'!CL10+'Enter Data Here'!CN10+'Enter Data Here'!CP10</f>
        <v>0</v>
      </c>
      <c r="P16" s="162">
        <f>'Enter Data Here'!CM10+'Enter Data Here'!CO10+'Enter Data Here'!CQ10</f>
        <v>0</v>
      </c>
      <c r="Q16" s="41">
        <f t="shared" si="2"/>
        <v>0</v>
      </c>
      <c r="R16" s="49">
        <f>MAX('Enter Data Here'!CL44:CP44)</f>
        <v>0</v>
      </c>
      <c r="S16" s="160">
        <f>'Enter Data Here'!CR10+'Enter Data Here'!CT10+'Enter Data Here'!CV10</f>
        <v>0</v>
      </c>
      <c r="T16" s="163">
        <f>'Enter Data Here'!CS10+'Enter Data Here'!CU10+'Enter Data Here'!CW10</f>
        <v>0</v>
      </c>
      <c r="U16" s="46">
        <f t="shared" si="3"/>
        <v>0</v>
      </c>
      <c r="V16" s="81">
        <f>MAX('Enter Data Here'!CR44:CV44)</f>
        <v>0</v>
      </c>
    </row>
    <row r="17" spans="1:22" ht="15" customHeight="1">
      <c r="A17" s="4">
        <v>8</v>
      </c>
      <c r="B17" s="151" t="str">
        <f>IF(ISBLANK('Enter Data Here'!B11), " ", 'Enter Data Here'!B11)</f>
        <v xml:space="preserve"> </v>
      </c>
      <c r="C17" s="334" t="str">
        <f>IF(ISBLANK('Enter Data Here'!C11), " ", 'Enter Data Here'!C11)</f>
        <v xml:space="preserve"> </v>
      </c>
      <c r="D17" s="336" t="str">
        <f>IF(ISBLANK('Enter Data Here'!D11), " ", 'Enter Data Here'!D11)</f>
        <v xml:space="preserve"> </v>
      </c>
      <c r="E17" s="337" t="str">
        <f>IF(ISBLANK('Enter Data Here'!E11), " ", 'Enter Data Here'!E11)</f>
        <v xml:space="preserve"> </v>
      </c>
      <c r="F17" s="159"/>
      <c r="G17" s="173">
        <f>'Enter Data Here'!BZ11+'Enter Data Here'!CB11+'Enter Data Here'!CD11</f>
        <v>0</v>
      </c>
      <c r="H17" s="142">
        <f>'Enter Data Here'!CG11+'Enter Data Here'!CI11+'Enter Data Here'!CK11</f>
        <v>0</v>
      </c>
      <c r="I17" s="41">
        <f t="shared" si="0"/>
        <v>0</v>
      </c>
      <c r="J17" s="49">
        <f>MAX('Enter Data Here'!BZ45:CD45)</f>
        <v>0</v>
      </c>
      <c r="K17" s="160">
        <f>'Enter Data Here'!CF11+'Enter Data Here'!CH11+'Enter Data Here'!CJ11</f>
        <v>0</v>
      </c>
      <c r="L17" s="161">
        <f>'Enter Data Here'!CG11+'Enter Data Here'!CI11+'Enter Data Here'!CK11</f>
        <v>0</v>
      </c>
      <c r="M17" s="46">
        <f t="shared" si="1"/>
        <v>0</v>
      </c>
      <c r="N17" s="78">
        <f>MAX('Enter Data Here'!CF45:CJ45)</f>
        <v>0</v>
      </c>
      <c r="O17" s="141">
        <f>'Enter Data Here'!CL11+'Enter Data Here'!CN11+'Enter Data Here'!CP11</f>
        <v>0</v>
      </c>
      <c r="P17" s="162">
        <f>'Enter Data Here'!CM11+'Enter Data Here'!CO11+'Enter Data Here'!CQ11</f>
        <v>0</v>
      </c>
      <c r="Q17" s="41">
        <f t="shared" si="2"/>
        <v>0</v>
      </c>
      <c r="R17" s="49">
        <f>MAX('Enter Data Here'!CL45:CP45)</f>
        <v>0</v>
      </c>
      <c r="S17" s="160">
        <f>'Enter Data Here'!CR11+'Enter Data Here'!CT11+'Enter Data Here'!CV11</f>
        <v>0</v>
      </c>
      <c r="T17" s="163">
        <f>'Enter Data Here'!CS11+'Enter Data Here'!CU11+'Enter Data Here'!CW11</f>
        <v>0</v>
      </c>
      <c r="U17" s="46">
        <f t="shared" si="3"/>
        <v>0</v>
      </c>
      <c r="V17" s="81">
        <f>MAX('Enter Data Here'!CR45:CV45)</f>
        <v>0</v>
      </c>
    </row>
    <row r="18" spans="1:22" ht="15" customHeight="1">
      <c r="A18" s="4">
        <v>9</v>
      </c>
      <c r="B18" s="151" t="str">
        <f>IF(ISBLANK('Enter Data Here'!B12), " ", 'Enter Data Here'!B12)</f>
        <v xml:space="preserve"> </v>
      </c>
      <c r="C18" s="334" t="str">
        <f>IF(ISBLANK('Enter Data Here'!C12), " ", 'Enter Data Here'!C12)</f>
        <v xml:space="preserve"> </v>
      </c>
      <c r="D18" s="336" t="str">
        <f>IF(ISBLANK('Enter Data Here'!D12), " ", 'Enter Data Here'!D12)</f>
        <v xml:space="preserve"> </v>
      </c>
      <c r="E18" s="337" t="str">
        <f>IF(ISBLANK('Enter Data Here'!E12), " ", 'Enter Data Here'!E12)</f>
        <v xml:space="preserve"> </v>
      </c>
      <c r="F18" s="159"/>
      <c r="G18" s="173">
        <f>'Enter Data Here'!BZ12+'Enter Data Here'!CB12+'Enter Data Here'!CD12</f>
        <v>0</v>
      </c>
      <c r="H18" s="142">
        <f>'Enter Data Here'!CG12+'Enter Data Here'!CI12+'Enter Data Here'!CK12</f>
        <v>0</v>
      </c>
      <c r="I18" s="41">
        <f t="shared" si="0"/>
        <v>0</v>
      </c>
      <c r="J18" s="49">
        <f>MAX('Enter Data Here'!BZ46:CD46)</f>
        <v>0</v>
      </c>
      <c r="K18" s="160">
        <f>'Enter Data Here'!CF12+'Enter Data Here'!CH12+'Enter Data Here'!CJ12</f>
        <v>0</v>
      </c>
      <c r="L18" s="161">
        <f>'Enter Data Here'!CG12+'Enter Data Here'!CI12+'Enter Data Here'!CK12</f>
        <v>0</v>
      </c>
      <c r="M18" s="46">
        <f t="shared" si="1"/>
        <v>0</v>
      </c>
      <c r="N18" s="78">
        <f>MAX('Enter Data Here'!CF46:CJ46)</f>
        <v>0</v>
      </c>
      <c r="O18" s="141">
        <f>'Enter Data Here'!CL12+'Enter Data Here'!CN12+'Enter Data Here'!CP12</f>
        <v>0</v>
      </c>
      <c r="P18" s="162">
        <f>'Enter Data Here'!CM12+'Enter Data Here'!CO12+'Enter Data Here'!CQ12</f>
        <v>0</v>
      </c>
      <c r="Q18" s="41">
        <f t="shared" si="2"/>
        <v>0</v>
      </c>
      <c r="R18" s="49">
        <f>MAX('Enter Data Here'!CL46:CP46)</f>
        <v>0</v>
      </c>
      <c r="S18" s="160">
        <f>'Enter Data Here'!CR12+'Enter Data Here'!CT12+'Enter Data Here'!CV12</f>
        <v>0</v>
      </c>
      <c r="T18" s="163">
        <f>'Enter Data Here'!CS12+'Enter Data Here'!CU12+'Enter Data Here'!CW12</f>
        <v>0</v>
      </c>
      <c r="U18" s="46">
        <f t="shared" si="3"/>
        <v>0</v>
      </c>
      <c r="V18" s="81">
        <f>MAX('Enter Data Here'!CR46:CV46)</f>
        <v>0</v>
      </c>
    </row>
    <row r="19" spans="1:22" ht="15" customHeight="1">
      <c r="A19" s="4">
        <v>10</v>
      </c>
      <c r="B19" s="151" t="str">
        <f>IF(ISBLANK('Enter Data Here'!B13), " ", 'Enter Data Here'!B13)</f>
        <v xml:space="preserve"> </v>
      </c>
      <c r="C19" s="334" t="str">
        <f>IF(ISBLANK('Enter Data Here'!C13), " ", 'Enter Data Here'!C13)</f>
        <v xml:space="preserve"> </v>
      </c>
      <c r="D19" s="336" t="str">
        <f>IF(ISBLANK('Enter Data Here'!D13), " ", 'Enter Data Here'!D13)</f>
        <v xml:space="preserve"> </v>
      </c>
      <c r="E19" s="337" t="str">
        <f>IF(ISBLANK('Enter Data Here'!E13), " ", 'Enter Data Here'!E13)</f>
        <v xml:space="preserve"> </v>
      </c>
      <c r="F19" s="159"/>
      <c r="G19" s="173">
        <f>'Enter Data Here'!BZ13+'Enter Data Here'!CB13+'Enter Data Here'!CD13</f>
        <v>0</v>
      </c>
      <c r="H19" s="142">
        <f>'Enter Data Here'!CG13+'Enter Data Here'!CI13+'Enter Data Here'!CK13</f>
        <v>0</v>
      </c>
      <c r="I19" s="41">
        <f t="shared" si="0"/>
        <v>0</v>
      </c>
      <c r="J19" s="49">
        <f>MAX('Enter Data Here'!BZ47:CD47)</f>
        <v>0</v>
      </c>
      <c r="K19" s="160">
        <f>'Enter Data Here'!CF13+'Enter Data Here'!CH13+'Enter Data Here'!CJ13</f>
        <v>0</v>
      </c>
      <c r="L19" s="161">
        <f>'Enter Data Here'!CG13+'Enter Data Here'!CI13+'Enter Data Here'!CK13</f>
        <v>0</v>
      </c>
      <c r="M19" s="46">
        <f t="shared" si="1"/>
        <v>0</v>
      </c>
      <c r="N19" s="78">
        <f>MAX('Enter Data Here'!CF47:CJ47)</f>
        <v>0</v>
      </c>
      <c r="O19" s="141">
        <f>'Enter Data Here'!CL13+'Enter Data Here'!CN13+'Enter Data Here'!CP13</f>
        <v>0</v>
      </c>
      <c r="P19" s="162">
        <f>'Enter Data Here'!CM13+'Enter Data Here'!CO13+'Enter Data Here'!CQ13</f>
        <v>0</v>
      </c>
      <c r="Q19" s="41">
        <f t="shared" si="2"/>
        <v>0</v>
      </c>
      <c r="R19" s="49">
        <f>MAX('Enter Data Here'!CL47:CP47)</f>
        <v>0</v>
      </c>
      <c r="S19" s="160">
        <f>'Enter Data Here'!CR13+'Enter Data Here'!CT13+'Enter Data Here'!CV13</f>
        <v>0</v>
      </c>
      <c r="T19" s="163">
        <f>'Enter Data Here'!CS13+'Enter Data Here'!CU13+'Enter Data Here'!CW13</f>
        <v>0</v>
      </c>
      <c r="U19" s="46">
        <f t="shared" si="3"/>
        <v>0</v>
      </c>
      <c r="V19" s="81">
        <f>MAX('Enter Data Here'!CR47:CV47)</f>
        <v>0</v>
      </c>
    </row>
    <row r="20" spans="1:22" ht="15" customHeight="1">
      <c r="A20" s="4">
        <v>11</v>
      </c>
      <c r="B20" s="151" t="str">
        <f>IF(ISBLANK('Enter Data Here'!B14), " ", 'Enter Data Here'!B14)</f>
        <v xml:space="preserve"> </v>
      </c>
      <c r="C20" s="334" t="str">
        <f>IF(ISBLANK('Enter Data Here'!C14), " ", 'Enter Data Here'!C14)</f>
        <v xml:space="preserve"> </v>
      </c>
      <c r="D20" s="336" t="str">
        <f>IF(ISBLANK('Enter Data Here'!D14), " ", 'Enter Data Here'!D14)</f>
        <v xml:space="preserve"> </v>
      </c>
      <c r="E20" s="337" t="str">
        <f>IF(ISBLANK('Enter Data Here'!E14), " ", 'Enter Data Here'!E14)</f>
        <v xml:space="preserve"> </v>
      </c>
      <c r="F20" s="159"/>
      <c r="G20" s="173">
        <f>'Enter Data Here'!BZ14+'Enter Data Here'!CB14+'Enter Data Here'!CD14</f>
        <v>0</v>
      </c>
      <c r="H20" s="142">
        <f>'Enter Data Here'!CG14+'Enter Data Here'!CI14+'Enter Data Here'!CK14</f>
        <v>0</v>
      </c>
      <c r="I20" s="41">
        <f t="shared" si="0"/>
        <v>0</v>
      </c>
      <c r="J20" s="49">
        <f>MAX('Enter Data Here'!BZ48:CD48)</f>
        <v>0</v>
      </c>
      <c r="K20" s="160">
        <f>'Enter Data Here'!CF14+'Enter Data Here'!CH14+'Enter Data Here'!CJ14</f>
        <v>0</v>
      </c>
      <c r="L20" s="161">
        <f>'Enter Data Here'!CG14+'Enter Data Here'!CI14+'Enter Data Here'!CK14</f>
        <v>0</v>
      </c>
      <c r="M20" s="46">
        <f t="shared" si="1"/>
        <v>0</v>
      </c>
      <c r="N20" s="78">
        <f>MAX('Enter Data Here'!CF48:CJ48)</f>
        <v>0</v>
      </c>
      <c r="O20" s="141">
        <f>'Enter Data Here'!CL14+'Enter Data Here'!CN14+'Enter Data Here'!CP14</f>
        <v>0</v>
      </c>
      <c r="P20" s="162">
        <f>'Enter Data Here'!CM14+'Enter Data Here'!CO14+'Enter Data Here'!CQ14</f>
        <v>0</v>
      </c>
      <c r="Q20" s="41">
        <f t="shared" si="2"/>
        <v>0</v>
      </c>
      <c r="R20" s="49">
        <f>MAX('Enter Data Here'!CL48:CP48)</f>
        <v>0</v>
      </c>
      <c r="S20" s="160">
        <f>'Enter Data Here'!CR14+'Enter Data Here'!CT14+'Enter Data Here'!CV14</f>
        <v>0</v>
      </c>
      <c r="T20" s="163">
        <f>'Enter Data Here'!CS14+'Enter Data Here'!CU14+'Enter Data Here'!CW14</f>
        <v>0</v>
      </c>
      <c r="U20" s="46">
        <f t="shared" si="3"/>
        <v>0</v>
      </c>
      <c r="V20" s="81">
        <f>MAX('Enter Data Here'!CR48:CV48)</f>
        <v>0</v>
      </c>
    </row>
    <row r="21" spans="1:22" ht="15" customHeight="1">
      <c r="A21" s="4">
        <v>12</v>
      </c>
      <c r="B21" s="151" t="str">
        <f>IF(ISBLANK('Enter Data Here'!B15), " ", 'Enter Data Here'!B15)</f>
        <v xml:space="preserve"> </v>
      </c>
      <c r="C21" s="334" t="str">
        <f>IF(ISBLANK('Enter Data Here'!C15), " ", 'Enter Data Here'!C15)</f>
        <v xml:space="preserve"> </v>
      </c>
      <c r="D21" s="336" t="str">
        <f>IF(ISBLANK('Enter Data Here'!D15), " ", 'Enter Data Here'!D15)</f>
        <v xml:space="preserve"> </v>
      </c>
      <c r="E21" s="337" t="str">
        <f>IF(ISBLANK('Enter Data Here'!E15), " ", 'Enter Data Here'!E15)</f>
        <v xml:space="preserve"> </v>
      </c>
      <c r="F21" s="159"/>
      <c r="G21" s="173">
        <f>'Enter Data Here'!BZ15+'Enter Data Here'!CB15+'Enter Data Here'!CD15</f>
        <v>0</v>
      </c>
      <c r="H21" s="142">
        <f>'Enter Data Here'!CG15+'Enter Data Here'!CI15+'Enter Data Here'!CK15</f>
        <v>0</v>
      </c>
      <c r="I21" s="41">
        <f t="shared" si="0"/>
        <v>0</v>
      </c>
      <c r="J21" s="49">
        <f>MAX('Enter Data Here'!BZ49:CD49)</f>
        <v>0</v>
      </c>
      <c r="K21" s="160">
        <f>'Enter Data Here'!CF15+'Enter Data Here'!CH15+'Enter Data Here'!CJ15</f>
        <v>0</v>
      </c>
      <c r="L21" s="161">
        <f>'Enter Data Here'!CG15+'Enter Data Here'!CI15+'Enter Data Here'!CK15</f>
        <v>0</v>
      </c>
      <c r="M21" s="46">
        <f t="shared" si="1"/>
        <v>0</v>
      </c>
      <c r="N21" s="78">
        <f>MAX('Enter Data Here'!CF49:CJ49)</f>
        <v>0</v>
      </c>
      <c r="O21" s="141">
        <f>'Enter Data Here'!CL15+'Enter Data Here'!CN15+'Enter Data Here'!CP15</f>
        <v>0</v>
      </c>
      <c r="P21" s="162">
        <f>'Enter Data Here'!CM15+'Enter Data Here'!CO15+'Enter Data Here'!CQ15</f>
        <v>0</v>
      </c>
      <c r="Q21" s="41">
        <f t="shared" si="2"/>
        <v>0</v>
      </c>
      <c r="R21" s="49">
        <f>MAX('Enter Data Here'!CL49:CP49)</f>
        <v>0</v>
      </c>
      <c r="S21" s="160">
        <f>'Enter Data Here'!CR15+'Enter Data Here'!CT15+'Enter Data Here'!CV15</f>
        <v>0</v>
      </c>
      <c r="T21" s="163">
        <f>'Enter Data Here'!CS15+'Enter Data Here'!CU15+'Enter Data Here'!CW15</f>
        <v>0</v>
      </c>
      <c r="U21" s="46">
        <f t="shared" si="3"/>
        <v>0</v>
      </c>
      <c r="V21" s="81">
        <f>MAX('Enter Data Here'!CR49:CV49)</f>
        <v>0</v>
      </c>
    </row>
    <row r="22" spans="1:22" ht="15" customHeight="1">
      <c r="A22" s="4">
        <v>13</v>
      </c>
      <c r="B22" s="151" t="str">
        <f>IF(ISBLANK('Enter Data Here'!B16), " ", 'Enter Data Here'!B16)</f>
        <v xml:space="preserve"> </v>
      </c>
      <c r="C22" s="334" t="str">
        <f>IF(ISBLANK('Enter Data Here'!C16), " ", 'Enter Data Here'!C16)</f>
        <v xml:space="preserve"> </v>
      </c>
      <c r="D22" s="336" t="str">
        <f>IF(ISBLANK('Enter Data Here'!D16), " ", 'Enter Data Here'!D16)</f>
        <v xml:space="preserve"> </v>
      </c>
      <c r="E22" s="337" t="str">
        <f>IF(ISBLANK('Enter Data Here'!E16), " ", 'Enter Data Here'!E16)</f>
        <v xml:space="preserve"> </v>
      </c>
      <c r="F22" s="159"/>
      <c r="G22" s="173">
        <f>'Enter Data Here'!BZ16+'Enter Data Here'!CB16+'Enter Data Here'!CD16</f>
        <v>0</v>
      </c>
      <c r="H22" s="142">
        <f>'Enter Data Here'!CG16+'Enter Data Here'!CI16+'Enter Data Here'!CK16</f>
        <v>0</v>
      </c>
      <c r="I22" s="41">
        <f t="shared" si="0"/>
        <v>0</v>
      </c>
      <c r="J22" s="49">
        <f>MAX('Enter Data Here'!BZ50:CD50)</f>
        <v>0</v>
      </c>
      <c r="K22" s="160">
        <f>'Enter Data Here'!CF16+'Enter Data Here'!CH16+'Enter Data Here'!CJ16</f>
        <v>0</v>
      </c>
      <c r="L22" s="161">
        <f>'Enter Data Here'!CG16+'Enter Data Here'!CI16+'Enter Data Here'!CK16</f>
        <v>0</v>
      </c>
      <c r="M22" s="46">
        <f t="shared" si="1"/>
        <v>0</v>
      </c>
      <c r="N22" s="78">
        <f>MAX('Enter Data Here'!CF50:CJ50)</f>
        <v>0</v>
      </c>
      <c r="O22" s="141">
        <f>'Enter Data Here'!CL16+'Enter Data Here'!CN16+'Enter Data Here'!CP16</f>
        <v>0</v>
      </c>
      <c r="P22" s="162">
        <f>'Enter Data Here'!CM16+'Enter Data Here'!CO16+'Enter Data Here'!CQ16</f>
        <v>0</v>
      </c>
      <c r="Q22" s="41">
        <f t="shared" si="2"/>
        <v>0</v>
      </c>
      <c r="R22" s="49">
        <f>MAX('Enter Data Here'!CL50:CP50)</f>
        <v>0</v>
      </c>
      <c r="S22" s="160">
        <f>'Enter Data Here'!CR16+'Enter Data Here'!CT16+'Enter Data Here'!CV16</f>
        <v>0</v>
      </c>
      <c r="T22" s="163">
        <f>'Enter Data Here'!CS16+'Enter Data Here'!CU16+'Enter Data Here'!CW16</f>
        <v>0</v>
      </c>
      <c r="U22" s="46">
        <f t="shared" si="3"/>
        <v>0</v>
      </c>
      <c r="V22" s="81">
        <f>MAX('Enter Data Here'!CR50:CV50)</f>
        <v>0</v>
      </c>
    </row>
    <row r="23" spans="1:22" ht="15" customHeight="1">
      <c r="A23" s="4">
        <v>14</v>
      </c>
      <c r="B23" s="151" t="str">
        <f>IF(ISBLANK('Enter Data Here'!B17), " ", 'Enter Data Here'!B17)</f>
        <v xml:space="preserve"> </v>
      </c>
      <c r="C23" s="334" t="str">
        <f>IF(ISBLANK('Enter Data Here'!C17), " ", 'Enter Data Here'!C17)</f>
        <v xml:space="preserve"> </v>
      </c>
      <c r="D23" s="336" t="str">
        <f>IF(ISBLANK('Enter Data Here'!D17), " ", 'Enter Data Here'!D17)</f>
        <v xml:space="preserve"> </v>
      </c>
      <c r="E23" s="337" t="str">
        <f>IF(ISBLANK('Enter Data Here'!E17), " ", 'Enter Data Here'!E17)</f>
        <v xml:space="preserve"> </v>
      </c>
      <c r="F23" s="159"/>
      <c r="G23" s="173">
        <f>'Enter Data Here'!BZ17+'Enter Data Here'!CB17+'Enter Data Here'!CD17</f>
        <v>0</v>
      </c>
      <c r="H23" s="142">
        <f>'Enter Data Here'!CG17+'Enter Data Here'!CI17+'Enter Data Here'!CK17</f>
        <v>0</v>
      </c>
      <c r="I23" s="41">
        <f t="shared" si="0"/>
        <v>0</v>
      </c>
      <c r="J23" s="49">
        <f>MAX('Enter Data Here'!BZ51:CD51)</f>
        <v>0</v>
      </c>
      <c r="K23" s="160">
        <f>'Enter Data Here'!CF17+'Enter Data Here'!CH17+'Enter Data Here'!CJ17</f>
        <v>0</v>
      </c>
      <c r="L23" s="161">
        <f>'Enter Data Here'!CG17+'Enter Data Here'!CI17+'Enter Data Here'!CK17</f>
        <v>0</v>
      </c>
      <c r="M23" s="46">
        <f t="shared" si="1"/>
        <v>0</v>
      </c>
      <c r="N23" s="78">
        <f>MAX('Enter Data Here'!CF51:CJ51)</f>
        <v>0</v>
      </c>
      <c r="O23" s="141">
        <f>'Enter Data Here'!CL17+'Enter Data Here'!CN17+'Enter Data Here'!CP17</f>
        <v>0</v>
      </c>
      <c r="P23" s="162">
        <f>'Enter Data Here'!CM17+'Enter Data Here'!CO17+'Enter Data Here'!CQ17</f>
        <v>0</v>
      </c>
      <c r="Q23" s="41">
        <f t="shared" si="2"/>
        <v>0</v>
      </c>
      <c r="R23" s="49">
        <f>MAX('Enter Data Here'!CL51:CP51)</f>
        <v>0</v>
      </c>
      <c r="S23" s="160">
        <f>'Enter Data Here'!CR17+'Enter Data Here'!CT17+'Enter Data Here'!CV17</f>
        <v>0</v>
      </c>
      <c r="T23" s="163">
        <f>'Enter Data Here'!CS17+'Enter Data Here'!CU17+'Enter Data Here'!CW17</f>
        <v>0</v>
      </c>
      <c r="U23" s="46">
        <f t="shared" si="3"/>
        <v>0</v>
      </c>
      <c r="V23" s="81">
        <f>MAX('Enter Data Here'!CR51:CV51)</f>
        <v>0</v>
      </c>
    </row>
    <row r="24" spans="1:22" ht="15" customHeight="1">
      <c r="A24" s="4">
        <v>15</v>
      </c>
      <c r="B24" s="151" t="str">
        <f>IF(ISBLANK('Enter Data Here'!B18), " ", 'Enter Data Here'!B18)</f>
        <v xml:space="preserve"> </v>
      </c>
      <c r="C24" s="334" t="str">
        <f>IF(ISBLANK('Enter Data Here'!C18), " ", 'Enter Data Here'!C18)</f>
        <v xml:space="preserve"> </v>
      </c>
      <c r="D24" s="336" t="str">
        <f>IF(ISBLANK('Enter Data Here'!D18), " ", 'Enter Data Here'!D18)</f>
        <v xml:space="preserve"> </v>
      </c>
      <c r="E24" s="337" t="str">
        <f>IF(ISBLANK('Enter Data Here'!E18), " ", 'Enter Data Here'!E18)</f>
        <v xml:space="preserve"> </v>
      </c>
      <c r="F24" s="159"/>
      <c r="G24" s="173">
        <f>'Enter Data Here'!BZ18+'Enter Data Here'!CB18+'Enter Data Here'!CD18</f>
        <v>0</v>
      </c>
      <c r="H24" s="142">
        <f>'Enter Data Here'!CG18+'Enter Data Here'!CI18+'Enter Data Here'!CK18</f>
        <v>0</v>
      </c>
      <c r="I24" s="41">
        <f t="shared" si="0"/>
        <v>0</v>
      </c>
      <c r="J24" s="49">
        <f>MAX('Enter Data Here'!BZ52:CD52)</f>
        <v>0</v>
      </c>
      <c r="K24" s="160">
        <f>'Enter Data Here'!CF18+'Enter Data Here'!CH18+'Enter Data Here'!CJ18</f>
        <v>0</v>
      </c>
      <c r="L24" s="161">
        <f>'Enter Data Here'!CG18+'Enter Data Here'!CI18+'Enter Data Here'!CK18</f>
        <v>0</v>
      </c>
      <c r="M24" s="46">
        <f t="shared" si="1"/>
        <v>0</v>
      </c>
      <c r="N24" s="78">
        <f>MAX('Enter Data Here'!CF52:CJ52)</f>
        <v>0</v>
      </c>
      <c r="O24" s="141">
        <f>'Enter Data Here'!CL18+'Enter Data Here'!CN18+'Enter Data Here'!CP18</f>
        <v>0</v>
      </c>
      <c r="P24" s="162">
        <f>'Enter Data Here'!CM18+'Enter Data Here'!CO18+'Enter Data Here'!CQ18</f>
        <v>0</v>
      </c>
      <c r="Q24" s="41">
        <f t="shared" si="2"/>
        <v>0</v>
      </c>
      <c r="R24" s="49">
        <f>MAX('Enter Data Here'!CL52:CP52)</f>
        <v>0</v>
      </c>
      <c r="S24" s="160">
        <f>'Enter Data Here'!CR18+'Enter Data Here'!CT18+'Enter Data Here'!CV18</f>
        <v>0</v>
      </c>
      <c r="T24" s="163">
        <f>'Enter Data Here'!CS18+'Enter Data Here'!CU18+'Enter Data Here'!CW18</f>
        <v>0</v>
      </c>
      <c r="U24" s="46">
        <f t="shared" si="3"/>
        <v>0</v>
      </c>
      <c r="V24" s="81">
        <f>MAX('Enter Data Here'!CR52:CV52)</f>
        <v>0</v>
      </c>
    </row>
    <row r="25" spans="1:22" ht="15" customHeight="1">
      <c r="A25" s="4">
        <v>16</v>
      </c>
      <c r="B25" s="151" t="str">
        <f>IF(ISBLANK('Enter Data Here'!B19), " ", 'Enter Data Here'!B19)</f>
        <v xml:space="preserve"> </v>
      </c>
      <c r="C25" s="334" t="str">
        <f>IF(ISBLANK('Enter Data Here'!C19), " ", 'Enter Data Here'!C19)</f>
        <v xml:space="preserve"> </v>
      </c>
      <c r="D25" s="336" t="str">
        <f>IF(ISBLANK('Enter Data Here'!D19), " ", 'Enter Data Here'!D19)</f>
        <v xml:space="preserve"> </v>
      </c>
      <c r="E25" s="337" t="str">
        <f>IF(ISBLANK('Enter Data Here'!E19), " ", 'Enter Data Here'!E19)</f>
        <v xml:space="preserve"> </v>
      </c>
      <c r="F25" s="159"/>
      <c r="G25" s="173">
        <f>'Enter Data Here'!BZ19+'Enter Data Here'!CB19+'Enter Data Here'!CD19</f>
        <v>0</v>
      </c>
      <c r="H25" s="142">
        <f>'Enter Data Here'!CG19+'Enter Data Here'!CI19+'Enter Data Here'!CK19</f>
        <v>0</v>
      </c>
      <c r="I25" s="41">
        <f t="shared" si="0"/>
        <v>0</v>
      </c>
      <c r="J25" s="49">
        <f>MAX('Enter Data Here'!BZ53:CD53)</f>
        <v>0</v>
      </c>
      <c r="K25" s="160">
        <f>'Enter Data Here'!CF19+'Enter Data Here'!CH19+'Enter Data Here'!CJ19</f>
        <v>0</v>
      </c>
      <c r="L25" s="161">
        <f>'Enter Data Here'!CG19+'Enter Data Here'!CI19+'Enter Data Here'!CK19</f>
        <v>0</v>
      </c>
      <c r="M25" s="46">
        <f t="shared" si="1"/>
        <v>0</v>
      </c>
      <c r="N25" s="78">
        <f>MAX('Enter Data Here'!CF53:CJ53)</f>
        <v>0</v>
      </c>
      <c r="O25" s="141">
        <f>'Enter Data Here'!CL19+'Enter Data Here'!CN19+'Enter Data Here'!CP19</f>
        <v>0</v>
      </c>
      <c r="P25" s="162">
        <f>'Enter Data Here'!CM19+'Enter Data Here'!CO19+'Enter Data Here'!CQ19</f>
        <v>0</v>
      </c>
      <c r="Q25" s="41">
        <f t="shared" si="2"/>
        <v>0</v>
      </c>
      <c r="R25" s="49">
        <f>MAX('Enter Data Here'!CL53:CP53)</f>
        <v>0</v>
      </c>
      <c r="S25" s="160">
        <f>'Enter Data Here'!CR19+'Enter Data Here'!CT19+'Enter Data Here'!CV19</f>
        <v>0</v>
      </c>
      <c r="T25" s="163">
        <f>'Enter Data Here'!CS19+'Enter Data Here'!CU19+'Enter Data Here'!CW19</f>
        <v>0</v>
      </c>
      <c r="U25" s="46">
        <f t="shared" si="3"/>
        <v>0</v>
      </c>
      <c r="V25" s="81">
        <f>MAX('Enter Data Here'!CR53:CV53)</f>
        <v>0</v>
      </c>
    </row>
    <row r="26" spans="1:22" ht="15" customHeight="1">
      <c r="A26" s="4">
        <v>17</v>
      </c>
      <c r="B26" s="151" t="str">
        <f>IF(ISBLANK('Enter Data Here'!B20), " ", 'Enter Data Here'!B20)</f>
        <v xml:space="preserve"> </v>
      </c>
      <c r="C26" s="334" t="str">
        <f>IF(ISBLANK('Enter Data Here'!C20), " ", 'Enter Data Here'!C20)</f>
        <v xml:space="preserve"> </v>
      </c>
      <c r="D26" s="336" t="str">
        <f>IF(ISBLANK('Enter Data Here'!D20), " ", 'Enter Data Here'!D20)</f>
        <v xml:space="preserve"> </v>
      </c>
      <c r="E26" s="337" t="str">
        <f>IF(ISBLANK('Enter Data Here'!E20), " ", 'Enter Data Here'!E20)</f>
        <v xml:space="preserve"> </v>
      </c>
      <c r="F26" s="159"/>
      <c r="G26" s="173">
        <f>'Enter Data Here'!BZ20+'Enter Data Here'!CB20+'Enter Data Here'!CD20</f>
        <v>0</v>
      </c>
      <c r="H26" s="142">
        <f>'Enter Data Here'!CG20+'Enter Data Here'!CI20+'Enter Data Here'!CK20</f>
        <v>0</v>
      </c>
      <c r="I26" s="41">
        <f t="shared" si="0"/>
        <v>0</v>
      </c>
      <c r="J26" s="49">
        <f>MAX('Enter Data Here'!BZ54:CD54)</f>
        <v>0</v>
      </c>
      <c r="K26" s="160">
        <f>'Enter Data Here'!CF20+'Enter Data Here'!CH20+'Enter Data Here'!CJ20</f>
        <v>0</v>
      </c>
      <c r="L26" s="161">
        <f>'Enter Data Here'!CG20+'Enter Data Here'!CI20+'Enter Data Here'!CK20</f>
        <v>0</v>
      </c>
      <c r="M26" s="46">
        <f t="shared" si="1"/>
        <v>0</v>
      </c>
      <c r="N26" s="78">
        <f>MAX('Enter Data Here'!CF54:CJ54)</f>
        <v>0</v>
      </c>
      <c r="O26" s="141">
        <f>'Enter Data Here'!CL20+'Enter Data Here'!CN20+'Enter Data Here'!CP20</f>
        <v>0</v>
      </c>
      <c r="P26" s="162">
        <f>'Enter Data Here'!CM20+'Enter Data Here'!CO20+'Enter Data Here'!CQ20</f>
        <v>0</v>
      </c>
      <c r="Q26" s="41">
        <f t="shared" si="2"/>
        <v>0</v>
      </c>
      <c r="R26" s="49">
        <f>MAX('Enter Data Here'!CL54:CP54)</f>
        <v>0</v>
      </c>
      <c r="S26" s="160">
        <f>'Enter Data Here'!CR20+'Enter Data Here'!CT20+'Enter Data Here'!CV20</f>
        <v>0</v>
      </c>
      <c r="T26" s="163">
        <f>'Enter Data Here'!CS20+'Enter Data Here'!CU20+'Enter Data Here'!CW20</f>
        <v>0</v>
      </c>
      <c r="U26" s="46">
        <f t="shared" si="3"/>
        <v>0</v>
      </c>
      <c r="V26" s="81">
        <f>MAX('Enter Data Here'!CR54:CV54)</f>
        <v>0</v>
      </c>
    </row>
    <row r="27" spans="1:22" ht="15" customHeight="1">
      <c r="A27" s="4">
        <v>18</v>
      </c>
      <c r="B27" s="151" t="str">
        <f>IF(ISBLANK('Enter Data Here'!B21), " ", 'Enter Data Here'!B21)</f>
        <v xml:space="preserve"> </v>
      </c>
      <c r="C27" s="334" t="str">
        <f>IF(ISBLANK('Enter Data Here'!C21), " ", 'Enter Data Here'!C21)</f>
        <v xml:space="preserve"> </v>
      </c>
      <c r="D27" s="336" t="str">
        <f>IF(ISBLANK('Enter Data Here'!D21), " ", 'Enter Data Here'!D21)</f>
        <v xml:space="preserve"> </v>
      </c>
      <c r="E27" s="337" t="str">
        <f>IF(ISBLANK('Enter Data Here'!E21), " ", 'Enter Data Here'!E21)</f>
        <v xml:space="preserve"> </v>
      </c>
      <c r="F27" s="159"/>
      <c r="G27" s="173">
        <f>'Enter Data Here'!BZ21+'Enter Data Here'!CB21+'Enter Data Here'!CD21</f>
        <v>0</v>
      </c>
      <c r="H27" s="142">
        <f>'Enter Data Here'!CG21+'Enter Data Here'!CI21+'Enter Data Here'!CK21</f>
        <v>0</v>
      </c>
      <c r="I27" s="41">
        <f t="shared" si="0"/>
        <v>0</v>
      </c>
      <c r="J27" s="49">
        <f>MAX('Enter Data Here'!BZ55:CD55)</f>
        <v>0</v>
      </c>
      <c r="K27" s="160">
        <f>'Enter Data Here'!CF21+'Enter Data Here'!CH21+'Enter Data Here'!CJ21</f>
        <v>0</v>
      </c>
      <c r="L27" s="161">
        <f>'Enter Data Here'!CG21+'Enter Data Here'!CI21+'Enter Data Here'!CK21</f>
        <v>0</v>
      </c>
      <c r="M27" s="46">
        <f t="shared" si="1"/>
        <v>0</v>
      </c>
      <c r="N27" s="78">
        <f>MAX('Enter Data Here'!CF55:CJ55)</f>
        <v>0</v>
      </c>
      <c r="O27" s="141">
        <f>'Enter Data Here'!CL21+'Enter Data Here'!CN21+'Enter Data Here'!CP21</f>
        <v>0</v>
      </c>
      <c r="P27" s="162">
        <f>'Enter Data Here'!CM21+'Enter Data Here'!CO21+'Enter Data Here'!CQ21</f>
        <v>0</v>
      </c>
      <c r="Q27" s="41">
        <f t="shared" si="2"/>
        <v>0</v>
      </c>
      <c r="R27" s="49">
        <f>MAX('Enter Data Here'!CL55:CP55)</f>
        <v>0</v>
      </c>
      <c r="S27" s="160">
        <f>'Enter Data Here'!CR21+'Enter Data Here'!CT21+'Enter Data Here'!CV21</f>
        <v>0</v>
      </c>
      <c r="T27" s="163">
        <f>'Enter Data Here'!CS21+'Enter Data Here'!CU21+'Enter Data Here'!CW21</f>
        <v>0</v>
      </c>
      <c r="U27" s="46">
        <f t="shared" si="3"/>
        <v>0</v>
      </c>
      <c r="V27" s="81">
        <f>MAX('Enter Data Here'!CR55:CV55)</f>
        <v>0</v>
      </c>
    </row>
    <row r="28" spans="1:22" ht="15" customHeight="1">
      <c r="A28" s="4">
        <v>19</v>
      </c>
      <c r="B28" s="151" t="str">
        <f>IF(ISBLANK('Enter Data Here'!B22), " ", 'Enter Data Here'!B22)</f>
        <v xml:space="preserve"> </v>
      </c>
      <c r="C28" s="334" t="str">
        <f>IF(ISBLANK('Enter Data Here'!C22), " ", 'Enter Data Here'!C22)</f>
        <v xml:space="preserve"> </v>
      </c>
      <c r="D28" s="336" t="str">
        <f>IF(ISBLANK('Enter Data Here'!D22), " ", 'Enter Data Here'!D22)</f>
        <v xml:space="preserve"> </v>
      </c>
      <c r="E28" s="337" t="str">
        <f>IF(ISBLANK('Enter Data Here'!E22), " ", 'Enter Data Here'!E22)</f>
        <v xml:space="preserve"> </v>
      </c>
      <c r="F28" s="159"/>
      <c r="G28" s="173">
        <f>'Enter Data Here'!BZ22+'Enter Data Here'!CB22+'Enter Data Here'!CD22</f>
        <v>0</v>
      </c>
      <c r="H28" s="142">
        <f>'Enter Data Here'!CG22+'Enter Data Here'!CI22+'Enter Data Here'!CK22</f>
        <v>0</v>
      </c>
      <c r="I28" s="41">
        <f t="shared" si="0"/>
        <v>0</v>
      </c>
      <c r="J28" s="49">
        <f>MAX('Enter Data Here'!BZ56:CD56)</f>
        <v>0</v>
      </c>
      <c r="K28" s="160">
        <f>'Enter Data Here'!CF22+'Enter Data Here'!CH22+'Enter Data Here'!CJ22</f>
        <v>0</v>
      </c>
      <c r="L28" s="161">
        <f>'Enter Data Here'!CG22+'Enter Data Here'!CI22+'Enter Data Here'!CK22</f>
        <v>0</v>
      </c>
      <c r="M28" s="46">
        <f t="shared" si="1"/>
        <v>0</v>
      </c>
      <c r="N28" s="78">
        <f>MAX('Enter Data Here'!CF56:CJ56)</f>
        <v>0</v>
      </c>
      <c r="O28" s="141">
        <f>'Enter Data Here'!CL22+'Enter Data Here'!CN22+'Enter Data Here'!CP22</f>
        <v>0</v>
      </c>
      <c r="P28" s="162">
        <f>'Enter Data Here'!CM22+'Enter Data Here'!CO22+'Enter Data Here'!CQ22</f>
        <v>0</v>
      </c>
      <c r="Q28" s="41">
        <f t="shared" si="2"/>
        <v>0</v>
      </c>
      <c r="R28" s="49">
        <f>MAX('Enter Data Here'!CL56:CP56)</f>
        <v>0</v>
      </c>
      <c r="S28" s="160">
        <f>'Enter Data Here'!CR22+'Enter Data Here'!CT22+'Enter Data Here'!CV22</f>
        <v>0</v>
      </c>
      <c r="T28" s="163">
        <f>'Enter Data Here'!CS22+'Enter Data Here'!CU22+'Enter Data Here'!CW22</f>
        <v>0</v>
      </c>
      <c r="U28" s="46">
        <f t="shared" si="3"/>
        <v>0</v>
      </c>
      <c r="V28" s="81">
        <f>MAX('Enter Data Here'!CR56:CV56)</f>
        <v>0</v>
      </c>
    </row>
    <row r="29" spans="1:22" ht="15" customHeight="1">
      <c r="A29" s="4">
        <v>20</v>
      </c>
      <c r="B29" s="151" t="str">
        <f>IF(ISBLANK('Enter Data Here'!B23), " ", 'Enter Data Here'!B23)</f>
        <v xml:space="preserve"> </v>
      </c>
      <c r="C29" s="334" t="str">
        <f>IF(ISBLANK('Enter Data Here'!C23), " ", 'Enter Data Here'!C23)</f>
        <v xml:space="preserve"> </v>
      </c>
      <c r="D29" s="336" t="str">
        <f>IF(ISBLANK('Enter Data Here'!D23), " ", 'Enter Data Here'!D23)</f>
        <v xml:space="preserve"> </v>
      </c>
      <c r="E29" s="337" t="str">
        <f>IF(ISBLANK('Enter Data Here'!E23), " ", 'Enter Data Here'!E23)</f>
        <v xml:space="preserve"> </v>
      </c>
      <c r="F29" s="159"/>
      <c r="G29" s="173">
        <f>'Enter Data Here'!BZ23+'Enter Data Here'!CB23+'Enter Data Here'!CD23</f>
        <v>0</v>
      </c>
      <c r="H29" s="142">
        <f>'Enter Data Here'!CG23+'Enter Data Here'!CI23+'Enter Data Here'!CK23</f>
        <v>0</v>
      </c>
      <c r="I29" s="41">
        <f t="shared" si="0"/>
        <v>0</v>
      </c>
      <c r="J29" s="49">
        <f>MAX('Enter Data Here'!BZ57:CD57)</f>
        <v>0</v>
      </c>
      <c r="K29" s="160">
        <f>'Enter Data Here'!CF23+'Enter Data Here'!CH23+'Enter Data Here'!CJ23</f>
        <v>0</v>
      </c>
      <c r="L29" s="161">
        <f>'Enter Data Here'!CG23+'Enter Data Here'!CI23+'Enter Data Here'!CK23</f>
        <v>0</v>
      </c>
      <c r="M29" s="46">
        <f t="shared" si="1"/>
        <v>0</v>
      </c>
      <c r="N29" s="78">
        <f>MAX('Enter Data Here'!CF57:CJ57)</f>
        <v>0</v>
      </c>
      <c r="O29" s="141">
        <f>'Enter Data Here'!CL23+'Enter Data Here'!CN23+'Enter Data Here'!CP23</f>
        <v>0</v>
      </c>
      <c r="P29" s="162">
        <f>'Enter Data Here'!CM23+'Enter Data Here'!CO23+'Enter Data Here'!CQ23</f>
        <v>0</v>
      </c>
      <c r="Q29" s="41">
        <f t="shared" si="2"/>
        <v>0</v>
      </c>
      <c r="R29" s="49">
        <f>MAX('Enter Data Here'!CL57:CP57)</f>
        <v>0</v>
      </c>
      <c r="S29" s="160">
        <f>'Enter Data Here'!CR23+'Enter Data Here'!CT23+'Enter Data Here'!CV23</f>
        <v>0</v>
      </c>
      <c r="T29" s="163">
        <f>'Enter Data Here'!CS23+'Enter Data Here'!CU23+'Enter Data Here'!CW23</f>
        <v>0</v>
      </c>
      <c r="U29" s="46">
        <f t="shared" si="3"/>
        <v>0</v>
      </c>
      <c r="V29" s="81">
        <f>MAX('Enter Data Here'!CR57:CV57)</f>
        <v>0</v>
      </c>
    </row>
    <row r="30" spans="1:22" ht="15" customHeight="1">
      <c r="A30" s="4">
        <v>21</v>
      </c>
      <c r="B30" s="151" t="str">
        <f>IF(ISBLANK('Enter Data Here'!B24), " ", 'Enter Data Here'!B24)</f>
        <v xml:space="preserve"> </v>
      </c>
      <c r="C30" s="334" t="str">
        <f>IF(ISBLANK('Enter Data Here'!C24), " ", 'Enter Data Here'!C24)</f>
        <v xml:space="preserve"> </v>
      </c>
      <c r="D30" s="336" t="str">
        <f>IF(ISBLANK('Enter Data Here'!D24), " ", 'Enter Data Here'!D24)</f>
        <v xml:space="preserve"> </v>
      </c>
      <c r="E30" s="337" t="str">
        <f>IF(ISBLANK('Enter Data Here'!E24), " ", 'Enter Data Here'!E24)</f>
        <v xml:space="preserve"> </v>
      </c>
      <c r="F30" s="159"/>
      <c r="G30" s="173">
        <f>'Enter Data Here'!BZ24+'Enter Data Here'!CB24+'Enter Data Here'!CD24</f>
        <v>0</v>
      </c>
      <c r="H30" s="142">
        <f>'Enter Data Here'!CG24+'Enter Data Here'!CI24+'Enter Data Here'!CK24</f>
        <v>0</v>
      </c>
      <c r="I30" s="41">
        <f t="shared" si="0"/>
        <v>0</v>
      </c>
      <c r="J30" s="49">
        <f>MAX('Enter Data Here'!BZ58:CD58)</f>
        <v>0</v>
      </c>
      <c r="K30" s="160">
        <f>'Enter Data Here'!CF24+'Enter Data Here'!CH24+'Enter Data Here'!CJ24</f>
        <v>0</v>
      </c>
      <c r="L30" s="161">
        <f>'Enter Data Here'!CG24+'Enter Data Here'!CI24+'Enter Data Here'!CK24</f>
        <v>0</v>
      </c>
      <c r="M30" s="46">
        <f t="shared" si="1"/>
        <v>0</v>
      </c>
      <c r="N30" s="78">
        <f>MAX('Enter Data Here'!CF58:CJ58)</f>
        <v>0</v>
      </c>
      <c r="O30" s="141">
        <f>'Enter Data Here'!CL24+'Enter Data Here'!CN24+'Enter Data Here'!CP24</f>
        <v>0</v>
      </c>
      <c r="P30" s="162">
        <f>'Enter Data Here'!CM24+'Enter Data Here'!CO24+'Enter Data Here'!CQ24</f>
        <v>0</v>
      </c>
      <c r="Q30" s="41">
        <f t="shared" si="2"/>
        <v>0</v>
      </c>
      <c r="R30" s="49">
        <f>MAX('Enter Data Here'!CL58:CP58)</f>
        <v>0</v>
      </c>
      <c r="S30" s="160">
        <f>'Enter Data Here'!CR24+'Enter Data Here'!CT24+'Enter Data Here'!CV24</f>
        <v>0</v>
      </c>
      <c r="T30" s="163">
        <f>'Enter Data Here'!CS24+'Enter Data Here'!CU24+'Enter Data Here'!CW24</f>
        <v>0</v>
      </c>
      <c r="U30" s="46">
        <f t="shared" si="3"/>
        <v>0</v>
      </c>
      <c r="V30" s="81">
        <f>MAX('Enter Data Here'!CR58:CV58)</f>
        <v>0</v>
      </c>
    </row>
    <row r="31" spans="1:22" ht="15" customHeight="1">
      <c r="A31" s="4">
        <v>22</v>
      </c>
      <c r="B31" s="151" t="str">
        <f>IF(ISBLANK('Enter Data Here'!B25), " ", 'Enter Data Here'!B25)</f>
        <v xml:space="preserve"> </v>
      </c>
      <c r="C31" s="334" t="str">
        <f>IF(ISBLANK('Enter Data Here'!C25), " ", 'Enter Data Here'!C25)</f>
        <v xml:space="preserve"> </v>
      </c>
      <c r="D31" s="336" t="str">
        <f>IF(ISBLANK('Enter Data Here'!D25), " ", 'Enter Data Here'!D25)</f>
        <v xml:space="preserve"> </v>
      </c>
      <c r="E31" s="337" t="str">
        <f>IF(ISBLANK('Enter Data Here'!E25), " ", 'Enter Data Here'!E25)</f>
        <v xml:space="preserve"> </v>
      </c>
      <c r="F31" s="159"/>
      <c r="G31" s="173">
        <f>'Enter Data Here'!BZ25+'Enter Data Here'!CB25+'Enter Data Here'!CD25</f>
        <v>0</v>
      </c>
      <c r="H31" s="142">
        <f>'Enter Data Here'!CG25+'Enter Data Here'!CI25+'Enter Data Here'!CK25</f>
        <v>0</v>
      </c>
      <c r="I31" s="41">
        <f t="shared" si="0"/>
        <v>0</v>
      </c>
      <c r="J31" s="49">
        <f>MAX('Enter Data Here'!BZ59:CD59)</f>
        <v>0</v>
      </c>
      <c r="K31" s="160">
        <f>'Enter Data Here'!CF25+'Enter Data Here'!CH25+'Enter Data Here'!CJ25</f>
        <v>0</v>
      </c>
      <c r="L31" s="161">
        <f>'Enter Data Here'!CG25+'Enter Data Here'!CI25+'Enter Data Here'!CK25</f>
        <v>0</v>
      </c>
      <c r="M31" s="46">
        <f t="shared" si="1"/>
        <v>0</v>
      </c>
      <c r="N31" s="78">
        <f>MAX('Enter Data Here'!CF59:CJ59)</f>
        <v>0</v>
      </c>
      <c r="O31" s="141">
        <f>'Enter Data Here'!CL25+'Enter Data Here'!CN25+'Enter Data Here'!CP25</f>
        <v>0</v>
      </c>
      <c r="P31" s="162">
        <f>'Enter Data Here'!CM25+'Enter Data Here'!CO25+'Enter Data Here'!CQ25</f>
        <v>0</v>
      </c>
      <c r="Q31" s="41">
        <f t="shared" si="2"/>
        <v>0</v>
      </c>
      <c r="R31" s="49">
        <f>MAX('Enter Data Here'!CL59:CP59)</f>
        <v>0</v>
      </c>
      <c r="S31" s="160">
        <f>'Enter Data Here'!CR25+'Enter Data Here'!CT25+'Enter Data Here'!CV25</f>
        <v>0</v>
      </c>
      <c r="T31" s="163">
        <f>'Enter Data Here'!CS25+'Enter Data Here'!CU25+'Enter Data Here'!CW25</f>
        <v>0</v>
      </c>
      <c r="U31" s="46">
        <f t="shared" si="3"/>
        <v>0</v>
      </c>
      <c r="V31" s="81">
        <f>MAX('Enter Data Here'!CR59:CV59)</f>
        <v>0</v>
      </c>
    </row>
    <row r="32" spans="1:22" ht="15" customHeight="1">
      <c r="A32" s="4">
        <v>23</v>
      </c>
      <c r="B32" s="151" t="str">
        <f>IF(ISBLANK('Enter Data Here'!B26), " ", 'Enter Data Here'!B26)</f>
        <v xml:space="preserve"> </v>
      </c>
      <c r="C32" s="334" t="str">
        <f>IF(ISBLANK('Enter Data Here'!C26), " ", 'Enter Data Here'!C26)</f>
        <v xml:space="preserve"> </v>
      </c>
      <c r="D32" s="336" t="str">
        <f>IF(ISBLANK('Enter Data Here'!D26), " ", 'Enter Data Here'!D26)</f>
        <v xml:space="preserve"> </v>
      </c>
      <c r="E32" s="337" t="str">
        <f>IF(ISBLANK('Enter Data Here'!E26), " ", 'Enter Data Here'!E26)</f>
        <v xml:space="preserve"> </v>
      </c>
      <c r="F32" s="159"/>
      <c r="G32" s="173">
        <f>'Enter Data Here'!BZ26+'Enter Data Here'!CB26+'Enter Data Here'!CD26</f>
        <v>0</v>
      </c>
      <c r="H32" s="142">
        <f>'Enter Data Here'!CG26+'Enter Data Here'!CI26+'Enter Data Here'!CK26</f>
        <v>0</v>
      </c>
      <c r="I32" s="41">
        <f t="shared" si="0"/>
        <v>0</v>
      </c>
      <c r="J32" s="49">
        <f>MAX('Enter Data Here'!BZ60:CD60)</f>
        <v>0</v>
      </c>
      <c r="K32" s="160">
        <f>'Enter Data Here'!CF26+'Enter Data Here'!CH26+'Enter Data Here'!CJ26</f>
        <v>0</v>
      </c>
      <c r="L32" s="161">
        <f>'Enter Data Here'!CG26+'Enter Data Here'!CI26+'Enter Data Here'!CK26</f>
        <v>0</v>
      </c>
      <c r="M32" s="46">
        <f t="shared" si="1"/>
        <v>0</v>
      </c>
      <c r="N32" s="78">
        <f>MAX('Enter Data Here'!CF60:CJ60)</f>
        <v>0</v>
      </c>
      <c r="O32" s="141">
        <f>'Enter Data Here'!CL26+'Enter Data Here'!CN26+'Enter Data Here'!CP26</f>
        <v>0</v>
      </c>
      <c r="P32" s="162">
        <f>'Enter Data Here'!CM26+'Enter Data Here'!CO26+'Enter Data Here'!CQ26</f>
        <v>0</v>
      </c>
      <c r="Q32" s="41">
        <f t="shared" si="2"/>
        <v>0</v>
      </c>
      <c r="R32" s="49">
        <f>MAX('Enter Data Here'!CL60:CP60)</f>
        <v>0</v>
      </c>
      <c r="S32" s="160">
        <f>'Enter Data Here'!CR26+'Enter Data Here'!CT26+'Enter Data Here'!CV26</f>
        <v>0</v>
      </c>
      <c r="T32" s="163">
        <f>'Enter Data Here'!CS26+'Enter Data Here'!CU26+'Enter Data Here'!CW26</f>
        <v>0</v>
      </c>
      <c r="U32" s="46">
        <f t="shared" si="3"/>
        <v>0</v>
      </c>
      <c r="V32" s="81">
        <f>MAX('Enter Data Here'!CR60:CV60)</f>
        <v>0</v>
      </c>
    </row>
    <row r="33" spans="1:22" ht="15" customHeight="1">
      <c r="A33" s="4">
        <v>24</v>
      </c>
      <c r="B33" s="151" t="str">
        <f>IF(ISBLANK('Enter Data Here'!B27), " ", 'Enter Data Here'!B27)</f>
        <v xml:space="preserve"> </v>
      </c>
      <c r="C33" s="334" t="str">
        <f>IF(ISBLANK('Enter Data Here'!C27), " ", 'Enter Data Here'!C27)</f>
        <v xml:space="preserve"> </v>
      </c>
      <c r="D33" s="336" t="str">
        <f>IF(ISBLANK('Enter Data Here'!D27), " ", 'Enter Data Here'!D27)</f>
        <v xml:space="preserve"> </v>
      </c>
      <c r="E33" s="337" t="str">
        <f>IF(ISBLANK('Enter Data Here'!E27), " ", 'Enter Data Here'!E27)</f>
        <v xml:space="preserve"> </v>
      </c>
      <c r="F33" s="159"/>
      <c r="G33" s="173">
        <f>'Enter Data Here'!BZ27+'Enter Data Here'!CB27+'Enter Data Here'!CD27</f>
        <v>0</v>
      </c>
      <c r="H33" s="142">
        <f>'Enter Data Here'!CG27+'Enter Data Here'!CI27+'Enter Data Here'!CK27</f>
        <v>0</v>
      </c>
      <c r="I33" s="41">
        <f t="shared" si="0"/>
        <v>0</v>
      </c>
      <c r="J33" s="49">
        <f>MAX('Enter Data Here'!BZ61:CD61)</f>
        <v>0</v>
      </c>
      <c r="K33" s="160">
        <f>'Enter Data Here'!CF27+'Enter Data Here'!CH27+'Enter Data Here'!CJ27</f>
        <v>0</v>
      </c>
      <c r="L33" s="161">
        <f>'Enter Data Here'!CG27+'Enter Data Here'!CI27+'Enter Data Here'!CK27</f>
        <v>0</v>
      </c>
      <c r="M33" s="46">
        <f t="shared" si="1"/>
        <v>0</v>
      </c>
      <c r="N33" s="78">
        <f>MAX('Enter Data Here'!CF61:CJ61)</f>
        <v>0</v>
      </c>
      <c r="O33" s="141">
        <f>'Enter Data Here'!CL27+'Enter Data Here'!CN27+'Enter Data Here'!CP27</f>
        <v>0</v>
      </c>
      <c r="P33" s="162">
        <f>'Enter Data Here'!CM27+'Enter Data Here'!CO27+'Enter Data Here'!CQ27</f>
        <v>0</v>
      </c>
      <c r="Q33" s="41">
        <f t="shared" si="2"/>
        <v>0</v>
      </c>
      <c r="R33" s="49">
        <f>MAX('Enter Data Here'!CL61:CP61)</f>
        <v>0</v>
      </c>
      <c r="S33" s="160">
        <f>'Enter Data Here'!CR27+'Enter Data Here'!CT27+'Enter Data Here'!CV27</f>
        <v>0</v>
      </c>
      <c r="T33" s="163">
        <f>'Enter Data Here'!CS27+'Enter Data Here'!CU27+'Enter Data Here'!CW27</f>
        <v>0</v>
      </c>
      <c r="U33" s="46">
        <f t="shared" si="3"/>
        <v>0</v>
      </c>
      <c r="V33" s="81">
        <f>MAX('Enter Data Here'!CR61:CV61)</f>
        <v>0</v>
      </c>
    </row>
    <row r="34" spans="1:22" ht="15" customHeight="1">
      <c r="A34" s="4">
        <v>25</v>
      </c>
      <c r="B34" s="151" t="str">
        <f>IF(ISBLANK('Enter Data Here'!B28), " ", 'Enter Data Here'!B28)</f>
        <v xml:space="preserve"> </v>
      </c>
      <c r="C34" s="334" t="str">
        <f>IF(ISBLANK('Enter Data Here'!C28), " ", 'Enter Data Here'!C28)</f>
        <v xml:space="preserve"> </v>
      </c>
      <c r="D34" s="336" t="str">
        <f>IF(ISBLANK('Enter Data Here'!D28), " ", 'Enter Data Here'!D28)</f>
        <v xml:space="preserve"> </v>
      </c>
      <c r="E34" s="337" t="str">
        <f>IF(ISBLANK('Enter Data Here'!E28), " ", 'Enter Data Here'!E28)</f>
        <v xml:space="preserve"> </v>
      </c>
      <c r="F34" s="159"/>
      <c r="G34" s="173">
        <f>'Enter Data Here'!BZ28+'Enter Data Here'!CB28+'Enter Data Here'!CD28</f>
        <v>0</v>
      </c>
      <c r="H34" s="142">
        <f>'Enter Data Here'!CG28+'Enter Data Here'!CI28+'Enter Data Here'!CK28</f>
        <v>0</v>
      </c>
      <c r="I34" s="41">
        <f t="shared" si="0"/>
        <v>0</v>
      </c>
      <c r="J34" s="49">
        <f>MAX('Enter Data Here'!BZ62:CD62)</f>
        <v>0</v>
      </c>
      <c r="K34" s="160">
        <f>'Enter Data Here'!CF28+'Enter Data Here'!CH28+'Enter Data Here'!CJ28</f>
        <v>0</v>
      </c>
      <c r="L34" s="161">
        <f>'Enter Data Here'!CG28+'Enter Data Here'!CI28+'Enter Data Here'!CK28</f>
        <v>0</v>
      </c>
      <c r="M34" s="46">
        <f t="shared" si="1"/>
        <v>0</v>
      </c>
      <c r="N34" s="78">
        <f>MAX('Enter Data Here'!CF62:CJ62)</f>
        <v>0</v>
      </c>
      <c r="O34" s="141">
        <f>'Enter Data Here'!CL28+'Enter Data Here'!CN28+'Enter Data Here'!CP28</f>
        <v>0</v>
      </c>
      <c r="P34" s="162">
        <f>'Enter Data Here'!CM28+'Enter Data Here'!CO28+'Enter Data Here'!CQ28</f>
        <v>0</v>
      </c>
      <c r="Q34" s="41">
        <f t="shared" si="2"/>
        <v>0</v>
      </c>
      <c r="R34" s="49">
        <f>MAX('Enter Data Here'!CL62:CP62)</f>
        <v>0</v>
      </c>
      <c r="S34" s="160">
        <f>'Enter Data Here'!CR28+'Enter Data Here'!CT28+'Enter Data Here'!CV28</f>
        <v>0</v>
      </c>
      <c r="T34" s="163">
        <f>'Enter Data Here'!CS28+'Enter Data Here'!CU28+'Enter Data Here'!CW28</f>
        <v>0</v>
      </c>
      <c r="U34" s="46">
        <f t="shared" si="3"/>
        <v>0</v>
      </c>
      <c r="V34" s="81">
        <f>MAX('Enter Data Here'!CR62:CV62)</f>
        <v>0</v>
      </c>
    </row>
    <row r="35" spans="1:22" ht="15" customHeight="1">
      <c r="A35" s="4">
        <v>26</v>
      </c>
      <c r="B35" s="151" t="str">
        <f>IF(ISBLANK('Enter Data Here'!B29), " ", 'Enter Data Here'!B29)</f>
        <v xml:space="preserve"> </v>
      </c>
      <c r="C35" s="334" t="str">
        <f>IF(ISBLANK('Enter Data Here'!C29), " ", 'Enter Data Here'!C29)</f>
        <v xml:space="preserve"> </v>
      </c>
      <c r="D35" s="336" t="str">
        <f>IF(ISBLANK('Enter Data Here'!D29), " ", 'Enter Data Here'!D29)</f>
        <v xml:space="preserve"> </v>
      </c>
      <c r="E35" s="337" t="str">
        <f>IF(ISBLANK('Enter Data Here'!E29), " ", 'Enter Data Here'!E29)</f>
        <v xml:space="preserve"> </v>
      </c>
      <c r="F35" s="159"/>
      <c r="G35" s="173">
        <f>'Enter Data Here'!BZ29+'Enter Data Here'!CB29+'Enter Data Here'!CD29</f>
        <v>0</v>
      </c>
      <c r="H35" s="142">
        <f>'Enter Data Here'!CG29+'Enter Data Here'!CI29+'Enter Data Here'!CK29</f>
        <v>0</v>
      </c>
      <c r="I35" s="41">
        <f t="shared" si="0"/>
        <v>0</v>
      </c>
      <c r="J35" s="49">
        <f>MAX('Enter Data Here'!BZ63:CD63)</f>
        <v>0</v>
      </c>
      <c r="K35" s="160">
        <f>'Enter Data Here'!CF29+'Enter Data Here'!CH29+'Enter Data Here'!CJ29</f>
        <v>0</v>
      </c>
      <c r="L35" s="161">
        <f>'Enter Data Here'!CG29+'Enter Data Here'!CI29+'Enter Data Here'!CK29</f>
        <v>0</v>
      </c>
      <c r="M35" s="46">
        <f t="shared" si="1"/>
        <v>0</v>
      </c>
      <c r="N35" s="78">
        <f>MAX('Enter Data Here'!CF63:CJ63)</f>
        <v>0</v>
      </c>
      <c r="O35" s="141">
        <f>'Enter Data Here'!CL29+'Enter Data Here'!CN29+'Enter Data Here'!CP29</f>
        <v>0</v>
      </c>
      <c r="P35" s="162">
        <f>'Enter Data Here'!CM29+'Enter Data Here'!CO29+'Enter Data Here'!CQ29</f>
        <v>0</v>
      </c>
      <c r="Q35" s="41">
        <f t="shared" si="2"/>
        <v>0</v>
      </c>
      <c r="R35" s="49">
        <f>MAX('Enter Data Here'!CL63:CP63)</f>
        <v>0</v>
      </c>
      <c r="S35" s="160">
        <f>'Enter Data Here'!CR29+'Enter Data Here'!CT29+'Enter Data Here'!CV29</f>
        <v>0</v>
      </c>
      <c r="T35" s="163">
        <f>'Enter Data Here'!CS29+'Enter Data Here'!CU29+'Enter Data Here'!CW29</f>
        <v>0</v>
      </c>
      <c r="U35" s="46">
        <f t="shared" si="3"/>
        <v>0</v>
      </c>
      <c r="V35" s="81">
        <f>MAX('Enter Data Here'!CR63:CV63)</f>
        <v>0</v>
      </c>
    </row>
    <row r="36" spans="1:22" ht="15" customHeight="1">
      <c r="A36" s="4">
        <v>27</v>
      </c>
      <c r="B36" s="151" t="str">
        <f>IF(ISBLANK('Enter Data Here'!B30), " ", 'Enter Data Here'!B30)</f>
        <v xml:space="preserve"> </v>
      </c>
      <c r="C36" s="334" t="str">
        <f>IF(ISBLANK('Enter Data Here'!C30), " ", 'Enter Data Here'!C30)</f>
        <v xml:space="preserve"> </v>
      </c>
      <c r="D36" s="336" t="str">
        <f>IF(ISBLANK('Enter Data Here'!D30), " ", 'Enter Data Here'!D30)</f>
        <v xml:space="preserve"> </v>
      </c>
      <c r="E36" s="337" t="str">
        <f>IF(ISBLANK('Enter Data Here'!E30), " ", 'Enter Data Here'!E30)</f>
        <v xml:space="preserve"> </v>
      </c>
      <c r="F36" s="159"/>
      <c r="G36" s="173">
        <f>'Enter Data Here'!BZ30+'Enter Data Here'!CB30+'Enter Data Here'!CD30</f>
        <v>0</v>
      </c>
      <c r="H36" s="142">
        <f>'Enter Data Here'!CG30+'Enter Data Here'!CI30+'Enter Data Here'!CK30</f>
        <v>0</v>
      </c>
      <c r="I36" s="41">
        <f t="shared" si="0"/>
        <v>0</v>
      </c>
      <c r="J36" s="49">
        <f>MAX('Enter Data Here'!BZ64:CD64)</f>
        <v>0</v>
      </c>
      <c r="K36" s="160">
        <f>'Enter Data Here'!CF30+'Enter Data Here'!CH30+'Enter Data Here'!CJ30</f>
        <v>0</v>
      </c>
      <c r="L36" s="161">
        <f>'Enter Data Here'!CG30+'Enter Data Here'!CI30+'Enter Data Here'!CK30</f>
        <v>0</v>
      </c>
      <c r="M36" s="46">
        <f t="shared" si="1"/>
        <v>0</v>
      </c>
      <c r="N36" s="78">
        <f>MAX('Enter Data Here'!CF64:CJ64)</f>
        <v>0</v>
      </c>
      <c r="O36" s="141">
        <f>'Enter Data Here'!CL30+'Enter Data Here'!CN30+'Enter Data Here'!CP30</f>
        <v>0</v>
      </c>
      <c r="P36" s="162">
        <f>'Enter Data Here'!CM30+'Enter Data Here'!CO30+'Enter Data Here'!CQ30</f>
        <v>0</v>
      </c>
      <c r="Q36" s="41">
        <f t="shared" si="2"/>
        <v>0</v>
      </c>
      <c r="R36" s="49">
        <f>MAX('Enter Data Here'!CL64:CP64)</f>
        <v>0</v>
      </c>
      <c r="S36" s="160">
        <f>'Enter Data Here'!CR30+'Enter Data Here'!CT30+'Enter Data Here'!CV30</f>
        <v>0</v>
      </c>
      <c r="T36" s="163">
        <f>'Enter Data Here'!CS30+'Enter Data Here'!CU30+'Enter Data Here'!CW30</f>
        <v>0</v>
      </c>
      <c r="U36" s="46">
        <f t="shared" si="3"/>
        <v>0</v>
      </c>
      <c r="V36" s="81">
        <f>MAX('Enter Data Here'!CR64:CV64)</f>
        <v>0</v>
      </c>
    </row>
    <row r="37" spans="1:22" ht="15" customHeight="1">
      <c r="A37" s="4">
        <v>28</v>
      </c>
      <c r="B37" s="151" t="str">
        <f>IF(ISBLANK('Enter Data Here'!B31), " ", 'Enter Data Here'!B31)</f>
        <v xml:space="preserve"> </v>
      </c>
      <c r="C37" s="334" t="str">
        <f>IF(ISBLANK('Enter Data Here'!C31), " ", 'Enter Data Here'!C31)</f>
        <v xml:space="preserve"> </v>
      </c>
      <c r="D37" s="336" t="str">
        <f>IF(ISBLANK('Enter Data Here'!D31), " ", 'Enter Data Here'!D31)</f>
        <v xml:space="preserve"> </v>
      </c>
      <c r="E37" s="337" t="str">
        <f>IF(ISBLANK('Enter Data Here'!E31), " ", 'Enter Data Here'!E31)</f>
        <v xml:space="preserve"> </v>
      </c>
      <c r="F37" s="159"/>
      <c r="G37" s="173">
        <f>'Enter Data Here'!BZ31+'Enter Data Here'!CB31+'Enter Data Here'!CD31</f>
        <v>0</v>
      </c>
      <c r="H37" s="142">
        <f>'Enter Data Here'!CG31+'Enter Data Here'!CI31+'Enter Data Here'!CK31</f>
        <v>0</v>
      </c>
      <c r="I37" s="41">
        <f t="shared" si="0"/>
        <v>0</v>
      </c>
      <c r="J37" s="49">
        <f>MAX('Enter Data Here'!BZ65:CD65)</f>
        <v>0</v>
      </c>
      <c r="K37" s="160">
        <f>'Enter Data Here'!CF31+'Enter Data Here'!CH31+'Enter Data Here'!CJ31</f>
        <v>0</v>
      </c>
      <c r="L37" s="161">
        <f>'Enter Data Here'!CG31+'Enter Data Here'!CI31+'Enter Data Here'!CK31</f>
        <v>0</v>
      </c>
      <c r="M37" s="46">
        <f t="shared" si="1"/>
        <v>0</v>
      </c>
      <c r="N37" s="78">
        <f>MAX('Enter Data Here'!CF65:CJ65)</f>
        <v>0</v>
      </c>
      <c r="O37" s="141">
        <f>'Enter Data Here'!CL31+'Enter Data Here'!CN31+'Enter Data Here'!CP31</f>
        <v>0</v>
      </c>
      <c r="P37" s="162">
        <f>'Enter Data Here'!CM31+'Enter Data Here'!CO31+'Enter Data Here'!CQ31</f>
        <v>0</v>
      </c>
      <c r="Q37" s="41">
        <f t="shared" si="2"/>
        <v>0</v>
      </c>
      <c r="R37" s="49">
        <f>MAX('Enter Data Here'!CL65:CP65)</f>
        <v>0</v>
      </c>
      <c r="S37" s="160">
        <f>'Enter Data Here'!CR31+'Enter Data Here'!CT31+'Enter Data Here'!CV31</f>
        <v>0</v>
      </c>
      <c r="T37" s="163">
        <f>'Enter Data Here'!CS31+'Enter Data Here'!CU31+'Enter Data Here'!CW31</f>
        <v>0</v>
      </c>
      <c r="U37" s="46">
        <f t="shared" si="3"/>
        <v>0</v>
      </c>
      <c r="V37" s="81">
        <f>MAX('Enter Data Here'!CR65:CV65)</f>
        <v>0</v>
      </c>
    </row>
    <row r="38" spans="1:22" ht="15" customHeight="1">
      <c r="A38" s="4">
        <v>29</v>
      </c>
      <c r="B38" s="151" t="str">
        <f>IF(ISBLANK('Enter Data Here'!B32), " ", 'Enter Data Here'!B32)</f>
        <v xml:space="preserve"> </v>
      </c>
      <c r="C38" s="334" t="str">
        <f>IF(ISBLANK('Enter Data Here'!C32), " ", 'Enter Data Here'!C32)</f>
        <v xml:space="preserve"> </v>
      </c>
      <c r="D38" s="336" t="str">
        <f>IF(ISBLANK('Enter Data Here'!D32), " ", 'Enter Data Here'!D32)</f>
        <v xml:space="preserve"> </v>
      </c>
      <c r="E38" s="337" t="str">
        <f>IF(ISBLANK('Enter Data Here'!E32), " ", 'Enter Data Here'!E32)</f>
        <v xml:space="preserve"> </v>
      </c>
      <c r="F38" s="159"/>
      <c r="G38" s="173">
        <f>'Enter Data Here'!BZ32+'Enter Data Here'!CB32+'Enter Data Here'!CD32</f>
        <v>0</v>
      </c>
      <c r="H38" s="142">
        <f>'Enter Data Here'!CG32+'Enter Data Here'!CI32+'Enter Data Here'!CK32</f>
        <v>0</v>
      </c>
      <c r="I38" s="41">
        <f t="shared" si="0"/>
        <v>0</v>
      </c>
      <c r="J38" s="49">
        <f>MAX('Enter Data Here'!BZ66:CD66)</f>
        <v>0</v>
      </c>
      <c r="K38" s="160">
        <f>'Enter Data Here'!CF32+'Enter Data Here'!CH32+'Enter Data Here'!CJ32</f>
        <v>0</v>
      </c>
      <c r="L38" s="161">
        <f>'Enter Data Here'!CG32+'Enter Data Here'!CI32+'Enter Data Here'!CK32</f>
        <v>0</v>
      </c>
      <c r="M38" s="46">
        <f t="shared" si="1"/>
        <v>0</v>
      </c>
      <c r="N38" s="78">
        <f>MAX('Enter Data Here'!CF66:CJ66)</f>
        <v>0</v>
      </c>
      <c r="O38" s="141">
        <f>'Enter Data Here'!CL32+'Enter Data Here'!CN32+'Enter Data Here'!CP32</f>
        <v>0</v>
      </c>
      <c r="P38" s="162">
        <f>'Enter Data Here'!CM32+'Enter Data Here'!CO32+'Enter Data Here'!CQ32</f>
        <v>0</v>
      </c>
      <c r="Q38" s="41">
        <f t="shared" si="2"/>
        <v>0</v>
      </c>
      <c r="R38" s="49">
        <f>MAX('Enter Data Here'!CL66:CP66)</f>
        <v>0</v>
      </c>
      <c r="S38" s="160">
        <f>'Enter Data Here'!CR32+'Enter Data Here'!CT32+'Enter Data Here'!CV32</f>
        <v>0</v>
      </c>
      <c r="T38" s="163">
        <f>'Enter Data Here'!CS32+'Enter Data Here'!CU32+'Enter Data Here'!CW32</f>
        <v>0</v>
      </c>
      <c r="U38" s="46">
        <f t="shared" si="3"/>
        <v>0</v>
      </c>
      <c r="V38" s="81">
        <f>MAX('Enter Data Here'!CR66:CV66)</f>
        <v>0</v>
      </c>
    </row>
    <row r="39" spans="1:22" ht="15" customHeight="1">
      <c r="A39" s="4">
        <v>30</v>
      </c>
      <c r="B39" s="151" t="str">
        <f>IF(ISBLANK('Enter Data Here'!B33), " ", 'Enter Data Here'!B33)</f>
        <v xml:space="preserve"> </v>
      </c>
      <c r="C39" s="334" t="str">
        <f>IF(ISBLANK('Enter Data Here'!C33), " ", 'Enter Data Here'!C33)</f>
        <v xml:space="preserve"> </v>
      </c>
      <c r="D39" s="336" t="str">
        <f>IF(ISBLANK('Enter Data Here'!D33), " ", 'Enter Data Here'!D33)</f>
        <v xml:space="preserve"> </v>
      </c>
      <c r="E39" s="337" t="str">
        <f>IF(ISBLANK('Enter Data Here'!E33), " ", 'Enter Data Here'!E33)</f>
        <v xml:space="preserve"> </v>
      </c>
      <c r="F39" s="159"/>
      <c r="G39" s="173">
        <f>'Enter Data Here'!BZ33+'Enter Data Here'!CB33+'Enter Data Here'!CD33</f>
        <v>0</v>
      </c>
      <c r="H39" s="142">
        <f>'Enter Data Here'!CG33+'Enter Data Here'!CI33+'Enter Data Here'!CK33</f>
        <v>0</v>
      </c>
      <c r="I39" s="41">
        <f t="shared" si="0"/>
        <v>0</v>
      </c>
      <c r="J39" s="49">
        <f>MAX('Enter Data Here'!BZ67:CD67)</f>
        <v>0</v>
      </c>
      <c r="K39" s="160">
        <f>'Enter Data Here'!CF33+'Enter Data Here'!CH33+'Enter Data Here'!CJ33</f>
        <v>0</v>
      </c>
      <c r="L39" s="161">
        <f>'Enter Data Here'!CG33+'Enter Data Here'!CI33+'Enter Data Here'!CK33</f>
        <v>0</v>
      </c>
      <c r="M39" s="46">
        <f t="shared" si="1"/>
        <v>0</v>
      </c>
      <c r="N39" s="78">
        <f>MAX('Enter Data Here'!CF67:CJ67)</f>
        <v>0</v>
      </c>
      <c r="O39" s="141">
        <f>'Enter Data Here'!CL33+'Enter Data Here'!CN33+'Enter Data Here'!CP33</f>
        <v>0</v>
      </c>
      <c r="P39" s="162">
        <f>'Enter Data Here'!CM33+'Enter Data Here'!CO33+'Enter Data Here'!CQ33</f>
        <v>0</v>
      </c>
      <c r="Q39" s="41">
        <f t="shared" si="2"/>
        <v>0</v>
      </c>
      <c r="R39" s="49">
        <f>MAX('Enter Data Here'!CL67:CP67)</f>
        <v>0</v>
      </c>
      <c r="S39" s="160">
        <f>'Enter Data Here'!CR33+'Enter Data Here'!CT33+'Enter Data Here'!CV33</f>
        <v>0</v>
      </c>
      <c r="T39" s="163">
        <f>'Enter Data Here'!CS33+'Enter Data Here'!CU33+'Enter Data Here'!CW33</f>
        <v>0</v>
      </c>
      <c r="U39" s="46">
        <f t="shared" si="3"/>
        <v>0</v>
      </c>
      <c r="V39" s="81">
        <f>MAX('Enter Data Here'!CR67:CV67)</f>
        <v>0</v>
      </c>
    </row>
    <row r="40" spans="1:22" ht="15" customHeight="1" thickBot="1">
      <c r="A40" s="4">
        <v>31</v>
      </c>
      <c r="B40" s="151" t="str">
        <f>IF(ISBLANK('Enter Data Here'!B34), " ", 'Enter Data Here'!B34)</f>
        <v xml:space="preserve"> </v>
      </c>
      <c r="C40" s="335" t="str">
        <f>IF(ISBLANK('Enter Data Here'!C34), " ", 'Enter Data Here'!C34)</f>
        <v xml:space="preserve"> </v>
      </c>
      <c r="D40" s="336" t="str">
        <f>IF(ISBLANK('Enter Data Here'!D34), " ", 'Enter Data Here'!D34)</f>
        <v xml:space="preserve"> </v>
      </c>
      <c r="E40" s="337" t="str">
        <f>IF(ISBLANK('Enter Data Here'!E34), " ", 'Enter Data Here'!E34)</f>
        <v xml:space="preserve"> </v>
      </c>
      <c r="F40" s="164"/>
      <c r="G40" s="171">
        <f>'Enter Data Here'!BZ34+'Enter Data Here'!CB34+'Enter Data Here'!CD34</f>
        <v>0</v>
      </c>
      <c r="H40" s="172">
        <f>'Enter Data Here'!CG34+'Enter Data Here'!CI34+'Enter Data Here'!CK34</f>
        <v>0</v>
      </c>
      <c r="I40" s="140">
        <f t="shared" si="0"/>
        <v>0</v>
      </c>
      <c r="J40" s="75">
        <f>MAX('Enter Data Here'!BZ68:CD68)</f>
        <v>0</v>
      </c>
      <c r="K40" s="166">
        <f>'Enter Data Here'!CF34+'Enter Data Here'!CH34+'Enter Data Here'!CJ34</f>
        <v>0</v>
      </c>
      <c r="L40" s="167">
        <f>'Enter Data Here'!CG34+'Enter Data Here'!CI34+'Enter Data Here'!CK34</f>
        <v>0</v>
      </c>
      <c r="M40" s="74">
        <f t="shared" si="1"/>
        <v>0</v>
      </c>
      <c r="N40" s="77">
        <f>MAX('Enter Data Here'!CF68:CJ68)</f>
        <v>0</v>
      </c>
      <c r="O40" s="174">
        <f>'Enter Data Here'!CL34+'Enter Data Here'!CN34+'Enter Data Here'!CP34</f>
        <v>0</v>
      </c>
      <c r="P40" s="175">
        <f>'Enter Data Here'!CM34+'Enter Data Here'!CO34+'Enter Data Here'!CQ34</f>
        <v>0</v>
      </c>
      <c r="Q40" s="140">
        <f t="shared" si="2"/>
        <v>0</v>
      </c>
      <c r="R40" s="75">
        <f>MAX('Enter Data Here'!CL68:CP68)</f>
        <v>0</v>
      </c>
      <c r="S40" s="166">
        <f>'Enter Data Here'!CR34+'Enter Data Here'!CT34+'Enter Data Here'!CV34</f>
        <v>0</v>
      </c>
      <c r="T40" s="176">
        <f>'Enter Data Here'!CS34+'Enter Data Here'!CU34+'Enter Data Here'!CW34</f>
        <v>0</v>
      </c>
      <c r="U40" s="74">
        <f t="shared" si="3"/>
        <v>0</v>
      </c>
      <c r="V40" s="150">
        <f>MAX('Enter Data Here'!CR68:CV68)</f>
        <v>0</v>
      </c>
    </row>
    <row r="41" spans="1:22" ht="15" customHeight="1">
      <c r="A41" s="236" t="s">
        <v>153</v>
      </c>
      <c r="B41" s="237"/>
      <c r="C41" s="237"/>
      <c r="D41" s="238"/>
      <c r="E41" s="238"/>
      <c r="F41" s="238"/>
      <c r="G41" s="39">
        <f>IF(ISBLANK($S1)," ",SUM(G10:G40))</f>
        <v>0</v>
      </c>
      <c r="H41" s="28"/>
      <c r="I41" s="43">
        <f>IF(ISBLANK($S1)," ",SUM(I10:I40))</f>
        <v>0</v>
      </c>
      <c r="J41" s="29"/>
      <c r="K41" s="44">
        <f>IF(ISBLANK($S1)," ",SUM(K10:K40))</f>
        <v>0</v>
      </c>
      <c r="L41" s="30"/>
      <c r="M41" s="47">
        <f>IF(ISBLANK($S1)," ",SUM(M10:M40))</f>
        <v>0</v>
      </c>
      <c r="N41" s="31"/>
      <c r="O41" s="39">
        <f>IF(ISBLANK($S1)," ",SUM(O10:O40))</f>
        <v>0</v>
      </c>
      <c r="P41" s="28"/>
      <c r="Q41" s="43">
        <f>IF(ISBLANK($S1)," ",SUM(Q10:Q40))</f>
        <v>0</v>
      </c>
      <c r="R41" s="29"/>
      <c r="S41" s="44">
        <f>IF(ISBLANK($S1)," ",SUM(S10:S40))</f>
        <v>0</v>
      </c>
      <c r="T41" s="30"/>
      <c r="U41" s="47">
        <f>IF(ISBLANK($S1)," ",SUM(U10:U40))</f>
        <v>0</v>
      </c>
      <c r="V41" s="32"/>
    </row>
    <row r="42" spans="1:22" ht="15" customHeight="1" thickBot="1">
      <c r="A42" s="207" t="s">
        <v>152</v>
      </c>
      <c r="B42" s="208"/>
      <c r="C42" s="208"/>
      <c r="D42" s="209"/>
      <c r="E42" s="209"/>
      <c r="F42" s="209"/>
      <c r="G42" s="64"/>
      <c r="H42" s="65"/>
      <c r="I42" s="66"/>
      <c r="J42" s="67"/>
      <c r="K42" s="68"/>
      <c r="L42" s="69"/>
      <c r="M42" s="70"/>
      <c r="N42" s="71"/>
      <c r="O42" s="64"/>
      <c r="P42" s="65"/>
      <c r="Q42" s="66"/>
      <c r="R42" s="67"/>
      <c r="S42" s="68"/>
      <c r="T42" s="69"/>
      <c r="U42" s="72"/>
      <c r="V42" s="73"/>
    </row>
  </sheetData>
  <sheetProtection password="CD0C"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showDropDown="1" showInputMessage="1" showErrorMessage="1" sqref="B10:E40"/>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89" customWidth="1"/>
    <col min="2" max="2" width="5.7109375" style="89"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5" customFormat="1" ht="30" customHeight="1">
      <c r="A1" s="261" t="s">
        <v>164</v>
      </c>
      <c r="B1" s="261"/>
      <c r="C1" s="261"/>
      <c r="D1" s="261"/>
      <c r="E1" s="261"/>
      <c r="F1" s="261"/>
      <c r="G1" s="261"/>
      <c r="H1" s="261"/>
      <c r="I1" s="261"/>
      <c r="J1" s="261"/>
      <c r="K1" s="261"/>
      <c r="L1" s="261"/>
      <c r="M1" s="261"/>
      <c r="N1" s="261"/>
      <c r="O1" s="261"/>
      <c r="P1" s="261"/>
      <c r="Q1" s="261"/>
      <c r="R1" s="261"/>
      <c r="S1" s="261"/>
      <c r="T1" s="261"/>
      <c r="U1" s="262"/>
      <c r="V1" s="262"/>
    </row>
    <row r="2" spans="1:22" ht="30" customHeight="1">
      <c r="A2" s="261" t="s">
        <v>165</v>
      </c>
      <c r="B2" s="261"/>
      <c r="C2" s="261"/>
      <c r="D2" s="261"/>
      <c r="E2" s="261"/>
      <c r="F2" s="261"/>
      <c r="G2" s="261"/>
      <c r="H2" s="261"/>
      <c r="I2" s="261"/>
      <c r="J2" s="261"/>
      <c r="K2" s="261"/>
      <c r="L2" s="261"/>
      <c r="M2" s="261"/>
      <c r="N2" s="261"/>
      <c r="O2" s="261"/>
      <c r="P2" s="261"/>
      <c r="Q2" s="261"/>
      <c r="R2" s="261"/>
      <c r="S2" s="261"/>
      <c r="T2" s="261"/>
      <c r="U2" s="262"/>
      <c r="V2" s="262"/>
    </row>
    <row r="3" spans="1:22" ht="30" customHeight="1">
      <c r="A3" s="261" t="s">
        <v>166</v>
      </c>
      <c r="B3" s="261"/>
      <c r="C3" s="261"/>
      <c r="D3" s="261"/>
      <c r="E3" s="261"/>
      <c r="F3" s="261"/>
      <c r="G3" s="261"/>
      <c r="H3" s="261"/>
      <c r="I3" s="261"/>
      <c r="J3" s="261"/>
      <c r="K3" s="261"/>
      <c r="L3" s="261"/>
      <c r="M3" s="261"/>
      <c r="N3" s="261"/>
      <c r="O3" s="261"/>
      <c r="P3" s="261"/>
      <c r="Q3" s="261"/>
      <c r="R3" s="261"/>
      <c r="S3" s="261"/>
      <c r="T3" s="261"/>
      <c r="U3" s="262"/>
      <c r="V3" s="262"/>
    </row>
    <row r="4" spans="1:22" ht="30" customHeight="1">
      <c r="A4" s="261" t="s">
        <v>167</v>
      </c>
      <c r="B4" s="261"/>
      <c r="C4" s="261"/>
      <c r="D4" s="261"/>
      <c r="E4" s="261"/>
      <c r="F4" s="261"/>
      <c r="G4" s="261"/>
      <c r="H4" s="261"/>
      <c r="I4" s="261"/>
      <c r="J4" s="261"/>
      <c r="K4" s="261"/>
      <c r="L4" s="261"/>
      <c r="M4" s="261"/>
      <c r="N4" s="261"/>
      <c r="O4" s="261"/>
      <c r="P4" s="261"/>
      <c r="Q4" s="261"/>
      <c r="R4" s="261"/>
      <c r="S4" s="261"/>
      <c r="T4" s="261"/>
      <c r="U4" s="262"/>
      <c r="V4" s="262"/>
    </row>
    <row r="5" spans="1:22" ht="30" customHeight="1">
      <c r="A5" s="261" t="s">
        <v>168</v>
      </c>
      <c r="B5" s="261"/>
      <c r="C5" s="261"/>
      <c r="D5" s="261"/>
      <c r="E5" s="261"/>
      <c r="F5" s="261"/>
      <c r="G5" s="261"/>
      <c r="H5" s="261"/>
      <c r="I5" s="261"/>
      <c r="J5" s="261"/>
      <c r="K5" s="261"/>
      <c r="L5" s="261"/>
      <c r="M5" s="261"/>
      <c r="N5" s="261"/>
      <c r="O5" s="261"/>
      <c r="P5" s="261"/>
      <c r="Q5" s="261"/>
      <c r="R5" s="261"/>
      <c r="S5" s="261"/>
      <c r="T5" s="261"/>
      <c r="U5" s="262"/>
      <c r="V5" s="262"/>
    </row>
    <row r="6" spans="1:22" ht="30" customHeight="1" thickBot="1">
      <c r="A6" s="263" t="s">
        <v>129</v>
      </c>
      <c r="B6" s="264"/>
      <c r="C6" s="264"/>
      <c r="D6" s="264"/>
      <c r="E6" s="264"/>
      <c r="F6" s="264"/>
      <c r="G6" s="264"/>
      <c r="H6" s="264"/>
      <c r="I6" s="264"/>
      <c r="J6" s="264"/>
      <c r="K6" s="264"/>
      <c r="L6" s="264"/>
      <c r="M6" s="264"/>
      <c r="N6" s="264"/>
      <c r="O6" s="264"/>
      <c r="P6" s="264"/>
      <c r="Q6" s="264"/>
      <c r="R6" s="264"/>
      <c r="S6" s="264"/>
      <c r="T6" s="264"/>
      <c r="U6" s="264"/>
      <c r="V6" s="264"/>
    </row>
    <row r="7" spans="1:22" ht="138.75" customHeight="1" thickBot="1">
      <c r="A7" s="265"/>
      <c r="B7" s="266"/>
      <c r="C7" s="266"/>
      <c r="D7" s="266"/>
      <c r="E7" s="266"/>
      <c r="F7" s="266"/>
      <c r="G7" s="266"/>
      <c r="H7" s="266"/>
      <c r="I7" s="266"/>
      <c r="J7" s="266"/>
      <c r="K7" s="266"/>
      <c r="L7" s="266"/>
      <c r="M7" s="266"/>
      <c r="N7" s="266"/>
      <c r="O7" s="266"/>
      <c r="P7" s="266"/>
      <c r="Q7" s="266"/>
      <c r="R7" s="266"/>
      <c r="S7" s="266"/>
      <c r="T7" s="266"/>
      <c r="U7" s="266"/>
      <c r="V7" s="267"/>
    </row>
    <row r="8" spans="1:22" ht="15" customHeight="1" thickBot="1">
      <c r="A8" s="268"/>
      <c r="B8" s="269"/>
      <c r="C8" s="269"/>
      <c r="D8" s="269"/>
      <c r="E8" s="269"/>
      <c r="F8" s="269"/>
      <c r="G8" s="269"/>
      <c r="H8" s="269"/>
      <c r="I8" s="269"/>
      <c r="J8" s="269"/>
      <c r="K8" s="269"/>
      <c r="L8" s="269"/>
      <c r="M8" s="269"/>
      <c r="N8" s="269"/>
      <c r="O8" s="269"/>
      <c r="P8" s="269"/>
      <c r="Q8" s="269"/>
      <c r="R8" s="269"/>
      <c r="S8" s="269"/>
      <c r="T8" s="269"/>
      <c r="U8" s="269"/>
      <c r="V8" s="269"/>
    </row>
    <row r="9" spans="1:22" ht="30.75" customHeight="1" thickBot="1">
      <c r="A9" s="245" t="s">
        <v>9</v>
      </c>
      <c r="B9" s="269"/>
      <c r="C9" s="269"/>
      <c r="D9" s="269"/>
      <c r="E9" s="269"/>
      <c r="F9" s="269"/>
      <c r="G9" s="269"/>
      <c r="H9" s="269"/>
      <c r="I9" s="269"/>
      <c r="J9" s="269"/>
      <c r="K9" s="269"/>
      <c r="L9" s="270"/>
      <c r="M9" s="271" t="s">
        <v>10</v>
      </c>
      <c r="N9" s="269"/>
      <c r="O9" s="269"/>
      <c r="P9" s="269"/>
      <c r="Q9" s="269"/>
      <c r="R9" s="269"/>
      <c r="S9" s="269"/>
      <c r="T9" s="269"/>
      <c r="U9" s="269"/>
      <c r="V9" s="272"/>
    </row>
    <row r="10" spans="1:22" ht="30.75" customHeight="1">
      <c r="A10" s="275" t="s">
        <v>134</v>
      </c>
      <c r="B10" s="276"/>
      <c r="C10" s="277"/>
      <c r="D10" s="278"/>
      <c r="E10" s="278"/>
      <c r="F10" s="278"/>
      <c r="G10" s="278"/>
      <c r="H10" s="278"/>
      <c r="I10" s="278"/>
      <c r="J10" s="278"/>
      <c r="K10" s="278"/>
      <c r="L10" s="279"/>
      <c r="M10" s="280" t="s">
        <v>130</v>
      </c>
      <c r="N10" s="276"/>
      <c r="O10" s="281"/>
      <c r="P10" s="281"/>
      <c r="Q10" s="281"/>
      <c r="R10" s="281"/>
      <c r="S10" s="281"/>
      <c r="T10" s="281"/>
      <c r="U10" s="281"/>
      <c r="V10" s="282"/>
    </row>
    <row r="11" spans="1:22" ht="30.75" customHeight="1">
      <c r="A11" s="283" t="s">
        <v>135</v>
      </c>
      <c r="B11" s="284"/>
      <c r="C11" s="284"/>
      <c r="D11" s="285"/>
      <c r="E11" s="286"/>
      <c r="F11" s="287"/>
      <c r="G11" s="287"/>
      <c r="H11" s="287"/>
      <c r="I11" s="287"/>
      <c r="J11" s="287"/>
      <c r="K11" s="287"/>
      <c r="L11" s="82"/>
      <c r="M11" s="288" t="s">
        <v>131</v>
      </c>
      <c r="N11" s="284"/>
      <c r="O11" s="289"/>
      <c r="P11" s="290"/>
      <c r="Q11" s="290"/>
      <c r="R11" s="290"/>
      <c r="S11" s="290"/>
      <c r="T11" s="290"/>
      <c r="U11" s="290"/>
      <c r="V11" s="291"/>
    </row>
    <row r="12" spans="1:22" ht="30.75" customHeight="1">
      <c r="A12" s="283" t="s">
        <v>136</v>
      </c>
      <c r="B12" s="284"/>
      <c r="C12" s="289"/>
      <c r="D12" s="289"/>
      <c r="E12" s="292"/>
      <c r="F12" s="293" t="s">
        <v>11</v>
      </c>
      <c r="G12" s="284"/>
      <c r="H12" s="284"/>
      <c r="I12" s="286"/>
      <c r="J12" s="294"/>
      <c r="K12" s="294"/>
      <c r="L12" s="295"/>
      <c r="M12" s="288" t="s">
        <v>132</v>
      </c>
      <c r="N12" s="284"/>
      <c r="O12" s="284"/>
      <c r="P12" s="273"/>
      <c r="Q12" s="262"/>
      <c r="R12" s="262"/>
      <c r="S12" s="262"/>
      <c r="T12" s="262"/>
      <c r="U12" s="262"/>
      <c r="V12" s="274"/>
    </row>
    <row r="13" spans="1:22" ht="30.75" customHeight="1">
      <c r="A13" s="299" t="s">
        <v>155</v>
      </c>
      <c r="B13" s="294"/>
      <c r="C13" s="294"/>
      <c r="D13" s="294"/>
      <c r="E13" s="294"/>
      <c r="F13" s="294"/>
      <c r="G13" s="294"/>
      <c r="H13" s="294"/>
      <c r="I13" s="294"/>
      <c r="J13" s="294"/>
      <c r="K13" s="294"/>
      <c r="L13" s="295"/>
      <c r="M13" s="288" t="s">
        <v>133</v>
      </c>
      <c r="N13" s="300"/>
      <c r="O13" s="286"/>
      <c r="P13" s="294"/>
      <c r="Q13" s="294"/>
      <c r="R13" s="301" t="s">
        <v>154</v>
      </c>
      <c r="S13" s="300"/>
      <c r="T13" s="302"/>
      <c r="U13" s="303"/>
      <c r="V13" s="304"/>
    </row>
    <row r="14" spans="1:22" ht="22.5" customHeight="1">
      <c r="A14" s="321"/>
      <c r="B14" s="298"/>
      <c r="C14" s="298"/>
      <c r="D14" s="298"/>
      <c r="E14" s="298"/>
      <c r="F14" s="298"/>
      <c r="G14" s="298"/>
      <c r="H14" s="298"/>
      <c r="I14" s="298"/>
      <c r="J14" s="324"/>
      <c r="K14" s="305"/>
      <c r="L14" s="325"/>
      <c r="M14" s="327"/>
      <c r="N14" s="298"/>
      <c r="O14" s="298"/>
      <c r="P14" s="298"/>
      <c r="Q14" s="298"/>
      <c r="R14" s="298"/>
      <c r="S14" s="298"/>
      <c r="T14" s="324"/>
      <c r="U14" s="305"/>
      <c r="V14" s="306"/>
    </row>
    <row r="15" spans="1:22" ht="22.5" customHeight="1">
      <c r="A15" s="322"/>
      <c r="B15" s="323"/>
      <c r="C15" s="323"/>
      <c r="D15" s="323"/>
      <c r="E15" s="323"/>
      <c r="F15" s="323"/>
      <c r="G15" s="323"/>
      <c r="H15" s="323"/>
      <c r="I15" s="323"/>
      <c r="J15" s="324"/>
      <c r="K15" s="307"/>
      <c r="L15" s="326"/>
      <c r="M15" s="328"/>
      <c r="N15" s="323"/>
      <c r="O15" s="323"/>
      <c r="P15" s="323"/>
      <c r="Q15" s="323"/>
      <c r="R15" s="323"/>
      <c r="S15" s="323"/>
      <c r="T15" s="324"/>
      <c r="U15" s="307"/>
      <c r="V15" s="308"/>
    </row>
    <row r="16" spans="1:22" ht="30" customHeight="1">
      <c r="A16" s="309" t="s">
        <v>12</v>
      </c>
      <c r="B16" s="310"/>
      <c r="C16" s="310"/>
      <c r="D16" s="310"/>
      <c r="E16" s="310"/>
      <c r="F16" s="310"/>
      <c r="G16" s="310"/>
      <c r="H16" s="310"/>
      <c r="I16" s="310"/>
      <c r="J16" s="324"/>
      <c r="K16" s="311" t="s">
        <v>1</v>
      </c>
      <c r="L16" s="312"/>
      <c r="M16" s="313" t="s">
        <v>12</v>
      </c>
      <c r="N16" s="310"/>
      <c r="O16" s="310"/>
      <c r="P16" s="310"/>
      <c r="Q16" s="310"/>
      <c r="R16" s="310"/>
      <c r="S16" s="310"/>
      <c r="T16" s="324"/>
      <c r="U16" s="311" t="s">
        <v>1</v>
      </c>
      <c r="V16" s="314"/>
    </row>
    <row r="17" spans="1:22" ht="68.25" customHeight="1" thickBot="1">
      <c r="A17" s="315" t="s">
        <v>13</v>
      </c>
      <c r="B17" s="316"/>
      <c r="C17" s="316"/>
      <c r="D17" s="316"/>
      <c r="E17" s="316"/>
      <c r="F17" s="316"/>
      <c r="G17" s="316"/>
      <c r="H17" s="316"/>
      <c r="I17" s="316"/>
      <c r="J17" s="316"/>
      <c r="K17" s="316"/>
      <c r="L17" s="317"/>
      <c r="M17" s="318" t="s">
        <v>14</v>
      </c>
      <c r="N17" s="319"/>
      <c r="O17" s="319"/>
      <c r="P17" s="319"/>
      <c r="Q17" s="319"/>
      <c r="R17" s="319"/>
      <c r="S17" s="319"/>
      <c r="T17" s="319"/>
      <c r="U17" s="319"/>
      <c r="V17" s="320"/>
    </row>
    <row r="18" spans="1:22" ht="15" customHeight="1">
      <c r="A18" s="329"/>
      <c r="B18" s="329"/>
      <c r="C18" s="329"/>
      <c r="D18" s="329"/>
      <c r="E18" s="329"/>
      <c r="F18" s="329"/>
      <c r="G18" s="329"/>
      <c r="H18" s="329"/>
      <c r="I18" s="329"/>
      <c r="J18" s="329"/>
      <c r="K18" s="329"/>
      <c r="L18" s="329"/>
      <c r="M18" s="329"/>
      <c r="N18" s="329"/>
      <c r="O18" s="329"/>
      <c r="P18" s="329"/>
      <c r="Q18" s="329"/>
      <c r="R18" s="329"/>
      <c r="S18" s="329"/>
      <c r="T18" s="329"/>
      <c r="U18" s="330"/>
      <c r="V18" s="330"/>
    </row>
    <row r="19" spans="1:22" ht="15" customHeight="1">
      <c r="A19" s="296" t="s">
        <v>16</v>
      </c>
      <c r="B19" s="297"/>
      <c r="C19" s="297"/>
      <c r="D19" s="297"/>
      <c r="E19" s="297"/>
      <c r="F19" s="297"/>
      <c r="G19" s="297"/>
      <c r="H19" s="297"/>
      <c r="I19" s="297"/>
      <c r="J19" s="297"/>
      <c r="K19" s="297"/>
      <c r="L19" s="297"/>
      <c r="M19" s="297"/>
      <c r="N19" s="297"/>
      <c r="O19" s="297"/>
      <c r="P19" s="297"/>
      <c r="Q19" s="297"/>
      <c r="R19" s="297"/>
      <c r="S19" s="297"/>
      <c r="T19" s="297"/>
      <c r="U19" s="298"/>
      <c r="V19" s="298"/>
    </row>
    <row r="20" spans="1:22" ht="15" customHeight="1">
      <c r="A20" s="296" t="s">
        <v>183</v>
      </c>
      <c r="B20" s="297"/>
      <c r="C20" s="297"/>
      <c r="D20" s="297"/>
      <c r="E20" s="297"/>
      <c r="F20" s="297"/>
      <c r="G20" s="297"/>
      <c r="H20" s="297"/>
      <c r="I20" s="297"/>
      <c r="J20" s="297"/>
      <c r="K20" s="297"/>
      <c r="L20" s="297"/>
      <c r="M20" s="297"/>
      <c r="N20" s="297"/>
      <c r="O20" s="297"/>
      <c r="P20" s="297"/>
      <c r="Q20" s="297"/>
      <c r="R20" s="297"/>
      <c r="S20" s="297"/>
      <c r="T20" s="297"/>
      <c r="U20" s="298"/>
      <c r="V20" s="298"/>
    </row>
    <row r="21" spans="1:22" ht="15" customHeight="1">
      <c r="A21" s="296" t="s">
        <v>7</v>
      </c>
      <c r="B21" s="297"/>
      <c r="C21" s="297"/>
      <c r="D21" s="297"/>
      <c r="E21" s="297"/>
      <c r="F21" s="297"/>
      <c r="G21" s="297"/>
      <c r="H21" s="297"/>
      <c r="I21" s="297"/>
      <c r="J21" s="297"/>
      <c r="K21" s="297"/>
      <c r="L21" s="297"/>
      <c r="M21" s="297"/>
      <c r="N21" s="297"/>
      <c r="O21" s="297"/>
      <c r="P21" s="297"/>
      <c r="Q21" s="297"/>
      <c r="R21" s="297"/>
      <c r="S21" s="297"/>
      <c r="T21" s="297"/>
      <c r="U21" s="298"/>
      <c r="V21" s="298"/>
    </row>
    <row r="22" spans="1:22" ht="15" customHeight="1">
      <c r="A22" s="296" t="s">
        <v>0</v>
      </c>
      <c r="B22" s="297"/>
      <c r="C22" s="297"/>
      <c r="D22" s="297"/>
      <c r="E22" s="297"/>
      <c r="F22" s="297"/>
      <c r="G22" s="297"/>
      <c r="H22" s="297"/>
      <c r="I22" s="297"/>
      <c r="J22" s="297"/>
      <c r="K22" s="297"/>
      <c r="L22" s="297"/>
      <c r="M22" s="297"/>
      <c r="N22" s="297"/>
      <c r="O22" s="297"/>
      <c r="P22" s="297"/>
      <c r="Q22" s="297"/>
      <c r="R22" s="297"/>
      <c r="S22" s="297"/>
      <c r="T22" s="297"/>
      <c r="U22" s="298"/>
      <c r="V22" s="298"/>
    </row>
    <row r="23" spans="1:22" ht="15" customHeight="1">
      <c r="A23" s="296" t="s">
        <v>15</v>
      </c>
      <c r="B23" s="297"/>
      <c r="C23" s="297"/>
      <c r="D23" s="297"/>
      <c r="E23" s="297"/>
      <c r="F23" s="297"/>
      <c r="G23" s="297"/>
      <c r="H23" s="297"/>
      <c r="I23" s="297"/>
      <c r="J23" s="297"/>
      <c r="K23" s="297"/>
      <c r="L23" s="297"/>
      <c r="M23" s="297"/>
      <c r="N23" s="297"/>
      <c r="O23" s="297"/>
      <c r="P23" s="297"/>
      <c r="Q23" s="297"/>
      <c r="R23" s="297"/>
      <c r="S23" s="297"/>
      <c r="T23" s="297"/>
      <c r="U23" s="298"/>
      <c r="V23" s="298"/>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50"/>
  </cols>
  <sheetData>
    <row r="1" spans="1:6" ht="18">
      <c r="A1" s="53" t="s">
        <v>175</v>
      </c>
      <c r="B1" s="54"/>
      <c r="C1" s="54"/>
      <c r="D1" s="54"/>
      <c r="E1" s="54"/>
      <c r="F1" s="55"/>
    </row>
    <row r="2" spans="1:6" ht="15">
      <c r="A2" s="56"/>
      <c r="B2" s="57"/>
      <c r="C2" s="57"/>
      <c r="D2" s="57"/>
      <c r="E2" s="57"/>
      <c r="F2" s="58"/>
    </row>
    <row r="3" spans="1:6">
      <c r="A3" s="59"/>
      <c r="B3" s="57"/>
      <c r="C3" s="57"/>
      <c r="D3" s="57"/>
      <c r="E3" s="57"/>
      <c r="F3" s="58"/>
    </row>
    <row r="4" spans="1:6" ht="15">
      <c r="A4" s="56"/>
      <c r="B4" s="57"/>
      <c r="C4" s="57"/>
      <c r="D4" s="57"/>
      <c r="E4" s="57"/>
      <c r="F4" s="58"/>
    </row>
    <row r="5" spans="1:6">
      <c r="A5" s="60"/>
      <c r="B5" s="57"/>
      <c r="C5" s="57"/>
      <c r="D5" s="57"/>
      <c r="E5" s="57"/>
      <c r="F5" s="58"/>
    </row>
    <row r="6" spans="1:6" ht="15">
      <c r="A6" s="83" t="s">
        <v>176</v>
      </c>
      <c r="B6" s="57"/>
      <c r="C6" s="57"/>
      <c r="D6" s="57"/>
      <c r="E6" s="57"/>
      <c r="F6" s="58"/>
    </row>
    <row r="7" spans="1:6" ht="15">
      <c r="A7" s="83"/>
      <c r="B7" s="57"/>
      <c r="C7" s="57"/>
      <c r="D7" s="57"/>
      <c r="E7" s="57"/>
      <c r="F7" s="58"/>
    </row>
    <row r="8" spans="1:6">
      <c r="A8" s="84"/>
      <c r="B8" s="57"/>
      <c r="C8" s="57"/>
      <c r="D8" s="57"/>
      <c r="E8" s="57"/>
      <c r="F8" s="58"/>
    </row>
    <row r="9" spans="1:6" ht="15">
      <c r="A9" s="83" t="s">
        <v>177</v>
      </c>
      <c r="B9" s="57"/>
      <c r="C9" s="57"/>
      <c r="D9" s="57"/>
      <c r="E9" s="57"/>
      <c r="F9" s="58"/>
    </row>
    <row r="10" spans="1:6">
      <c r="A10" s="60"/>
      <c r="B10" s="57"/>
      <c r="C10" s="57"/>
      <c r="D10" s="57"/>
      <c r="E10" s="57"/>
      <c r="F10" s="58"/>
    </row>
    <row r="11" spans="1:6">
      <c r="A11" s="60"/>
      <c r="B11" s="57"/>
      <c r="C11" s="57"/>
      <c r="D11" s="57"/>
      <c r="E11" s="57"/>
      <c r="F11" s="58"/>
    </row>
    <row r="12" spans="1:6">
      <c r="A12" s="60"/>
      <c r="B12" s="57"/>
      <c r="C12" s="57"/>
      <c r="D12" s="57"/>
      <c r="E12" s="57"/>
      <c r="F12" s="58"/>
    </row>
    <row r="13" spans="1:6">
      <c r="A13" s="60"/>
      <c r="B13" s="57"/>
      <c r="C13" s="57"/>
      <c r="D13" s="57"/>
      <c r="E13" s="57"/>
      <c r="F13" s="58"/>
    </row>
    <row r="14" spans="1:6">
      <c r="A14" s="60"/>
      <c r="B14" s="57"/>
      <c r="C14" s="57"/>
      <c r="D14" s="57"/>
      <c r="E14" s="57"/>
      <c r="F14" s="58"/>
    </row>
    <row r="15" spans="1:6">
      <c r="A15" s="60"/>
      <c r="B15" s="57"/>
      <c r="C15" s="57"/>
      <c r="D15" s="57"/>
      <c r="E15" s="57"/>
      <c r="F15" s="58"/>
    </row>
    <row r="16" spans="1:6">
      <c r="A16" s="61"/>
      <c r="B16" s="62"/>
      <c r="C16" s="62"/>
      <c r="D16" s="62"/>
      <c r="E16" s="62"/>
      <c r="F16" s="63"/>
    </row>
    <row r="18" spans="1:2" ht="15.75" thickBot="1">
      <c r="A18" s="331" t="s">
        <v>169</v>
      </c>
      <c r="B18" s="332"/>
    </row>
    <row r="19" spans="1:2" ht="15">
      <c r="A19" s="51" t="s">
        <v>156</v>
      </c>
      <c r="B19" s="51" t="s">
        <v>158</v>
      </c>
    </row>
    <row r="20" spans="1:2" ht="15">
      <c r="A20" s="52" t="s">
        <v>157</v>
      </c>
      <c r="B20" s="52" t="s">
        <v>159</v>
      </c>
    </row>
    <row r="21" spans="1:2" ht="15">
      <c r="A21" s="52" t="s">
        <v>170</v>
      </c>
      <c r="B21" s="52" t="s">
        <v>160</v>
      </c>
    </row>
    <row r="22" spans="1:2" ht="15">
      <c r="A22" s="52" t="s">
        <v>171</v>
      </c>
      <c r="B22" s="52" t="s">
        <v>161</v>
      </c>
    </row>
    <row r="23" spans="1:2" ht="15">
      <c r="A23" s="52" t="s">
        <v>172</v>
      </c>
      <c r="B23" s="52" t="s">
        <v>163</v>
      </c>
    </row>
    <row r="24" spans="1:2" ht="15">
      <c r="A24" s="52" t="s">
        <v>173</v>
      </c>
      <c r="B24" s="52" t="s">
        <v>162</v>
      </c>
    </row>
  </sheetData>
  <mergeCells count="1">
    <mergeCell ref="A18:B18"/>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3" bestFit="1" customWidth="1"/>
    <col min="2" max="2" width="11" style="3" bestFit="1" customWidth="1"/>
    <col min="3" max="3" width="4.42578125" style="3" bestFit="1" customWidth="1"/>
    <col min="4" max="16384" width="9.140625" style="3"/>
  </cols>
  <sheetData>
    <row r="2" spans="1:4">
      <c r="A2" s="3" t="s">
        <v>117</v>
      </c>
      <c r="B2" s="3" t="s">
        <v>17</v>
      </c>
      <c r="C2" s="3">
        <v>2011</v>
      </c>
      <c r="D2" s="3" t="s">
        <v>158</v>
      </c>
    </row>
    <row r="3" spans="1:4">
      <c r="A3" s="3" t="s">
        <v>118</v>
      </c>
      <c r="B3" s="3" t="s">
        <v>18</v>
      </c>
      <c r="C3" s="3">
        <f>1+C2</f>
        <v>2012</v>
      </c>
      <c r="D3" s="3" t="s">
        <v>159</v>
      </c>
    </row>
    <row r="4" spans="1:4">
      <c r="A4" s="3" t="s">
        <v>119</v>
      </c>
      <c r="B4" s="3" t="s">
        <v>19</v>
      </c>
      <c r="C4" s="3">
        <f t="shared" ref="C4:C21" si="0">1+C3</f>
        <v>2013</v>
      </c>
      <c r="D4" s="3" t="s">
        <v>160</v>
      </c>
    </row>
    <row r="5" spans="1:4">
      <c r="A5" s="3" t="s">
        <v>120</v>
      </c>
      <c r="B5" s="3" t="s">
        <v>20</v>
      </c>
      <c r="C5" s="3">
        <f t="shared" si="0"/>
        <v>2014</v>
      </c>
      <c r="D5" s="3" t="s">
        <v>161</v>
      </c>
    </row>
    <row r="6" spans="1:4">
      <c r="A6" s="3" t="s">
        <v>121</v>
      </c>
      <c r="B6" s="3" t="s">
        <v>21</v>
      </c>
      <c r="C6" s="3">
        <f t="shared" si="0"/>
        <v>2015</v>
      </c>
      <c r="D6" s="3" t="s">
        <v>162</v>
      </c>
    </row>
    <row r="7" spans="1:4">
      <c r="A7" s="3" t="s">
        <v>122</v>
      </c>
      <c r="B7" s="3" t="s">
        <v>22</v>
      </c>
      <c r="C7" s="3">
        <f t="shared" si="0"/>
        <v>2016</v>
      </c>
      <c r="D7" s="3" t="s">
        <v>163</v>
      </c>
    </row>
    <row r="8" spans="1:4">
      <c r="A8" s="3" t="s">
        <v>123</v>
      </c>
      <c r="B8" s="3" t="s">
        <v>23</v>
      </c>
      <c r="C8" s="3">
        <f t="shared" si="0"/>
        <v>2017</v>
      </c>
    </row>
    <row r="9" spans="1:4">
      <c r="A9" s="3" t="s">
        <v>124</v>
      </c>
      <c r="B9" s="3" t="s">
        <v>24</v>
      </c>
      <c r="C9" s="3">
        <f t="shared" si="0"/>
        <v>2018</v>
      </c>
    </row>
    <row r="10" spans="1:4">
      <c r="A10" s="3" t="s">
        <v>125</v>
      </c>
      <c r="B10" s="3" t="s">
        <v>25</v>
      </c>
      <c r="C10" s="3">
        <f t="shared" si="0"/>
        <v>2019</v>
      </c>
    </row>
    <row r="11" spans="1:4">
      <c r="A11" s="3" t="s">
        <v>126</v>
      </c>
      <c r="B11" s="3" t="s">
        <v>26</v>
      </c>
      <c r="C11" s="3">
        <f t="shared" si="0"/>
        <v>2020</v>
      </c>
    </row>
    <row r="12" spans="1:4">
      <c r="A12" s="3" t="s">
        <v>127</v>
      </c>
      <c r="B12" s="3" t="s">
        <v>27</v>
      </c>
      <c r="C12" s="3">
        <f t="shared" si="0"/>
        <v>2021</v>
      </c>
    </row>
    <row r="13" spans="1:4">
      <c r="A13" s="3" t="s">
        <v>128</v>
      </c>
      <c r="B13" s="3" t="s">
        <v>28</v>
      </c>
      <c r="C13" s="3">
        <f t="shared" si="0"/>
        <v>2022</v>
      </c>
    </row>
    <row r="14" spans="1:4">
      <c r="B14" s="3" t="s">
        <v>29</v>
      </c>
      <c r="C14" s="3">
        <f t="shared" si="0"/>
        <v>2023</v>
      </c>
    </row>
    <row r="15" spans="1:4">
      <c r="B15" s="3" t="s">
        <v>30</v>
      </c>
      <c r="C15" s="3">
        <f t="shared" si="0"/>
        <v>2024</v>
      </c>
    </row>
    <row r="16" spans="1:4">
      <c r="B16" s="3" t="s">
        <v>31</v>
      </c>
      <c r="C16" s="3">
        <f t="shared" si="0"/>
        <v>2025</v>
      </c>
    </row>
    <row r="17" spans="2:3">
      <c r="B17" s="3" t="s">
        <v>32</v>
      </c>
      <c r="C17" s="3">
        <f t="shared" si="0"/>
        <v>2026</v>
      </c>
    </row>
    <row r="18" spans="2:3">
      <c r="B18" s="3" t="s">
        <v>33</v>
      </c>
      <c r="C18" s="3">
        <f t="shared" si="0"/>
        <v>2027</v>
      </c>
    </row>
    <row r="19" spans="2:3">
      <c r="B19" s="3" t="s">
        <v>34</v>
      </c>
      <c r="C19" s="3">
        <f t="shared" si="0"/>
        <v>2028</v>
      </c>
    </row>
    <row r="20" spans="2:3">
      <c r="B20" s="3" t="s">
        <v>35</v>
      </c>
      <c r="C20" s="3">
        <f t="shared" si="0"/>
        <v>2029</v>
      </c>
    </row>
    <row r="21" spans="2:3">
      <c r="B21" s="3" t="s">
        <v>36</v>
      </c>
      <c r="C21" s="3">
        <f t="shared" si="0"/>
        <v>2030</v>
      </c>
    </row>
    <row r="22" spans="2:3">
      <c r="B22" s="3" t="s">
        <v>37</v>
      </c>
    </row>
    <row r="23" spans="2:3">
      <c r="B23" s="3" t="s">
        <v>38</v>
      </c>
    </row>
    <row r="24" spans="2:3">
      <c r="B24" s="3" t="s">
        <v>39</v>
      </c>
    </row>
    <row r="25" spans="2:3">
      <c r="B25" s="3" t="s">
        <v>40</v>
      </c>
    </row>
    <row r="26" spans="2:3">
      <c r="B26" s="3" t="s">
        <v>41</v>
      </c>
    </row>
    <row r="27" spans="2:3">
      <c r="B27" s="3" t="s">
        <v>42</v>
      </c>
    </row>
    <row r="28" spans="2:3">
      <c r="B28" s="3" t="s">
        <v>43</v>
      </c>
    </row>
    <row r="29" spans="2:3">
      <c r="B29" s="3" t="s">
        <v>44</v>
      </c>
    </row>
    <row r="30" spans="2:3">
      <c r="B30" s="3" t="s">
        <v>45</v>
      </c>
    </row>
    <row r="31" spans="2:3">
      <c r="B31" s="3" t="s">
        <v>46</v>
      </c>
    </row>
    <row r="32" spans="2:3">
      <c r="B32" s="3" t="s">
        <v>47</v>
      </c>
    </row>
    <row r="33" spans="2:2">
      <c r="B33" s="3" t="s">
        <v>48</v>
      </c>
    </row>
    <row r="34" spans="2:2">
      <c r="B34" s="3" t="s">
        <v>49</v>
      </c>
    </row>
    <row r="35" spans="2:2">
      <c r="B35" s="3" t="s">
        <v>50</v>
      </c>
    </row>
    <row r="36" spans="2:2">
      <c r="B36" s="3" t="s">
        <v>51</v>
      </c>
    </row>
    <row r="37" spans="2:2">
      <c r="B37" s="3" t="s">
        <v>52</v>
      </c>
    </row>
    <row r="38" spans="2:2">
      <c r="B38" s="3" t="s">
        <v>53</v>
      </c>
    </row>
    <row r="39" spans="2:2">
      <c r="B39" s="3" t="s">
        <v>54</v>
      </c>
    </row>
    <row r="40" spans="2:2">
      <c r="B40" s="3" t="s">
        <v>55</v>
      </c>
    </row>
    <row r="41" spans="2:2">
      <c r="B41" s="3" t="s">
        <v>56</v>
      </c>
    </row>
    <row r="42" spans="2:2">
      <c r="B42" s="3" t="s">
        <v>57</v>
      </c>
    </row>
    <row r="43" spans="2:2">
      <c r="B43" s="3" t="s">
        <v>58</v>
      </c>
    </row>
    <row r="44" spans="2:2">
      <c r="B44" s="3" t="s">
        <v>59</v>
      </c>
    </row>
    <row r="45" spans="2:2">
      <c r="B45" s="3" t="s">
        <v>60</v>
      </c>
    </row>
    <row r="46" spans="2:2">
      <c r="B46" s="3" t="s">
        <v>61</v>
      </c>
    </row>
    <row r="47" spans="2:2">
      <c r="B47" s="3" t="s">
        <v>62</v>
      </c>
    </row>
    <row r="48" spans="2:2">
      <c r="B48" s="3" t="s">
        <v>63</v>
      </c>
    </row>
    <row r="49" spans="2:2">
      <c r="B49" s="3" t="s">
        <v>64</v>
      </c>
    </row>
    <row r="50" spans="2:2">
      <c r="B50" s="3" t="s">
        <v>65</v>
      </c>
    </row>
    <row r="51" spans="2:2">
      <c r="B51" s="3" t="s">
        <v>66</v>
      </c>
    </row>
    <row r="52" spans="2:2">
      <c r="B52" s="3" t="s">
        <v>67</v>
      </c>
    </row>
    <row r="53" spans="2:2">
      <c r="B53" s="3" t="s">
        <v>68</v>
      </c>
    </row>
    <row r="54" spans="2:2">
      <c r="B54" s="3" t="s">
        <v>69</v>
      </c>
    </row>
    <row r="55" spans="2:2">
      <c r="B55" s="3" t="s">
        <v>70</v>
      </c>
    </row>
    <row r="56" spans="2:2">
      <c r="B56" s="3" t="s">
        <v>71</v>
      </c>
    </row>
    <row r="57" spans="2:2">
      <c r="B57" s="3" t="s">
        <v>72</v>
      </c>
    </row>
    <row r="58" spans="2:2">
      <c r="B58" s="3" t="s">
        <v>73</v>
      </c>
    </row>
    <row r="59" spans="2:2">
      <c r="B59" s="3" t="s">
        <v>74</v>
      </c>
    </row>
    <row r="60" spans="2:2">
      <c r="B60" s="3" t="s">
        <v>75</v>
      </c>
    </row>
    <row r="61" spans="2:2">
      <c r="B61" s="3" t="s">
        <v>76</v>
      </c>
    </row>
    <row r="62" spans="2:2">
      <c r="B62" s="3" t="s">
        <v>77</v>
      </c>
    </row>
    <row r="63" spans="2:2">
      <c r="B63" s="3" t="s">
        <v>78</v>
      </c>
    </row>
    <row r="64" spans="2:2">
      <c r="B64" s="3" t="s">
        <v>79</v>
      </c>
    </row>
    <row r="65" spans="2:2">
      <c r="B65" s="3" t="s">
        <v>80</v>
      </c>
    </row>
    <row r="66" spans="2:2">
      <c r="B66" s="3" t="s">
        <v>81</v>
      </c>
    </row>
    <row r="67" spans="2:2">
      <c r="B67" s="3" t="s">
        <v>82</v>
      </c>
    </row>
    <row r="68" spans="2:2">
      <c r="B68" s="3" t="s">
        <v>83</v>
      </c>
    </row>
    <row r="69" spans="2:2">
      <c r="B69" s="3" t="s">
        <v>84</v>
      </c>
    </row>
    <row r="70" spans="2:2">
      <c r="B70" s="3" t="s">
        <v>85</v>
      </c>
    </row>
    <row r="71" spans="2:2">
      <c r="B71" s="3" t="s">
        <v>86</v>
      </c>
    </row>
    <row r="72" spans="2:2">
      <c r="B72" s="3" t="s">
        <v>87</v>
      </c>
    </row>
    <row r="73" spans="2:2">
      <c r="B73" s="3" t="s">
        <v>88</v>
      </c>
    </row>
    <row r="74" spans="2:2">
      <c r="B74" s="3" t="s">
        <v>89</v>
      </c>
    </row>
    <row r="75" spans="2:2">
      <c r="B75" s="3" t="s">
        <v>90</v>
      </c>
    </row>
    <row r="76" spans="2:2">
      <c r="B76" s="3" t="s">
        <v>91</v>
      </c>
    </row>
    <row r="77" spans="2:2">
      <c r="B77" s="3" t="s">
        <v>92</v>
      </c>
    </row>
    <row r="78" spans="2:2">
      <c r="B78" s="3" t="s">
        <v>93</v>
      </c>
    </row>
    <row r="79" spans="2:2">
      <c r="B79" s="3" t="s">
        <v>94</v>
      </c>
    </row>
    <row r="80" spans="2:2">
      <c r="B80" s="3" t="s">
        <v>95</v>
      </c>
    </row>
    <row r="81" spans="2:2">
      <c r="B81" s="3" t="s">
        <v>96</v>
      </c>
    </row>
    <row r="82" spans="2:2">
      <c r="B82" s="3" t="s">
        <v>97</v>
      </c>
    </row>
    <row r="83" spans="2:2">
      <c r="B83" s="3" t="s">
        <v>98</v>
      </c>
    </row>
    <row r="84" spans="2:2">
      <c r="B84" s="3" t="s">
        <v>99</v>
      </c>
    </row>
    <row r="85" spans="2:2">
      <c r="B85" s="3" t="s">
        <v>100</v>
      </c>
    </row>
    <row r="86" spans="2:2">
      <c r="B86" s="3" t="s">
        <v>101</v>
      </c>
    </row>
    <row r="87" spans="2:2">
      <c r="B87" s="3" t="s">
        <v>102</v>
      </c>
    </row>
    <row r="88" spans="2:2">
      <c r="B88" s="3" t="s">
        <v>103</v>
      </c>
    </row>
    <row r="89" spans="2:2">
      <c r="B89" s="3" t="s">
        <v>104</v>
      </c>
    </row>
    <row r="90" spans="2:2">
      <c r="B90" s="3" t="s">
        <v>105</v>
      </c>
    </row>
    <row r="91" spans="2:2">
      <c r="B91" s="3" t="s">
        <v>106</v>
      </c>
    </row>
    <row r="92" spans="2:2">
      <c r="B92" s="3" t="s">
        <v>107</v>
      </c>
    </row>
    <row r="93" spans="2:2">
      <c r="B93" s="3" t="s">
        <v>108</v>
      </c>
    </row>
    <row r="94" spans="2:2">
      <c r="B94" s="3" t="s">
        <v>109</v>
      </c>
    </row>
    <row r="95" spans="2:2">
      <c r="B95" s="3" t="s">
        <v>110</v>
      </c>
    </row>
    <row r="96" spans="2:2">
      <c r="B96" s="3" t="s">
        <v>111</v>
      </c>
    </row>
    <row r="97" spans="2:2">
      <c r="B97" s="3" t="s">
        <v>112</v>
      </c>
    </row>
    <row r="98" spans="2:2">
      <c r="B98" s="3" t="s">
        <v>113</v>
      </c>
    </row>
    <row r="99" spans="2:2">
      <c r="B99" s="3" t="s">
        <v>114</v>
      </c>
    </row>
    <row r="100" spans="2:2">
      <c r="B100" s="3" t="s">
        <v>115</v>
      </c>
    </row>
    <row r="101" spans="2:2">
      <c r="B101" s="3"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Enter Data Here</vt:lpstr>
      <vt:lpstr>Page 1</vt:lpstr>
      <vt:lpstr>Page 2</vt:lpstr>
      <vt:lpstr>Page 3</vt:lpstr>
      <vt:lpstr>Page 4</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'Page 4'!Print_Area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2013-10-14T16:23:07Z</cp:lastPrinted>
  <dcterms:created xsi:type="dcterms:W3CDTF">2003-04-30T19:20:22Z</dcterms:created>
  <dcterms:modified xsi:type="dcterms:W3CDTF">2014-01-23T15:31:03Z</dcterms:modified>
</cp:coreProperties>
</file>