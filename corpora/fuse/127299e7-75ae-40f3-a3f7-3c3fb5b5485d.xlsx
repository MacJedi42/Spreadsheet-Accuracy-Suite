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7100" windowHeight="9855"/>
  </bookViews>
  <sheets>
    <sheet name="FV" sheetId="1" r:id="rId1"/>
    <sheet name="PV" sheetId="5" r:id="rId2"/>
    <sheet name="PMT" sheetId="7" r:id="rId3"/>
    <sheet name="NPV1" sheetId="10" r:id="rId4"/>
    <sheet name="NPV2" sheetId="11" r:id="rId5"/>
    <sheet name="IRR1" sheetId="12" r:id="rId6"/>
  </sheets>
  <calcPr calcId="145621"/>
</workbook>
</file>

<file path=xl/calcChain.xml><?xml version="1.0" encoding="utf-8"?>
<calcChain xmlns="http://schemas.openxmlformats.org/spreadsheetml/2006/main">
  <c r="G8" i="12" l="1"/>
  <c r="F8" i="12"/>
  <c r="E8" i="12"/>
  <c r="D8" i="12"/>
  <c r="B9" i="12" s="1"/>
  <c r="C8" i="12"/>
  <c r="C8" i="11"/>
  <c r="B8" i="11"/>
  <c r="B9" i="11" s="1"/>
  <c r="F8" i="11"/>
  <c r="E8" i="11"/>
  <c r="D8" i="11"/>
  <c r="B9" i="10"/>
  <c r="G8" i="10"/>
  <c r="F8" i="10"/>
  <c r="E8" i="10"/>
  <c r="D8" i="10"/>
  <c r="C8" i="10"/>
  <c r="C4" i="5" l="1"/>
  <c r="C4" i="1"/>
  <c r="C5" i="7"/>
  <c r="C8" i="7" s="1"/>
  <c r="B8" i="7"/>
  <c r="D8" i="5"/>
  <c r="B8" i="5"/>
  <c r="C5" i="5"/>
  <c r="C8" i="5" s="1"/>
  <c r="B8" i="1"/>
  <c r="D8" i="1"/>
  <c r="C5" i="1"/>
  <c r="C8" i="1" s="1"/>
</calcChain>
</file>

<file path=xl/sharedStrings.xml><?xml version="1.0" encoding="utf-8"?>
<sst xmlns="http://schemas.openxmlformats.org/spreadsheetml/2006/main" count="46" uniqueCount="23">
  <si>
    <t>rate:</t>
  </si>
  <si>
    <t>FV function: FV(rate, nper, pmt, pv, type)</t>
  </si>
  <si>
    <t>nper:</t>
  </si>
  <si>
    <t>pmt:</t>
  </si>
  <si>
    <t>Future value:</t>
  </si>
  <si>
    <t>pv:</t>
  </si>
  <si>
    <t>(a)</t>
  </si>
  <si>
    <t>(b)</t>
  </si>
  <si>
    <t>(c )</t>
  </si>
  <si>
    <t>fv:</t>
  </si>
  <si>
    <t>Present value:</t>
  </si>
  <si>
    <t>PV function: PV(rate, nper, pmt, fv, type)</t>
  </si>
  <si>
    <t>Payment:</t>
  </si>
  <si>
    <t>PMT function: PMT(rate, nper, pv, fv, type)</t>
  </si>
  <si>
    <t>Period</t>
  </si>
  <si>
    <t>Net Present Value</t>
  </si>
  <si>
    <t>Cost</t>
  </si>
  <si>
    <t>Benefit</t>
  </si>
  <si>
    <t xml:space="preserve">Interest rate: </t>
  </si>
  <si>
    <t>NPV function: NPV(rate, value1, value2, ….)</t>
  </si>
  <si>
    <t>Total Cash Flow</t>
  </si>
  <si>
    <t>IRR</t>
  </si>
  <si>
    <t>IRR function: IRR(values, guess)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</si>
</sst>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9" fontId="1" fillId="0" borderId="0" xfId="0" applyNumberFormat="1" applyFont="1" applyBorder="1"/>
    <xf numFmtId="8" fontId="1" fillId="0" borderId="0" xfId="0" applyNumberFormat="1" applyFont="1" applyBorder="1"/>
    <xf numFmtId="6" fontId="1" fillId="0" borderId="0" xfId="0" applyNumberFormat="1" applyFont="1" applyBorder="1"/>
    <xf numFmtId="8" fontId="1" fillId="0" borderId="1" xfId="0" applyNumberFormat="1" applyFont="1" applyBorder="1"/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6" fontId="1" fillId="0" borderId="3" xfId="0" applyNumberFormat="1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68036</xdr:colOff>
      <xdr:row>14</xdr:row>
      <xdr:rowOff>179367</xdr:rowOff>
    </xdr:from>
    <xdr:ext cx="184731" cy="264560"/>
    <xdr:sp macro="" textlink="">
      <xdr:nvSpPr>
        <xdr:cNvPr id="2" name="TextBox 1"/>
        <xdr:cNvSpPr txBox="1"/>
      </xdr:nvSpPr>
      <xdr:spPr>
        <a:xfrm>
          <a:off x="68036" y="22884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1032905</xdr:colOff>
      <xdr:row>0</xdr:row>
      <xdr:rowOff>43296</xdr:rowOff>
    </xdr:from>
    <xdr:to>
      <xdr:col>3</xdr:col>
      <xdr:colOff>1088571</xdr:colOff>
      <xdr:row>1</xdr:row>
      <xdr:rowOff>160813</xdr:rowOff>
    </xdr:to>
    <xdr:sp macro="" textlink="">
      <xdr:nvSpPr>
        <xdr:cNvPr id="3" name="TextBox 2"/>
        <xdr:cNvSpPr txBox="1"/>
      </xdr:nvSpPr>
      <xdr:spPr>
        <a:xfrm>
          <a:off x="2764723" y="43296"/>
          <a:ext cx="1094757" cy="309254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FV function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68036</xdr:colOff>
      <xdr:row>14</xdr:row>
      <xdr:rowOff>179367</xdr:rowOff>
    </xdr:from>
    <xdr:ext cx="184731" cy="264560"/>
    <xdr:sp macro="" textlink="">
      <xdr:nvSpPr>
        <xdr:cNvPr id="2" name="TextBox 1"/>
        <xdr:cNvSpPr txBox="1"/>
      </xdr:nvSpPr>
      <xdr:spPr>
        <a:xfrm>
          <a:off x="68036" y="2846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80406</xdr:colOff>
      <xdr:row>0</xdr:row>
      <xdr:rowOff>43297</xdr:rowOff>
    </xdr:from>
    <xdr:to>
      <xdr:col>3</xdr:col>
      <xdr:colOff>946316</xdr:colOff>
      <xdr:row>1</xdr:row>
      <xdr:rowOff>160814</xdr:rowOff>
    </xdr:to>
    <xdr:sp macro="" textlink="">
      <xdr:nvSpPr>
        <xdr:cNvPr id="3" name="TextBox 2"/>
        <xdr:cNvSpPr txBox="1"/>
      </xdr:nvSpPr>
      <xdr:spPr>
        <a:xfrm>
          <a:off x="2851315" y="43297"/>
          <a:ext cx="865910" cy="309254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PV function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68036</xdr:colOff>
      <xdr:row>14</xdr:row>
      <xdr:rowOff>179367</xdr:rowOff>
    </xdr:from>
    <xdr:ext cx="184731" cy="264560"/>
    <xdr:sp macro="" textlink="">
      <xdr:nvSpPr>
        <xdr:cNvPr id="2" name="TextBox 1"/>
        <xdr:cNvSpPr txBox="1"/>
      </xdr:nvSpPr>
      <xdr:spPr>
        <a:xfrm>
          <a:off x="68036" y="2846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816428</xdr:colOff>
      <xdr:row>0</xdr:row>
      <xdr:rowOff>37112</xdr:rowOff>
    </xdr:from>
    <xdr:to>
      <xdr:col>3</xdr:col>
      <xdr:colOff>575210</xdr:colOff>
      <xdr:row>1</xdr:row>
      <xdr:rowOff>129887</xdr:rowOff>
    </xdr:to>
    <xdr:sp macro="" textlink="">
      <xdr:nvSpPr>
        <xdr:cNvPr id="3" name="TextBox 2"/>
        <xdr:cNvSpPr txBox="1"/>
      </xdr:nvSpPr>
      <xdr:spPr>
        <a:xfrm>
          <a:off x="2832759" y="37112"/>
          <a:ext cx="971055" cy="284512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PMT function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68036</xdr:colOff>
      <xdr:row>8</xdr:row>
      <xdr:rowOff>179367</xdr:rowOff>
    </xdr:from>
    <xdr:ext cx="184731" cy="264560"/>
    <xdr:sp macro="" textlink="">
      <xdr:nvSpPr>
        <xdr:cNvPr id="2" name="TextBox 1"/>
        <xdr:cNvSpPr txBox="1"/>
      </xdr:nvSpPr>
      <xdr:spPr>
        <a:xfrm>
          <a:off x="68036" y="3227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864</xdr:colOff>
      <xdr:row>0</xdr:row>
      <xdr:rowOff>185553</xdr:rowOff>
    </xdr:from>
    <xdr:to>
      <xdr:col>6</xdr:col>
      <xdr:colOff>111331</xdr:colOff>
      <xdr:row>2</xdr:row>
      <xdr:rowOff>80406</xdr:rowOff>
    </xdr:to>
    <xdr:sp macro="" textlink="">
      <xdr:nvSpPr>
        <xdr:cNvPr id="3" name="TextBox 2"/>
        <xdr:cNvSpPr txBox="1"/>
      </xdr:nvSpPr>
      <xdr:spPr>
        <a:xfrm>
          <a:off x="3415020" y="185553"/>
          <a:ext cx="1087707" cy="278327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NPV function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68036</xdr:colOff>
      <xdr:row>8</xdr:row>
      <xdr:rowOff>179367</xdr:rowOff>
    </xdr:from>
    <xdr:ext cx="184731" cy="264560"/>
    <xdr:sp macro="" textlink="">
      <xdr:nvSpPr>
        <xdr:cNvPr id="2" name="TextBox 1"/>
        <xdr:cNvSpPr txBox="1"/>
      </xdr:nvSpPr>
      <xdr:spPr>
        <a:xfrm>
          <a:off x="68036" y="1703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204971</xdr:colOff>
      <xdr:row>1</xdr:row>
      <xdr:rowOff>1</xdr:rowOff>
    </xdr:from>
    <xdr:to>
      <xdr:col>5</xdr:col>
      <xdr:colOff>333993</xdr:colOff>
      <xdr:row>2</xdr:row>
      <xdr:rowOff>86591</xdr:rowOff>
    </xdr:to>
    <xdr:sp macro="" textlink="">
      <xdr:nvSpPr>
        <xdr:cNvPr id="3" name="TextBox 2"/>
        <xdr:cNvSpPr txBox="1"/>
      </xdr:nvSpPr>
      <xdr:spPr>
        <a:xfrm>
          <a:off x="3130507" y="191738"/>
          <a:ext cx="1106262" cy="278327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NPV function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68036</xdr:colOff>
      <xdr:row>8</xdr:row>
      <xdr:rowOff>179367</xdr:rowOff>
    </xdr:from>
    <xdr:ext cx="184731" cy="264560"/>
    <xdr:sp macro="" textlink="">
      <xdr:nvSpPr>
        <xdr:cNvPr id="2" name="TextBox 1"/>
        <xdr:cNvSpPr txBox="1"/>
      </xdr:nvSpPr>
      <xdr:spPr>
        <a:xfrm>
          <a:off x="68036" y="1703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864</xdr:colOff>
      <xdr:row>0</xdr:row>
      <xdr:rowOff>185553</xdr:rowOff>
    </xdr:from>
    <xdr:to>
      <xdr:col>6</xdr:col>
      <xdr:colOff>111331</xdr:colOff>
      <xdr:row>2</xdr:row>
      <xdr:rowOff>80406</xdr:rowOff>
    </xdr:to>
    <xdr:sp macro="" textlink="">
      <xdr:nvSpPr>
        <xdr:cNvPr id="3" name="TextBox 2"/>
        <xdr:cNvSpPr txBox="1"/>
      </xdr:nvSpPr>
      <xdr:spPr>
        <a:xfrm>
          <a:off x="3410814" y="185553"/>
          <a:ext cx="1082017" cy="27585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IRR function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154" zoomScaleNormal="154" workbookViewId="0">
      <selection activeCell="B8" sqref="B8"/>
    </sheetView>
  </sheetViews>
  <sheetFormatPr defaultRowHeight="15" x14ac:dyDescent="0.25"/>
  <cols>
    <col min="1" max="1" width="13.5703125" style="1" customWidth="1"/>
    <col min="2" max="2" width="12.42578125" style="1" customWidth="1"/>
    <col min="3" max="3" width="15.5703125" style="1" customWidth="1"/>
    <col min="4" max="4" width="16.42578125" style="1" customWidth="1"/>
    <col min="5" max="16384" width="9.140625" style="1"/>
  </cols>
  <sheetData>
    <row r="1" spans="1:4" x14ac:dyDescent="0.25">
      <c r="A1" s="2" t="s">
        <v>1</v>
      </c>
    </row>
    <row r="3" spans="1:4" x14ac:dyDescent="0.25">
      <c r="A3" s="10"/>
      <c r="B3" s="5" t="s">
        <v>6</v>
      </c>
      <c r="C3" s="5" t="s">
        <v>7</v>
      </c>
      <c r="D3" s="11" t="s">
        <v>8</v>
      </c>
    </row>
    <row r="4" spans="1:4" x14ac:dyDescent="0.25">
      <c r="A4" s="3" t="s">
        <v>0</v>
      </c>
      <c r="B4" s="6">
        <v>0.05</v>
      </c>
      <c r="C4" s="12">
        <f>5.5%</f>
        <v>5.5E-2</v>
      </c>
      <c r="D4" s="6">
        <v>0.06</v>
      </c>
    </row>
    <row r="5" spans="1:4" x14ac:dyDescent="0.25">
      <c r="A5" s="3" t="s">
        <v>2</v>
      </c>
      <c r="B5" s="3">
        <v>7</v>
      </c>
      <c r="C5" s="3">
        <f>12*30</f>
        <v>360</v>
      </c>
      <c r="D5" s="3">
        <v>10</v>
      </c>
    </row>
    <row r="6" spans="1:4" x14ac:dyDescent="0.25">
      <c r="A6" s="3" t="s">
        <v>3</v>
      </c>
      <c r="B6" s="3">
        <v>0</v>
      </c>
      <c r="C6" s="7">
        <v>-1500</v>
      </c>
      <c r="D6" s="8">
        <v>-1500</v>
      </c>
    </row>
    <row r="7" spans="1:4" x14ac:dyDescent="0.25">
      <c r="A7" s="3" t="s">
        <v>5</v>
      </c>
      <c r="B7" s="8">
        <v>-1000</v>
      </c>
      <c r="C7" s="3">
        <v>0</v>
      </c>
      <c r="D7" s="8">
        <v>-20000</v>
      </c>
    </row>
    <row r="8" spans="1:4" x14ac:dyDescent="0.25">
      <c r="A8" s="4" t="s">
        <v>4</v>
      </c>
      <c r="B8" s="9">
        <f>+FV(B4, B5, B6, B7)</f>
        <v>1407.1004226562502</v>
      </c>
      <c r="C8" s="9">
        <f>+(FV(C4/12, C5, C6))</f>
        <v>1370417.8387661718</v>
      </c>
      <c r="D8" s="9">
        <f>+FV(D4, D5, D6, D7)</f>
        <v>55588.146344428453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="154" zoomScaleNormal="154" workbookViewId="0"/>
  </sheetViews>
  <sheetFormatPr defaultRowHeight="15" x14ac:dyDescent="0.25"/>
  <cols>
    <col min="1" max="1" width="13.5703125" style="1" customWidth="1"/>
    <col min="2" max="2" width="12.42578125" style="1" customWidth="1"/>
    <col min="3" max="3" width="15.5703125" style="1" customWidth="1"/>
    <col min="4" max="4" width="16.42578125" style="1" customWidth="1"/>
    <col min="5" max="16384" width="9.140625" style="1"/>
  </cols>
  <sheetData>
    <row r="1" spans="1:4" x14ac:dyDescent="0.25">
      <c r="A1" s="2" t="s">
        <v>11</v>
      </c>
    </row>
    <row r="3" spans="1:4" x14ac:dyDescent="0.25">
      <c r="A3" s="10"/>
      <c r="B3" s="5" t="s">
        <v>6</v>
      </c>
      <c r="C3" s="5" t="s">
        <v>7</v>
      </c>
      <c r="D3" s="11" t="s">
        <v>8</v>
      </c>
    </row>
    <row r="4" spans="1:4" x14ac:dyDescent="0.25">
      <c r="A4" s="3" t="s">
        <v>0</v>
      </c>
      <c r="B4" s="6">
        <v>0.1</v>
      </c>
      <c r="C4" s="12">
        <f>2.5%</f>
        <v>2.5000000000000001E-2</v>
      </c>
      <c r="D4" s="6">
        <v>0.1</v>
      </c>
    </row>
    <row r="5" spans="1:4" x14ac:dyDescent="0.25">
      <c r="A5" s="3" t="s">
        <v>2</v>
      </c>
      <c r="B5" s="3">
        <v>8</v>
      </c>
      <c r="C5" s="3">
        <f>12*6</f>
        <v>72</v>
      </c>
      <c r="D5" s="3">
        <v>10</v>
      </c>
    </row>
    <row r="6" spans="1:4" x14ac:dyDescent="0.25">
      <c r="A6" s="3" t="s">
        <v>3</v>
      </c>
      <c r="B6" s="3">
        <v>0</v>
      </c>
      <c r="C6" s="7">
        <v>-430</v>
      </c>
      <c r="D6" s="8">
        <v>-8000</v>
      </c>
    </row>
    <row r="7" spans="1:4" x14ac:dyDescent="0.25">
      <c r="A7" s="3" t="s">
        <v>9</v>
      </c>
      <c r="B7" s="8">
        <v>-30000</v>
      </c>
      <c r="C7" s="3">
        <v>0</v>
      </c>
      <c r="D7" s="8">
        <v>-25000</v>
      </c>
    </row>
    <row r="8" spans="1:4" x14ac:dyDescent="0.25">
      <c r="A8" s="4" t="s">
        <v>10</v>
      </c>
      <c r="B8" s="9">
        <f>+PV(B4, B5, B6, B7)</f>
        <v>13995.221406291996</v>
      </c>
      <c r="C8" s="9">
        <f>+(PV(C4/12, C5, C6))</f>
        <v>28722.152163353796</v>
      </c>
      <c r="D8" s="9">
        <f>+PV(D4, D5, D6, D7)</f>
        <v>58795.119081375764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154" zoomScaleNormal="154" workbookViewId="0">
      <selection activeCell="A12" sqref="A12"/>
    </sheetView>
  </sheetViews>
  <sheetFormatPr defaultRowHeight="15" x14ac:dyDescent="0.25"/>
  <cols>
    <col min="1" max="1" width="13.5703125" style="1" customWidth="1"/>
    <col min="2" max="2" width="16.7109375" style="1" customWidth="1"/>
    <col min="3" max="3" width="18.140625" style="1" customWidth="1"/>
    <col min="4" max="16384" width="9.140625" style="1"/>
  </cols>
  <sheetData>
    <row r="1" spans="1:3" x14ac:dyDescent="0.25">
      <c r="A1" s="2" t="s">
        <v>13</v>
      </c>
    </row>
    <row r="3" spans="1:3" x14ac:dyDescent="0.25">
      <c r="A3" s="10"/>
      <c r="B3" s="5" t="s">
        <v>6</v>
      </c>
      <c r="C3" s="5" t="s">
        <v>7</v>
      </c>
    </row>
    <row r="4" spans="1:3" x14ac:dyDescent="0.25">
      <c r="A4" s="3" t="s">
        <v>0</v>
      </c>
      <c r="B4" s="12">
        <v>7.4999999999999997E-2</v>
      </c>
      <c r="C4" s="6">
        <v>0.06</v>
      </c>
    </row>
    <row r="5" spans="1:3" x14ac:dyDescent="0.25">
      <c r="A5" s="3" t="s">
        <v>2</v>
      </c>
      <c r="B5" s="3">
        <v>36</v>
      </c>
      <c r="C5" s="3">
        <f>10*12</f>
        <v>120</v>
      </c>
    </row>
    <row r="6" spans="1:3" x14ac:dyDescent="0.25">
      <c r="A6" s="3" t="s">
        <v>5</v>
      </c>
      <c r="B6" s="7">
        <v>-10000</v>
      </c>
      <c r="C6" s="3">
        <v>0</v>
      </c>
    </row>
    <row r="7" spans="1:3" x14ac:dyDescent="0.25">
      <c r="A7" s="3" t="s">
        <v>9</v>
      </c>
      <c r="B7" s="3">
        <v>0</v>
      </c>
      <c r="C7" s="7">
        <v>-120000</v>
      </c>
    </row>
    <row r="8" spans="1:3" x14ac:dyDescent="0.25">
      <c r="A8" s="4" t="s">
        <v>12</v>
      </c>
      <c r="B8" s="9">
        <f>+PMT(B4/12, B5, B6, B7)</f>
        <v>311.06218160656431</v>
      </c>
      <c r="C8" s="9">
        <f>+(PMT(C4/12, C5, 0,C7))</f>
        <v>732.24602329979336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154" zoomScaleNormal="154" workbookViewId="0">
      <selection activeCell="B9" sqref="B9"/>
    </sheetView>
  </sheetViews>
  <sheetFormatPr defaultRowHeight="15" x14ac:dyDescent="0.25"/>
  <cols>
    <col min="1" max="2" width="17.42578125" style="1" customWidth="1"/>
    <col min="3" max="3" width="9" style="1" bestFit="1" customWidth="1"/>
    <col min="4" max="6" width="7.28515625" style="1" bestFit="1" customWidth="1"/>
    <col min="7" max="7" width="9.28515625" style="1" bestFit="1" customWidth="1"/>
    <col min="8" max="16384" width="9.140625" style="1"/>
  </cols>
  <sheetData>
    <row r="1" spans="1:7" x14ac:dyDescent="0.25">
      <c r="A1" s="2" t="s">
        <v>19</v>
      </c>
      <c r="B1" s="2"/>
    </row>
    <row r="2" spans="1:7" x14ac:dyDescent="0.25">
      <c r="A2" s="2"/>
      <c r="B2" s="2"/>
    </row>
    <row r="4" spans="1:7" x14ac:dyDescent="0.25">
      <c r="A4" s="1" t="s">
        <v>18</v>
      </c>
      <c r="B4" s="12">
        <v>0.06</v>
      </c>
    </row>
    <row r="5" spans="1:7" x14ac:dyDescent="0.25">
      <c r="A5" s="10" t="s">
        <v>14</v>
      </c>
      <c r="B5" s="10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</row>
    <row r="6" spans="1:7" x14ac:dyDescent="0.25">
      <c r="A6" s="16" t="s">
        <v>16</v>
      </c>
      <c r="B6" s="14"/>
      <c r="C6" s="15">
        <v>95000</v>
      </c>
      <c r="D6" s="15"/>
      <c r="E6" s="15"/>
      <c r="F6" s="15"/>
      <c r="G6" s="15"/>
    </row>
    <row r="7" spans="1:7" x14ac:dyDescent="0.25">
      <c r="A7" s="17" t="s">
        <v>17</v>
      </c>
      <c r="B7" s="13"/>
      <c r="C7" s="8"/>
      <c r="D7" s="8">
        <v>8000</v>
      </c>
      <c r="E7" s="8">
        <v>8000</v>
      </c>
      <c r="F7" s="8">
        <v>8000</v>
      </c>
      <c r="G7" s="8">
        <v>108000</v>
      </c>
    </row>
    <row r="8" spans="1:7" x14ac:dyDescent="0.25">
      <c r="A8" s="17" t="s">
        <v>20</v>
      </c>
      <c r="B8" s="13"/>
      <c r="C8" s="8">
        <f>-C6</f>
        <v>-95000</v>
      </c>
      <c r="D8" s="8">
        <f>+D7</f>
        <v>8000</v>
      </c>
      <c r="E8" s="8">
        <f>+E7</f>
        <v>8000</v>
      </c>
      <c r="F8" s="8">
        <f>+F7</f>
        <v>8000</v>
      </c>
      <c r="G8" s="8">
        <f>+G7</f>
        <v>108000</v>
      </c>
    </row>
    <row r="9" spans="1:7" x14ac:dyDescent="0.25">
      <c r="A9" s="18" t="s">
        <v>15</v>
      </c>
      <c r="B9" s="9">
        <f>NPV(B4,C8:G8)</f>
        <v>11254.91625037668</v>
      </c>
      <c r="C9" s="4"/>
      <c r="D9" s="4"/>
      <c r="E9" s="4"/>
      <c r="F9" s="4"/>
      <c r="G9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154" zoomScaleNormal="154" workbookViewId="0">
      <selection activeCell="B9" sqref="B9"/>
    </sheetView>
  </sheetViews>
  <sheetFormatPr defaultRowHeight="15" x14ac:dyDescent="0.25"/>
  <cols>
    <col min="1" max="2" width="17.42578125" style="1" customWidth="1"/>
    <col min="3" max="3" width="9" style="1" bestFit="1" customWidth="1"/>
    <col min="4" max="5" width="7.28515625" style="1" bestFit="1" customWidth="1"/>
    <col min="6" max="6" width="9.28515625" style="1" bestFit="1" customWidth="1"/>
    <col min="7" max="16384" width="9.140625" style="1"/>
  </cols>
  <sheetData>
    <row r="1" spans="1:6" x14ac:dyDescent="0.25">
      <c r="A1" s="2" t="s">
        <v>19</v>
      </c>
      <c r="B1" s="2"/>
    </row>
    <row r="2" spans="1:6" x14ac:dyDescent="0.25">
      <c r="A2" s="2"/>
      <c r="B2" s="2"/>
    </row>
    <row r="4" spans="1:6" x14ac:dyDescent="0.25">
      <c r="A4" s="1" t="s">
        <v>18</v>
      </c>
      <c r="B4" s="12">
        <v>0.06</v>
      </c>
    </row>
    <row r="5" spans="1:6" x14ac:dyDescent="0.25">
      <c r="A5" s="10" t="s">
        <v>14</v>
      </c>
      <c r="B5" s="10">
        <v>0</v>
      </c>
      <c r="C5" s="10">
        <v>1</v>
      </c>
      <c r="D5" s="10">
        <v>2</v>
      </c>
      <c r="E5" s="10">
        <v>3</v>
      </c>
      <c r="F5" s="10">
        <v>4</v>
      </c>
    </row>
    <row r="6" spans="1:6" x14ac:dyDescent="0.25">
      <c r="A6" s="16" t="s">
        <v>16</v>
      </c>
      <c r="B6" s="15">
        <v>95000</v>
      </c>
      <c r="D6" s="15"/>
      <c r="E6" s="15"/>
      <c r="F6" s="15"/>
    </row>
    <row r="7" spans="1:6" x14ac:dyDescent="0.25">
      <c r="A7" s="17" t="s">
        <v>17</v>
      </c>
      <c r="B7" s="13"/>
      <c r="C7" s="8">
        <v>8000</v>
      </c>
      <c r="D7" s="8">
        <v>8000</v>
      </c>
      <c r="E7" s="8">
        <v>0</v>
      </c>
      <c r="F7" s="8">
        <v>108000</v>
      </c>
    </row>
    <row r="8" spans="1:6" x14ac:dyDescent="0.25">
      <c r="A8" s="17" t="s">
        <v>20</v>
      </c>
      <c r="B8" s="8">
        <f>-B6</f>
        <v>-95000</v>
      </c>
      <c r="C8" s="8">
        <f>+C7</f>
        <v>8000</v>
      </c>
      <c r="D8" s="8">
        <f>+D7</f>
        <v>8000</v>
      </c>
      <c r="E8" s="8">
        <f>+E7</f>
        <v>0</v>
      </c>
      <c r="F8" s="8">
        <f>+F7</f>
        <v>108000</v>
      </c>
    </row>
    <row r="9" spans="1:6" x14ac:dyDescent="0.25">
      <c r="A9" s="18" t="s">
        <v>15</v>
      </c>
      <c r="B9" s="9">
        <f>NPV(B4,C8:F8)+B8</f>
        <v>5213.256961140869</v>
      </c>
      <c r="C9" s="4"/>
      <c r="D9" s="4"/>
      <c r="E9" s="4"/>
      <c r="F9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154" zoomScaleNormal="154" workbookViewId="0">
      <selection activeCell="D8" sqref="D8"/>
    </sheetView>
  </sheetViews>
  <sheetFormatPr defaultRowHeight="15" x14ac:dyDescent="0.25"/>
  <cols>
    <col min="1" max="2" width="17.42578125" style="1" customWidth="1"/>
    <col min="3" max="3" width="9" style="1" bestFit="1" customWidth="1"/>
    <col min="4" max="6" width="7.28515625" style="1" bestFit="1" customWidth="1"/>
    <col min="7" max="7" width="9.28515625" style="1" bestFit="1" customWidth="1"/>
    <col min="8" max="16384" width="9.140625" style="1"/>
  </cols>
  <sheetData>
    <row r="1" spans="1:7" x14ac:dyDescent="0.25">
      <c r="A1" s="2" t="s">
        <v>22</v>
      </c>
      <c r="B1" s="2"/>
    </row>
    <row r="2" spans="1:7" x14ac:dyDescent="0.25">
      <c r="A2" s="2"/>
      <c r="B2" s="2"/>
    </row>
    <row r="4" spans="1:7" x14ac:dyDescent="0.25">
      <c r="B4" s="12"/>
    </row>
    <row r="5" spans="1:7" x14ac:dyDescent="0.25">
      <c r="A5" s="10" t="s">
        <v>14</v>
      </c>
      <c r="B5" s="5">
        <v>0</v>
      </c>
      <c r="C5" s="5">
        <v>1</v>
      </c>
      <c r="D5" s="5">
        <v>2</v>
      </c>
      <c r="E5" s="5">
        <v>3</v>
      </c>
      <c r="F5" s="5">
        <v>4</v>
      </c>
      <c r="G5" s="5">
        <v>5</v>
      </c>
    </row>
    <row r="6" spans="1:7" x14ac:dyDescent="0.25">
      <c r="A6" s="16" t="s">
        <v>16</v>
      </c>
      <c r="B6" s="14"/>
      <c r="C6" s="15">
        <v>95000</v>
      </c>
      <c r="D6" s="15"/>
      <c r="E6" s="15"/>
      <c r="F6" s="15"/>
      <c r="G6" s="15"/>
    </row>
    <row r="7" spans="1:7" x14ac:dyDescent="0.25">
      <c r="A7" s="17" t="s">
        <v>17</v>
      </c>
      <c r="B7" s="13"/>
      <c r="C7" s="8"/>
      <c r="D7" s="8">
        <v>8000</v>
      </c>
      <c r="E7" s="8">
        <v>8000</v>
      </c>
      <c r="F7" s="8">
        <v>8000</v>
      </c>
      <c r="G7" s="8">
        <v>108000</v>
      </c>
    </row>
    <row r="8" spans="1:7" x14ac:dyDescent="0.25">
      <c r="A8" s="17" t="s">
        <v>20</v>
      </c>
      <c r="B8" s="13"/>
      <c r="C8" s="8">
        <f>-C6</f>
        <v>-95000</v>
      </c>
      <c r="D8" s="8">
        <f>+D7</f>
        <v>8000</v>
      </c>
      <c r="E8" s="8">
        <f>+E7</f>
        <v>8000</v>
      </c>
      <c r="F8" s="8">
        <f>+F7</f>
        <v>8000</v>
      </c>
      <c r="G8" s="8">
        <f>+G7</f>
        <v>108000</v>
      </c>
    </row>
    <row r="9" spans="1:7" x14ac:dyDescent="0.25">
      <c r="A9" s="18" t="s">
        <v>21</v>
      </c>
      <c r="B9" s="20">
        <f>+IRR(C8:G8)</f>
        <v>9.5624391479395054E-2</v>
      </c>
      <c r="C9" s="4"/>
      <c r="D9" s="4"/>
      <c r="E9" s="4"/>
      <c r="F9" s="4"/>
      <c r="G9" s="4"/>
    </row>
    <row r="10" spans="1:7" x14ac:dyDescent="0.25">
      <c r="B10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FV</vt:lpstr>
      <vt:lpstr>PV</vt:lpstr>
      <vt:lpstr>PMT</vt:lpstr>
      <vt:lpstr>NPV1</vt:lpstr>
      <vt:lpstr>NPV2</vt:lpstr>
      <vt:lpstr>IRR1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mark.xu</dc:creator>
  <cp:lastModifiedBy>Xu, Mark - NRCS, Beltsville, MD</cp:lastModifiedBy>
  <dcterms:created xsi:type="dcterms:W3CDTF">2011-02-03T16:35:38Z</dcterms:created>
  <dcterms:modified xsi:type="dcterms:W3CDTF">2012-10-16T13:53:10Z</dcterms:modified>
</cp:coreProperties>
</file>