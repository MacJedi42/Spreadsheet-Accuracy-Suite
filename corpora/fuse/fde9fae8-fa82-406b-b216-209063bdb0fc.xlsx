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408" yWindow="4548" windowWidth="12924" windowHeight="4776" activeTab="1"/>
  </bookViews>
  <sheets>
    <sheet name="graphdata" sheetId="3" r:id="rId1"/>
    <sheet name="Graph" sheetId="5" r:id="rId2"/>
    <sheet name="River Analysis" sheetId="6" r:id="rId3"/>
  </sheets>
  <definedNames>
    <definedName name="_xlnm.Print_Area">#REF!</definedName>
  </definedNames>
  <calcPr calcId="145621"/>
</workbook>
</file>

<file path=xl/calcChain.xml><?xml version="1.0" encoding="utf-8"?>
<calcChain xmlns="http://schemas.openxmlformats.org/spreadsheetml/2006/main">
  <c r="H1012" i="3" l="1"/>
  <c r="I1012" i="3"/>
  <c r="J1012" i="3"/>
  <c r="K1012" i="3"/>
  <c r="L1012" i="3"/>
  <c r="O1012" i="3" s="1"/>
  <c r="M1012" i="3"/>
  <c r="N1012" i="3"/>
  <c r="F1012" i="3"/>
  <c r="L1016" i="3"/>
  <c r="M1016" i="3"/>
  <c r="L1017" i="3"/>
  <c r="M1017" i="3"/>
  <c r="B1016" i="3"/>
  <c r="B1017" i="3"/>
  <c r="L1015" i="3" l="1"/>
  <c r="M1015" i="3"/>
  <c r="H1011" i="3"/>
  <c r="K1011" i="3" s="1"/>
  <c r="I1011" i="3"/>
  <c r="J1011" i="3"/>
  <c r="L1011" i="3"/>
  <c r="M1011" i="3"/>
  <c r="N1011" i="3"/>
  <c r="O1011" i="3"/>
  <c r="F1011" i="3"/>
  <c r="B1014" i="3"/>
  <c r="B1015" i="3" s="1"/>
  <c r="M1014" i="3" l="1"/>
  <c r="L1014" i="3"/>
  <c r="N1010" i="3"/>
  <c r="J1010" i="3"/>
  <c r="I1010" i="3"/>
  <c r="K1010" i="3" s="1"/>
  <c r="H1010" i="3"/>
  <c r="F1010" i="3"/>
  <c r="O1010" i="3"/>
  <c r="H1009" i="3" l="1"/>
  <c r="I1009" i="3"/>
  <c r="J1009" i="3"/>
  <c r="K1009" i="3"/>
  <c r="L1009" i="3"/>
  <c r="O1009" i="3" s="1"/>
  <c r="M1009" i="3"/>
  <c r="N1009" i="3"/>
  <c r="F1009" i="3"/>
  <c r="H1008" i="3" l="1"/>
  <c r="I1008" i="3"/>
  <c r="J1008" i="3"/>
  <c r="K1008" i="3"/>
  <c r="L1008" i="3"/>
  <c r="O1008" i="3" s="1"/>
  <c r="M1008" i="3"/>
  <c r="N1008" i="3"/>
  <c r="F1008" i="3"/>
  <c r="H1007" i="3" l="1"/>
  <c r="I1007" i="3"/>
  <c r="J1007" i="3"/>
  <c r="K1007" i="3"/>
  <c r="L1007" i="3"/>
  <c r="O1007" i="3" s="1"/>
  <c r="M1007" i="3"/>
  <c r="N1007" i="3"/>
  <c r="F1007" i="3"/>
  <c r="H1006" i="3" l="1"/>
  <c r="K1006" i="3" s="1"/>
  <c r="I1006" i="3"/>
  <c r="J1006" i="3"/>
  <c r="L1006" i="3"/>
  <c r="M1006" i="3"/>
  <c r="N1006" i="3"/>
  <c r="O1006" i="3"/>
  <c r="F1006" i="3"/>
  <c r="H1005" i="3" l="1"/>
  <c r="I1005" i="3"/>
  <c r="J1005" i="3"/>
  <c r="K1005" i="3"/>
  <c r="L1005" i="3"/>
  <c r="O1005" i="3" s="1"/>
  <c r="M1005" i="3"/>
  <c r="N1005" i="3"/>
  <c r="F1005" i="3"/>
  <c r="L1010" i="3"/>
  <c r="M1010" i="3"/>
  <c r="L1013" i="3"/>
  <c r="M1013" i="3"/>
  <c r="B1009" i="3"/>
  <c r="B1010" i="3"/>
  <c r="B1011" i="3"/>
  <c r="B1012" i="3"/>
  <c r="B1013" i="3"/>
  <c r="H1004" i="3" l="1"/>
  <c r="I1004" i="3"/>
  <c r="J1004" i="3"/>
  <c r="K1004" i="3"/>
  <c r="L1004" i="3"/>
  <c r="M1004" i="3"/>
  <c r="F1004" i="3"/>
  <c r="N1004" i="3" s="1"/>
  <c r="O1004" i="3" l="1"/>
  <c r="H1003" i="3"/>
  <c r="K1003" i="3" s="1"/>
  <c r="I1003" i="3"/>
  <c r="J1003" i="3"/>
  <c r="L1003" i="3"/>
  <c r="M1003" i="3"/>
  <c r="N1003" i="3"/>
  <c r="O1003" i="3"/>
  <c r="F1003" i="3"/>
  <c r="O1002" i="3" l="1"/>
  <c r="N1002" i="3"/>
  <c r="M1002" i="3"/>
  <c r="L1002" i="3"/>
  <c r="J1002" i="3"/>
  <c r="I1002" i="3"/>
  <c r="H1002" i="3"/>
  <c r="K1002" i="3" s="1"/>
  <c r="F1002" i="3"/>
  <c r="H1001" i="3" l="1"/>
  <c r="K1001" i="3" s="1"/>
  <c r="I1001" i="3"/>
  <c r="J1001" i="3"/>
  <c r="L1001" i="3"/>
  <c r="M1001" i="3"/>
  <c r="N1001" i="3"/>
  <c r="O1001" i="3"/>
  <c r="F1001" i="3"/>
  <c r="H1000" i="3" l="1"/>
  <c r="I1000" i="3"/>
  <c r="J1000" i="3"/>
  <c r="K1000" i="3"/>
  <c r="L1000" i="3"/>
  <c r="O1000" i="3" s="1"/>
  <c r="M1000" i="3"/>
  <c r="N1000" i="3"/>
  <c r="F1000" i="3"/>
  <c r="H999" i="3" l="1"/>
  <c r="I999" i="3"/>
  <c r="J999" i="3"/>
  <c r="K999" i="3"/>
  <c r="L999" i="3"/>
  <c r="O999" i="3" s="1"/>
  <c r="M999" i="3"/>
  <c r="N999" i="3"/>
  <c r="F999" i="3"/>
  <c r="B1008" i="3"/>
  <c r="B1003" i="3"/>
  <c r="B1004" i="3"/>
  <c r="B1005" i="3"/>
  <c r="B1006" i="3"/>
  <c r="B1007" i="3"/>
  <c r="H998" i="3" l="1"/>
  <c r="I998" i="3"/>
  <c r="J998" i="3"/>
  <c r="K998" i="3"/>
  <c r="L998" i="3"/>
  <c r="O998" i="3" s="1"/>
  <c r="M998" i="3"/>
  <c r="N998" i="3"/>
  <c r="F998" i="3"/>
  <c r="H997" i="3" l="1"/>
  <c r="I997" i="3"/>
  <c r="K997" i="3" s="1"/>
  <c r="J997" i="3"/>
  <c r="L997" i="3"/>
  <c r="M997" i="3"/>
  <c r="N997" i="3"/>
  <c r="O997" i="3"/>
  <c r="F997" i="3"/>
  <c r="H996" i="3" l="1"/>
  <c r="I996" i="3"/>
  <c r="J996" i="3"/>
  <c r="K996" i="3"/>
  <c r="L996" i="3"/>
  <c r="O996" i="3" s="1"/>
  <c r="M996" i="3"/>
  <c r="N996" i="3"/>
  <c r="F996" i="3"/>
  <c r="M629" i="3" l="1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211" i="3"/>
  <c r="H995" i="3"/>
  <c r="I995" i="3"/>
  <c r="J995" i="3"/>
  <c r="K995" i="3"/>
  <c r="L995" i="3"/>
  <c r="F995" i="3"/>
  <c r="N995" i="3" s="1"/>
  <c r="O995" i="3" l="1"/>
  <c r="H994" i="3"/>
  <c r="I994" i="3"/>
  <c r="J994" i="3"/>
  <c r="K994" i="3"/>
  <c r="L994" i="3"/>
  <c r="O994" i="3" s="1"/>
  <c r="N994" i="3"/>
  <c r="F994" i="3"/>
  <c r="H993" i="3" l="1"/>
  <c r="I993" i="3"/>
  <c r="J993" i="3"/>
  <c r="K993" i="3"/>
  <c r="L993" i="3"/>
  <c r="O993" i="3" s="1"/>
  <c r="N993" i="3"/>
  <c r="F993" i="3"/>
  <c r="H992" i="3" l="1"/>
  <c r="I992" i="3"/>
  <c r="J992" i="3"/>
  <c r="K992" i="3"/>
  <c r="L992" i="3"/>
  <c r="N992" i="3"/>
  <c r="O992" i="3"/>
  <c r="F992" i="3"/>
  <c r="B996" i="3"/>
  <c r="B997" i="3"/>
  <c r="B998" i="3"/>
  <c r="B999" i="3"/>
  <c r="B1000" i="3"/>
  <c r="B1001" i="3"/>
  <c r="B1002" i="3"/>
  <c r="H991" i="3" l="1"/>
  <c r="I991" i="3"/>
  <c r="J991" i="3"/>
  <c r="K991" i="3"/>
  <c r="L991" i="3"/>
  <c r="N991" i="3"/>
  <c r="O991" i="3"/>
  <c r="F991" i="3"/>
  <c r="H990" i="3" l="1"/>
  <c r="K990" i="3" s="1"/>
  <c r="I990" i="3"/>
  <c r="J990" i="3"/>
  <c r="L990" i="3"/>
  <c r="O990" i="3" s="1"/>
  <c r="N990" i="3"/>
  <c r="F990" i="3"/>
  <c r="H989" i="3" l="1"/>
  <c r="K989" i="3" s="1"/>
  <c r="I989" i="3"/>
  <c r="J989" i="3"/>
  <c r="L989" i="3"/>
  <c r="N989" i="3"/>
  <c r="O989" i="3"/>
  <c r="F989" i="3"/>
  <c r="H988" i="3" l="1"/>
  <c r="K988" i="3" s="1"/>
  <c r="I988" i="3"/>
  <c r="J988" i="3"/>
  <c r="L988" i="3"/>
  <c r="N988" i="3"/>
  <c r="O988" i="3"/>
  <c r="F988" i="3"/>
  <c r="B992" i="3"/>
  <c r="B993" i="3" s="1"/>
  <c r="B994" i="3" s="1"/>
  <c r="B995" i="3" s="1"/>
  <c r="H987" i="3" l="1"/>
  <c r="I987" i="3"/>
  <c r="K987" i="3" s="1"/>
  <c r="J987" i="3"/>
  <c r="L987" i="3"/>
  <c r="O987" i="3" s="1"/>
  <c r="N987" i="3"/>
  <c r="F987" i="3"/>
  <c r="H986" i="3" l="1"/>
  <c r="K986" i="3" s="1"/>
  <c r="I986" i="3"/>
  <c r="J986" i="3"/>
  <c r="L986" i="3"/>
  <c r="N986" i="3"/>
  <c r="O986" i="3"/>
  <c r="F986" i="3"/>
  <c r="H985" i="3" l="1"/>
  <c r="K985" i="3" s="1"/>
  <c r="I985" i="3"/>
  <c r="J985" i="3"/>
  <c r="L985" i="3"/>
  <c r="N985" i="3"/>
  <c r="O985" i="3"/>
  <c r="F985" i="3"/>
  <c r="H984" i="3" l="1"/>
  <c r="I984" i="3"/>
  <c r="J984" i="3"/>
  <c r="K984" i="3"/>
  <c r="L984" i="3"/>
  <c r="O984" i="3" s="1"/>
  <c r="N984" i="3"/>
  <c r="F984" i="3"/>
  <c r="B988" i="3"/>
  <c r="B989" i="3"/>
  <c r="B990" i="3"/>
  <c r="B991" i="3"/>
  <c r="H983" i="3" l="1"/>
  <c r="I983" i="3"/>
  <c r="K983" i="3" s="1"/>
  <c r="J983" i="3"/>
  <c r="L983" i="3"/>
  <c r="O983" i="3" s="1"/>
  <c r="N983" i="3"/>
  <c r="F983" i="3"/>
  <c r="B987" i="3"/>
  <c r="H982" i="3" l="1"/>
  <c r="I982" i="3"/>
  <c r="J982" i="3"/>
  <c r="K982" i="3"/>
  <c r="L982" i="3"/>
  <c r="O982" i="3" s="1"/>
  <c r="N982" i="3"/>
  <c r="F982" i="3"/>
  <c r="B986" i="3"/>
  <c r="H981" i="3" l="1"/>
  <c r="I981" i="3"/>
  <c r="J981" i="3"/>
  <c r="K981" i="3"/>
  <c r="L981" i="3"/>
  <c r="O981" i="3" s="1"/>
  <c r="N981" i="3"/>
  <c r="F981" i="3"/>
  <c r="B985" i="3"/>
  <c r="N980" i="3" l="1"/>
  <c r="J980" i="3"/>
  <c r="I980" i="3"/>
  <c r="H980" i="3"/>
  <c r="K980" i="3" s="1"/>
  <c r="F980" i="3"/>
  <c r="H979" i="3" l="1"/>
  <c r="I979" i="3"/>
  <c r="J979" i="3"/>
  <c r="K979" i="3"/>
  <c r="L979" i="3"/>
  <c r="O979" i="3" s="1"/>
  <c r="N979" i="3"/>
  <c r="F979" i="3" l="1"/>
  <c r="B983" i="3"/>
  <c r="B984" i="3" s="1"/>
  <c r="H978" i="3" l="1"/>
  <c r="K978" i="3" s="1"/>
  <c r="I978" i="3"/>
  <c r="J978" i="3"/>
  <c r="L978" i="3"/>
  <c r="N978" i="3"/>
  <c r="O978" i="3"/>
  <c r="F978" i="3"/>
  <c r="H977" i="3" l="1"/>
  <c r="I977" i="3"/>
  <c r="K977" i="3" s="1"/>
  <c r="J977" i="3"/>
  <c r="L977" i="3"/>
  <c r="O977" i="3" s="1"/>
  <c r="N977" i="3"/>
  <c r="F977" i="3"/>
  <c r="B981" i="3"/>
  <c r="B982" i="3"/>
  <c r="H976" i="3" l="1"/>
  <c r="K976" i="3" s="1"/>
  <c r="I976" i="3"/>
  <c r="J976" i="3"/>
  <c r="L976" i="3"/>
  <c r="N976" i="3"/>
  <c r="O976" i="3"/>
  <c r="F976" i="3"/>
  <c r="H975" i="3" l="1"/>
  <c r="K975" i="3" s="1"/>
  <c r="I975" i="3"/>
  <c r="J975" i="3"/>
  <c r="L975" i="3"/>
  <c r="F975" i="3"/>
  <c r="N975" i="3" s="1"/>
  <c r="O975" i="3" l="1"/>
  <c r="H974" i="3"/>
  <c r="I974" i="3"/>
  <c r="J974" i="3"/>
  <c r="K974" i="3"/>
  <c r="L974" i="3"/>
  <c r="O974" i="3" s="1"/>
  <c r="N974" i="3"/>
  <c r="F974" i="3" l="1"/>
  <c r="H973" i="3" l="1"/>
  <c r="K973" i="3" s="1"/>
  <c r="I973" i="3"/>
  <c r="J973" i="3"/>
  <c r="L973" i="3"/>
  <c r="N973" i="3"/>
  <c r="O973" i="3"/>
  <c r="F973" i="3"/>
  <c r="L980" i="3"/>
  <c r="O980" i="3" s="1"/>
  <c r="B977" i="3"/>
  <c r="B978" i="3"/>
  <c r="B979" i="3"/>
  <c r="B980" i="3" s="1"/>
  <c r="H972" i="3" l="1"/>
  <c r="K972" i="3" s="1"/>
  <c r="I972" i="3"/>
  <c r="J972" i="3"/>
  <c r="L972" i="3"/>
  <c r="N972" i="3"/>
  <c r="O972" i="3"/>
  <c r="F972" i="3"/>
  <c r="B976" i="3"/>
  <c r="H971" i="3" l="1"/>
  <c r="I971" i="3"/>
  <c r="J971" i="3"/>
  <c r="K971" i="3"/>
  <c r="L971" i="3"/>
  <c r="O971" i="3" s="1"/>
  <c r="N971" i="3"/>
  <c r="F971" i="3"/>
  <c r="B974" i="3"/>
  <c r="B975" i="3"/>
  <c r="N970" i="3" l="1"/>
  <c r="L970" i="3"/>
  <c r="O970" i="3" s="1"/>
  <c r="J970" i="3"/>
  <c r="I970" i="3"/>
  <c r="H970" i="3"/>
  <c r="K970" i="3" s="1"/>
  <c r="F970" i="3"/>
  <c r="H969" i="3" l="1"/>
  <c r="I969" i="3"/>
  <c r="J969" i="3"/>
  <c r="K969" i="3"/>
  <c r="L969" i="3"/>
  <c r="N969" i="3"/>
  <c r="O969" i="3"/>
  <c r="F969" i="3"/>
  <c r="H968" i="3" l="1"/>
  <c r="K968" i="3" s="1"/>
  <c r="I968" i="3"/>
  <c r="J968" i="3"/>
  <c r="L968" i="3"/>
  <c r="O968" i="3" s="1"/>
  <c r="N968" i="3"/>
  <c r="F968" i="3"/>
  <c r="B972" i="3"/>
  <c r="B973" i="3"/>
  <c r="H967" i="3" l="1"/>
  <c r="I967" i="3"/>
  <c r="J967" i="3"/>
  <c r="K967" i="3" s="1"/>
  <c r="L967" i="3"/>
  <c r="N967" i="3"/>
  <c r="O967" i="3"/>
  <c r="F967" i="3"/>
  <c r="B971" i="3"/>
  <c r="H966" i="3" l="1"/>
  <c r="K966" i="3" s="1"/>
  <c r="I966" i="3"/>
  <c r="J966" i="3"/>
  <c r="L966" i="3"/>
  <c r="O966" i="3" s="1"/>
  <c r="N966" i="3"/>
  <c r="F966" i="3"/>
  <c r="H965" i="3" l="1"/>
  <c r="I965" i="3"/>
  <c r="J965" i="3"/>
  <c r="K965" i="3"/>
  <c r="L965" i="3"/>
  <c r="N965" i="3"/>
  <c r="O965" i="3"/>
  <c r="F965" i="3"/>
  <c r="B970" i="3"/>
  <c r="H964" i="3" l="1"/>
  <c r="I964" i="3"/>
  <c r="J964" i="3"/>
  <c r="K964" i="3"/>
  <c r="L964" i="3"/>
  <c r="N964" i="3"/>
  <c r="O964" i="3"/>
  <c r="F964" i="3"/>
  <c r="B968" i="3"/>
  <c r="B969" i="3"/>
  <c r="H963" i="3" l="1"/>
  <c r="I963" i="3"/>
  <c r="J963" i="3"/>
  <c r="K963" i="3"/>
  <c r="L963" i="3"/>
  <c r="N963" i="3"/>
  <c r="O963" i="3"/>
  <c r="F963" i="3"/>
  <c r="B966" i="3" l="1"/>
  <c r="B967" i="3"/>
  <c r="H962" i="3"/>
  <c r="I962" i="3"/>
  <c r="J962" i="3"/>
  <c r="K962" i="3" s="1"/>
  <c r="L962" i="3"/>
  <c r="N962" i="3"/>
  <c r="O962" i="3"/>
  <c r="F962" i="3"/>
  <c r="H961" i="3" l="1"/>
  <c r="K961" i="3" s="1"/>
  <c r="I961" i="3"/>
  <c r="J961" i="3"/>
  <c r="L961" i="3"/>
  <c r="O961" i="3" s="1"/>
  <c r="N961" i="3"/>
  <c r="F961" i="3"/>
  <c r="F960" i="3"/>
  <c r="N960" i="3" l="1"/>
  <c r="J960" i="3"/>
  <c r="I960" i="3"/>
  <c r="H960" i="3"/>
  <c r="K960" i="3" s="1"/>
  <c r="H959" i="3" l="1"/>
  <c r="K959" i="3" s="1"/>
  <c r="I959" i="3"/>
  <c r="J959" i="3"/>
  <c r="L959" i="3"/>
  <c r="O959" i="3" s="1"/>
  <c r="N959" i="3"/>
  <c r="F959" i="3"/>
  <c r="B964" i="3"/>
  <c r="B965" i="3" s="1"/>
  <c r="B963" i="3"/>
  <c r="H958" i="3" l="1"/>
  <c r="K958" i="3" s="1"/>
  <c r="I958" i="3"/>
  <c r="J958" i="3"/>
  <c r="L958" i="3"/>
  <c r="O958" i="3" s="1"/>
  <c r="N958" i="3"/>
  <c r="F958" i="3"/>
  <c r="B962" i="3"/>
  <c r="H957" i="3" l="1"/>
  <c r="K957" i="3" s="1"/>
  <c r="I957" i="3"/>
  <c r="J957" i="3"/>
  <c r="L957" i="3"/>
  <c r="O957" i="3" s="1"/>
  <c r="N957" i="3"/>
  <c r="F957" i="3"/>
  <c r="B961" i="3"/>
  <c r="H956" i="3" l="1"/>
  <c r="I956" i="3"/>
  <c r="J956" i="3"/>
  <c r="K956" i="3"/>
  <c r="L956" i="3"/>
  <c r="N956" i="3"/>
  <c r="O956" i="3"/>
  <c r="F956" i="3"/>
  <c r="L960" i="3"/>
  <c r="O960" i="3" s="1"/>
  <c r="B960" i="3"/>
  <c r="B959" i="3"/>
  <c r="N955" i="3" l="1"/>
  <c r="J955" i="3"/>
  <c r="I955" i="3"/>
  <c r="H955" i="3"/>
  <c r="K955" i="3" s="1"/>
  <c r="F955" i="3"/>
  <c r="N954" i="3" l="1"/>
  <c r="J954" i="3"/>
  <c r="I954" i="3"/>
  <c r="H954" i="3"/>
  <c r="K954" i="3" s="1"/>
  <c r="F954" i="3"/>
  <c r="N953" i="3" l="1"/>
  <c r="J953" i="3"/>
  <c r="I953" i="3"/>
  <c r="H953" i="3"/>
  <c r="K953" i="3" s="1"/>
  <c r="F953" i="3"/>
  <c r="H952" i="3" l="1"/>
  <c r="K952" i="3" s="1"/>
  <c r="I952" i="3"/>
  <c r="J952" i="3"/>
  <c r="L952" i="3"/>
  <c r="O952" i="3" s="1"/>
  <c r="N952" i="3"/>
  <c r="F952" i="3"/>
  <c r="B958" i="3"/>
  <c r="H951" i="3" l="1"/>
  <c r="I951" i="3"/>
  <c r="J951" i="3"/>
  <c r="K951" i="3" s="1"/>
  <c r="L951" i="3"/>
  <c r="O951" i="3" s="1"/>
  <c r="N951" i="3"/>
  <c r="F951" i="3"/>
  <c r="H950" i="3" l="1"/>
  <c r="I950" i="3"/>
  <c r="K950" i="3" s="1"/>
  <c r="J950" i="3"/>
  <c r="L950" i="3"/>
  <c r="N950" i="3"/>
  <c r="O950" i="3"/>
  <c r="F950" i="3"/>
  <c r="H949" i="3" l="1"/>
  <c r="K949" i="3" s="1"/>
  <c r="I949" i="3"/>
  <c r="J949" i="3"/>
  <c r="L949" i="3"/>
  <c r="N949" i="3"/>
  <c r="O949" i="3"/>
  <c r="F949" i="3"/>
  <c r="L953" i="3"/>
  <c r="O953" i="3" s="1"/>
  <c r="L954" i="3"/>
  <c r="O954" i="3" s="1"/>
  <c r="L955" i="3"/>
  <c r="O955" i="3" s="1"/>
  <c r="B953" i="3"/>
  <c r="B954" i="3"/>
  <c r="B955" i="3" s="1"/>
  <c r="B956" i="3" s="1"/>
  <c r="B957" i="3" s="1"/>
  <c r="H948" i="3" l="1"/>
  <c r="I948" i="3"/>
  <c r="J948" i="3"/>
  <c r="K948" i="3"/>
  <c r="L948" i="3"/>
  <c r="N948" i="3"/>
  <c r="O948" i="3"/>
  <c r="F948" i="3"/>
  <c r="H947" i="3" l="1"/>
  <c r="K947" i="3" s="1"/>
  <c r="I947" i="3"/>
  <c r="J947" i="3"/>
  <c r="L947" i="3"/>
  <c r="N947" i="3"/>
  <c r="O947" i="3"/>
  <c r="F947" i="3"/>
  <c r="H946" i="3" l="1"/>
  <c r="K946" i="3" s="1"/>
  <c r="I946" i="3"/>
  <c r="J946" i="3"/>
  <c r="L946" i="3"/>
  <c r="O946" i="3" s="1"/>
  <c r="N946" i="3"/>
  <c r="F946" i="3"/>
  <c r="H945" i="3" l="1"/>
  <c r="K945" i="3" s="1"/>
  <c r="I945" i="3"/>
  <c r="J945" i="3"/>
  <c r="L945" i="3"/>
  <c r="N945" i="3"/>
  <c r="O945" i="3"/>
  <c r="F945" i="3"/>
  <c r="B949" i="3"/>
  <c r="B950" i="3" s="1"/>
  <c r="B951" i="3" s="1"/>
  <c r="B952" i="3" s="1"/>
  <c r="H944" i="3" l="1"/>
  <c r="K944" i="3" s="1"/>
  <c r="I944" i="3"/>
  <c r="J944" i="3"/>
  <c r="L944" i="3"/>
  <c r="N944" i="3"/>
  <c r="O944" i="3"/>
  <c r="F944" i="3"/>
  <c r="H943" i="3" l="1"/>
  <c r="I943" i="3"/>
  <c r="J943" i="3"/>
  <c r="K943" i="3"/>
  <c r="L943" i="3"/>
  <c r="O943" i="3" s="1"/>
  <c r="N943" i="3"/>
  <c r="F943" i="3"/>
  <c r="B947" i="3" l="1"/>
  <c r="B948" i="3" s="1"/>
  <c r="H942" i="3"/>
  <c r="I942" i="3"/>
  <c r="J942" i="3"/>
  <c r="K942" i="3"/>
  <c r="L942" i="3"/>
  <c r="N942" i="3"/>
  <c r="O942" i="3"/>
  <c r="F942" i="3"/>
  <c r="B946" i="3"/>
  <c r="H941" i="3" l="1"/>
  <c r="K941" i="3" s="1"/>
  <c r="I941" i="3"/>
  <c r="J941" i="3"/>
  <c r="L941" i="3"/>
  <c r="O941" i="3" s="1"/>
  <c r="N941" i="3"/>
  <c r="F941" i="3"/>
  <c r="B945" i="3"/>
  <c r="H940" i="3" l="1"/>
  <c r="I940" i="3"/>
  <c r="J940" i="3"/>
  <c r="K940" i="3"/>
  <c r="L940" i="3"/>
  <c r="N940" i="3"/>
  <c r="O940" i="3"/>
  <c r="F940" i="3"/>
  <c r="B944" i="3"/>
  <c r="B943" i="3" l="1"/>
  <c r="N939" i="3" l="1"/>
  <c r="J939" i="3"/>
  <c r="I939" i="3"/>
  <c r="H939" i="3"/>
  <c r="K939" i="3" s="1"/>
  <c r="F939" i="3"/>
  <c r="H938" i="3" l="1"/>
  <c r="K938" i="3" s="1"/>
  <c r="I938" i="3"/>
  <c r="J938" i="3"/>
  <c r="L938" i="3"/>
  <c r="O938" i="3" s="1"/>
  <c r="N938" i="3"/>
  <c r="F938" i="3"/>
  <c r="B942" i="3"/>
  <c r="H937" i="3" l="1"/>
  <c r="K937" i="3" s="1"/>
  <c r="I937" i="3"/>
  <c r="J937" i="3"/>
  <c r="L937" i="3"/>
  <c r="O937" i="3" s="1"/>
  <c r="N937" i="3"/>
  <c r="F937" i="3"/>
  <c r="H936" i="3" l="1"/>
  <c r="I936" i="3"/>
  <c r="J936" i="3"/>
  <c r="K936" i="3" s="1"/>
  <c r="L936" i="3"/>
  <c r="N936" i="3"/>
  <c r="O936" i="3"/>
  <c r="F936" i="3"/>
  <c r="H935" i="3" l="1"/>
  <c r="K935" i="3" s="1"/>
  <c r="I935" i="3"/>
  <c r="J935" i="3"/>
  <c r="L935" i="3"/>
  <c r="O935" i="3" s="1"/>
  <c r="N935" i="3"/>
  <c r="F935" i="3"/>
  <c r="H934" i="3" l="1"/>
  <c r="I934" i="3"/>
  <c r="J934" i="3"/>
  <c r="K934" i="3" s="1"/>
  <c r="L934" i="3"/>
  <c r="O934" i="3" s="1"/>
  <c r="N934" i="3"/>
  <c r="F934" i="3"/>
  <c r="L939" i="3" l="1"/>
  <c r="O939" i="3" s="1"/>
  <c r="B937" i="3"/>
  <c r="B938" i="3" s="1"/>
  <c r="B939" i="3" s="1"/>
  <c r="B940" i="3" s="1"/>
  <c r="B941" i="3" s="1"/>
  <c r="H933" i="3"/>
  <c r="K933" i="3" s="1"/>
  <c r="I933" i="3"/>
  <c r="J933" i="3"/>
  <c r="L933" i="3"/>
  <c r="O933" i="3" s="1"/>
  <c r="N933" i="3"/>
  <c r="F933" i="3"/>
  <c r="H932" i="3" l="1"/>
  <c r="I932" i="3"/>
  <c r="J932" i="3"/>
  <c r="K932" i="3" s="1"/>
  <c r="L932" i="3"/>
  <c r="O932" i="3" s="1"/>
  <c r="N932" i="3"/>
  <c r="F932" i="3"/>
  <c r="H931" i="3" l="1"/>
  <c r="K931" i="3" s="1"/>
  <c r="I931" i="3"/>
  <c r="J931" i="3"/>
  <c r="L931" i="3"/>
  <c r="O931" i="3" s="1"/>
  <c r="N931" i="3"/>
  <c r="F931" i="3"/>
  <c r="H930" i="3" l="1"/>
  <c r="I930" i="3"/>
  <c r="J930" i="3"/>
  <c r="K930" i="3" s="1"/>
  <c r="L930" i="3"/>
  <c r="N930" i="3"/>
  <c r="O930" i="3"/>
  <c r="F930" i="3"/>
  <c r="H929" i="3" l="1"/>
  <c r="I929" i="3"/>
  <c r="J929" i="3"/>
  <c r="K929" i="3"/>
  <c r="L929" i="3"/>
  <c r="N929" i="3"/>
  <c r="O929" i="3"/>
  <c r="F929" i="3"/>
  <c r="B933" i="3"/>
  <c r="B934" i="3"/>
  <c r="B935" i="3" s="1"/>
  <c r="B936" i="3" s="1"/>
  <c r="H928" i="3" l="1"/>
  <c r="I928" i="3"/>
  <c r="J928" i="3"/>
  <c r="K928" i="3"/>
  <c r="L928" i="3"/>
  <c r="N928" i="3"/>
  <c r="O928" i="3"/>
  <c r="F928" i="3"/>
  <c r="H927" i="3" l="1"/>
  <c r="I927" i="3"/>
  <c r="J927" i="3"/>
  <c r="K927" i="3"/>
  <c r="L927" i="3"/>
  <c r="N927" i="3"/>
  <c r="O927" i="3"/>
  <c r="F927" i="3"/>
  <c r="H926" i="3" l="1"/>
  <c r="K926" i="3" s="1"/>
  <c r="I926" i="3"/>
  <c r="J926" i="3"/>
  <c r="L926" i="3"/>
  <c r="N926" i="3"/>
  <c r="O926" i="3"/>
  <c r="F926" i="3"/>
  <c r="H925" i="3" l="1"/>
  <c r="I925" i="3"/>
  <c r="J925" i="3"/>
  <c r="K925" i="3" s="1"/>
  <c r="F925" i="3"/>
  <c r="H924" i="3" l="1"/>
  <c r="I924" i="3"/>
  <c r="K924" i="3" s="1"/>
  <c r="J924" i="3"/>
  <c r="F924" i="3"/>
  <c r="H923" i="3" l="1"/>
  <c r="I923" i="3"/>
  <c r="J923" i="3"/>
  <c r="F923" i="3"/>
  <c r="K923" i="3" l="1"/>
  <c r="I922" i="3"/>
  <c r="K922" i="3" s="1"/>
  <c r="J922" i="3"/>
  <c r="H922" i="3"/>
  <c r="F922" i="3"/>
  <c r="H921" i="3" l="1"/>
  <c r="K921" i="3" s="1"/>
  <c r="I921" i="3"/>
  <c r="J921" i="3"/>
  <c r="F921" i="3"/>
  <c r="H920" i="3" l="1"/>
  <c r="K920" i="3" s="1"/>
  <c r="I920" i="3"/>
  <c r="J920" i="3"/>
  <c r="F920" i="3"/>
  <c r="H919" i="3" l="1"/>
  <c r="K919" i="3" s="1"/>
  <c r="I919" i="3"/>
  <c r="J919" i="3"/>
  <c r="F919" i="3"/>
  <c r="H918" i="3" l="1"/>
  <c r="K918" i="3" s="1"/>
  <c r="I918" i="3"/>
  <c r="J918" i="3"/>
  <c r="F918" i="3"/>
  <c r="H917" i="3" l="1"/>
  <c r="K917" i="3" s="1"/>
  <c r="I917" i="3"/>
  <c r="J917" i="3"/>
  <c r="F917" i="3"/>
  <c r="H916" i="3" l="1"/>
  <c r="I916" i="3"/>
  <c r="J916" i="3"/>
  <c r="F916" i="3"/>
  <c r="K916" i="3" l="1"/>
  <c r="H915" i="3"/>
  <c r="I915" i="3"/>
  <c r="J915" i="3"/>
  <c r="K915" i="3"/>
  <c r="F915" i="3"/>
  <c r="H914" i="3" l="1"/>
  <c r="K914" i="3" s="1"/>
  <c r="I914" i="3"/>
  <c r="J914" i="3"/>
  <c r="F914" i="3"/>
  <c r="H913" i="3" l="1"/>
  <c r="I913" i="3"/>
  <c r="J913" i="3"/>
  <c r="F913" i="3"/>
  <c r="K913" i="3" l="1"/>
  <c r="H912" i="3"/>
  <c r="K912" i="3" s="1"/>
  <c r="I912" i="3"/>
  <c r="J912" i="3"/>
  <c r="F912" i="3"/>
  <c r="H911" i="3" l="1"/>
  <c r="K911" i="3" s="1"/>
  <c r="I911" i="3"/>
  <c r="J911" i="3"/>
  <c r="F911" i="3"/>
  <c r="H910" i="3" l="1"/>
  <c r="I910" i="3"/>
  <c r="J910" i="3"/>
  <c r="F910" i="3"/>
  <c r="K910" i="3" l="1"/>
  <c r="H909" i="3"/>
  <c r="K909" i="3" s="1"/>
  <c r="I909" i="3"/>
  <c r="J909" i="3"/>
  <c r="F909" i="3"/>
  <c r="H908" i="3"/>
  <c r="I908" i="3"/>
  <c r="J908" i="3"/>
  <c r="K908" i="3" s="1"/>
  <c r="F908" i="3"/>
  <c r="H907" i="3"/>
  <c r="K907" i="3" s="1"/>
  <c r="I907" i="3"/>
  <c r="J907" i="3"/>
  <c r="F907" i="3"/>
  <c r="H906" i="3"/>
  <c r="I906" i="3"/>
  <c r="J906" i="3"/>
  <c r="K906" i="3"/>
  <c r="F906" i="3"/>
  <c r="H905" i="3"/>
  <c r="K905" i="3" s="1"/>
  <c r="I905" i="3"/>
  <c r="J905" i="3"/>
  <c r="F905" i="3"/>
  <c r="H904" i="3"/>
  <c r="I904" i="3"/>
  <c r="J904" i="3"/>
  <c r="K904" i="3"/>
  <c r="F904" i="3"/>
  <c r="H903" i="3"/>
  <c r="K903" i="3" s="1"/>
  <c r="I903" i="3"/>
  <c r="J903" i="3"/>
  <c r="F903" i="3"/>
  <c r="H902" i="3"/>
  <c r="I902" i="3"/>
  <c r="J902" i="3"/>
  <c r="K902" i="3"/>
  <c r="F902" i="3"/>
  <c r="H901" i="3"/>
  <c r="I901" i="3"/>
  <c r="J901" i="3"/>
  <c r="F901" i="3"/>
  <c r="H900" i="3"/>
  <c r="I900" i="3"/>
  <c r="J900" i="3"/>
  <c r="F900" i="3"/>
  <c r="H899" i="3"/>
  <c r="K899" i="3" s="1"/>
  <c r="I899" i="3"/>
  <c r="J899" i="3"/>
  <c r="F899" i="3"/>
  <c r="H898" i="3"/>
  <c r="I898" i="3"/>
  <c r="J898" i="3"/>
  <c r="F898" i="3"/>
  <c r="H897" i="3"/>
  <c r="I897" i="3"/>
  <c r="J897" i="3"/>
  <c r="K897" i="3"/>
  <c r="F897" i="3"/>
  <c r="H896" i="3"/>
  <c r="I896" i="3"/>
  <c r="J896" i="3"/>
  <c r="K896" i="3" s="1"/>
  <c r="F896" i="3"/>
  <c r="H895" i="3"/>
  <c r="I895" i="3"/>
  <c r="K895" i="3" s="1"/>
  <c r="J895" i="3"/>
  <c r="F895" i="3"/>
  <c r="H894" i="3"/>
  <c r="I894" i="3"/>
  <c r="J894" i="3"/>
  <c r="F894" i="3"/>
  <c r="H893" i="3"/>
  <c r="I893" i="3"/>
  <c r="J893" i="3"/>
  <c r="F893" i="3"/>
  <c r="H892" i="3"/>
  <c r="K892" i="3" s="1"/>
  <c r="I892" i="3"/>
  <c r="J892" i="3"/>
  <c r="F892" i="3"/>
  <c r="J891" i="3"/>
  <c r="I891" i="3"/>
  <c r="H891" i="3"/>
  <c r="F891" i="3"/>
  <c r="F890" i="3"/>
  <c r="H890" i="3"/>
  <c r="I890" i="3"/>
  <c r="J890" i="3"/>
  <c r="H889" i="3"/>
  <c r="I889" i="3"/>
  <c r="J889" i="3"/>
  <c r="F889" i="3"/>
  <c r="H888" i="3"/>
  <c r="I888" i="3"/>
  <c r="J888" i="3"/>
  <c r="F888" i="3"/>
  <c r="K890" i="3" l="1"/>
  <c r="K893" i="3"/>
  <c r="K894" i="3"/>
  <c r="K889" i="3"/>
  <c r="K891" i="3"/>
  <c r="K900" i="3"/>
  <c r="K888" i="3"/>
  <c r="K898" i="3"/>
  <c r="K901" i="3"/>
  <c r="H887" i="3"/>
  <c r="K887" i="3" s="1"/>
  <c r="I887" i="3"/>
  <c r="J887" i="3"/>
  <c r="F887" i="3"/>
  <c r="H886" i="3"/>
  <c r="I886" i="3"/>
  <c r="J886" i="3"/>
  <c r="F886" i="3"/>
  <c r="H885" i="3"/>
  <c r="I885" i="3"/>
  <c r="J885" i="3"/>
  <c r="F885" i="3"/>
  <c r="H884" i="3"/>
  <c r="I884" i="3"/>
  <c r="J884" i="3"/>
  <c r="F884" i="3"/>
  <c r="K884" i="3" l="1"/>
  <c r="K885" i="3"/>
  <c r="K886" i="3"/>
  <c r="H883" i="3"/>
  <c r="I883" i="3"/>
  <c r="J883" i="3"/>
  <c r="F883" i="3"/>
  <c r="K883" i="3" l="1"/>
  <c r="H882" i="3"/>
  <c r="I882" i="3"/>
  <c r="J882" i="3"/>
  <c r="F882" i="3"/>
  <c r="H881" i="3"/>
  <c r="I881" i="3"/>
  <c r="J881" i="3"/>
  <c r="F881" i="3"/>
  <c r="H880" i="3"/>
  <c r="I880" i="3"/>
  <c r="J880" i="3"/>
  <c r="F880" i="3"/>
  <c r="H879" i="3"/>
  <c r="I879" i="3"/>
  <c r="J879" i="3"/>
  <c r="F879" i="3"/>
  <c r="H878" i="3"/>
  <c r="I878" i="3"/>
  <c r="J878" i="3"/>
  <c r="F878" i="3"/>
  <c r="H877" i="3"/>
  <c r="I877" i="3"/>
  <c r="J877" i="3"/>
  <c r="F877" i="3"/>
  <c r="H876" i="3"/>
  <c r="I876" i="3"/>
  <c r="J876" i="3"/>
  <c r="F876" i="3"/>
  <c r="H875" i="3"/>
  <c r="I875" i="3"/>
  <c r="J875" i="3"/>
  <c r="F875" i="3"/>
  <c r="H874" i="3"/>
  <c r="I874" i="3"/>
  <c r="J874" i="3"/>
  <c r="F874" i="3"/>
  <c r="H873" i="3"/>
  <c r="I873" i="3"/>
  <c r="J873" i="3"/>
  <c r="F873" i="3"/>
  <c r="N925" i="3" s="1"/>
  <c r="H872" i="3"/>
  <c r="I872" i="3"/>
  <c r="J872" i="3"/>
  <c r="F872" i="3"/>
  <c r="N924" i="3" s="1"/>
  <c r="H871" i="3"/>
  <c r="I871" i="3"/>
  <c r="J871" i="3"/>
  <c r="F871" i="3"/>
  <c r="N923" i="3" s="1"/>
  <c r="H870" i="3"/>
  <c r="I870" i="3"/>
  <c r="J870" i="3"/>
  <c r="F870" i="3"/>
  <c r="N922" i="3" s="1"/>
  <c r="H869" i="3"/>
  <c r="I869" i="3"/>
  <c r="J869" i="3"/>
  <c r="F869" i="3"/>
  <c r="N921" i="3" s="1"/>
  <c r="H868" i="3"/>
  <c r="I868" i="3"/>
  <c r="J868" i="3"/>
  <c r="F868" i="3"/>
  <c r="N920" i="3" s="1"/>
  <c r="J867" i="3"/>
  <c r="I867" i="3"/>
  <c r="H867" i="3"/>
  <c r="F867" i="3"/>
  <c r="N919" i="3" s="1"/>
  <c r="H866" i="3"/>
  <c r="I866" i="3"/>
  <c r="J866" i="3"/>
  <c r="F866" i="3"/>
  <c r="N918" i="3" s="1"/>
  <c r="H865" i="3"/>
  <c r="I865" i="3"/>
  <c r="J865" i="3"/>
  <c r="F865" i="3"/>
  <c r="N917" i="3" s="1"/>
  <c r="H864" i="3"/>
  <c r="I864" i="3"/>
  <c r="J864" i="3"/>
  <c r="F864" i="3"/>
  <c r="N916" i="3" s="1"/>
  <c r="H863" i="3"/>
  <c r="I863" i="3"/>
  <c r="J863" i="3"/>
  <c r="F863" i="3"/>
  <c r="N915" i="3" s="1"/>
  <c r="H862" i="3"/>
  <c r="I862" i="3"/>
  <c r="J862" i="3"/>
  <c r="F862" i="3"/>
  <c r="N914" i="3" s="1"/>
  <c r="H861" i="3"/>
  <c r="I861" i="3"/>
  <c r="J861" i="3"/>
  <c r="F861" i="3"/>
  <c r="N913" i="3" s="1"/>
  <c r="H860" i="3"/>
  <c r="I860" i="3"/>
  <c r="J860" i="3"/>
  <c r="F860" i="3"/>
  <c r="N912" i="3" s="1"/>
  <c r="H859" i="3"/>
  <c r="I859" i="3"/>
  <c r="J859" i="3"/>
  <c r="F859" i="3"/>
  <c r="N911" i="3" s="1"/>
  <c r="H858" i="3"/>
  <c r="I858" i="3"/>
  <c r="J858" i="3"/>
  <c r="F858" i="3"/>
  <c r="N910" i="3" s="1"/>
  <c r="H857" i="3"/>
  <c r="I857" i="3"/>
  <c r="J857" i="3"/>
  <c r="F857" i="3"/>
  <c r="N909" i="3" s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N58" i="3" s="1"/>
  <c r="F59" i="3"/>
  <c r="F60" i="3"/>
  <c r="F61" i="3"/>
  <c r="F62" i="3"/>
  <c r="F63" i="3"/>
  <c r="N63" i="3" s="1"/>
  <c r="F64" i="3"/>
  <c r="N64" i="3" s="1"/>
  <c r="F65" i="3"/>
  <c r="N65" i="3" s="1"/>
  <c r="F66" i="3"/>
  <c r="N66" i="3" s="1"/>
  <c r="F67" i="3"/>
  <c r="F68" i="3"/>
  <c r="F69" i="3"/>
  <c r="F70" i="3"/>
  <c r="F71" i="3"/>
  <c r="N71" i="3" s="1"/>
  <c r="F72" i="3"/>
  <c r="F73" i="3"/>
  <c r="N73" i="3" s="1"/>
  <c r="F74" i="3"/>
  <c r="N74" i="3" s="1"/>
  <c r="F75" i="3"/>
  <c r="F76" i="3"/>
  <c r="F77" i="3"/>
  <c r="F78" i="3"/>
  <c r="F79" i="3"/>
  <c r="N79" i="3" s="1"/>
  <c r="F80" i="3"/>
  <c r="N80" i="3" s="1"/>
  <c r="F81" i="3"/>
  <c r="N81" i="3" s="1"/>
  <c r="F82" i="3"/>
  <c r="N82" i="3" s="1"/>
  <c r="F83" i="3"/>
  <c r="F84" i="3"/>
  <c r="F85" i="3"/>
  <c r="F86" i="3"/>
  <c r="F87" i="3"/>
  <c r="N87" i="3" s="1"/>
  <c r="F88" i="3"/>
  <c r="N88" i="3" s="1"/>
  <c r="F89" i="3"/>
  <c r="N89" i="3" s="1"/>
  <c r="F90" i="3"/>
  <c r="N90" i="3" s="1"/>
  <c r="F91" i="3"/>
  <c r="F92" i="3"/>
  <c r="F93" i="3"/>
  <c r="F94" i="3"/>
  <c r="F95" i="3"/>
  <c r="N95" i="3" s="1"/>
  <c r="F96" i="3"/>
  <c r="N96" i="3" s="1"/>
  <c r="F97" i="3"/>
  <c r="N97" i="3" s="1"/>
  <c r="F98" i="3"/>
  <c r="N98" i="3" s="1"/>
  <c r="F99" i="3"/>
  <c r="F100" i="3"/>
  <c r="F101" i="3"/>
  <c r="F102" i="3"/>
  <c r="F103" i="3"/>
  <c r="N103" i="3" s="1"/>
  <c r="F104" i="3"/>
  <c r="N104" i="3" s="1"/>
  <c r="F105" i="3"/>
  <c r="N105" i="3" s="1"/>
  <c r="F106" i="3"/>
  <c r="N106" i="3" s="1"/>
  <c r="F107" i="3"/>
  <c r="F108" i="3"/>
  <c r="F109" i="3"/>
  <c r="F110" i="3"/>
  <c r="F111" i="3"/>
  <c r="N111" i="3" s="1"/>
  <c r="F112" i="3"/>
  <c r="N112" i="3" s="1"/>
  <c r="F113" i="3"/>
  <c r="N113" i="3" s="1"/>
  <c r="F114" i="3"/>
  <c r="N114" i="3" s="1"/>
  <c r="F115" i="3"/>
  <c r="F116" i="3"/>
  <c r="F117" i="3"/>
  <c r="F118" i="3"/>
  <c r="F119" i="3"/>
  <c r="N119" i="3" s="1"/>
  <c r="F120" i="3"/>
  <c r="N120" i="3" s="1"/>
  <c r="F121" i="3"/>
  <c r="N121" i="3" s="1"/>
  <c r="F122" i="3"/>
  <c r="N122" i="3" s="1"/>
  <c r="F123" i="3"/>
  <c r="F124" i="3"/>
  <c r="F125" i="3"/>
  <c r="F126" i="3"/>
  <c r="F127" i="3"/>
  <c r="F128" i="3"/>
  <c r="F129" i="3"/>
  <c r="N129" i="3" s="1"/>
  <c r="F130" i="3"/>
  <c r="N130" i="3" s="1"/>
  <c r="F131" i="3"/>
  <c r="F132" i="3"/>
  <c r="F133" i="3"/>
  <c r="F134" i="3"/>
  <c r="F135" i="3"/>
  <c r="N135" i="3" s="1"/>
  <c r="F136" i="3"/>
  <c r="F137" i="3"/>
  <c r="N137" i="3" s="1"/>
  <c r="F138" i="3"/>
  <c r="N138" i="3" s="1"/>
  <c r="F139" i="3"/>
  <c r="F140" i="3"/>
  <c r="F141" i="3"/>
  <c r="F142" i="3"/>
  <c r="F143" i="3"/>
  <c r="N143" i="3" s="1"/>
  <c r="F144" i="3"/>
  <c r="N144" i="3" s="1"/>
  <c r="F145" i="3"/>
  <c r="N145" i="3" s="1"/>
  <c r="F146" i="3"/>
  <c r="N146" i="3" s="1"/>
  <c r="F147" i="3"/>
  <c r="F148" i="3"/>
  <c r="F149" i="3"/>
  <c r="F150" i="3"/>
  <c r="F151" i="3"/>
  <c r="N151" i="3" s="1"/>
  <c r="F152" i="3"/>
  <c r="N152" i="3" s="1"/>
  <c r="F153" i="3"/>
  <c r="N153" i="3" s="1"/>
  <c r="F154" i="3"/>
  <c r="N154" i="3" s="1"/>
  <c r="F155" i="3"/>
  <c r="F156" i="3"/>
  <c r="F157" i="3"/>
  <c r="F158" i="3"/>
  <c r="F159" i="3"/>
  <c r="N159" i="3" s="1"/>
  <c r="F160" i="3"/>
  <c r="F161" i="3"/>
  <c r="N161" i="3" s="1"/>
  <c r="F162" i="3"/>
  <c r="N162" i="3" s="1"/>
  <c r="F163" i="3"/>
  <c r="F164" i="3"/>
  <c r="F165" i="3"/>
  <c r="F166" i="3"/>
  <c r="F167" i="3"/>
  <c r="N167" i="3" s="1"/>
  <c r="F168" i="3"/>
  <c r="N168" i="3" s="1"/>
  <c r="F169" i="3"/>
  <c r="N169" i="3" s="1"/>
  <c r="F170" i="3"/>
  <c r="N170" i="3" s="1"/>
  <c r="F171" i="3"/>
  <c r="F172" i="3"/>
  <c r="F173" i="3"/>
  <c r="F174" i="3"/>
  <c r="F175" i="3"/>
  <c r="N175" i="3" s="1"/>
  <c r="F176" i="3"/>
  <c r="N176" i="3" s="1"/>
  <c r="F177" i="3"/>
  <c r="N177" i="3" s="1"/>
  <c r="F178" i="3"/>
  <c r="N178" i="3" s="1"/>
  <c r="F179" i="3"/>
  <c r="F180" i="3"/>
  <c r="F181" i="3"/>
  <c r="F182" i="3"/>
  <c r="F183" i="3"/>
  <c r="N183" i="3" s="1"/>
  <c r="F184" i="3"/>
  <c r="F185" i="3"/>
  <c r="N185" i="3" s="1"/>
  <c r="F186" i="3"/>
  <c r="N186" i="3" s="1"/>
  <c r="F187" i="3"/>
  <c r="F188" i="3"/>
  <c r="F189" i="3"/>
  <c r="F190" i="3"/>
  <c r="F191" i="3"/>
  <c r="N191" i="3" s="1"/>
  <c r="F192" i="3"/>
  <c r="N192" i="3" s="1"/>
  <c r="F193" i="3"/>
  <c r="N193" i="3" s="1"/>
  <c r="F194" i="3"/>
  <c r="N194" i="3" s="1"/>
  <c r="F195" i="3"/>
  <c r="F196" i="3"/>
  <c r="F197" i="3"/>
  <c r="F198" i="3"/>
  <c r="F199" i="3"/>
  <c r="N199" i="3" s="1"/>
  <c r="F200" i="3"/>
  <c r="N200" i="3" s="1"/>
  <c r="F201" i="3"/>
  <c r="N201" i="3" s="1"/>
  <c r="F202" i="3"/>
  <c r="N202" i="3" s="1"/>
  <c r="F203" i="3"/>
  <c r="F204" i="3"/>
  <c r="F205" i="3"/>
  <c r="F206" i="3"/>
  <c r="F207" i="3"/>
  <c r="N207" i="3" s="1"/>
  <c r="F208" i="3"/>
  <c r="N208" i="3" s="1"/>
  <c r="F209" i="3"/>
  <c r="F210" i="3"/>
  <c r="N210" i="3" s="1"/>
  <c r="F211" i="3"/>
  <c r="F212" i="3"/>
  <c r="F213" i="3"/>
  <c r="F214" i="3"/>
  <c r="F215" i="3"/>
  <c r="F216" i="3"/>
  <c r="F217" i="3"/>
  <c r="N217" i="3" s="1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N242" i="3" s="1"/>
  <c r="F243" i="3"/>
  <c r="F244" i="3"/>
  <c r="F245" i="3"/>
  <c r="F246" i="3"/>
  <c r="F247" i="3"/>
  <c r="F248" i="3"/>
  <c r="N248" i="3" s="1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N266" i="3" s="1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N290" i="3" s="1"/>
  <c r="F291" i="3"/>
  <c r="F292" i="3"/>
  <c r="F293" i="3"/>
  <c r="F294" i="3"/>
  <c r="F295" i="3"/>
  <c r="F296" i="3"/>
  <c r="F297" i="3"/>
  <c r="N297" i="3" s="1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N320" i="3" s="1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N345" i="3" s="1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N370" i="3" s="1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N394" i="3" s="1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N418" i="3" s="1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N434" i="3" s="1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N471" i="3" s="1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N487" i="3" s="1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N503" i="3" s="1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N519" i="3" s="1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N544" i="3" s="1"/>
  <c r="F545" i="3"/>
  <c r="F546" i="3"/>
  <c r="N546" i="3" s="1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N560" i="3" s="1"/>
  <c r="F561" i="3"/>
  <c r="N561" i="3" s="1"/>
  <c r="F562" i="3"/>
  <c r="N562" i="3" s="1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N576" i="3" s="1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H856" i="3"/>
  <c r="I856" i="3"/>
  <c r="J856" i="3"/>
  <c r="F856" i="3"/>
  <c r="N908" i="3" s="1"/>
  <c r="H855" i="3"/>
  <c r="I855" i="3"/>
  <c r="J855" i="3"/>
  <c r="F855" i="3"/>
  <c r="N907" i="3" s="1"/>
  <c r="H854" i="3"/>
  <c r="K854" i="3" s="1"/>
  <c r="I854" i="3"/>
  <c r="J854" i="3"/>
  <c r="F854" i="3"/>
  <c r="N906" i="3" s="1"/>
  <c r="H853" i="3"/>
  <c r="I853" i="3"/>
  <c r="J853" i="3"/>
  <c r="F853" i="3"/>
  <c r="N905" i="3" s="1"/>
  <c r="K863" i="3" l="1"/>
  <c r="N91" i="3"/>
  <c r="N83" i="3"/>
  <c r="K866" i="3"/>
  <c r="K855" i="3"/>
  <c r="N502" i="3"/>
  <c r="N340" i="3"/>
  <c r="N236" i="3"/>
  <c r="K859" i="3"/>
  <c r="K860" i="3"/>
  <c r="K861" i="3"/>
  <c r="K880" i="3"/>
  <c r="K881" i="3"/>
  <c r="N109" i="3"/>
  <c r="K864" i="3"/>
  <c r="K868" i="3"/>
  <c r="N435" i="3"/>
  <c r="K872" i="3"/>
  <c r="K876" i="3"/>
  <c r="N158" i="3"/>
  <c r="K878" i="3"/>
  <c r="N494" i="3"/>
  <c r="N446" i="3"/>
  <c r="N461" i="3"/>
  <c r="N445" i="3"/>
  <c r="K857" i="3"/>
  <c r="N534" i="3"/>
  <c r="N123" i="3"/>
  <c r="K853" i="3"/>
  <c r="K871" i="3"/>
  <c r="K879" i="3"/>
  <c r="N584" i="3"/>
  <c r="N512" i="3"/>
  <c r="N488" i="3"/>
  <c r="N456" i="3"/>
  <c r="N424" i="3"/>
  <c r="N392" i="3"/>
  <c r="N376" i="3"/>
  <c r="N352" i="3"/>
  <c r="N328" i="3"/>
  <c r="N296" i="3"/>
  <c r="N264" i="3"/>
  <c r="N240" i="3"/>
  <c r="N160" i="3"/>
  <c r="N212" i="3"/>
  <c r="N136" i="3"/>
  <c r="N188" i="3"/>
  <c r="N72" i="3"/>
  <c r="N124" i="3"/>
  <c r="N551" i="3"/>
  <c r="N527" i="3"/>
  <c r="N495" i="3"/>
  <c r="N423" i="3"/>
  <c r="N399" i="3"/>
  <c r="N367" i="3"/>
  <c r="N335" i="3"/>
  <c r="N311" i="3"/>
  <c r="N279" i="3"/>
  <c r="N247" i="3"/>
  <c r="N231" i="3"/>
  <c r="N585" i="3"/>
  <c r="N577" i="3"/>
  <c r="N569" i="3"/>
  <c r="N553" i="3"/>
  <c r="N545" i="3"/>
  <c r="N537" i="3"/>
  <c r="N529" i="3"/>
  <c r="N521" i="3"/>
  <c r="N513" i="3"/>
  <c r="N505" i="3"/>
  <c r="N497" i="3"/>
  <c r="N481" i="3"/>
  <c r="N473" i="3"/>
  <c r="N465" i="3"/>
  <c r="N457" i="3"/>
  <c r="N449" i="3"/>
  <c r="N441" i="3"/>
  <c r="N433" i="3"/>
  <c r="N425" i="3"/>
  <c r="N409" i="3"/>
  <c r="N401" i="3"/>
  <c r="N385" i="3"/>
  <c r="N377" i="3"/>
  <c r="N369" i="3"/>
  <c r="N361" i="3"/>
  <c r="N353" i="3"/>
  <c r="N337" i="3"/>
  <c r="N329" i="3"/>
  <c r="N313" i="3"/>
  <c r="N305" i="3"/>
  <c r="N289" i="3"/>
  <c r="N281" i="3"/>
  <c r="N273" i="3"/>
  <c r="N265" i="3"/>
  <c r="N257" i="3"/>
  <c r="N309" i="3"/>
  <c r="N249" i="3"/>
  <c r="N241" i="3"/>
  <c r="N233" i="3"/>
  <c r="N285" i="3"/>
  <c r="N225" i="3"/>
  <c r="N209" i="3"/>
  <c r="N261" i="3"/>
  <c r="N530" i="3"/>
  <c r="N389" i="3"/>
  <c r="N552" i="3"/>
  <c r="N520" i="3"/>
  <c r="N480" i="3"/>
  <c r="N448" i="3"/>
  <c r="N416" i="3"/>
  <c r="N384" i="3"/>
  <c r="N312" i="3"/>
  <c r="N567" i="3"/>
  <c r="N535" i="3"/>
  <c r="N511" i="3"/>
  <c r="N439" i="3"/>
  <c r="N407" i="3"/>
  <c r="N375" i="3"/>
  <c r="N351" i="3"/>
  <c r="N319" i="3"/>
  <c r="N287" i="3"/>
  <c r="N255" i="3"/>
  <c r="N223" i="3"/>
  <c r="N364" i="3"/>
  <c r="N417" i="3"/>
  <c r="N455" i="3"/>
  <c r="N413" i="3"/>
  <c r="N344" i="3"/>
  <c r="N272" i="3"/>
  <c r="N568" i="3"/>
  <c r="N536" i="3"/>
  <c r="N504" i="3"/>
  <c r="N472" i="3"/>
  <c r="N440" i="3"/>
  <c r="N408" i="3"/>
  <c r="N336" i="3"/>
  <c r="N304" i="3"/>
  <c r="N280" i="3"/>
  <c r="N216" i="3"/>
  <c r="N316" i="3"/>
  <c r="N559" i="3"/>
  <c r="N463" i="3"/>
  <c r="N431" i="3"/>
  <c r="N391" i="3"/>
  <c r="N359" i="3"/>
  <c r="N327" i="3"/>
  <c r="N295" i="3"/>
  <c r="N271" i="3"/>
  <c r="N239" i="3"/>
  <c r="N215" i="3"/>
  <c r="N368" i="3"/>
  <c r="N589" i="3"/>
  <c r="N575" i="3"/>
  <c r="N528" i="3"/>
  <c r="N496" i="3"/>
  <c r="N464" i="3"/>
  <c r="N432" i="3"/>
  <c r="N400" i="3"/>
  <c r="N360" i="3"/>
  <c r="N288" i="3"/>
  <c r="N256" i="3"/>
  <c r="N232" i="3"/>
  <c r="N583" i="3"/>
  <c r="N543" i="3"/>
  <c r="N479" i="3"/>
  <c r="N447" i="3"/>
  <c r="N415" i="3"/>
  <c r="N383" i="3"/>
  <c r="N343" i="3"/>
  <c r="N303" i="3"/>
  <c r="N263" i="3"/>
  <c r="N224" i="3"/>
  <c r="N586" i="3"/>
  <c r="N578" i="3"/>
  <c r="N570" i="3"/>
  <c r="N554" i="3"/>
  <c r="N538" i="3"/>
  <c r="N522" i="3"/>
  <c r="N514" i="3"/>
  <c r="N506" i="3"/>
  <c r="N498" i="3"/>
  <c r="N490" i="3"/>
  <c r="N542" i="3"/>
  <c r="N482" i="3"/>
  <c r="N474" i="3"/>
  <c r="N526" i="3"/>
  <c r="N466" i="3"/>
  <c r="N458" i="3"/>
  <c r="N450" i="3"/>
  <c r="N442" i="3"/>
  <c r="N426" i="3"/>
  <c r="N410" i="3"/>
  <c r="N402" i="3"/>
  <c r="N386" i="3"/>
  <c r="N378" i="3"/>
  <c r="N430" i="3"/>
  <c r="N362" i="3"/>
  <c r="N354" i="3"/>
  <c r="N346" i="3"/>
  <c r="N338" i="3"/>
  <c r="N330" i="3"/>
  <c r="N382" i="3"/>
  <c r="N322" i="3"/>
  <c r="N314" i="3"/>
  <c r="N306" i="3"/>
  <c r="N358" i="3"/>
  <c r="N298" i="3"/>
  <c r="N282" i="3"/>
  <c r="N334" i="3"/>
  <c r="N274" i="3"/>
  <c r="N258" i="3"/>
  <c r="N250" i="3"/>
  <c r="N234" i="3"/>
  <c r="N226" i="3"/>
  <c r="N218" i="3"/>
  <c r="N489" i="3"/>
  <c r="N451" i="3"/>
  <c r="N393" i="3"/>
  <c r="N321" i="3"/>
  <c r="N184" i="3"/>
  <c r="N582" i="3"/>
  <c r="N558" i="3"/>
  <c r="N454" i="3"/>
  <c r="N422" i="3"/>
  <c r="N398" i="3"/>
  <c r="N374" i="3"/>
  <c r="N326" i="3"/>
  <c r="N587" i="3"/>
  <c r="N579" i="3"/>
  <c r="N571" i="3"/>
  <c r="N563" i="3"/>
  <c r="N555" i="3"/>
  <c r="N547" i="3"/>
  <c r="N539" i="3"/>
  <c r="N531" i="3"/>
  <c r="N523" i="3"/>
  <c r="N515" i="3"/>
  <c r="N507" i="3"/>
  <c r="N499" i="3"/>
  <c r="N491" i="3"/>
  <c r="N483" i="3"/>
  <c r="N475" i="3"/>
  <c r="N467" i="3"/>
  <c r="N459" i="3"/>
  <c r="N443" i="3"/>
  <c r="N427" i="3"/>
  <c r="N419" i="3"/>
  <c r="N411" i="3"/>
  <c r="N403" i="3"/>
  <c r="N395" i="3"/>
  <c r="N387" i="3"/>
  <c r="N379" i="3"/>
  <c r="N371" i="3"/>
  <c r="N363" i="3"/>
  <c r="N486" i="3"/>
  <c r="N342" i="3"/>
  <c r="N310" i="3"/>
  <c r="N286" i="3"/>
  <c r="N278" i="3"/>
  <c r="N270" i="3"/>
  <c r="N262" i="3"/>
  <c r="N222" i="3"/>
  <c r="N214" i="3"/>
  <c r="N206" i="3"/>
  <c r="N198" i="3"/>
  <c r="N190" i="3"/>
  <c r="N182" i="3"/>
  <c r="N174" i="3"/>
  <c r="N166" i="3"/>
  <c r="N150" i="3"/>
  <c r="N142" i="3"/>
  <c r="N134" i="3"/>
  <c r="N126" i="3"/>
  <c r="N118" i="3"/>
  <c r="N110" i="3"/>
  <c r="N102" i="3"/>
  <c r="N94" i="3"/>
  <c r="N86" i="3"/>
  <c r="N78" i="3"/>
  <c r="N70" i="3"/>
  <c r="N62" i="3"/>
  <c r="K856" i="3"/>
  <c r="N566" i="3"/>
  <c r="N470" i="3"/>
  <c r="N438" i="3"/>
  <c r="N406" i="3"/>
  <c r="N294" i="3"/>
  <c r="N246" i="3"/>
  <c r="N565" i="3"/>
  <c r="N549" i="3"/>
  <c r="N533" i="3"/>
  <c r="N517" i="3"/>
  <c r="N501" i="3"/>
  <c r="N485" i="3"/>
  <c r="N469" i="3"/>
  <c r="N453" i="3"/>
  <c r="N437" i="3"/>
  <c r="N397" i="3"/>
  <c r="N381" i="3"/>
  <c r="N357" i="3"/>
  <c r="N341" i="3"/>
  <c r="N325" i="3"/>
  <c r="N317" i="3"/>
  <c r="N301" i="3"/>
  <c r="N293" i="3"/>
  <c r="N277" i="3"/>
  <c r="N269" i="3"/>
  <c r="N253" i="3"/>
  <c r="N245" i="3"/>
  <c r="N237" i="3"/>
  <c r="N221" i="3"/>
  <c r="N213" i="3"/>
  <c r="N205" i="3"/>
  <c r="N197" i="3"/>
  <c r="N189" i="3"/>
  <c r="N181" i="3"/>
  <c r="N173" i="3"/>
  <c r="N165" i="3"/>
  <c r="N157" i="3"/>
  <c r="N149" i="3"/>
  <c r="N141" i="3"/>
  <c r="N133" i="3"/>
  <c r="N125" i="3"/>
  <c r="N117" i="3"/>
  <c r="N101" i="3"/>
  <c r="N93" i="3"/>
  <c r="N85" i="3"/>
  <c r="N77" i="3"/>
  <c r="N69" i="3"/>
  <c r="N61" i="3"/>
  <c r="N510" i="3"/>
  <c r="N478" i="3"/>
  <c r="N574" i="3"/>
  <c r="N550" i="3"/>
  <c r="N518" i="3"/>
  <c r="N462" i="3"/>
  <c r="N414" i="3"/>
  <c r="N390" i="3"/>
  <c r="N366" i="3"/>
  <c r="N350" i="3"/>
  <c r="N318" i="3"/>
  <c r="N302" i="3"/>
  <c r="N238" i="3"/>
  <c r="N573" i="3"/>
  <c r="N557" i="3"/>
  <c r="N541" i="3"/>
  <c r="N525" i="3"/>
  <c r="N509" i="3"/>
  <c r="N493" i="3"/>
  <c r="N477" i="3"/>
  <c r="N429" i="3"/>
  <c r="N421" i="3"/>
  <c r="N405" i="3"/>
  <c r="N373" i="3"/>
  <c r="N365" i="3"/>
  <c r="N349" i="3"/>
  <c r="N333" i="3"/>
  <c r="N229" i="3"/>
  <c r="N588" i="3"/>
  <c r="N580" i="3"/>
  <c r="N572" i="3"/>
  <c r="N564" i="3"/>
  <c r="N556" i="3"/>
  <c r="N548" i="3"/>
  <c r="N540" i="3"/>
  <c r="N532" i="3"/>
  <c r="N524" i="3"/>
  <c r="N516" i="3"/>
  <c r="N508" i="3"/>
  <c r="N500" i="3"/>
  <c r="N492" i="3"/>
  <c r="N484" i="3"/>
  <c r="N476" i="3"/>
  <c r="N468" i="3"/>
  <c r="N460" i="3"/>
  <c r="N452" i="3"/>
  <c r="N444" i="3"/>
  <c r="N436" i="3"/>
  <c r="N428" i="3"/>
  <c r="N420" i="3"/>
  <c r="N412" i="3"/>
  <c r="N404" i="3"/>
  <c r="N396" i="3"/>
  <c r="N388" i="3"/>
  <c r="N380" i="3"/>
  <c r="N372" i="3"/>
  <c r="N356" i="3"/>
  <c r="N348" i="3"/>
  <c r="N332" i="3"/>
  <c r="N324" i="3"/>
  <c r="N308" i="3"/>
  <c r="N300" i="3"/>
  <c r="N292" i="3"/>
  <c r="N284" i="3"/>
  <c r="N276" i="3"/>
  <c r="N268" i="3"/>
  <c r="N260" i="3"/>
  <c r="N252" i="3"/>
  <c r="N244" i="3"/>
  <c r="N228" i="3"/>
  <c r="N220" i="3"/>
  <c r="N204" i="3"/>
  <c r="N196" i="3"/>
  <c r="N180" i="3"/>
  <c r="N172" i="3"/>
  <c r="N164" i="3"/>
  <c r="N156" i="3"/>
  <c r="N148" i="3"/>
  <c r="N140" i="3"/>
  <c r="N132" i="3"/>
  <c r="N68" i="3"/>
  <c r="N581" i="3"/>
  <c r="N254" i="3"/>
  <c r="N230" i="3"/>
  <c r="N116" i="3"/>
  <c r="N108" i="3"/>
  <c r="N100" i="3"/>
  <c r="N92" i="3"/>
  <c r="N84" i="3"/>
  <c r="N60" i="3"/>
  <c r="N355" i="3"/>
  <c r="N347" i="3"/>
  <c r="N339" i="3"/>
  <c r="N331" i="3"/>
  <c r="N323" i="3"/>
  <c r="N315" i="3"/>
  <c r="N307" i="3"/>
  <c r="N299" i="3"/>
  <c r="N291" i="3"/>
  <c r="N283" i="3"/>
  <c r="N275" i="3"/>
  <c r="N267" i="3"/>
  <c r="N259" i="3"/>
  <c r="N251" i="3"/>
  <c r="N243" i="3"/>
  <c r="N235" i="3"/>
  <c r="N227" i="3"/>
  <c r="N219" i="3"/>
  <c r="N211" i="3"/>
  <c r="N203" i="3"/>
  <c r="N195" i="3"/>
  <c r="N187" i="3"/>
  <c r="N179" i="3"/>
  <c r="N171" i="3"/>
  <c r="N163" i="3"/>
  <c r="N155" i="3"/>
  <c r="N147" i="3"/>
  <c r="N139" i="3"/>
  <c r="N131" i="3"/>
  <c r="N115" i="3"/>
  <c r="N107" i="3"/>
  <c r="N99" i="3"/>
  <c r="N67" i="3"/>
  <c r="N59" i="3"/>
  <c r="K875" i="3"/>
  <c r="K877" i="3"/>
  <c r="K867" i="3"/>
  <c r="K870" i="3"/>
  <c r="K858" i="3"/>
  <c r="K869" i="3"/>
  <c r="K873" i="3"/>
  <c r="K865" i="3"/>
  <c r="K862" i="3"/>
  <c r="K874" i="3"/>
  <c r="K882" i="3"/>
  <c r="H852" i="3"/>
  <c r="I852" i="3"/>
  <c r="J852" i="3"/>
  <c r="F852" i="3"/>
  <c r="N904" i="3" s="1"/>
  <c r="H851" i="3"/>
  <c r="I851" i="3"/>
  <c r="J851" i="3"/>
  <c r="F851" i="3"/>
  <c r="N903" i="3" s="1"/>
  <c r="H850" i="3"/>
  <c r="I850" i="3"/>
  <c r="J850" i="3"/>
  <c r="F850" i="3"/>
  <c r="N902" i="3" s="1"/>
  <c r="H849" i="3"/>
  <c r="I849" i="3"/>
  <c r="J849" i="3"/>
  <c r="F849" i="3"/>
  <c r="N901" i="3" s="1"/>
  <c r="H848" i="3"/>
  <c r="I848" i="3"/>
  <c r="J848" i="3"/>
  <c r="F848" i="3"/>
  <c r="N900" i="3" s="1"/>
  <c r="K850" i="3" l="1"/>
  <c r="K852" i="3"/>
  <c r="K851" i="3"/>
  <c r="K848" i="3"/>
  <c r="K849" i="3"/>
  <c r="H847" i="3"/>
  <c r="I847" i="3"/>
  <c r="J847" i="3"/>
  <c r="F847" i="3"/>
  <c r="N899" i="3" s="1"/>
  <c r="H846" i="3"/>
  <c r="I846" i="3"/>
  <c r="J846" i="3"/>
  <c r="F846" i="3"/>
  <c r="N898" i="3" s="1"/>
  <c r="H845" i="3"/>
  <c r="I845" i="3"/>
  <c r="J845" i="3"/>
  <c r="F845" i="3"/>
  <c r="N897" i="3" s="1"/>
  <c r="H844" i="3"/>
  <c r="I844" i="3"/>
  <c r="J844" i="3"/>
  <c r="F844" i="3"/>
  <c r="N896" i="3" s="1"/>
  <c r="H843" i="3"/>
  <c r="I843" i="3"/>
  <c r="J843" i="3"/>
  <c r="F843" i="3"/>
  <c r="N895" i="3" s="1"/>
  <c r="H842" i="3"/>
  <c r="I842" i="3"/>
  <c r="J842" i="3"/>
  <c r="F842" i="3"/>
  <c r="N894" i="3" s="1"/>
  <c r="H841" i="3"/>
  <c r="I841" i="3"/>
  <c r="J841" i="3"/>
  <c r="F841" i="3"/>
  <c r="N893" i="3" s="1"/>
  <c r="H840" i="3"/>
  <c r="I840" i="3"/>
  <c r="J840" i="3"/>
  <c r="F840" i="3"/>
  <c r="N892" i="3" s="1"/>
  <c r="J839" i="3"/>
  <c r="H839" i="3"/>
  <c r="I839" i="3"/>
  <c r="F839" i="3"/>
  <c r="N891" i="3" s="1"/>
  <c r="H838" i="3"/>
  <c r="I838" i="3"/>
  <c r="J838" i="3"/>
  <c r="F838" i="3"/>
  <c r="N890" i="3" s="1"/>
  <c r="H837" i="3"/>
  <c r="I837" i="3"/>
  <c r="J837" i="3"/>
  <c r="F837" i="3"/>
  <c r="N889" i="3" s="1"/>
  <c r="H836" i="3"/>
  <c r="I836" i="3"/>
  <c r="J836" i="3"/>
  <c r="F836" i="3"/>
  <c r="N888" i="3" s="1"/>
  <c r="H835" i="3"/>
  <c r="I835" i="3"/>
  <c r="J835" i="3"/>
  <c r="F835" i="3"/>
  <c r="N887" i="3" s="1"/>
  <c r="H834" i="3"/>
  <c r="I834" i="3"/>
  <c r="J834" i="3"/>
  <c r="F834" i="3"/>
  <c r="N886" i="3" s="1"/>
  <c r="H833" i="3"/>
  <c r="I833" i="3"/>
  <c r="J833" i="3"/>
  <c r="F833" i="3"/>
  <c r="N885" i="3" s="1"/>
  <c r="H832" i="3"/>
  <c r="I832" i="3"/>
  <c r="J832" i="3"/>
  <c r="F832" i="3"/>
  <c r="N884" i="3" s="1"/>
  <c r="H831" i="3"/>
  <c r="I831" i="3"/>
  <c r="J831" i="3"/>
  <c r="F831" i="3"/>
  <c r="N883" i="3" s="1"/>
  <c r="H830" i="3"/>
  <c r="I830" i="3"/>
  <c r="J830" i="3"/>
  <c r="F830" i="3"/>
  <c r="N882" i="3" s="1"/>
  <c r="H829" i="3"/>
  <c r="I829" i="3"/>
  <c r="J829" i="3"/>
  <c r="F829" i="3"/>
  <c r="N881" i="3" s="1"/>
  <c r="H828" i="3"/>
  <c r="I828" i="3"/>
  <c r="J828" i="3"/>
  <c r="F828" i="3"/>
  <c r="N880" i="3" s="1"/>
  <c r="H827" i="3"/>
  <c r="I827" i="3"/>
  <c r="J827" i="3"/>
  <c r="F827" i="3"/>
  <c r="N879" i="3" s="1"/>
  <c r="H826" i="3"/>
  <c r="I826" i="3"/>
  <c r="J826" i="3"/>
  <c r="F826" i="3"/>
  <c r="N878" i="3" s="1"/>
  <c r="H825" i="3"/>
  <c r="I825" i="3"/>
  <c r="J825" i="3"/>
  <c r="F825" i="3"/>
  <c r="N877" i="3" s="1"/>
  <c r="H824" i="3"/>
  <c r="I824" i="3"/>
  <c r="J824" i="3"/>
  <c r="F824" i="3"/>
  <c r="N876" i="3" s="1"/>
  <c r="H823" i="3"/>
  <c r="I823" i="3"/>
  <c r="J823" i="3"/>
  <c r="F823" i="3"/>
  <c r="N875" i="3" s="1"/>
  <c r="H822" i="3"/>
  <c r="I822" i="3"/>
  <c r="J822" i="3"/>
  <c r="F822" i="3"/>
  <c r="N874" i="3" s="1"/>
  <c r="H821" i="3"/>
  <c r="I821" i="3"/>
  <c r="J821" i="3"/>
  <c r="F821" i="3"/>
  <c r="N873" i="3" s="1"/>
  <c r="H820" i="3"/>
  <c r="I820" i="3"/>
  <c r="J820" i="3"/>
  <c r="F820" i="3"/>
  <c r="N872" i="3" s="1"/>
  <c r="H819" i="3"/>
  <c r="I819" i="3"/>
  <c r="J819" i="3"/>
  <c r="F819" i="3"/>
  <c r="N871" i="3" s="1"/>
  <c r="H818" i="3"/>
  <c r="I818" i="3"/>
  <c r="J818" i="3"/>
  <c r="F818" i="3"/>
  <c r="N870" i="3" s="1"/>
  <c r="H817" i="3"/>
  <c r="I817" i="3"/>
  <c r="J817" i="3"/>
  <c r="F817" i="3"/>
  <c r="N869" i="3" s="1"/>
  <c r="H816" i="3"/>
  <c r="I816" i="3"/>
  <c r="J816" i="3"/>
  <c r="F816" i="3"/>
  <c r="N868" i="3" s="1"/>
  <c r="H815" i="3"/>
  <c r="I815" i="3"/>
  <c r="J815" i="3"/>
  <c r="F815" i="3"/>
  <c r="N867" i="3" s="1"/>
  <c r="H814" i="3"/>
  <c r="I814" i="3"/>
  <c r="J814" i="3"/>
  <c r="F814" i="3"/>
  <c r="N866" i="3" s="1"/>
  <c r="H813" i="3"/>
  <c r="I813" i="3"/>
  <c r="J813" i="3"/>
  <c r="F813" i="3"/>
  <c r="N865" i="3" s="1"/>
  <c r="H812" i="3"/>
  <c r="I812" i="3"/>
  <c r="J812" i="3"/>
  <c r="F812" i="3"/>
  <c r="N864" i="3" s="1"/>
  <c r="H811" i="3"/>
  <c r="I811" i="3"/>
  <c r="J811" i="3"/>
  <c r="F811" i="3"/>
  <c r="N863" i="3" s="1"/>
  <c r="H810" i="3"/>
  <c r="I810" i="3"/>
  <c r="J810" i="3"/>
  <c r="F810" i="3"/>
  <c r="N862" i="3" s="1"/>
  <c r="H809" i="3"/>
  <c r="I809" i="3"/>
  <c r="J809" i="3"/>
  <c r="F809" i="3"/>
  <c r="N861" i="3" s="1"/>
  <c r="H808" i="3"/>
  <c r="I808" i="3"/>
  <c r="J808" i="3"/>
  <c r="F808" i="3"/>
  <c r="N860" i="3" s="1"/>
  <c r="J807" i="3"/>
  <c r="I807" i="3"/>
  <c r="H807" i="3"/>
  <c r="F807" i="3"/>
  <c r="N859" i="3" s="1"/>
  <c r="J806" i="3"/>
  <c r="I806" i="3"/>
  <c r="H806" i="3"/>
  <c r="F806" i="3"/>
  <c r="N858" i="3" s="1"/>
  <c r="H805" i="3"/>
  <c r="I805" i="3"/>
  <c r="J805" i="3"/>
  <c r="F805" i="3"/>
  <c r="N857" i="3" s="1"/>
  <c r="H804" i="3"/>
  <c r="I804" i="3"/>
  <c r="J804" i="3"/>
  <c r="F804" i="3"/>
  <c r="N856" i="3" s="1"/>
  <c r="H803" i="3"/>
  <c r="I803" i="3"/>
  <c r="J803" i="3"/>
  <c r="F803" i="3"/>
  <c r="N855" i="3" s="1"/>
  <c r="H802" i="3"/>
  <c r="I802" i="3"/>
  <c r="J802" i="3"/>
  <c r="K802" i="3"/>
  <c r="F802" i="3"/>
  <c r="N854" i="3" s="1"/>
  <c r="H801" i="3"/>
  <c r="I801" i="3"/>
  <c r="J801" i="3"/>
  <c r="F801" i="3"/>
  <c r="N853" i="3" s="1"/>
  <c r="H800" i="3"/>
  <c r="I800" i="3"/>
  <c r="J800" i="3"/>
  <c r="F800" i="3"/>
  <c r="N852" i="3" s="1"/>
  <c r="H799" i="3"/>
  <c r="I799" i="3"/>
  <c r="J799" i="3"/>
  <c r="F799" i="3"/>
  <c r="N851" i="3" s="1"/>
  <c r="H798" i="3"/>
  <c r="I798" i="3"/>
  <c r="J798" i="3"/>
  <c r="F798" i="3"/>
  <c r="N850" i="3" s="1"/>
  <c r="H797" i="3"/>
  <c r="I797" i="3"/>
  <c r="J797" i="3"/>
  <c r="F797" i="3"/>
  <c r="N849" i="3" s="1"/>
  <c r="H796" i="3"/>
  <c r="I796" i="3"/>
  <c r="J796" i="3"/>
  <c r="F796" i="3"/>
  <c r="N848" i="3" s="1"/>
  <c r="H795" i="3"/>
  <c r="I795" i="3"/>
  <c r="J795" i="3"/>
  <c r="F795" i="3"/>
  <c r="H794" i="3"/>
  <c r="I794" i="3"/>
  <c r="J794" i="3"/>
  <c r="F794" i="3"/>
  <c r="H793" i="3"/>
  <c r="I793" i="3"/>
  <c r="J793" i="3"/>
  <c r="F793" i="3"/>
  <c r="H792" i="3"/>
  <c r="I792" i="3"/>
  <c r="J792" i="3"/>
  <c r="F792" i="3"/>
  <c r="H791" i="3"/>
  <c r="I791" i="3"/>
  <c r="J791" i="3"/>
  <c r="F791" i="3"/>
  <c r="H790" i="3"/>
  <c r="I790" i="3"/>
  <c r="J790" i="3"/>
  <c r="F790" i="3"/>
  <c r="H789" i="3"/>
  <c r="I789" i="3"/>
  <c r="J789" i="3"/>
  <c r="F789" i="3"/>
  <c r="H788" i="3"/>
  <c r="I788" i="3"/>
  <c r="J788" i="3"/>
  <c r="F788" i="3"/>
  <c r="H787" i="3"/>
  <c r="I787" i="3"/>
  <c r="J787" i="3"/>
  <c r="F787" i="3"/>
  <c r="H786" i="3"/>
  <c r="I786" i="3"/>
  <c r="J786" i="3"/>
  <c r="F786" i="3"/>
  <c r="H785" i="3"/>
  <c r="I785" i="3"/>
  <c r="J785" i="3"/>
  <c r="F785" i="3"/>
  <c r="H784" i="3"/>
  <c r="I784" i="3"/>
  <c r="J784" i="3"/>
  <c r="F784" i="3"/>
  <c r="H783" i="3"/>
  <c r="I783" i="3"/>
  <c r="J783" i="3"/>
  <c r="F783" i="3"/>
  <c r="H782" i="3"/>
  <c r="I782" i="3"/>
  <c r="J782" i="3"/>
  <c r="F782" i="3"/>
  <c r="H781" i="3"/>
  <c r="I781" i="3"/>
  <c r="J781" i="3"/>
  <c r="F781" i="3"/>
  <c r="H780" i="3"/>
  <c r="I780" i="3"/>
  <c r="J780" i="3"/>
  <c r="F780" i="3"/>
  <c r="H779" i="3"/>
  <c r="I779" i="3"/>
  <c r="J779" i="3"/>
  <c r="F779" i="3"/>
  <c r="H778" i="3"/>
  <c r="I778" i="3"/>
  <c r="J778" i="3"/>
  <c r="F778" i="3"/>
  <c r="H777" i="3"/>
  <c r="I777" i="3"/>
  <c r="J777" i="3"/>
  <c r="F777" i="3"/>
  <c r="F776" i="3"/>
  <c r="H776" i="3"/>
  <c r="I776" i="3"/>
  <c r="J776" i="3"/>
  <c r="H775" i="3"/>
  <c r="I775" i="3"/>
  <c r="J775" i="3"/>
  <c r="F775" i="3"/>
  <c r="H774" i="3"/>
  <c r="I774" i="3"/>
  <c r="J774" i="3"/>
  <c r="F774" i="3"/>
  <c r="H773" i="3"/>
  <c r="I773" i="3"/>
  <c r="J773" i="3"/>
  <c r="F773" i="3"/>
  <c r="H772" i="3"/>
  <c r="I772" i="3"/>
  <c r="J772" i="3"/>
  <c r="F772" i="3"/>
  <c r="H771" i="3"/>
  <c r="I771" i="3"/>
  <c r="J771" i="3"/>
  <c r="F771" i="3"/>
  <c r="H770" i="3"/>
  <c r="I770" i="3"/>
  <c r="J770" i="3"/>
  <c r="F770" i="3"/>
  <c r="H769" i="3"/>
  <c r="I769" i="3"/>
  <c r="J769" i="3"/>
  <c r="F769" i="3"/>
  <c r="H768" i="3"/>
  <c r="I768" i="3"/>
  <c r="J768" i="3"/>
  <c r="F768" i="3"/>
  <c r="H767" i="3"/>
  <c r="I767" i="3"/>
  <c r="J767" i="3"/>
  <c r="F767" i="3"/>
  <c r="H766" i="3"/>
  <c r="I766" i="3"/>
  <c r="J766" i="3"/>
  <c r="F766" i="3"/>
  <c r="H765" i="3"/>
  <c r="I765" i="3"/>
  <c r="J765" i="3"/>
  <c r="F765" i="3"/>
  <c r="H764" i="3"/>
  <c r="I764" i="3"/>
  <c r="J764" i="3"/>
  <c r="F764" i="3"/>
  <c r="H9" i="3"/>
  <c r="I9" i="3"/>
  <c r="J9" i="3"/>
  <c r="H10" i="3"/>
  <c r="I10" i="3"/>
  <c r="J10" i="3"/>
  <c r="H11" i="3"/>
  <c r="I11" i="3"/>
  <c r="J11" i="3"/>
  <c r="H12" i="3"/>
  <c r="I12" i="3"/>
  <c r="J12" i="3"/>
  <c r="H13" i="3"/>
  <c r="I13" i="3"/>
  <c r="J13" i="3"/>
  <c r="H14" i="3"/>
  <c r="I14" i="3"/>
  <c r="J14" i="3"/>
  <c r="H15" i="3"/>
  <c r="I15" i="3"/>
  <c r="J15" i="3"/>
  <c r="H16" i="3"/>
  <c r="I16" i="3"/>
  <c r="J16" i="3"/>
  <c r="H17" i="3"/>
  <c r="I17" i="3"/>
  <c r="J17" i="3"/>
  <c r="H18" i="3"/>
  <c r="I18" i="3"/>
  <c r="J18" i="3"/>
  <c r="H19" i="3"/>
  <c r="I19" i="3"/>
  <c r="J19" i="3"/>
  <c r="H20" i="3"/>
  <c r="I20" i="3"/>
  <c r="J20" i="3"/>
  <c r="H21" i="3"/>
  <c r="I21" i="3"/>
  <c r="J21" i="3"/>
  <c r="H22" i="3"/>
  <c r="I22" i="3"/>
  <c r="J22" i="3"/>
  <c r="H23" i="3"/>
  <c r="I23" i="3"/>
  <c r="J23" i="3"/>
  <c r="H24" i="3"/>
  <c r="I24" i="3"/>
  <c r="J24" i="3"/>
  <c r="H25" i="3"/>
  <c r="I25" i="3"/>
  <c r="J25" i="3"/>
  <c r="H26" i="3"/>
  <c r="I26" i="3"/>
  <c r="J26" i="3"/>
  <c r="H27" i="3"/>
  <c r="I27" i="3"/>
  <c r="J27" i="3"/>
  <c r="H28" i="3"/>
  <c r="I28" i="3"/>
  <c r="J28" i="3"/>
  <c r="H29" i="3"/>
  <c r="I29" i="3"/>
  <c r="J29" i="3"/>
  <c r="H30" i="3"/>
  <c r="I30" i="3"/>
  <c r="J30" i="3"/>
  <c r="H31" i="3"/>
  <c r="I31" i="3"/>
  <c r="J31" i="3"/>
  <c r="H32" i="3"/>
  <c r="I32" i="3"/>
  <c r="J32" i="3"/>
  <c r="H33" i="3"/>
  <c r="I33" i="3"/>
  <c r="J33" i="3"/>
  <c r="H34" i="3"/>
  <c r="I34" i="3"/>
  <c r="J34" i="3"/>
  <c r="H35" i="3"/>
  <c r="I35" i="3"/>
  <c r="J35" i="3"/>
  <c r="H36" i="3"/>
  <c r="I36" i="3"/>
  <c r="J36" i="3"/>
  <c r="H37" i="3"/>
  <c r="I37" i="3"/>
  <c r="J37" i="3"/>
  <c r="H38" i="3"/>
  <c r="I38" i="3"/>
  <c r="J38" i="3"/>
  <c r="H39" i="3"/>
  <c r="I39" i="3"/>
  <c r="J39" i="3"/>
  <c r="H40" i="3"/>
  <c r="I40" i="3"/>
  <c r="J40" i="3"/>
  <c r="H41" i="3"/>
  <c r="I41" i="3"/>
  <c r="J41" i="3"/>
  <c r="H42" i="3"/>
  <c r="I42" i="3"/>
  <c r="J42" i="3"/>
  <c r="H43" i="3"/>
  <c r="I43" i="3"/>
  <c r="J43" i="3"/>
  <c r="H44" i="3"/>
  <c r="I44" i="3"/>
  <c r="J44" i="3"/>
  <c r="H45" i="3"/>
  <c r="I45" i="3"/>
  <c r="J45" i="3"/>
  <c r="H46" i="3"/>
  <c r="I46" i="3"/>
  <c r="J46" i="3"/>
  <c r="H47" i="3"/>
  <c r="I47" i="3"/>
  <c r="J47" i="3"/>
  <c r="H48" i="3"/>
  <c r="I48" i="3"/>
  <c r="J48" i="3"/>
  <c r="H49" i="3"/>
  <c r="I49" i="3"/>
  <c r="J49" i="3"/>
  <c r="H50" i="3"/>
  <c r="I50" i="3"/>
  <c r="J50" i="3"/>
  <c r="H51" i="3"/>
  <c r="I51" i="3"/>
  <c r="J51" i="3"/>
  <c r="H52" i="3"/>
  <c r="I52" i="3"/>
  <c r="J52" i="3"/>
  <c r="H53" i="3"/>
  <c r="I53" i="3"/>
  <c r="J53" i="3"/>
  <c r="H54" i="3"/>
  <c r="I54" i="3"/>
  <c r="J54" i="3"/>
  <c r="H55" i="3"/>
  <c r="I55" i="3"/>
  <c r="J55" i="3"/>
  <c r="H56" i="3"/>
  <c r="I56" i="3"/>
  <c r="J56" i="3"/>
  <c r="H57" i="3"/>
  <c r="I57" i="3"/>
  <c r="J57" i="3"/>
  <c r="H58" i="3"/>
  <c r="I58" i="3"/>
  <c r="J58" i="3"/>
  <c r="H59" i="3"/>
  <c r="I59" i="3"/>
  <c r="J59" i="3"/>
  <c r="H60" i="3"/>
  <c r="I60" i="3"/>
  <c r="J60" i="3"/>
  <c r="H61" i="3"/>
  <c r="I61" i="3"/>
  <c r="J61" i="3"/>
  <c r="H62" i="3"/>
  <c r="I62" i="3"/>
  <c r="J62" i="3"/>
  <c r="H63" i="3"/>
  <c r="I63" i="3"/>
  <c r="J63" i="3"/>
  <c r="H64" i="3"/>
  <c r="I64" i="3"/>
  <c r="J64" i="3"/>
  <c r="H65" i="3"/>
  <c r="I65" i="3"/>
  <c r="J65" i="3"/>
  <c r="H66" i="3"/>
  <c r="I66" i="3"/>
  <c r="J66" i="3"/>
  <c r="H67" i="3"/>
  <c r="I67" i="3"/>
  <c r="J67" i="3"/>
  <c r="H68" i="3"/>
  <c r="I68" i="3"/>
  <c r="J68" i="3"/>
  <c r="H69" i="3"/>
  <c r="I69" i="3"/>
  <c r="J69" i="3"/>
  <c r="H70" i="3"/>
  <c r="I70" i="3"/>
  <c r="J70" i="3"/>
  <c r="H71" i="3"/>
  <c r="I71" i="3"/>
  <c r="J71" i="3"/>
  <c r="H72" i="3"/>
  <c r="I72" i="3"/>
  <c r="J72" i="3"/>
  <c r="H73" i="3"/>
  <c r="I73" i="3"/>
  <c r="J73" i="3"/>
  <c r="H74" i="3"/>
  <c r="I74" i="3"/>
  <c r="J74" i="3"/>
  <c r="H75" i="3"/>
  <c r="I75" i="3"/>
  <c r="J75" i="3"/>
  <c r="H76" i="3"/>
  <c r="I76" i="3"/>
  <c r="J76" i="3"/>
  <c r="H77" i="3"/>
  <c r="I77" i="3"/>
  <c r="J77" i="3"/>
  <c r="H78" i="3"/>
  <c r="I78" i="3"/>
  <c r="J78" i="3"/>
  <c r="H79" i="3"/>
  <c r="I79" i="3"/>
  <c r="J79" i="3"/>
  <c r="H80" i="3"/>
  <c r="I80" i="3"/>
  <c r="J80" i="3"/>
  <c r="H81" i="3"/>
  <c r="I81" i="3"/>
  <c r="J81" i="3"/>
  <c r="H82" i="3"/>
  <c r="I82" i="3"/>
  <c r="J82" i="3"/>
  <c r="H83" i="3"/>
  <c r="I83" i="3"/>
  <c r="J83" i="3"/>
  <c r="H84" i="3"/>
  <c r="I84" i="3"/>
  <c r="J84" i="3"/>
  <c r="H85" i="3"/>
  <c r="I85" i="3"/>
  <c r="J85" i="3"/>
  <c r="H86" i="3"/>
  <c r="I86" i="3"/>
  <c r="J86" i="3"/>
  <c r="H87" i="3"/>
  <c r="I87" i="3"/>
  <c r="J87" i="3"/>
  <c r="H88" i="3"/>
  <c r="I88" i="3"/>
  <c r="J88" i="3"/>
  <c r="H89" i="3"/>
  <c r="I89" i="3"/>
  <c r="J89" i="3"/>
  <c r="H90" i="3"/>
  <c r="I90" i="3"/>
  <c r="J90" i="3"/>
  <c r="H91" i="3"/>
  <c r="I91" i="3"/>
  <c r="J91" i="3"/>
  <c r="H92" i="3"/>
  <c r="I92" i="3"/>
  <c r="J92" i="3"/>
  <c r="H93" i="3"/>
  <c r="I93" i="3"/>
  <c r="J93" i="3"/>
  <c r="H94" i="3"/>
  <c r="I94" i="3"/>
  <c r="J94" i="3"/>
  <c r="H95" i="3"/>
  <c r="I95" i="3"/>
  <c r="J95" i="3"/>
  <c r="H96" i="3"/>
  <c r="I96" i="3"/>
  <c r="J96" i="3"/>
  <c r="H97" i="3"/>
  <c r="I97" i="3"/>
  <c r="J97" i="3"/>
  <c r="H98" i="3"/>
  <c r="I98" i="3"/>
  <c r="J98" i="3"/>
  <c r="H99" i="3"/>
  <c r="I99" i="3"/>
  <c r="J99" i="3"/>
  <c r="H100" i="3"/>
  <c r="I100" i="3"/>
  <c r="J100" i="3"/>
  <c r="H101" i="3"/>
  <c r="I101" i="3"/>
  <c r="J101" i="3"/>
  <c r="H102" i="3"/>
  <c r="I102" i="3"/>
  <c r="J102" i="3"/>
  <c r="H103" i="3"/>
  <c r="I103" i="3"/>
  <c r="J103" i="3"/>
  <c r="H104" i="3"/>
  <c r="I104" i="3"/>
  <c r="J104" i="3"/>
  <c r="H105" i="3"/>
  <c r="I105" i="3"/>
  <c r="J105" i="3"/>
  <c r="H106" i="3"/>
  <c r="I106" i="3"/>
  <c r="J106" i="3"/>
  <c r="H107" i="3"/>
  <c r="I107" i="3"/>
  <c r="J107" i="3"/>
  <c r="H108" i="3"/>
  <c r="I108" i="3"/>
  <c r="J108" i="3"/>
  <c r="H109" i="3"/>
  <c r="I109" i="3"/>
  <c r="J109" i="3"/>
  <c r="H110" i="3"/>
  <c r="I110" i="3"/>
  <c r="J110" i="3"/>
  <c r="H111" i="3"/>
  <c r="I111" i="3"/>
  <c r="J111" i="3"/>
  <c r="H112" i="3"/>
  <c r="I112" i="3"/>
  <c r="J112" i="3"/>
  <c r="H113" i="3"/>
  <c r="I113" i="3"/>
  <c r="J113" i="3"/>
  <c r="H114" i="3"/>
  <c r="I114" i="3"/>
  <c r="J114" i="3"/>
  <c r="H115" i="3"/>
  <c r="I115" i="3"/>
  <c r="J115" i="3"/>
  <c r="H116" i="3"/>
  <c r="I116" i="3"/>
  <c r="J116" i="3"/>
  <c r="H117" i="3"/>
  <c r="I117" i="3"/>
  <c r="J117" i="3"/>
  <c r="H118" i="3"/>
  <c r="I118" i="3"/>
  <c r="J118" i="3"/>
  <c r="H119" i="3"/>
  <c r="I119" i="3"/>
  <c r="J119" i="3"/>
  <c r="H120" i="3"/>
  <c r="I120" i="3"/>
  <c r="J120" i="3"/>
  <c r="H121" i="3"/>
  <c r="I121" i="3"/>
  <c r="J121" i="3"/>
  <c r="H122" i="3"/>
  <c r="I122" i="3"/>
  <c r="J122" i="3"/>
  <c r="H123" i="3"/>
  <c r="I123" i="3"/>
  <c r="J123" i="3"/>
  <c r="H124" i="3"/>
  <c r="I124" i="3"/>
  <c r="J124" i="3"/>
  <c r="H125" i="3"/>
  <c r="I125" i="3"/>
  <c r="J125" i="3"/>
  <c r="H126" i="3"/>
  <c r="I126" i="3"/>
  <c r="J126" i="3"/>
  <c r="H127" i="3"/>
  <c r="I127" i="3"/>
  <c r="J127" i="3"/>
  <c r="H128" i="3"/>
  <c r="I128" i="3"/>
  <c r="J128" i="3"/>
  <c r="H129" i="3"/>
  <c r="I129" i="3"/>
  <c r="J129" i="3"/>
  <c r="H130" i="3"/>
  <c r="I130" i="3"/>
  <c r="J130" i="3"/>
  <c r="H131" i="3"/>
  <c r="I131" i="3"/>
  <c r="J131" i="3"/>
  <c r="H132" i="3"/>
  <c r="I132" i="3"/>
  <c r="J132" i="3"/>
  <c r="H133" i="3"/>
  <c r="I133" i="3"/>
  <c r="J133" i="3"/>
  <c r="H134" i="3"/>
  <c r="I134" i="3"/>
  <c r="J134" i="3"/>
  <c r="H135" i="3"/>
  <c r="I135" i="3"/>
  <c r="J135" i="3"/>
  <c r="H136" i="3"/>
  <c r="I136" i="3"/>
  <c r="J136" i="3"/>
  <c r="H137" i="3"/>
  <c r="I137" i="3"/>
  <c r="J137" i="3"/>
  <c r="H138" i="3"/>
  <c r="I138" i="3"/>
  <c r="J138" i="3"/>
  <c r="H139" i="3"/>
  <c r="I139" i="3"/>
  <c r="J139" i="3"/>
  <c r="H140" i="3"/>
  <c r="I140" i="3"/>
  <c r="J140" i="3"/>
  <c r="H141" i="3"/>
  <c r="I141" i="3"/>
  <c r="J141" i="3"/>
  <c r="H142" i="3"/>
  <c r="I142" i="3"/>
  <c r="J142" i="3"/>
  <c r="H143" i="3"/>
  <c r="I143" i="3"/>
  <c r="J143" i="3"/>
  <c r="H144" i="3"/>
  <c r="I144" i="3"/>
  <c r="J144" i="3"/>
  <c r="H145" i="3"/>
  <c r="I145" i="3"/>
  <c r="J145" i="3"/>
  <c r="H146" i="3"/>
  <c r="I146" i="3"/>
  <c r="J146" i="3"/>
  <c r="H147" i="3"/>
  <c r="I147" i="3"/>
  <c r="J147" i="3"/>
  <c r="H148" i="3"/>
  <c r="I148" i="3"/>
  <c r="J148" i="3"/>
  <c r="H149" i="3"/>
  <c r="I149" i="3"/>
  <c r="J149" i="3"/>
  <c r="H150" i="3"/>
  <c r="I150" i="3"/>
  <c r="J150" i="3"/>
  <c r="H151" i="3"/>
  <c r="I151" i="3"/>
  <c r="J151" i="3"/>
  <c r="H152" i="3"/>
  <c r="I152" i="3"/>
  <c r="J152" i="3"/>
  <c r="H153" i="3"/>
  <c r="I153" i="3"/>
  <c r="J153" i="3"/>
  <c r="H154" i="3"/>
  <c r="I154" i="3"/>
  <c r="J154" i="3"/>
  <c r="H155" i="3"/>
  <c r="I155" i="3"/>
  <c r="J155" i="3"/>
  <c r="H156" i="3"/>
  <c r="I156" i="3"/>
  <c r="J156" i="3"/>
  <c r="H157" i="3"/>
  <c r="I157" i="3"/>
  <c r="J157" i="3"/>
  <c r="H158" i="3"/>
  <c r="I158" i="3"/>
  <c r="J158" i="3"/>
  <c r="H159" i="3"/>
  <c r="I159" i="3"/>
  <c r="J159" i="3"/>
  <c r="H160" i="3"/>
  <c r="I160" i="3"/>
  <c r="J160" i="3"/>
  <c r="H161" i="3"/>
  <c r="I161" i="3"/>
  <c r="J161" i="3"/>
  <c r="H162" i="3"/>
  <c r="I162" i="3"/>
  <c r="J162" i="3"/>
  <c r="H163" i="3"/>
  <c r="I163" i="3"/>
  <c r="J163" i="3"/>
  <c r="H164" i="3"/>
  <c r="I164" i="3"/>
  <c r="J164" i="3"/>
  <c r="H165" i="3"/>
  <c r="I165" i="3"/>
  <c r="J165" i="3"/>
  <c r="H166" i="3"/>
  <c r="I166" i="3"/>
  <c r="J166" i="3"/>
  <c r="H167" i="3"/>
  <c r="I167" i="3"/>
  <c r="J167" i="3"/>
  <c r="H168" i="3"/>
  <c r="I168" i="3"/>
  <c r="J168" i="3"/>
  <c r="H169" i="3"/>
  <c r="I169" i="3"/>
  <c r="J169" i="3"/>
  <c r="H170" i="3"/>
  <c r="I170" i="3"/>
  <c r="J170" i="3"/>
  <c r="H171" i="3"/>
  <c r="I171" i="3"/>
  <c r="J171" i="3"/>
  <c r="H172" i="3"/>
  <c r="I172" i="3"/>
  <c r="J172" i="3"/>
  <c r="H173" i="3"/>
  <c r="I173" i="3"/>
  <c r="J173" i="3"/>
  <c r="H174" i="3"/>
  <c r="I174" i="3"/>
  <c r="J174" i="3"/>
  <c r="H175" i="3"/>
  <c r="I175" i="3"/>
  <c r="J175" i="3"/>
  <c r="H176" i="3"/>
  <c r="I176" i="3"/>
  <c r="J176" i="3"/>
  <c r="H177" i="3"/>
  <c r="I177" i="3"/>
  <c r="J177" i="3"/>
  <c r="H178" i="3"/>
  <c r="I178" i="3"/>
  <c r="J178" i="3"/>
  <c r="H179" i="3"/>
  <c r="I179" i="3"/>
  <c r="J179" i="3"/>
  <c r="H180" i="3"/>
  <c r="I180" i="3"/>
  <c r="J180" i="3"/>
  <c r="H181" i="3"/>
  <c r="I181" i="3"/>
  <c r="J181" i="3"/>
  <c r="H182" i="3"/>
  <c r="I182" i="3"/>
  <c r="J182" i="3"/>
  <c r="H183" i="3"/>
  <c r="I183" i="3"/>
  <c r="J183" i="3"/>
  <c r="H184" i="3"/>
  <c r="I184" i="3"/>
  <c r="J184" i="3"/>
  <c r="H185" i="3"/>
  <c r="I185" i="3"/>
  <c r="J185" i="3"/>
  <c r="H186" i="3"/>
  <c r="I186" i="3"/>
  <c r="K186" i="3" s="1"/>
  <c r="J186" i="3"/>
  <c r="H187" i="3"/>
  <c r="I187" i="3"/>
  <c r="J187" i="3"/>
  <c r="H188" i="3"/>
  <c r="I188" i="3"/>
  <c r="J188" i="3"/>
  <c r="H189" i="3"/>
  <c r="I189" i="3"/>
  <c r="J189" i="3"/>
  <c r="H190" i="3"/>
  <c r="I190" i="3"/>
  <c r="J190" i="3"/>
  <c r="H191" i="3"/>
  <c r="I191" i="3"/>
  <c r="J191" i="3"/>
  <c r="H192" i="3"/>
  <c r="I192" i="3"/>
  <c r="J192" i="3"/>
  <c r="H193" i="3"/>
  <c r="I193" i="3"/>
  <c r="J193" i="3"/>
  <c r="H194" i="3"/>
  <c r="I194" i="3"/>
  <c r="K194" i="3" s="1"/>
  <c r="J194" i="3"/>
  <c r="H195" i="3"/>
  <c r="I195" i="3"/>
  <c r="J195" i="3"/>
  <c r="H196" i="3"/>
  <c r="I196" i="3"/>
  <c r="J196" i="3"/>
  <c r="H197" i="3"/>
  <c r="I197" i="3"/>
  <c r="J197" i="3"/>
  <c r="H198" i="3"/>
  <c r="I198" i="3"/>
  <c r="J198" i="3"/>
  <c r="H199" i="3"/>
  <c r="I199" i="3"/>
  <c r="J199" i="3"/>
  <c r="H200" i="3"/>
  <c r="I200" i="3"/>
  <c r="J200" i="3"/>
  <c r="H201" i="3"/>
  <c r="I201" i="3"/>
  <c r="J201" i="3"/>
  <c r="H202" i="3"/>
  <c r="I202" i="3"/>
  <c r="J202" i="3"/>
  <c r="H203" i="3"/>
  <c r="I203" i="3"/>
  <c r="J203" i="3"/>
  <c r="H204" i="3"/>
  <c r="I204" i="3"/>
  <c r="J204" i="3"/>
  <c r="H205" i="3"/>
  <c r="I205" i="3"/>
  <c r="J205" i="3"/>
  <c r="H206" i="3"/>
  <c r="I206" i="3"/>
  <c r="J206" i="3"/>
  <c r="H207" i="3"/>
  <c r="I207" i="3"/>
  <c r="J207" i="3"/>
  <c r="H208" i="3"/>
  <c r="I208" i="3"/>
  <c r="J208" i="3"/>
  <c r="H209" i="3"/>
  <c r="I209" i="3"/>
  <c r="J209" i="3"/>
  <c r="K209" i="3" s="1"/>
  <c r="H210" i="3"/>
  <c r="I210" i="3"/>
  <c r="J210" i="3"/>
  <c r="H211" i="3"/>
  <c r="I211" i="3"/>
  <c r="J211" i="3"/>
  <c r="H212" i="3"/>
  <c r="I212" i="3"/>
  <c r="J212" i="3"/>
  <c r="H213" i="3"/>
  <c r="I213" i="3"/>
  <c r="J213" i="3"/>
  <c r="H214" i="3"/>
  <c r="I214" i="3"/>
  <c r="J214" i="3"/>
  <c r="H215" i="3"/>
  <c r="I215" i="3"/>
  <c r="J215" i="3"/>
  <c r="H216" i="3"/>
  <c r="I216" i="3"/>
  <c r="J216" i="3"/>
  <c r="H217" i="3"/>
  <c r="I217" i="3"/>
  <c r="J217" i="3"/>
  <c r="H218" i="3"/>
  <c r="I218" i="3"/>
  <c r="K218" i="3" s="1"/>
  <c r="J218" i="3"/>
  <c r="H219" i="3"/>
  <c r="I219" i="3"/>
  <c r="J219" i="3"/>
  <c r="H220" i="3"/>
  <c r="I220" i="3"/>
  <c r="J220" i="3"/>
  <c r="H221" i="3"/>
  <c r="I221" i="3"/>
  <c r="J221" i="3"/>
  <c r="H222" i="3"/>
  <c r="I222" i="3"/>
  <c r="J222" i="3"/>
  <c r="H223" i="3"/>
  <c r="I223" i="3"/>
  <c r="J223" i="3"/>
  <c r="H224" i="3"/>
  <c r="I224" i="3"/>
  <c r="J224" i="3"/>
  <c r="H225" i="3"/>
  <c r="I225" i="3"/>
  <c r="J225" i="3"/>
  <c r="H226" i="3"/>
  <c r="I226" i="3"/>
  <c r="J226" i="3"/>
  <c r="H227" i="3"/>
  <c r="I227" i="3"/>
  <c r="J227" i="3"/>
  <c r="H228" i="3"/>
  <c r="I228" i="3"/>
  <c r="J228" i="3"/>
  <c r="H229" i="3"/>
  <c r="I229" i="3"/>
  <c r="J229" i="3"/>
  <c r="H230" i="3"/>
  <c r="I230" i="3"/>
  <c r="J230" i="3"/>
  <c r="H231" i="3"/>
  <c r="I231" i="3"/>
  <c r="J231" i="3"/>
  <c r="H232" i="3"/>
  <c r="I232" i="3"/>
  <c r="J232" i="3"/>
  <c r="H233" i="3"/>
  <c r="I233" i="3"/>
  <c r="J233" i="3"/>
  <c r="H234" i="3"/>
  <c r="I234" i="3"/>
  <c r="J234" i="3"/>
  <c r="H235" i="3"/>
  <c r="I235" i="3"/>
  <c r="J235" i="3"/>
  <c r="H236" i="3"/>
  <c r="I236" i="3"/>
  <c r="J236" i="3"/>
  <c r="H237" i="3"/>
  <c r="I237" i="3"/>
  <c r="J237" i="3"/>
  <c r="H238" i="3"/>
  <c r="I238" i="3"/>
  <c r="J238" i="3"/>
  <c r="H239" i="3"/>
  <c r="I239" i="3"/>
  <c r="J239" i="3"/>
  <c r="H240" i="3"/>
  <c r="I240" i="3"/>
  <c r="J240" i="3"/>
  <c r="H241" i="3"/>
  <c r="I241" i="3"/>
  <c r="J241" i="3"/>
  <c r="H242" i="3"/>
  <c r="I242" i="3"/>
  <c r="J242" i="3"/>
  <c r="H243" i="3"/>
  <c r="I243" i="3"/>
  <c r="J243" i="3"/>
  <c r="H244" i="3"/>
  <c r="I244" i="3"/>
  <c r="J244" i="3"/>
  <c r="H245" i="3"/>
  <c r="I245" i="3"/>
  <c r="J245" i="3"/>
  <c r="H246" i="3"/>
  <c r="I246" i="3"/>
  <c r="J246" i="3"/>
  <c r="H247" i="3"/>
  <c r="I247" i="3"/>
  <c r="J247" i="3"/>
  <c r="H248" i="3"/>
  <c r="I248" i="3"/>
  <c r="J248" i="3"/>
  <c r="H249" i="3"/>
  <c r="I249" i="3"/>
  <c r="J249" i="3"/>
  <c r="H250" i="3"/>
  <c r="I250" i="3"/>
  <c r="J250" i="3"/>
  <c r="H251" i="3"/>
  <c r="I251" i="3"/>
  <c r="J251" i="3"/>
  <c r="H252" i="3"/>
  <c r="I252" i="3"/>
  <c r="J252" i="3"/>
  <c r="H253" i="3"/>
  <c r="I253" i="3"/>
  <c r="J253" i="3"/>
  <c r="H254" i="3"/>
  <c r="I254" i="3"/>
  <c r="J254" i="3"/>
  <c r="H255" i="3"/>
  <c r="I255" i="3"/>
  <c r="J255" i="3"/>
  <c r="H256" i="3"/>
  <c r="I256" i="3"/>
  <c r="J256" i="3"/>
  <c r="H257" i="3"/>
  <c r="I257" i="3"/>
  <c r="J257" i="3"/>
  <c r="H258" i="3"/>
  <c r="I258" i="3"/>
  <c r="J258" i="3"/>
  <c r="H259" i="3"/>
  <c r="I259" i="3"/>
  <c r="J259" i="3"/>
  <c r="H260" i="3"/>
  <c r="I260" i="3"/>
  <c r="J260" i="3"/>
  <c r="H261" i="3"/>
  <c r="I261" i="3"/>
  <c r="J261" i="3"/>
  <c r="H262" i="3"/>
  <c r="I262" i="3"/>
  <c r="J262" i="3"/>
  <c r="H263" i="3"/>
  <c r="I263" i="3"/>
  <c r="J263" i="3"/>
  <c r="H264" i="3"/>
  <c r="I264" i="3"/>
  <c r="J264" i="3"/>
  <c r="H265" i="3"/>
  <c r="I265" i="3"/>
  <c r="J265" i="3"/>
  <c r="H266" i="3"/>
  <c r="I266" i="3"/>
  <c r="J266" i="3"/>
  <c r="H267" i="3"/>
  <c r="I267" i="3"/>
  <c r="J267" i="3"/>
  <c r="H268" i="3"/>
  <c r="I268" i="3"/>
  <c r="J268" i="3"/>
  <c r="H269" i="3"/>
  <c r="I269" i="3"/>
  <c r="J269" i="3"/>
  <c r="H270" i="3"/>
  <c r="I270" i="3"/>
  <c r="J270" i="3"/>
  <c r="H271" i="3"/>
  <c r="I271" i="3"/>
  <c r="J271" i="3"/>
  <c r="H272" i="3"/>
  <c r="I272" i="3"/>
  <c r="J272" i="3"/>
  <c r="H273" i="3"/>
  <c r="I273" i="3"/>
  <c r="J273" i="3"/>
  <c r="H274" i="3"/>
  <c r="I274" i="3"/>
  <c r="J274" i="3"/>
  <c r="H275" i="3"/>
  <c r="I275" i="3"/>
  <c r="J275" i="3"/>
  <c r="H276" i="3"/>
  <c r="I276" i="3"/>
  <c r="J276" i="3"/>
  <c r="H277" i="3"/>
  <c r="I277" i="3"/>
  <c r="J277" i="3"/>
  <c r="H278" i="3"/>
  <c r="I278" i="3"/>
  <c r="J278" i="3"/>
  <c r="H279" i="3"/>
  <c r="I279" i="3"/>
  <c r="J279" i="3"/>
  <c r="H280" i="3"/>
  <c r="I280" i="3"/>
  <c r="J280" i="3"/>
  <c r="H281" i="3"/>
  <c r="I281" i="3"/>
  <c r="J281" i="3"/>
  <c r="H282" i="3"/>
  <c r="I282" i="3"/>
  <c r="J282" i="3"/>
  <c r="H283" i="3"/>
  <c r="I283" i="3"/>
  <c r="J283" i="3"/>
  <c r="H284" i="3"/>
  <c r="I284" i="3"/>
  <c r="J284" i="3"/>
  <c r="H285" i="3"/>
  <c r="I285" i="3"/>
  <c r="J285" i="3"/>
  <c r="H286" i="3"/>
  <c r="I286" i="3"/>
  <c r="J286" i="3"/>
  <c r="H287" i="3"/>
  <c r="I287" i="3"/>
  <c r="J287" i="3"/>
  <c r="H288" i="3"/>
  <c r="I288" i="3"/>
  <c r="J288" i="3"/>
  <c r="H289" i="3"/>
  <c r="I289" i="3"/>
  <c r="J289" i="3"/>
  <c r="H290" i="3"/>
  <c r="I290" i="3"/>
  <c r="J290" i="3"/>
  <c r="H291" i="3"/>
  <c r="I291" i="3"/>
  <c r="J291" i="3"/>
  <c r="H292" i="3"/>
  <c r="I292" i="3"/>
  <c r="J292" i="3"/>
  <c r="H293" i="3"/>
  <c r="I293" i="3"/>
  <c r="J293" i="3"/>
  <c r="H294" i="3"/>
  <c r="I294" i="3"/>
  <c r="J294" i="3"/>
  <c r="H295" i="3"/>
  <c r="I295" i="3"/>
  <c r="J295" i="3"/>
  <c r="H296" i="3"/>
  <c r="I296" i="3"/>
  <c r="J296" i="3"/>
  <c r="H297" i="3"/>
  <c r="I297" i="3"/>
  <c r="J297" i="3"/>
  <c r="H298" i="3"/>
  <c r="I298" i="3"/>
  <c r="J298" i="3"/>
  <c r="H299" i="3"/>
  <c r="I299" i="3"/>
  <c r="J299" i="3"/>
  <c r="H300" i="3"/>
  <c r="I300" i="3"/>
  <c r="J300" i="3"/>
  <c r="H301" i="3"/>
  <c r="I301" i="3"/>
  <c r="J301" i="3"/>
  <c r="H302" i="3"/>
  <c r="I302" i="3"/>
  <c r="J302" i="3"/>
  <c r="H303" i="3"/>
  <c r="I303" i="3"/>
  <c r="J303" i="3"/>
  <c r="H304" i="3"/>
  <c r="I304" i="3"/>
  <c r="J304" i="3"/>
  <c r="H305" i="3"/>
  <c r="I305" i="3"/>
  <c r="J305" i="3"/>
  <c r="H306" i="3"/>
  <c r="I306" i="3"/>
  <c r="J306" i="3"/>
  <c r="H307" i="3"/>
  <c r="I307" i="3"/>
  <c r="J307" i="3"/>
  <c r="H308" i="3"/>
  <c r="I308" i="3"/>
  <c r="J308" i="3"/>
  <c r="H309" i="3"/>
  <c r="I309" i="3"/>
  <c r="J309" i="3"/>
  <c r="H310" i="3"/>
  <c r="I310" i="3"/>
  <c r="J310" i="3"/>
  <c r="H311" i="3"/>
  <c r="I311" i="3"/>
  <c r="J311" i="3"/>
  <c r="H312" i="3"/>
  <c r="I312" i="3"/>
  <c r="J312" i="3"/>
  <c r="H313" i="3"/>
  <c r="I313" i="3"/>
  <c r="J313" i="3"/>
  <c r="H314" i="3"/>
  <c r="I314" i="3"/>
  <c r="J314" i="3"/>
  <c r="H315" i="3"/>
  <c r="I315" i="3"/>
  <c r="J315" i="3"/>
  <c r="H316" i="3"/>
  <c r="I316" i="3"/>
  <c r="J316" i="3"/>
  <c r="H317" i="3"/>
  <c r="I317" i="3"/>
  <c r="J317" i="3"/>
  <c r="H318" i="3"/>
  <c r="I318" i="3"/>
  <c r="J318" i="3"/>
  <c r="H319" i="3"/>
  <c r="I319" i="3"/>
  <c r="J319" i="3"/>
  <c r="H320" i="3"/>
  <c r="I320" i="3"/>
  <c r="J320" i="3"/>
  <c r="H321" i="3"/>
  <c r="I321" i="3"/>
  <c r="J321" i="3"/>
  <c r="H322" i="3"/>
  <c r="I322" i="3"/>
  <c r="J322" i="3"/>
  <c r="H323" i="3"/>
  <c r="I323" i="3"/>
  <c r="J323" i="3"/>
  <c r="H324" i="3"/>
  <c r="I324" i="3"/>
  <c r="J324" i="3"/>
  <c r="H325" i="3"/>
  <c r="I325" i="3"/>
  <c r="J325" i="3"/>
  <c r="H326" i="3"/>
  <c r="I326" i="3"/>
  <c r="J326" i="3"/>
  <c r="H327" i="3"/>
  <c r="I327" i="3"/>
  <c r="J327" i="3"/>
  <c r="H328" i="3"/>
  <c r="I328" i="3"/>
  <c r="J328" i="3"/>
  <c r="H329" i="3"/>
  <c r="I329" i="3"/>
  <c r="J329" i="3"/>
  <c r="H330" i="3"/>
  <c r="I330" i="3"/>
  <c r="J330" i="3"/>
  <c r="H331" i="3"/>
  <c r="I331" i="3"/>
  <c r="J331" i="3"/>
  <c r="H332" i="3"/>
  <c r="I332" i="3"/>
  <c r="J332" i="3"/>
  <c r="H333" i="3"/>
  <c r="I333" i="3"/>
  <c r="J333" i="3"/>
  <c r="H334" i="3"/>
  <c r="I334" i="3"/>
  <c r="J334" i="3"/>
  <c r="H335" i="3"/>
  <c r="I335" i="3"/>
  <c r="J335" i="3"/>
  <c r="H336" i="3"/>
  <c r="I336" i="3"/>
  <c r="J336" i="3"/>
  <c r="H337" i="3"/>
  <c r="I337" i="3"/>
  <c r="J337" i="3"/>
  <c r="H338" i="3"/>
  <c r="I338" i="3"/>
  <c r="J338" i="3"/>
  <c r="H339" i="3"/>
  <c r="I339" i="3"/>
  <c r="J339" i="3"/>
  <c r="H340" i="3"/>
  <c r="I340" i="3"/>
  <c r="J340" i="3"/>
  <c r="H341" i="3"/>
  <c r="I341" i="3"/>
  <c r="J341" i="3"/>
  <c r="H342" i="3"/>
  <c r="I342" i="3"/>
  <c r="J342" i="3"/>
  <c r="H343" i="3"/>
  <c r="I343" i="3"/>
  <c r="J343" i="3"/>
  <c r="H344" i="3"/>
  <c r="I344" i="3"/>
  <c r="J344" i="3"/>
  <c r="H345" i="3"/>
  <c r="I345" i="3"/>
  <c r="J345" i="3"/>
  <c r="H346" i="3"/>
  <c r="I346" i="3"/>
  <c r="J346" i="3"/>
  <c r="H347" i="3"/>
  <c r="I347" i="3"/>
  <c r="J347" i="3"/>
  <c r="H348" i="3"/>
  <c r="I348" i="3"/>
  <c r="J348" i="3"/>
  <c r="H349" i="3"/>
  <c r="I349" i="3"/>
  <c r="J349" i="3"/>
  <c r="H350" i="3"/>
  <c r="I350" i="3"/>
  <c r="J350" i="3"/>
  <c r="H351" i="3"/>
  <c r="I351" i="3"/>
  <c r="J351" i="3"/>
  <c r="H352" i="3"/>
  <c r="I352" i="3"/>
  <c r="J352" i="3"/>
  <c r="H353" i="3"/>
  <c r="I353" i="3"/>
  <c r="J353" i="3"/>
  <c r="H354" i="3"/>
  <c r="I354" i="3"/>
  <c r="J354" i="3"/>
  <c r="H355" i="3"/>
  <c r="I355" i="3"/>
  <c r="J355" i="3"/>
  <c r="H356" i="3"/>
  <c r="I356" i="3"/>
  <c r="J356" i="3"/>
  <c r="H357" i="3"/>
  <c r="I357" i="3"/>
  <c r="J357" i="3"/>
  <c r="H358" i="3"/>
  <c r="I358" i="3"/>
  <c r="J358" i="3"/>
  <c r="H359" i="3"/>
  <c r="I359" i="3"/>
  <c r="J359" i="3"/>
  <c r="H360" i="3"/>
  <c r="I360" i="3"/>
  <c r="J360" i="3"/>
  <c r="H361" i="3"/>
  <c r="I361" i="3"/>
  <c r="J361" i="3"/>
  <c r="H362" i="3"/>
  <c r="I362" i="3"/>
  <c r="J362" i="3"/>
  <c r="H363" i="3"/>
  <c r="I363" i="3"/>
  <c r="J363" i="3"/>
  <c r="H364" i="3"/>
  <c r="I364" i="3"/>
  <c r="J364" i="3"/>
  <c r="H365" i="3"/>
  <c r="I365" i="3"/>
  <c r="J365" i="3"/>
  <c r="H366" i="3"/>
  <c r="I366" i="3"/>
  <c r="J366" i="3"/>
  <c r="H367" i="3"/>
  <c r="I367" i="3"/>
  <c r="J367" i="3"/>
  <c r="H368" i="3"/>
  <c r="I368" i="3"/>
  <c r="J368" i="3"/>
  <c r="H369" i="3"/>
  <c r="I369" i="3"/>
  <c r="J369" i="3"/>
  <c r="H370" i="3"/>
  <c r="I370" i="3"/>
  <c r="J370" i="3"/>
  <c r="H371" i="3"/>
  <c r="I371" i="3"/>
  <c r="J371" i="3"/>
  <c r="H372" i="3"/>
  <c r="I372" i="3"/>
  <c r="J372" i="3"/>
  <c r="H373" i="3"/>
  <c r="I373" i="3"/>
  <c r="J373" i="3"/>
  <c r="H374" i="3"/>
  <c r="I374" i="3"/>
  <c r="J374" i="3"/>
  <c r="H375" i="3"/>
  <c r="I375" i="3"/>
  <c r="J375" i="3"/>
  <c r="H376" i="3"/>
  <c r="I376" i="3"/>
  <c r="J376" i="3"/>
  <c r="H377" i="3"/>
  <c r="I377" i="3"/>
  <c r="J377" i="3"/>
  <c r="H378" i="3"/>
  <c r="I378" i="3"/>
  <c r="J378" i="3"/>
  <c r="H379" i="3"/>
  <c r="I379" i="3"/>
  <c r="J379" i="3"/>
  <c r="H380" i="3"/>
  <c r="I380" i="3"/>
  <c r="J380" i="3"/>
  <c r="H381" i="3"/>
  <c r="I381" i="3"/>
  <c r="J381" i="3"/>
  <c r="H382" i="3"/>
  <c r="I382" i="3"/>
  <c r="J382" i="3"/>
  <c r="H383" i="3"/>
  <c r="I383" i="3"/>
  <c r="J383" i="3"/>
  <c r="H384" i="3"/>
  <c r="I384" i="3"/>
  <c r="J384" i="3"/>
  <c r="H385" i="3"/>
  <c r="I385" i="3"/>
  <c r="J385" i="3"/>
  <c r="H386" i="3"/>
  <c r="I386" i="3"/>
  <c r="J386" i="3"/>
  <c r="H387" i="3"/>
  <c r="I387" i="3"/>
  <c r="J387" i="3"/>
  <c r="H388" i="3"/>
  <c r="I388" i="3"/>
  <c r="J388" i="3"/>
  <c r="H389" i="3"/>
  <c r="I389" i="3"/>
  <c r="J389" i="3"/>
  <c r="H390" i="3"/>
  <c r="I390" i="3"/>
  <c r="J390" i="3"/>
  <c r="H391" i="3"/>
  <c r="I391" i="3"/>
  <c r="J391" i="3"/>
  <c r="H392" i="3"/>
  <c r="I392" i="3"/>
  <c r="J392" i="3"/>
  <c r="H393" i="3"/>
  <c r="I393" i="3"/>
  <c r="J393" i="3"/>
  <c r="H394" i="3"/>
  <c r="I394" i="3"/>
  <c r="J394" i="3"/>
  <c r="H395" i="3"/>
  <c r="I395" i="3"/>
  <c r="J395" i="3"/>
  <c r="H396" i="3"/>
  <c r="I396" i="3"/>
  <c r="J396" i="3"/>
  <c r="H397" i="3"/>
  <c r="I397" i="3"/>
  <c r="J397" i="3"/>
  <c r="H398" i="3"/>
  <c r="I398" i="3"/>
  <c r="J398" i="3"/>
  <c r="H399" i="3"/>
  <c r="I399" i="3"/>
  <c r="J399" i="3"/>
  <c r="H400" i="3"/>
  <c r="I400" i="3"/>
  <c r="J400" i="3"/>
  <c r="H401" i="3"/>
  <c r="I401" i="3"/>
  <c r="J401" i="3"/>
  <c r="H402" i="3"/>
  <c r="I402" i="3"/>
  <c r="J402" i="3"/>
  <c r="H403" i="3"/>
  <c r="I403" i="3"/>
  <c r="J403" i="3"/>
  <c r="H404" i="3"/>
  <c r="I404" i="3"/>
  <c r="J404" i="3"/>
  <c r="H405" i="3"/>
  <c r="I405" i="3"/>
  <c r="J405" i="3"/>
  <c r="H406" i="3"/>
  <c r="I406" i="3"/>
  <c r="J406" i="3"/>
  <c r="H407" i="3"/>
  <c r="I407" i="3"/>
  <c r="J407" i="3"/>
  <c r="H408" i="3"/>
  <c r="I408" i="3"/>
  <c r="J408" i="3"/>
  <c r="H409" i="3"/>
  <c r="I409" i="3"/>
  <c r="J409" i="3"/>
  <c r="H410" i="3"/>
  <c r="I410" i="3"/>
  <c r="J410" i="3"/>
  <c r="H411" i="3"/>
  <c r="I411" i="3"/>
  <c r="J411" i="3"/>
  <c r="H412" i="3"/>
  <c r="I412" i="3"/>
  <c r="J412" i="3"/>
  <c r="H413" i="3"/>
  <c r="I413" i="3"/>
  <c r="J413" i="3"/>
  <c r="H414" i="3"/>
  <c r="I414" i="3"/>
  <c r="J414" i="3"/>
  <c r="H415" i="3"/>
  <c r="I415" i="3"/>
  <c r="J415" i="3"/>
  <c r="H416" i="3"/>
  <c r="I416" i="3"/>
  <c r="J416" i="3"/>
  <c r="H417" i="3"/>
  <c r="I417" i="3"/>
  <c r="J417" i="3"/>
  <c r="H418" i="3"/>
  <c r="I418" i="3"/>
  <c r="J418" i="3"/>
  <c r="H419" i="3"/>
  <c r="I419" i="3"/>
  <c r="J419" i="3"/>
  <c r="H420" i="3"/>
  <c r="I420" i="3"/>
  <c r="J420" i="3"/>
  <c r="H421" i="3"/>
  <c r="I421" i="3"/>
  <c r="J421" i="3"/>
  <c r="H422" i="3"/>
  <c r="I422" i="3"/>
  <c r="J422" i="3"/>
  <c r="H423" i="3"/>
  <c r="I423" i="3"/>
  <c r="J423" i="3"/>
  <c r="H424" i="3"/>
  <c r="I424" i="3"/>
  <c r="J424" i="3"/>
  <c r="H425" i="3"/>
  <c r="I425" i="3"/>
  <c r="J425" i="3"/>
  <c r="H426" i="3"/>
  <c r="I426" i="3"/>
  <c r="J426" i="3"/>
  <c r="H427" i="3"/>
  <c r="I427" i="3"/>
  <c r="J427" i="3"/>
  <c r="H428" i="3"/>
  <c r="I428" i="3"/>
  <c r="J428" i="3"/>
  <c r="H429" i="3"/>
  <c r="I429" i="3"/>
  <c r="J429" i="3"/>
  <c r="H430" i="3"/>
  <c r="I430" i="3"/>
  <c r="J430" i="3"/>
  <c r="H431" i="3"/>
  <c r="I431" i="3"/>
  <c r="J431" i="3"/>
  <c r="H432" i="3"/>
  <c r="I432" i="3"/>
  <c r="J432" i="3"/>
  <c r="H433" i="3"/>
  <c r="I433" i="3"/>
  <c r="J433" i="3"/>
  <c r="H434" i="3"/>
  <c r="I434" i="3"/>
  <c r="J434" i="3"/>
  <c r="H435" i="3"/>
  <c r="I435" i="3"/>
  <c r="J435" i="3"/>
  <c r="H436" i="3"/>
  <c r="I436" i="3"/>
  <c r="J436" i="3"/>
  <c r="H437" i="3"/>
  <c r="I437" i="3"/>
  <c r="J437" i="3"/>
  <c r="H438" i="3"/>
  <c r="I438" i="3"/>
  <c r="J438" i="3"/>
  <c r="H439" i="3"/>
  <c r="I439" i="3"/>
  <c r="J439" i="3"/>
  <c r="H440" i="3"/>
  <c r="I440" i="3"/>
  <c r="J440" i="3"/>
  <c r="H441" i="3"/>
  <c r="I441" i="3"/>
  <c r="J441" i="3"/>
  <c r="H442" i="3"/>
  <c r="I442" i="3"/>
  <c r="J442" i="3"/>
  <c r="H443" i="3"/>
  <c r="I443" i="3"/>
  <c r="J443" i="3"/>
  <c r="H444" i="3"/>
  <c r="I444" i="3"/>
  <c r="J444" i="3"/>
  <c r="H445" i="3"/>
  <c r="I445" i="3"/>
  <c r="J445" i="3"/>
  <c r="H446" i="3"/>
  <c r="I446" i="3"/>
  <c r="J446" i="3"/>
  <c r="H447" i="3"/>
  <c r="I447" i="3"/>
  <c r="J447" i="3"/>
  <c r="H448" i="3"/>
  <c r="I448" i="3"/>
  <c r="J448" i="3"/>
  <c r="H449" i="3"/>
  <c r="I449" i="3"/>
  <c r="J449" i="3"/>
  <c r="H450" i="3"/>
  <c r="I450" i="3"/>
  <c r="J450" i="3"/>
  <c r="H451" i="3"/>
  <c r="I451" i="3"/>
  <c r="J451" i="3"/>
  <c r="H452" i="3"/>
  <c r="I452" i="3"/>
  <c r="J452" i="3"/>
  <c r="H453" i="3"/>
  <c r="I453" i="3"/>
  <c r="J453" i="3"/>
  <c r="H454" i="3"/>
  <c r="I454" i="3"/>
  <c r="J454" i="3"/>
  <c r="H455" i="3"/>
  <c r="I455" i="3"/>
  <c r="J455" i="3"/>
  <c r="H456" i="3"/>
  <c r="I456" i="3"/>
  <c r="J456" i="3"/>
  <c r="H457" i="3"/>
  <c r="I457" i="3"/>
  <c r="J457" i="3"/>
  <c r="H458" i="3"/>
  <c r="I458" i="3"/>
  <c r="J458" i="3"/>
  <c r="H459" i="3"/>
  <c r="I459" i="3"/>
  <c r="J459" i="3"/>
  <c r="H460" i="3"/>
  <c r="I460" i="3"/>
  <c r="J460" i="3"/>
  <c r="H461" i="3"/>
  <c r="I461" i="3"/>
  <c r="J461" i="3"/>
  <c r="H462" i="3"/>
  <c r="I462" i="3"/>
  <c r="J462" i="3"/>
  <c r="H463" i="3"/>
  <c r="I463" i="3"/>
  <c r="J463" i="3"/>
  <c r="H464" i="3"/>
  <c r="I464" i="3"/>
  <c r="J464" i="3"/>
  <c r="H465" i="3"/>
  <c r="I465" i="3"/>
  <c r="J465" i="3"/>
  <c r="H466" i="3"/>
  <c r="I466" i="3"/>
  <c r="J466" i="3"/>
  <c r="H467" i="3"/>
  <c r="I467" i="3"/>
  <c r="J467" i="3"/>
  <c r="H468" i="3"/>
  <c r="I468" i="3"/>
  <c r="J468" i="3"/>
  <c r="H469" i="3"/>
  <c r="I469" i="3"/>
  <c r="J469" i="3"/>
  <c r="H470" i="3"/>
  <c r="I470" i="3"/>
  <c r="J470" i="3"/>
  <c r="H471" i="3"/>
  <c r="I471" i="3"/>
  <c r="J471" i="3"/>
  <c r="H472" i="3"/>
  <c r="I472" i="3"/>
  <c r="J472" i="3"/>
  <c r="H473" i="3"/>
  <c r="I473" i="3"/>
  <c r="J473" i="3"/>
  <c r="H474" i="3"/>
  <c r="I474" i="3"/>
  <c r="J474" i="3"/>
  <c r="H475" i="3"/>
  <c r="I475" i="3"/>
  <c r="J475" i="3"/>
  <c r="H476" i="3"/>
  <c r="I476" i="3"/>
  <c r="J476" i="3"/>
  <c r="H477" i="3"/>
  <c r="I477" i="3"/>
  <c r="J477" i="3"/>
  <c r="H478" i="3"/>
  <c r="I478" i="3"/>
  <c r="J478" i="3"/>
  <c r="H479" i="3"/>
  <c r="I479" i="3"/>
  <c r="J479" i="3"/>
  <c r="H480" i="3"/>
  <c r="I480" i="3"/>
  <c r="J480" i="3"/>
  <c r="H481" i="3"/>
  <c r="I481" i="3"/>
  <c r="J481" i="3"/>
  <c r="H482" i="3"/>
  <c r="I482" i="3"/>
  <c r="J482" i="3"/>
  <c r="H483" i="3"/>
  <c r="I483" i="3"/>
  <c r="J483" i="3"/>
  <c r="H484" i="3"/>
  <c r="I484" i="3"/>
  <c r="J484" i="3"/>
  <c r="H485" i="3"/>
  <c r="I485" i="3"/>
  <c r="J485" i="3"/>
  <c r="H486" i="3"/>
  <c r="I486" i="3"/>
  <c r="J486" i="3"/>
  <c r="H487" i="3"/>
  <c r="I487" i="3"/>
  <c r="J487" i="3"/>
  <c r="H488" i="3"/>
  <c r="I488" i="3"/>
  <c r="J488" i="3"/>
  <c r="H489" i="3"/>
  <c r="I489" i="3"/>
  <c r="J489" i="3"/>
  <c r="H490" i="3"/>
  <c r="I490" i="3"/>
  <c r="J490" i="3"/>
  <c r="H491" i="3"/>
  <c r="I491" i="3"/>
  <c r="J491" i="3"/>
  <c r="H492" i="3"/>
  <c r="I492" i="3"/>
  <c r="J492" i="3"/>
  <c r="H493" i="3"/>
  <c r="I493" i="3"/>
  <c r="J493" i="3"/>
  <c r="H494" i="3"/>
  <c r="I494" i="3"/>
  <c r="J494" i="3"/>
  <c r="H495" i="3"/>
  <c r="I495" i="3"/>
  <c r="J495" i="3"/>
  <c r="H496" i="3"/>
  <c r="I496" i="3"/>
  <c r="J496" i="3"/>
  <c r="H497" i="3"/>
  <c r="I497" i="3"/>
  <c r="J497" i="3"/>
  <c r="H498" i="3"/>
  <c r="I498" i="3"/>
  <c r="J498" i="3"/>
  <c r="H499" i="3"/>
  <c r="I499" i="3"/>
  <c r="J499" i="3"/>
  <c r="H500" i="3"/>
  <c r="I500" i="3"/>
  <c r="J500" i="3"/>
  <c r="H501" i="3"/>
  <c r="I501" i="3"/>
  <c r="J501" i="3"/>
  <c r="H502" i="3"/>
  <c r="I502" i="3"/>
  <c r="J502" i="3"/>
  <c r="H503" i="3"/>
  <c r="I503" i="3"/>
  <c r="J503" i="3"/>
  <c r="H504" i="3"/>
  <c r="I504" i="3"/>
  <c r="J504" i="3"/>
  <c r="H505" i="3"/>
  <c r="I505" i="3"/>
  <c r="J505" i="3"/>
  <c r="H506" i="3"/>
  <c r="I506" i="3"/>
  <c r="J506" i="3"/>
  <c r="H507" i="3"/>
  <c r="I507" i="3"/>
  <c r="J507" i="3"/>
  <c r="H508" i="3"/>
  <c r="I508" i="3"/>
  <c r="J508" i="3"/>
  <c r="H509" i="3"/>
  <c r="I509" i="3"/>
  <c r="J509" i="3"/>
  <c r="H510" i="3"/>
  <c r="I510" i="3"/>
  <c r="J510" i="3"/>
  <c r="H511" i="3"/>
  <c r="I511" i="3"/>
  <c r="J511" i="3"/>
  <c r="H512" i="3"/>
  <c r="I512" i="3"/>
  <c r="J512" i="3"/>
  <c r="H513" i="3"/>
  <c r="I513" i="3"/>
  <c r="J513" i="3"/>
  <c r="H514" i="3"/>
  <c r="I514" i="3"/>
  <c r="J514" i="3"/>
  <c r="H515" i="3"/>
  <c r="I515" i="3"/>
  <c r="J515" i="3"/>
  <c r="H516" i="3"/>
  <c r="I516" i="3"/>
  <c r="J516" i="3"/>
  <c r="H517" i="3"/>
  <c r="I517" i="3"/>
  <c r="J517" i="3"/>
  <c r="H518" i="3"/>
  <c r="I518" i="3"/>
  <c r="J518" i="3"/>
  <c r="H519" i="3"/>
  <c r="I519" i="3"/>
  <c r="J519" i="3"/>
  <c r="H520" i="3"/>
  <c r="I520" i="3"/>
  <c r="J520" i="3"/>
  <c r="H521" i="3"/>
  <c r="I521" i="3"/>
  <c r="J521" i="3"/>
  <c r="H522" i="3"/>
  <c r="I522" i="3"/>
  <c r="J522" i="3"/>
  <c r="H523" i="3"/>
  <c r="I523" i="3"/>
  <c r="J523" i="3"/>
  <c r="H524" i="3"/>
  <c r="I524" i="3"/>
  <c r="J524" i="3"/>
  <c r="H525" i="3"/>
  <c r="I525" i="3"/>
  <c r="J525" i="3"/>
  <c r="H526" i="3"/>
  <c r="I526" i="3"/>
  <c r="J526" i="3"/>
  <c r="H527" i="3"/>
  <c r="I527" i="3"/>
  <c r="J527" i="3"/>
  <c r="H528" i="3"/>
  <c r="I528" i="3"/>
  <c r="J528" i="3"/>
  <c r="H529" i="3"/>
  <c r="I529" i="3"/>
  <c r="J529" i="3"/>
  <c r="H530" i="3"/>
  <c r="I530" i="3"/>
  <c r="J530" i="3"/>
  <c r="H531" i="3"/>
  <c r="I531" i="3"/>
  <c r="J531" i="3"/>
  <c r="H532" i="3"/>
  <c r="I532" i="3"/>
  <c r="J532" i="3"/>
  <c r="H533" i="3"/>
  <c r="I533" i="3"/>
  <c r="J533" i="3"/>
  <c r="H534" i="3"/>
  <c r="I534" i="3"/>
  <c r="J534" i="3"/>
  <c r="H535" i="3"/>
  <c r="I535" i="3"/>
  <c r="J535" i="3"/>
  <c r="H536" i="3"/>
  <c r="I536" i="3"/>
  <c r="J536" i="3"/>
  <c r="H537" i="3"/>
  <c r="I537" i="3"/>
  <c r="J537" i="3"/>
  <c r="H538" i="3"/>
  <c r="I538" i="3"/>
  <c r="J538" i="3"/>
  <c r="H539" i="3"/>
  <c r="I539" i="3"/>
  <c r="J539" i="3"/>
  <c r="H540" i="3"/>
  <c r="I540" i="3"/>
  <c r="J540" i="3"/>
  <c r="H541" i="3"/>
  <c r="I541" i="3"/>
  <c r="J541" i="3"/>
  <c r="H542" i="3"/>
  <c r="I542" i="3"/>
  <c r="J542" i="3"/>
  <c r="H543" i="3"/>
  <c r="I543" i="3"/>
  <c r="J543" i="3"/>
  <c r="H544" i="3"/>
  <c r="I544" i="3"/>
  <c r="J544" i="3"/>
  <c r="H545" i="3"/>
  <c r="I545" i="3"/>
  <c r="J545" i="3"/>
  <c r="H546" i="3"/>
  <c r="I546" i="3"/>
  <c r="J546" i="3"/>
  <c r="H547" i="3"/>
  <c r="I547" i="3"/>
  <c r="J547" i="3"/>
  <c r="H548" i="3"/>
  <c r="I548" i="3"/>
  <c r="J548" i="3"/>
  <c r="H549" i="3"/>
  <c r="I549" i="3"/>
  <c r="J549" i="3"/>
  <c r="H550" i="3"/>
  <c r="I550" i="3"/>
  <c r="J550" i="3"/>
  <c r="H551" i="3"/>
  <c r="I551" i="3"/>
  <c r="J551" i="3"/>
  <c r="H552" i="3"/>
  <c r="I552" i="3"/>
  <c r="J552" i="3"/>
  <c r="H553" i="3"/>
  <c r="I553" i="3"/>
  <c r="J553" i="3"/>
  <c r="H554" i="3"/>
  <c r="I554" i="3"/>
  <c r="J554" i="3"/>
  <c r="H555" i="3"/>
  <c r="I555" i="3"/>
  <c r="J555" i="3"/>
  <c r="H556" i="3"/>
  <c r="I556" i="3"/>
  <c r="J556" i="3"/>
  <c r="H557" i="3"/>
  <c r="I557" i="3"/>
  <c r="J557" i="3"/>
  <c r="H558" i="3"/>
  <c r="I558" i="3"/>
  <c r="J558" i="3"/>
  <c r="H559" i="3"/>
  <c r="I559" i="3"/>
  <c r="J559" i="3"/>
  <c r="H560" i="3"/>
  <c r="I560" i="3"/>
  <c r="J560" i="3"/>
  <c r="H561" i="3"/>
  <c r="I561" i="3"/>
  <c r="J561" i="3"/>
  <c r="H562" i="3"/>
  <c r="I562" i="3"/>
  <c r="J562" i="3"/>
  <c r="H563" i="3"/>
  <c r="I563" i="3"/>
  <c r="J563" i="3"/>
  <c r="H564" i="3"/>
  <c r="I564" i="3"/>
  <c r="J564" i="3"/>
  <c r="H565" i="3"/>
  <c r="I565" i="3"/>
  <c r="J565" i="3"/>
  <c r="H566" i="3"/>
  <c r="I566" i="3"/>
  <c r="J566" i="3"/>
  <c r="H567" i="3"/>
  <c r="I567" i="3"/>
  <c r="J567" i="3"/>
  <c r="H568" i="3"/>
  <c r="I568" i="3"/>
  <c r="J568" i="3"/>
  <c r="H569" i="3"/>
  <c r="I569" i="3"/>
  <c r="J569" i="3"/>
  <c r="H570" i="3"/>
  <c r="I570" i="3"/>
  <c r="J570" i="3"/>
  <c r="H571" i="3"/>
  <c r="I571" i="3"/>
  <c r="J571" i="3"/>
  <c r="H572" i="3"/>
  <c r="I572" i="3"/>
  <c r="J572" i="3"/>
  <c r="H573" i="3"/>
  <c r="I573" i="3"/>
  <c r="J573" i="3"/>
  <c r="H574" i="3"/>
  <c r="I574" i="3"/>
  <c r="J574" i="3"/>
  <c r="H575" i="3"/>
  <c r="I575" i="3"/>
  <c r="J575" i="3"/>
  <c r="H576" i="3"/>
  <c r="I576" i="3"/>
  <c r="J576" i="3"/>
  <c r="H577" i="3"/>
  <c r="I577" i="3"/>
  <c r="J577" i="3"/>
  <c r="H578" i="3"/>
  <c r="I578" i="3"/>
  <c r="J578" i="3"/>
  <c r="H579" i="3"/>
  <c r="I579" i="3"/>
  <c r="J579" i="3"/>
  <c r="H580" i="3"/>
  <c r="I580" i="3"/>
  <c r="J580" i="3"/>
  <c r="H581" i="3"/>
  <c r="I581" i="3"/>
  <c r="J581" i="3"/>
  <c r="H582" i="3"/>
  <c r="I582" i="3"/>
  <c r="J582" i="3"/>
  <c r="H583" i="3"/>
  <c r="I583" i="3"/>
  <c r="J583" i="3"/>
  <c r="H584" i="3"/>
  <c r="I584" i="3"/>
  <c r="J584" i="3"/>
  <c r="H585" i="3"/>
  <c r="I585" i="3"/>
  <c r="J585" i="3"/>
  <c r="H586" i="3"/>
  <c r="I586" i="3"/>
  <c r="J586" i="3"/>
  <c r="H587" i="3"/>
  <c r="I587" i="3"/>
  <c r="J587" i="3"/>
  <c r="H588" i="3"/>
  <c r="I588" i="3"/>
  <c r="J588" i="3"/>
  <c r="H589" i="3"/>
  <c r="I589" i="3"/>
  <c r="J589" i="3"/>
  <c r="F590" i="3"/>
  <c r="H590" i="3"/>
  <c r="I590" i="3"/>
  <c r="J590" i="3"/>
  <c r="F591" i="3"/>
  <c r="H591" i="3"/>
  <c r="I591" i="3"/>
  <c r="J591" i="3"/>
  <c r="F592" i="3"/>
  <c r="H592" i="3"/>
  <c r="I592" i="3"/>
  <c r="J592" i="3"/>
  <c r="F593" i="3"/>
  <c r="H593" i="3"/>
  <c r="I593" i="3"/>
  <c r="J593" i="3"/>
  <c r="F594" i="3"/>
  <c r="H594" i="3"/>
  <c r="I594" i="3"/>
  <c r="J594" i="3"/>
  <c r="F595" i="3"/>
  <c r="H595" i="3"/>
  <c r="I595" i="3"/>
  <c r="J595" i="3"/>
  <c r="F596" i="3"/>
  <c r="H596" i="3"/>
  <c r="I596" i="3"/>
  <c r="J596" i="3"/>
  <c r="F597" i="3"/>
  <c r="H597" i="3"/>
  <c r="I597" i="3"/>
  <c r="J597" i="3"/>
  <c r="F598" i="3"/>
  <c r="H598" i="3"/>
  <c r="I598" i="3"/>
  <c r="J598" i="3"/>
  <c r="F599" i="3"/>
  <c r="H599" i="3"/>
  <c r="I599" i="3"/>
  <c r="J599" i="3"/>
  <c r="F600" i="3"/>
  <c r="H600" i="3"/>
  <c r="I600" i="3"/>
  <c r="J600" i="3"/>
  <c r="F601" i="3"/>
  <c r="H601" i="3"/>
  <c r="I601" i="3"/>
  <c r="J601" i="3"/>
  <c r="F602" i="3"/>
  <c r="H602" i="3"/>
  <c r="I602" i="3"/>
  <c r="J602" i="3"/>
  <c r="F603" i="3"/>
  <c r="H603" i="3"/>
  <c r="I603" i="3"/>
  <c r="J603" i="3"/>
  <c r="F604" i="3"/>
  <c r="H604" i="3"/>
  <c r="I604" i="3"/>
  <c r="J604" i="3"/>
  <c r="F605" i="3"/>
  <c r="H605" i="3"/>
  <c r="I605" i="3"/>
  <c r="J605" i="3"/>
  <c r="F606" i="3"/>
  <c r="H606" i="3"/>
  <c r="I606" i="3"/>
  <c r="J606" i="3"/>
  <c r="F607" i="3"/>
  <c r="H607" i="3"/>
  <c r="I607" i="3"/>
  <c r="J607" i="3"/>
  <c r="F608" i="3"/>
  <c r="H608" i="3"/>
  <c r="I608" i="3"/>
  <c r="J608" i="3"/>
  <c r="F609" i="3"/>
  <c r="H609" i="3"/>
  <c r="I609" i="3"/>
  <c r="J609" i="3"/>
  <c r="F610" i="3"/>
  <c r="H610" i="3"/>
  <c r="I610" i="3"/>
  <c r="J610" i="3"/>
  <c r="F611" i="3"/>
  <c r="H611" i="3"/>
  <c r="I611" i="3"/>
  <c r="J611" i="3"/>
  <c r="F612" i="3"/>
  <c r="H612" i="3"/>
  <c r="I612" i="3"/>
  <c r="J612" i="3"/>
  <c r="F613" i="3"/>
  <c r="H613" i="3"/>
  <c r="I613" i="3"/>
  <c r="J613" i="3"/>
  <c r="F614" i="3"/>
  <c r="H614" i="3"/>
  <c r="I614" i="3"/>
  <c r="J614" i="3"/>
  <c r="F615" i="3"/>
  <c r="H615" i="3"/>
  <c r="I615" i="3"/>
  <c r="J615" i="3"/>
  <c r="F616" i="3"/>
  <c r="H616" i="3"/>
  <c r="I616" i="3"/>
  <c r="J616" i="3"/>
  <c r="F617" i="3"/>
  <c r="H617" i="3"/>
  <c r="I617" i="3"/>
  <c r="J617" i="3"/>
  <c r="F618" i="3"/>
  <c r="H618" i="3"/>
  <c r="I618" i="3"/>
  <c r="J618" i="3"/>
  <c r="F619" i="3"/>
  <c r="H619" i="3"/>
  <c r="I619" i="3"/>
  <c r="J619" i="3"/>
  <c r="F620" i="3"/>
  <c r="H620" i="3"/>
  <c r="I620" i="3"/>
  <c r="J620" i="3"/>
  <c r="F621" i="3"/>
  <c r="H621" i="3"/>
  <c r="I621" i="3"/>
  <c r="J621" i="3"/>
  <c r="F622" i="3"/>
  <c r="H622" i="3"/>
  <c r="I622" i="3"/>
  <c r="J622" i="3"/>
  <c r="F623" i="3"/>
  <c r="H623" i="3"/>
  <c r="I623" i="3"/>
  <c r="J623" i="3"/>
  <c r="F624" i="3"/>
  <c r="H624" i="3"/>
  <c r="I624" i="3"/>
  <c r="J624" i="3"/>
  <c r="F625" i="3"/>
  <c r="H625" i="3"/>
  <c r="I625" i="3"/>
  <c r="J625" i="3"/>
  <c r="F626" i="3"/>
  <c r="H626" i="3"/>
  <c r="I626" i="3"/>
  <c r="J626" i="3"/>
  <c r="F627" i="3"/>
  <c r="H627" i="3"/>
  <c r="I627" i="3"/>
  <c r="J627" i="3"/>
  <c r="F628" i="3"/>
  <c r="H628" i="3"/>
  <c r="I628" i="3"/>
  <c r="J628" i="3"/>
  <c r="F629" i="3"/>
  <c r="H629" i="3"/>
  <c r="I629" i="3"/>
  <c r="J629" i="3"/>
  <c r="F630" i="3"/>
  <c r="H630" i="3"/>
  <c r="I630" i="3"/>
  <c r="J630" i="3"/>
  <c r="F631" i="3"/>
  <c r="H631" i="3"/>
  <c r="I631" i="3"/>
  <c r="J631" i="3"/>
  <c r="F632" i="3"/>
  <c r="H632" i="3"/>
  <c r="I632" i="3"/>
  <c r="J632" i="3"/>
  <c r="F633" i="3"/>
  <c r="H633" i="3"/>
  <c r="I633" i="3"/>
  <c r="J633" i="3"/>
  <c r="F634" i="3"/>
  <c r="H634" i="3"/>
  <c r="I634" i="3"/>
  <c r="J634" i="3"/>
  <c r="F635" i="3"/>
  <c r="H635" i="3"/>
  <c r="I635" i="3"/>
  <c r="J635" i="3"/>
  <c r="F636" i="3"/>
  <c r="H636" i="3"/>
  <c r="I636" i="3"/>
  <c r="J636" i="3"/>
  <c r="F637" i="3"/>
  <c r="H637" i="3"/>
  <c r="I637" i="3"/>
  <c r="J637" i="3"/>
  <c r="F638" i="3"/>
  <c r="H638" i="3"/>
  <c r="I638" i="3"/>
  <c r="J638" i="3"/>
  <c r="F639" i="3"/>
  <c r="H639" i="3"/>
  <c r="I639" i="3"/>
  <c r="J639" i="3"/>
  <c r="F640" i="3"/>
  <c r="H640" i="3"/>
  <c r="I640" i="3"/>
  <c r="J640" i="3"/>
  <c r="F641" i="3"/>
  <c r="H641" i="3"/>
  <c r="I641" i="3"/>
  <c r="J641" i="3"/>
  <c r="F642" i="3"/>
  <c r="H642" i="3"/>
  <c r="I642" i="3"/>
  <c r="J642" i="3"/>
  <c r="F643" i="3"/>
  <c r="H643" i="3"/>
  <c r="I643" i="3"/>
  <c r="J643" i="3"/>
  <c r="F644" i="3"/>
  <c r="H644" i="3"/>
  <c r="I644" i="3"/>
  <c r="J644" i="3"/>
  <c r="F645" i="3"/>
  <c r="H645" i="3"/>
  <c r="I645" i="3"/>
  <c r="J645" i="3"/>
  <c r="F646" i="3"/>
  <c r="H646" i="3"/>
  <c r="I646" i="3"/>
  <c r="J646" i="3"/>
  <c r="F647" i="3"/>
  <c r="H647" i="3"/>
  <c r="I647" i="3"/>
  <c r="J647" i="3"/>
  <c r="F648" i="3"/>
  <c r="H648" i="3"/>
  <c r="I648" i="3"/>
  <c r="J648" i="3"/>
  <c r="F649" i="3"/>
  <c r="H649" i="3"/>
  <c r="I649" i="3"/>
  <c r="J649" i="3"/>
  <c r="F650" i="3"/>
  <c r="H650" i="3"/>
  <c r="I650" i="3"/>
  <c r="J650" i="3"/>
  <c r="F651" i="3"/>
  <c r="H651" i="3"/>
  <c r="I651" i="3"/>
  <c r="J651" i="3"/>
  <c r="F652" i="3"/>
  <c r="H652" i="3"/>
  <c r="I652" i="3"/>
  <c r="J652" i="3"/>
  <c r="F653" i="3"/>
  <c r="H653" i="3"/>
  <c r="I653" i="3"/>
  <c r="J653" i="3"/>
  <c r="F654" i="3"/>
  <c r="H654" i="3"/>
  <c r="I654" i="3"/>
  <c r="J654" i="3"/>
  <c r="F655" i="3"/>
  <c r="H655" i="3"/>
  <c r="I655" i="3"/>
  <c r="J655" i="3"/>
  <c r="F656" i="3"/>
  <c r="H656" i="3"/>
  <c r="I656" i="3"/>
  <c r="J656" i="3"/>
  <c r="F657" i="3"/>
  <c r="H657" i="3"/>
  <c r="I657" i="3"/>
  <c r="J657" i="3"/>
  <c r="F658" i="3"/>
  <c r="H658" i="3"/>
  <c r="I658" i="3"/>
  <c r="J658" i="3"/>
  <c r="F659" i="3"/>
  <c r="H659" i="3"/>
  <c r="I659" i="3"/>
  <c r="J659" i="3"/>
  <c r="F660" i="3"/>
  <c r="H660" i="3"/>
  <c r="I660" i="3"/>
  <c r="J660" i="3"/>
  <c r="F661" i="3"/>
  <c r="H661" i="3"/>
  <c r="I661" i="3"/>
  <c r="J661" i="3"/>
  <c r="F662" i="3"/>
  <c r="H662" i="3"/>
  <c r="I662" i="3"/>
  <c r="J662" i="3"/>
  <c r="F663" i="3"/>
  <c r="H663" i="3"/>
  <c r="I663" i="3"/>
  <c r="J663" i="3"/>
  <c r="F664" i="3"/>
  <c r="H664" i="3"/>
  <c r="I664" i="3"/>
  <c r="J664" i="3"/>
  <c r="F665" i="3"/>
  <c r="H665" i="3"/>
  <c r="I665" i="3"/>
  <c r="J665" i="3"/>
  <c r="F666" i="3"/>
  <c r="H666" i="3"/>
  <c r="I666" i="3"/>
  <c r="J666" i="3"/>
  <c r="F667" i="3"/>
  <c r="H667" i="3"/>
  <c r="I667" i="3"/>
  <c r="J667" i="3"/>
  <c r="B668" i="3"/>
  <c r="F668" i="3"/>
  <c r="H668" i="3"/>
  <c r="I668" i="3"/>
  <c r="J668" i="3"/>
  <c r="F669" i="3"/>
  <c r="H669" i="3"/>
  <c r="I669" i="3"/>
  <c r="J669" i="3"/>
  <c r="B670" i="3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F670" i="3"/>
  <c r="H670" i="3"/>
  <c r="I670" i="3"/>
  <c r="J670" i="3"/>
  <c r="F671" i="3"/>
  <c r="H671" i="3"/>
  <c r="I671" i="3"/>
  <c r="J671" i="3"/>
  <c r="F672" i="3"/>
  <c r="H672" i="3"/>
  <c r="I672" i="3"/>
  <c r="J672" i="3"/>
  <c r="F673" i="3"/>
  <c r="H673" i="3"/>
  <c r="I673" i="3"/>
  <c r="J673" i="3"/>
  <c r="F674" i="3"/>
  <c r="H674" i="3"/>
  <c r="I674" i="3"/>
  <c r="J674" i="3"/>
  <c r="F675" i="3"/>
  <c r="H675" i="3"/>
  <c r="I675" i="3"/>
  <c r="J675" i="3"/>
  <c r="F676" i="3"/>
  <c r="H676" i="3"/>
  <c r="I676" i="3"/>
  <c r="J676" i="3"/>
  <c r="F677" i="3"/>
  <c r="H677" i="3"/>
  <c r="I677" i="3"/>
  <c r="J677" i="3"/>
  <c r="F678" i="3"/>
  <c r="N678" i="3" s="1"/>
  <c r="H678" i="3"/>
  <c r="I678" i="3"/>
  <c r="J678" i="3"/>
  <c r="F679" i="3"/>
  <c r="H679" i="3"/>
  <c r="I679" i="3"/>
  <c r="J679" i="3"/>
  <c r="F680" i="3"/>
  <c r="N680" i="3" s="1"/>
  <c r="H680" i="3"/>
  <c r="I680" i="3"/>
  <c r="J680" i="3"/>
  <c r="F681" i="3"/>
  <c r="H681" i="3"/>
  <c r="I681" i="3"/>
  <c r="J681" i="3"/>
  <c r="F682" i="3"/>
  <c r="H682" i="3"/>
  <c r="I682" i="3"/>
  <c r="J682" i="3"/>
  <c r="F683" i="3"/>
  <c r="H683" i="3"/>
  <c r="I683" i="3"/>
  <c r="J683" i="3"/>
  <c r="F684" i="3"/>
  <c r="N684" i="3" s="1"/>
  <c r="H684" i="3"/>
  <c r="I684" i="3"/>
  <c r="J684" i="3"/>
  <c r="F685" i="3"/>
  <c r="H685" i="3"/>
  <c r="I685" i="3"/>
  <c r="J685" i="3"/>
  <c r="F686" i="3"/>
  <c r="N686" i="3" s="1"/>
  <c r="H686" i="3"/>
  <c r="I686" i="3"/>
  <c r="J686" i="3"/>
  <c r="F687" i="3"/>
  <c r="N687" i="3" s="1"/>
  <c r="H687" i="3"/>
  <c r="I687" i="3"/>
  <c r="J687" i="3"/>
  <c r="F688" i="3"/>
  <c r="H688" i="3"/>
  <c r="I688" i="3"/>
  <c r="J688" i="3"/>
  <c r="F689" i="3"/>
  <c r="N689" i="3" s="1"/>
  <c r="H689" i="3"/>
  <c r="I689" i="3"/>
  <c r="J689" i="3"/>
  <c r="F690" i="3"/>
  <c r="H690" i="3"/>
  <c r="I690" i="3"/>
  <c r="J690" i="3"/>
  <c r="F691" i="3"/>
  <c r="H691" i="3"/>
  <c r="I691" i="3"/>
  <c r="J691" i="3"/>
  <c r="F692" i="3"/>
  <c r="H692" i="3"/>
  <c r="I692" i="3"/>
  <c r="J692" i="3"/>
  <c r="F693" i="3"/>
  <c r="N693" i="3" s="1"/>
  <c r="H693" i="3"/>
  <c r="I693" i="3"/>
  <c r="J693" i="3"/>
  <c r="B694" i="3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F694" i="3"/>
  <c r="H694" i="3"/>
  <c r="I694" i="3"/>
  <c r="J694" i="3"/>
  <c r="F695" i="3"/>
  <c r="H695" i="3"/>
  <c r="I695" i="3"/>
  <c r="J695" i="3"/>
  <c r="F696" i="3"/>
  <c r="H696" i="3"/>
  <c r="I696" i="3"/>
  <c r="J696" i="3"/>
  <c r="F697" i="3"/>
  <c r="N697" i="3" s="1"/>
  <c r="H697" i="3"/>
  <c r="I697" i="3"/>
  <c r="J697" i="3"/>
  <c r="F698" i="3"/>
  <c r="H698" i="3"/>
  <c r="I698" i="3"/>
  <c r="J698" i="3"/>
  <c r="F699" i="3"/>
  <c r="N699" i="3" s="1"/>
  <c r="H699" i="3"/>
  <c r="I699" i="3"/>
  <c r="J699" i="3"/>
  <c r="F700" i="3"/>
  <c r="H700" i="3"/>
  <c r="I700" i="3"/>
  <c r="J700" i="3"/>
  <c r="F701" i="3"/>
  <c r="N701" i="3" s="1"/>
  <c r="G701" i="3"/>
  <c r="H701" i="3"/>
  <c r="I701" i="3"/>
  <c r="J701" i="3"/>
  <c r="F702" i="3"/>
  <c r="H702" i="3"/>
  <c r="I702" i="3"/>
  <c r="J702" i="3"/>
  <c r="F703" i="3"/>
  <c r="H703" i="3"/>
  <c r="I703" i="3"/>
  <c r="J703" i="3"/>
  <c r="F704" i="3"/>
  <c r="H704" i="3"/>
  <c r="I704" i="3"/>
  <c r="J704" i="3"/>
  <c r="F705" i="3"/>
  <c r="H705" i="3"/>
  <c r="I705" i="3"/>
  <c r="J705" i="3"/>
  <c r="F706" i="3"/>
  <c r="H706" i="3"/>
  <c r="I706" i="3"/>
  <c r="J706" i="3"/>
  <c r="F707" i="3"/>
  <c r="H707" i="3"/>
  <c r="I707" i="3"/>
  <c r="J707" i="3"/>
  <c r="F708" i="3"/>
  <c r="H708" i="3"/>
  <c r="I708" i="3"/>
  <c r="J708" i="3"/>
  <c r="F709" i="3"/>
  <c r="H709" i="3"/>
  <c r="I709" i="3"/>
  <c r="J709" i="3"/>
  <c r="F710" i="3"/>
  <c r="H710" i="3"/>
  <c r="I710" i="3"/>
  <c r="J710" i="3"/>
  <c r="F711" i="3"/>
  <c r="H711" i="3"/>
  <c r="I711" i="3"/>
  <c r="J711" i="3"/>
  <c r="F712" i="3"/>
  <c r="H712" i="3"/>
  <c r="I712" i="3"/>
  <c r="J712" i="3"/>
  <c r="F713" i="3"/>
  <c r="N765" i="3" s="1"/>
  <c r="H713" i="3"/>
  <c r="I713" i="3"/>
  <c r="J713" i="3"/>
  <c r="F714" i="3"/>
  <c r="N714" i="3" s="1"/>
  <c r="H714" i="3"/>
  <c r="I714" i="3"/>
  <c r="J714" i="3"/>
  <c r="F715" i="3"/>
  <c r="N767" i="3" s="1"/>
  <c r="H715" i="3"/>
  <c r="I715" i="3"/>
  <c r="J715" i="3"/>
  <c r="N715" i="3"/>
  <c r="F716" i="3"/>
  <c r="N716" i="3" s="1"/>
  <c r="H716" i="3"/>
  <c r="I716" i="3"/>
  <c r="J716" i="3"/>
  <c r="F717" i="3"/>
  <c r="N769" i="3" s="1"/>
  <c r="H717" i="3"/>
  <c r="I717" i="3"/>
  <c r="J717" i="3"/>
  <c r="F718" i="3"/>
  <c r="N770" i="3" s="1"/>
  <c r="H718" i="3"/>
  <c r="I718" i="3"/>
  <c r="J718" i="3"/>
  <c r="F719" i="3"/>
  <c r="H719" i="3"/>
  <c r="I719" i="3"/>
  <c r="J719" i="3"/>
  <c r="F720" i="3"/>
  <c r="H720" i="3"/>
  <c r="I720" i="3"/>
  <c r="J720" i="3"/>
  <c r="F721" i="3"/>
  <c r="H721" i="3"/>
  <c r="I721" i="3"/>
  <c r="J721" i="3"/>
  <c r="F722" i="3"/>
  <c r="H722" i="3"/>
  <c r="I722" i="3"/>
  <c r="J722" i="3"/>
  <c r="F723" i="3"/>
  <c r="H723" i="3"/>
  <c r="I723" i="3"/>
  <c r="J723" i="3"/>
  <c r="F724" i="3"/>
  <c r="H724" i="3"/>
  <c r="I724" i="3"/>
  <c r="J724" i="3"/>
  <c r="F725" i="3"/>
  <c r="H725" i="3"/>
  <c r="I725" i="3"/>
  <c r="J725" i="3"/>
  <c r="F726" i="3"/>
  <c r="H726" i="3"/>
  <c r="I726" i="3"/>
  <c r="J726" i="3"/>
  <c r="F727" i="3"/>
  <c r="H727" i="3"/>
  <c r="I727" i="3"/>
  <c r="J727" i="3"/>
  <c r="C728" i="3"/>
  <c r="H731" i="3" s="1"/>
  <c r="D728" i="3"/>
  <c r="E728" i="3"/>
  <c r="J728" i="3" s="1"/>
  <c r="F729" i="3"/>
  <c r="F730" i="3"/>
  <c r="N730" i="3" s="1"/>
  <c r="F731" i="3"/>
  <c r="N783" i="3" s="1"/>
  <c r="F732" i="3"/>
  <c r="N784" i="3" s="1"/>
  <c r="H732" i="3"/>
  <c r="I732" i="3"/>
  <c r="J732" i="3"/>
  <c r="F733" i="3"/>
  <c r="N785" i="3" s="1"/>
  <c r="H733" i="3"/>
  <c r="I733" i="3"/>
  <c r="J733" i="3"/>
  <c r="F734" i="3"/>
  <c r="N786" i="3" s="1"/>
  <c r="H734" i="3"/>
  <c r="I734" i="3"/>
  <c r="J734" i="3"/>
  <c r="F735" i="3"/>
  <c r="H735" i="3"/>
  <c r="I735" i="3"/>
  <c r="J735" i="3"/>
  <c r="F736" i="3"/>
  <c r="H736" i="3"/>
  <c r="I736" i="3"/>
  <c r="J736" i="3"/>
  <c r="F737" i="3"/>
  <c r="H737" i="3"/>
  <c r="I737" i="3"/>
  <c r="J737" i="3"/>
  <c r="F738" i="3"/>
  <c r="H738" i="3"/>
  <c r="I738" i="3"/>
  <c r="J738" i="3"/>
  <c r="F739" i="3"/>
  <c r="N791" i="3" s="1"/>
  <c r="H739" i="3"/>
  <c r="I739" i="3"/>
  <c r="J739" i="3"/>
  <c r="F740" i="3"/>
  <c r="N740" i="3" s="1"/>
  <c r="H740" i="3"/>
  <c r="I740" i="3"/>
  <c r="J740" i="3"/>
  <c r="F741" i="3"/>
  <c r="H741" i="3"/>
  <c r="I741" i="3"/>
  <c r="J741" i="3"/>
  <c r="F742" i="3"/>
  <c r="H742" i="3"/>
  <c r="I742" i="3"/>
  <c r="J742" i="3"/>
  <c r="F743" i="3"/>
  <c r="H743" i="3"/>
  <c r="I743" i="3"/>
  <c r="J743" i="3"/>
  <c r="F744" i="3"/>
  <c r="H744" i="3"/>
  <c r="I744" i="3"/>
  <c r="J744" i="3"/>
  <c r="F745" i="3"/>
  <c r="H745" i="3"/>
  <c r="I745" i="3"/>
  <c r="J745" i="3"/>
  <c r="F746" i="3"/>
  <c r="N746" i="3" s="1"/>
  <c r="H746" i="3"/>
  <c r="I746" i="3"/>
  <c r="J746" i="3"/>
  <c r="F747" i="3"/>
  <c r="H747" i="3"/>
  <c r="I747" i="3"/>
  <c r="J747" i="3"/>
  <c r="F748" i="3"/>
  <c r="H748" i="3"/>
  <c r="I748" i="3"/>
  <c r="J748" i="3"/>
  <c r="F749" i="3"/>
  <c r="H749" i="3"/>
  <c r="I749" i="3"/>
  <c r="J749" i="3"/>
  <c r="F750" i="3"/>
  <c r="N750" i="3" s="1"/>
  <c r="H750" i="3"/>
  <c r="I750" i="3"/>
  <c r="J750" i="3"/>
  <c r="F751" i="3"/>
  <c r="H751" i="3"/>
  <c r="I751" i="3"/>
  <c r="J751" i="3"/>
  <c r="F752" i="3"/>
  <c r="N752" i="3" s="1"/>
  <c r="H752" i="3"/>
  <c r="I752" i="3"/>
  <c r="J752" i="3"/>
  <c r="F753" i="3"/>
  <c r="H753" i="3"/>
  <c r="I753" i="3"/>
  <c r="J753" i="3"/>
  <c r="F754" i="3"/>
  <c r="N754" i="3" s="1"/>
  <c r="H754" i="3"/>
  <c r="I754" i="3"/>
  <c r="J754" i="3"/>
  <c r="F755" i="3"/>
  <c r="H755" i="3"/>
  <c r="I755" i="3"/>
  <c r="J755" i="3"/>
  <c r="F756" i="3"/>
  <c r="H756" i="3"/>
  <c r="I756" i="3"/>
  <c r="J756" i="3"/>
  <c r="F757" i="3"/>
  <c r="G757" i="3"/>
  <c r="H757" i="3"/>
  <c r="I757" i="3"/>
  <c r="J757" i="3"/>
  <c r="F758" i="3"/>
  <c r="H758" i="3"/>
  <c r="I758" i="3"/>
  <c r="J758" i="3"/>
  <c r="F759" i="3"/>
  <c r="H759" i="3"/>
  <c r="I759" i="3"/>
  <c r="J759" i="3"/>
  <c r="F760" i="3"/>
  <c r="H760" i="3"/>
  <c r="I760" i="3"/>
  <c r="J760" i="3"/>
  <c r="F761" i="3"/>
  <c r="H761" i="3"/>
  <c r="I761" i="3"/>
  <c r="J761" i="3"/>
  <c r="F762" i="3"/>
  <c r="H762" i="3"/>
  <c r="I762" i="3"/>
  <c r="J762" i="3"/>
  <c r="F763" i="3"/>
  <c r="H763" i="3"/>
  <c r="I763" i="3"/>
  <c r="J763" i="3"/>
  <c r="K211" i="3"/>
  <c r="N774" i="3"/>
  <c r="N781" i="3"/>
  <c r="K190" i="3"/>
  <c r="K741" i="3"/>
  <c r="K604" i="3"/>
  <c r="K711" i="3" l="1"/>
  <c r="K769" i="3"/>
  <c r="K625" i="3"/>
  <c r="K721" i="3"/>
  <c r="K720" i="3"/>
  <c r="N759" i="3"/>
  <c r="K658" i="3"/>
  <c r="K656" i="3"/>
  <c r="K636" i="3"/>
  <c r="K773" i="3"/>
  <c r="K790" i="3"/>
  <c r="N722" i="3"/>
  <c r="K602" i="3"/>
  <c r="K597" i="3"/>
  <c r="K591" i="3"/>
  <c r="K583" i="3"/>
  <c r="K575" i="3"/>
  <c r="K567" i="3"/>
  <c r="K559" i="3"/>
  <c r="K551" i="3"/>
  <c r="K543" i="3"/>
  <c r="K535" i="3"/>
  <c r="K519" i="3"/>
  <c r="K511" i="3"/>
  <c r="K503" i="3"/>
  <c r="K495" i="3"/>
  <c r="K487" i="3"/>
  <c r="K479" i="3"/>
  <c r="K471" i="3"/>
  <c r="K463" i="3"/>
  <c r="K455" i="3"/>
  <c r="K447" i="3"/>
  <c r="K439" i="3"/>
  <c r="K431" i="3"/>
  <c r="K423" i="3"/>
  <c r="K415" i="3"/>
  <c r="K407" i="3"/>
  <c r="K399" i="3"/>
  <c r="K391" i="3"/>
  <c r="K383" i="3"/>
  <c r="K375" i="3"/>
  <c r="K215" i="3"/>
  <c r="K207" i="3"/>
  <c r="K199" i="3"/>
  <c r="K191" i="3"/>
  <c r="K183" i="3"/>
  <c r="K175" i="3"/>
  <c r="K167" i="3"/>
  <c r="K159" i="3"/>
  <c r="K151" i="3"/>
  <c r="K143" i="3"/>
  <c r="K135" i="3"/>
  <c r="K127" i="3"/>
  <c r="K119" i="3"/>
  <c r="K111" i="3"/>
  <c r="K103" i="3"/>
  <c r="K95" i="3"/>
  <c r="K87" i="3"/>
  <c r="K79" i="3"/>
  <c r="K71" i="3"/>
  <c r="K63" i="3"/>
  <c r="K55" i="3"/>
  <c r="K47" i="3"/>
  <c r="K39" i="3"/>
  <c r="K31" i="3"/>
  <c r="K23" i="3"/>
  <c r="K15" i="3"/>
  <c r="N771" i="3"/>
  <c r="K779" i="3"/>
  <c r="K783" i="3"/>
  <c r="K825" i="3"/>
  <c r="K836" i="3"/>
  <c r="N739" i="3"/>
  <c r="K762" i="3"/>
  <c r="K753" i="3"/>
  <c r="K737" i="3"/>
  <c r="F728" i="3"/>
  <c r="K707" i="3"/>
  <c r="K703" i="3"/>
  <c r="K698" i="3"/>
  <c r="K696" i="3"/>
  <c r="K692" i="3"/>
  <c r="K673" i="3"/>
  <c r="K672" i="3"/>
  <c r="K648" i="3"/>
  <c r="K213" i="3"/>
  <c r="K210" i="3"/>
  <c r="K202" i="3"/>
  <c r="K197" i="3"/>
  <c r="K192" i="3"/>
  <c r="N777" i="3"/>
  <c r="N779" i="3"/>
  <c r="N734" i="3"/>
  <c r="N778" i="3"/>
  <c r="K702" i="3"/>
  <c r="K620" i="3"/>
  <c r="K612" i="3"/>
  <c r="I731" i="3"/>
  <c r="K714" i="3"/>
  <c r="K712" i="3"/>
  <c r="K710" i="3"/>
  <c r="K687" i="3"/>
  <c r="N710" i="3"/>
  <c r="N827" i="3"/>
  <c r="I729" i="3"/>
  <c r="N725" i="3"/>
  <c r="N721" i="3"/>
  <c r="K193" i="3"/>
  <c r="N776" i="3"/>
  <c r="N708" i="3"/>
  <c r="N760" i="3"/>
  <c r="N758" i="3"/>
  <c r="N694" i="3"/>
  <c r="K653" i="3"/>
  <c r="K647" i="3"/>
  <c r="K631" i="3"/>
  <c r="K208" i="3"/>
  <c r="K206" i="3"/>
  <c r="K195" i="3"/>
  <c r="I728" i="3"/>
  <c r="I730" i="3"/>
  <c r="N706" i="3"/>
  <c r="N756" i="3"/>
  <c r="N692" i="3"/>
  <c r="N688" i="3"/>
  <c r="K846" i="3"/>
  <c r="N672" i="3"/>
  <c r="K594" i="3"/>
  <c r="K588" i="3"/>
  <c r="K532" i="3"/>
  <c r="K476" i="3"/>
  <c r="K468" i="3"/>
  <c r="K436" i="3"/>
  <c r="K428" i="3"/>
  <c r="K380" i="3"/>
  <c r="K372" i="3"/>
  <c r="K220" i="3"/>
  <c r="K196" i="3"/>
  <c r="K164" i="3"/>
  <c r="K156" i="3"/>
  <c r="K100" i="3"/>
  <c r="K92" i="3"/>
  <c r="K44" i="3"/>
  <c r="K831" i="3"/>
  <c r="K750" i="3"/>
  <c r="K607" i="3"/>
  <c r="K684" i="3"/>
  <c r="N741" i="3"/>
  <c r="N705" i="3"/>
  <c r="K776" i="3"/>
  <c r="K791" i="3"/>
  <c r="K793" i="3"/>
  <c r="K795" i="3"/>
  <c r="K799" i="3"/>
  <c r="K580" i="3"/>
  <c r="K572" i="3"/>
  <c r="K540" i="3"/>
  <c r="K508" i="3"/>
  <c r="K500" i="3"/>
  <c r="K484" i="3"/>
  <c r="K444" i="3"/>
  <c r="K412" i="3"/>
  <c r="K396" i="3"/>
  <c r="K212" i="3"/>
  <c r="K204" i="3"/>
  <c r="K172" i="3"/>
  <c r="K132" i="3"/>
  <c r="K116" i="3"/>
  <c r="K108" i="3"/>
  <c r="K76" i="3"/>
  <c r="K68" i="3"/>
  <c r="K52" i="3"/>
  <c r="K28" i="3"/>
  <c r="K20" i="3"/>
  <c r="K827" i="3"/>
  <c r="K613" i="3"/>
  <c r="N736" i="3"/>
  <c r="K214" i="3"/>
  <c r="N766" i="3"/>
  <c r="K640" i="3"/>
  <c r="K638" i="3"/>
  <c r="K628" i="3"/>
  <c r="N675" i="3"/>
  <c r="K219" i="3"/>
  <c r="K216" i="3"/>
  <c r="K205" i="3"/>
  <c r="K203" i="3"/>
  <c r="K200" i="3"/>
  <c r="K189" i="3"/>
  <c r="K187" i="3"/>
  <c r="N847" i="3"/>
  <c r="K810" i="3"/>
  <c r="K812" i="3"/>
  <c r="K814" i="3"/>
  <c r="L866" i="3" s="1"/>
  <c r="O866" i="3" s="1"/>
  <c r="K818" i="3"/>
  <c r="K664" i="3"/>
  <c r="K596" i="3"/>
  <c r="K564" i="3"/>
  <c r="K556" i="3"/>
  <c r="K548" i="3"/>
  <c r="K516" i="3"/>
  <c r="K492" i="3"/>
  <c r="K460" i="3"/>
  <c r="K452" i="3"/>
  <c r="K420" i="3"/>
  <c r="K404" i="3"/>
  <c r="K388" i="3"/>
  <c r="K188" i="3"/>
  <c r="K180" i="3"/>
  <c r="K148" i="3"/>
  <c r="K140" i="3"/>
  <c r="K124" i="3"/>
  <c r="K84" i="3"/>
  <c r="K60" i="3"/>
  <c r="K36" i="3"/>
  <c r="K12" i="3"/>
  <c r="K829" i="3"/>
  <c r="N732" i="3"/>
  <c r="K217" i="3"/>
  <c r="K765" i="3"/>
  <c r="K615" i="3"/>
  <c r="K198" i="3"/>
  <c r="K688" i="3"/>
  <c r="N679" i="3"/>
  <c r="K642" i="3"/>
  <c r="L877" i="3"/>
  <c r="O877" i="3" s="1"/>
  <c r="K706" i="3"/>
  <c r="K201" i="3"/>
  <c r="K681" i="3"/>
  <c r="K619" i="3"/>
  <c r="N846" i="3"/>
  <c r="N762" i="3"/>
  <c r="N724" i="3"/>
  <c r="K758" i="3"/>
  <c r="L914" i="3" s="1"/>
  <c r="O914" i="3" s="1"/>
  <c r="K697" i="3"/>
  <c r="K680" i="3"/>
  <c r="K663" i="3"/>
  <c r="K630" i="3"/>
  <c r="N650" i="3"/>
  <c r="N665" i="3"/>
  <c r="N619" i="3"/>
  <c r="K569" i="3"/>
  <c r="K521" i="3"/>
  <c r="K481" i="3"/>
  <c r="K409" i="3"/>
  <c r="K385" i="3"/>
  <c r="K137" i="3"/>
  <c r="K105" i="3"/>
  <c r="K49" i="3"/>
  <c r="K17" i="3"/>
  <c r="K833" i="3"/>
  <c r="N663" i="3"/>
  <c r="N642" i="3"/>
  <c r="N636" i="3"/>
  <c r="N611" i="3"/>
  <c r="K574" i="3"/>
  <c r="K534" i="3"/>
  <c r="K390" i="3"/>
  <c r="K110" i="3"/>
  <c r="K70" i="3"/>
  <c r="K38" i="3"/>
  <c r="K801" i="3"/>
  <c r="N744" i="3"/>
  <c r="K719" i="3"/>
  <c r="N671" i="3"/>
  <c r="N657" i="3"/>
  <c r="K622" i="3"/>
  <c r="K563" i="3"/>
  <c r="L667" i="3" s="1"/>
  <c r="O667" i="3" s="1"/>
  <c r="K539" i="3"/>
  <c r="L643" i="3" s="1"/>
  <c r="O643" i="3" s="1"/>
  <c r="K515" i="3"/>
  <c r="L619" i="3" s="1"/>
  <c r="O619" i="3" s="1"/>
  <c r="K387" i="3"/>
  <c r="K147" i="3"/>
  <c r="K123" i="3"/>
  <c r="L227" i="3" s="1"/>
  <c r="O227" i="3" s="1"/>
  <c r="K115" i="3"/>
  <c r="K91" i="3"/>
  <c r="L247" i="3" s="1"/>
  <c r="O247" i="3" s="1"/>
  <c r="K771" i="3"/>
  <c r="N775" i="3"/>
  <c r="K756" i="3"/>
  <c r="N737" i="3"/>
  <c r="N658" i="3"/>
  <c r="N656" i="3"/>
  <c r="N654" i="3"/>
  <c r="K650" i="3"/>
  <c r="N631" i="3"/>
  <c r="N629" i="3"/>
  <c r="N627" i="3"/>
  <c r="N606" i="3"/>
  <c r="N604" i="3"/>
  <c r="L251" i="3"/>
  <c r="O251" i="3" s="1"/>
  <c r="L219" i="3"/>
  <c r="O219" i="3" s="1"/>
  <c r="N652" i="3"/>
  <c r="N621" i="3"/>
  <c r="N600" i="3"/>
  <c r="K679" i="3"/>
  <c r="N667" i="3"/>
  <c r="N644" i="3"/>
  <c r="N617" i="3"/>
  <c r="N594" i="3"/>
  <c r="K585" i="3"/>
  <c r="K545" i="3"/>
  <c r="K505" i="3"/>
  <c r="K441" i="3"/>
  <c r="K417" i="3"/>
  <c r="K393" i="3"/>
  <c r="K369" i="3"/>
  <c r="K169" i="3"/>
  <c r="K81" i="3"/>
  <c r="K57" i="3"/>
  <c r="K41" i="3"/>
  <c r="K25" i="3"/>
  <c r="K9" i="3"/>
  <c r="N659" i="3"/>
  <c r="N634" i="3"/>
  <c r="K624" i="3"/>
  <c r="N615" i="3"/>
  <c r="K605" i="3"/>
  <c r="K550" i="3"/>
  <c r="K523" i="3"/>
  <c r="L627" i="3" s="1"/>
  <c r="O627" i="3" s="1"/>
  <c r="K510" i="3"/>
  <c r="K486" i="3"/>
  <c r="K470" i="3"/>
  <c r="K446" i="3"/>
  <c r="K414" i="3"/>
  <c r="K182" i="3"/>
  <c r="K158" i="3"/>
  <c r="K142" i="3"/>
  <c r="K118" i="3"/>
  <c r="K102" i="3"/>
  <c r="K86" i="3"/>
  <c r="K54" i="3"/>
  <c r="K30" i="3"/>
  <c r="K14" i="3"/>
  <c r="K767" i="3"/>
  <c r="K841" i="3"/>
  <c r="N655" i="3"/>
  <c r="N626" i="3"/>
  <c r="N605" i="3"/>
  <c r="K587" i="3"/>
  <c r="K531" i="3"/>
  <c r="L635" i="3" s="1"/>
  <c r="O635" i="3" s="1"/>
  <c r="K507" i="3"/>
  <c r="K475" i="3"/>
  <c r="K443" i="3"/>
  <c r="K379" i="3"/>
  <c r="K155" i="3"/>
  <c r="K131" i="3"/>
  <c r="K59" i="3"/>
  <c r="K43" i="3"/>
  <c r="K27" i="3"/>
  <c r="K11" i="3"/>
  <c r="K826" i="3"/>
  <c r="N757" i="3"/>
  <c r="N773" i="3"/>
  <c r="K713" i="3"/>
  <c r="N704" i="3"/>
  <c r="K700" i="3"/>
  <c r="N668" i="3"/>
  <c r="K666" i="3"/>
  <c r="N653" i="3"/>
  <c r="N651" i="3"/>
  <c r="N649" i="3"/>
  <c r="K645" i="3"/>
  <c r="K639" i="3"/>
  <c r="N624" i="3"/>
  <c r="N622" i="3"/>
  <c r="N620" i="3"/>
  <c r="K618" i="3"/>
  <c r="N601" i="3"/>
  <c r="N599" i="3"/>
  <c r="K584" i="3"/>
  <c r="K576" i="3"/>
  <c r="K568" i="3"/>
  <c r="K560" i="3"/>
  <c r="K552" i="3"/>
  <c r="L708" i="3" s="1"/>
  <c r="O708" i="3" s="1"/>
  <c r="K544" i="3"/>
  <c r="K536" i="3"/>
  <c r="L692" i="3" s="1"/>
  <c r="O692" i="3" s="1"/>
  <c r="K525" i="3"/>
  <c r="K520" i="3"/>
  <c r="K512" i="3"/>
  <c r="K504" i="3"/>
  <c r="L608" i="3" s="1"/>
  <c r="O608" i="3" s="1"/>
  <c r="K496" i="3"/>
  <c r="K488" i="3"/>
  <c r="K480" i="3"/>
  <c r="K472" i="3"/>
  <c r="K464" i="3"/>
  <c r="K456" i="3"/>
  <c r="K448" i="3"/>
  <c r="K440" i="3"/>
  <c r="K432" i="3"/>
  <c r="K424" i="3"/>
  <c r="L528" i="3" s="1"/>
  <c r="O528" i="3" s="1"/>
  <c r="K416" i="3"/>
  <c r="K408" i="3"/>
  <c r="K400" i="3"/>
  <c r="K392" i="3"/>
  <c r="K384" i="3"/>
  <c r="K376" i="3"/>
  <c r="K368" i="3"/>
  <c r="K184" i="3"/>
  <c r="K176" i="3"/>
  <c r="K168" i="3"/>
  <c r="K160" i="3"/>
  <c r="K152" i="3"/>
  <c r="K144" i="3"/>
  <c r="K136" i="3"/>
  <c r="K128" i="3"/>
  <c r="K120" i="3"/>
  <c r="K112" i="3"/>
  <c r="K104" i="3"/>
  <c r="L260" i="3" s="1"/>
  <c r="O260" i="3" s="1"/>
  <c r="K96" i="3"/>
  <c r="K88" i="3"/>
  <c r="K80" i="3"/>
  <c r="K72" i="3"/>
  <c r="K64" i="3"/>
  <c r="K56" i="3"/>
  <c r="K48" i="3"/>
  <c r="K40" i="3"/>
  <c r="K32" i="3"/>
  <c r="K24" i="3"/>
  <c r="K16" i="3"/>
  <c r="K775" i="3"/>
  <c r="K777" i="3"/>
  <c r="K794" i="3"/>
  <c r="N669" i="3"/>
  <c r="N625" i="3"/>
  <c r="N602" i="3"/>
  <c r="K661" i="3"/>
  <c r="N646" i="3"/>
  <c r="N592" i="3"/>
  <c r="K561" i="3"/>
  <c r="K497" i="3"/>
  <c r="K473" i="3"/>
  <c r="K457" i="3"/>
  <c r="K433" i="3"/>
  <c r="K177" i="3"/>
  <c r="K153" i="3"/>
  <c r="K121" i="3"/>
  <c r="K89" i="3"/>
  <c r="K65" i="3"/>
  <c r="K33" i="3"/>
  <c r="K816" i="3"/>
  <c r="K839" i="3"/>
  <c r="N768" i="3"/>
  <c r="K655" i="3"/>
  <c r="N640" i="3"/>
  <c r="N632" i="3"/>
  <c r="N609" i="3"/>
  <c r="N590" i="3"/>
  <c r="K566" i="3"/>
  <c r="K526" i="3"/>
  <c r="K494" i="3"/>
  <c r="K462" i="3"/>
  <c r="K430" i="3"/>
  <c r="K406" i="3"/>
  <c r="K382" i="3"/>
  <c r="K166" i="3"/>
  <c r="K134" i="3"/>
  <c r="K94" i="3"/>
  <c r="K62" i="3"/>
  <c r="K46" i="3"/>
  <c r="K22" i="3"/>
  <c r="K675" i="3"/>
  <c r="N630" i="3"/>
  <c r="N607" i="3"/>
  <c r="N603" i="3"/>
  <c r="K579" i="3"/>
  <c r="K555" i="3"/>
  <c r="K499" i="3"/>
  <c r="K483" i="3"/>
  <c r="K467" i="3"/>
  <c r="L571" i="3" s="1"/>
  <c r="O571" i="3" s="1"/>
  <c r="K451" i="3"/>
  <c r="L555" i="3" s="1"/>
  <c r="O555" i="3" s="1"/>
  <c r="K435" i="3"/>
  <c r="L591" i="3" s="1"/>
  <c r="O591" i="3" s="1"/>
  <c r="K419" i="3"/>
  <c r="K403" i="3"/>
  <c r="L559" i="3" s="1"/>
  <c r="O559" i="3" s="1"/>
  <c r="K371" i="3"/>
  <c r="L527" i="3" s="1"/>
  <c r="O527" i="3" s="1"/>
  <c r="K171" i="3"/>
  <c r="K107" i="3"/>
  <c r="L263" i="3" s="1"/>
  <c r="O263" i="3" s="1"/>
  <c r="K75" i="3"/>
  <c r="K19" i="3"/>
  <c r="N805" i="3"/>
  <c r="K751" i="3"/>
  <c r="K709" i="3"/>
  <c r="N700" i="3"/>
  <c r="N698" i="3"/>
  <c r="K689" i="3"/>
  <c r="K671" i="3"/>
  <c r="N666" i="3"/>
  <c r="N664" i="3"/>
  <c r="N647" i="3"/>
  <c r="N645" i="3"/>
  <c r="N643" i="3"/>
  <c r="K635" i="3"/>
  <c r="N618" i="3"/>
  <c r="N616" i="3"/>
  <c r="K610" i="3"/>
  <c r="N597" i="3"/>
  <c r="N595" i="3"/>
  <c r="N593" i="3"/>
  <c r="K589" i="3"/>
  <c r="K581" i="3"/>
  <c r="K573" i="3"/>
  <c r="L677" i="3" s="1"/>
  <c r="O677" i="3" s="1"/>
  <c r="K565" i="3"/>
  <c r="K557" i="3"/>
  <c r="K549" i="3"/>
  <c r="K541" i="3"/>
  <c r="K533" i="3"/>
  <c r="K517" i="3"/>
  <c r="K509" i="3"/>
  <c r="K501" i="3"/>
  <c r="K493" i="3"/>
  <c r="K485" i="3"/>
  <c r="K477" i="3"/>
  <c r="K469" i="3"/>
  <c r="K461" i="3"/>
  <c r="K453" i="3"/>
  <c r="K445" i="3"/>
  <c r="K437" i="3"/>
  <c r="K429" i="3"/>
  <c r="K421" i="3"/>
  <c r="K413" i="3"/>
  <c r="K405" i="3"/>
  <c r="K397" i="3"/>
  <c r="K389" i="3"/>
  <c r="K381" i="3"/>
  <c r="K373" i="3"/>
  <c r="K181" i="3"/>
  <c r="K173" i="3"/>
  <c r="K165" i="3"/>
  <c r="K157" i="3"/>
  <c r="K149" i="3"/>
  <c r="K141" i="3"/>
  <c r="K133" i="3"/>
  <c r="K125" i="3"/>
  <c r="K117" i="3"/>
  <c r="K109" i="3"/>
  <c r="K101" i="3"/>
  <c r="K93" i="3"/>
  <c r="K85" i="3"/>
  <c r="K77" i="3"/>
  <c r="K69" i="3"/>
  <c r="K61" i="3"/>
  <c r="K53" i="3"/>
  <c r="K45" i="3"/>
  <c r="K37" i="3"/>
  <c r="K29" i="3"/>
  <c r="K21" i="3"/>
  <c r="K13" i="3"/>
  <c r="K781" i="3"/>
  <c r="K798" i="3"/>
  <c r="K806" i="3"/>
  <c r="N831" i="3"/>
  <c r="N648" i="3"/>
  <c r="N623" i="3"/>
  <c r="N598" i="3"/>
  <c r="L256" i="3"/>
  <c r="O256" i="3" s="1"/>
  <c r="K748" i="3"/>
  <c r="N596" i="3"/>
  <c r="K577" i="3"/>
  <c r="K553" i="3"/>
  <c r="K537" i="3"/>
  <c r="K513" i="3"/>
  <c r="K489" i="3"/>
  <c r="K465" i="3"/>
  <c r="K449" i="3"/>
  <c r="K425" i="3"/>
  <c r="K401" i="3"/>
  <c r="K377" i="3"/>
  <c r="L533" i="3" s="1"/>
  <c r="O533" i="3" s="1"/>
  <c r="K185" i="3"/>
  <c r="K161" i="3"/>
  <c r="K145" i="3"/>
  <c r="K129" i="3"/>
  <c r="K113" i="3"/>
  <c r="K97" i="3"/>
  <c r="K73" i="3"/>
  <c r="K727" i="3"/>
  <c r="L883" i="3" s="1"/>
  <c r="O883" i="3" s="1"/>
  <c r="N661" i="3"/>
  <c r="N638" i="3"/>
  <c r="N613" i="3"/>
  <c r="K582" i="3"/>
  <c r="K558" i="3"/>
  <c r="K542" i="3"/>
  <c r="K518" i="3"/>
  <c r="K502" i="3"/>
  <c r="K478" i="3"/>
  <c r="K454" i="3"/>
  <c r="K438" i="3"/>
  <c r="K422" i="3"/>
  <c r="K398" i="3"/>
  <c r="K374" i="3"/>
  <c r="K174" i="3"/>
  <c r="K150" i="3"/>
  <c r="K126" i="3"/>
  <c r="K78" i="3"/>
  <c r="N717" i="3"/>
  <c r="N670" i="3"/>
  <c r="N628" i="3"/>
  <c r="K599" i="3"/>
  <c r="K571" i="3"/>
  <c r="K547" i="3"/>
  <c r="L599" i="3" s="1"/>
  <c r="O599" i="3" s="1"/>
  <c r="K491" i="3"/>
  <c r="K459" i="3"/>
  <c r="K427" i="3"/>
  <c r="L583" i="3" s="1"/>
  <c r="O583" i="3" s="1"/>
  <c r="K411" i="3"/>
  <c r="K395" i="3"/>
  <c r="K179" i="3"/>
  <c r="K163" i="3"/>
  <c r="K139" i="3"/>
  <c r="L243" i="3" s="1"/>
  <c r="O243" i="3" s="1"/>
  <c r="K99" i="3"/>
  <c r="K83" i="3"/>
  <c r="K67" i="3"/>
  <c r="L223" i="3" s="1"/>
  <c r="O223" i="3" s="1"/>
  <c r="K51" i="3"/>
  <c r="K35" i="3"/>
  <c r="K805" i="3"/>
  <c r="K847" i="3"/>
  <c r="N753" i="3"/>
  <c r="K754" i="3"/>
  <c r="L910" i="3" s="1"/>
  <c r="O910" i="3" s="1"/>
  <c r="K745" i="3"/>
  <c r="N662" i="3"/>
  <c r="N660" i="3"/>
  <c r="K652" i="3"/>
  <c r="N641" i="3"/>
  <c r="N639" i="3"/>
  <c r="N637" i="3"/>
  <c r="N635" i="3"/>
  <c r="N633" i="3"/>
  <c r="K627" i="3"/>
  <c r="L679" i="3" s="1"/>
  <c r="O679" i="3" s="1"/>
  <c r="N614" i="3"/>
  <c r="N612" i="3"/>
  <c r="N610" i="3"/>
  <c r="N608" i="3"/>
  <c r="N591" i="3"/>
  <c r="K586" i="3"/>
  <c r="K578" i="3"/>
  <c r="K570" i="3"/>
  <c r="K562" i="3"/>
  <c r="K554" i="3"/>
  <c r="K546" i="3"/>
  <c r="K538" i="3"/>
  <c r="K514" i="3"/>
  <c r="L670" i="3" s="1"/>
  <c r="O670" i="3" s="1"/>
  <c r="K506" i="3"/>
  <c r="K498" i="3"/>
  <c r="K490" i="3"/>
  <c r="K482" i="3"/>
  <c r="K474" i="3"/>
  <c r="K466" i="3"/>
  <c r="K458" i="3"/>
  <c r="K450" i="3"/>
  <c r="K442" i="3"/>
  <c r="K434" i="3"/>
  <c r="K426" i="3"/>
  <c r="K418" i="3"/>
  <c r="K410" i="3"/>
  <c r="K402" i="3"/>
  <c r="L558" i="3" s="1"/>
  <c r="O558" i="3" s="1"/>
  <c r="K394" i="3"/>
  <c r="K386" i="3"/>
  <c r="L542" i="3" s="1"/>
  <c r="O542" i="3" s="1"/>
  <c r="K378" i="3"/>
  <c r="K370" i="3"/>
  <c r="K178" i="3"/>
  <c r="K170" i="3"/>
  <c r="K162" i="3"/>
  <c r="K154" i="3"/>
  <c r="K146" i="3"/>
  <c r="K138" i="3"/>
  <c r="K130" i="3"/>
  <c r="K122" i="3"/>
  <c r="K114" i="3"/>
  <c r="K106" i="3"/>
  <c r="K98" i="3"/>
  <c r="K90" i="3"/>
  <c r="L246" i="3" s="1"/>
  <c r="O246" i="3" s="1"/>
  <c r="K82" i="3"/>
  <c r="L238" i="3" s="1"/>
  <c r="O238" i="3" s="1"/>
  <c r="K74" i="3"/>
  <c r="K66" i="3"/>
  <c r="K58" i="3"/>
  <c r="K50" i="3"/>
  <c r="K42" i="3"/>
  <c r="K34" i="3"/>
  <c r="K26" i="3"/>
  <c r="K18" i="3"/>
  <c r="K10" i="3"/>
  <c r="K785" i="3"/>
  <c r="K821" i="3"/>
  <c r="L656" i="3"/>
  <c r="O656" i="3" s="1"/>
  <c r="L602" i="3"/>
  <c r="O602" i="3" s="1"/>
  <c r="L572" i="3"/>
  <c r="O572" i="3" s="1"/>
  <c r="L568" i="3"/>
  <c r="O568" i="3" s="1"/>
  <c r="L536" i="3"/>
  <c r="O536" i="3" s="1"/>
  <c r="L530" i="3"/>
  <c r="O530" i="3" s="1"/>
  <c r="L597" i="3"/>
  <c r="O597" i="3" s="1"/>
  <c r="L687" i="3"/>
  <c r="O687" i="3" s="1"/>
  <c r="L639" i="3"/>
  <c r="O639" i="3" s="1"/>
  <c r="L603" i="3"/>
  <c r="O603" i="3" s="1"/>
  <c r="L595" i="3"/>
  <c r="O595" i="3" s="1"/>
  <c r="L587" i="3"/>
  <c r="O587" i="3" s="1"/>
  <c r="L551" i="3"/>
  <c r="O551" i="3" s="1"/>
  <c r="L547" i="3"/>
  <c r="O547" i="3" s="1"/>
  <c r="L535" i="3"/>
  <c r="O535" i="3" s="1"/>
  <c r="L531" i="3"/>
  <c r="O531" i="3" s="1"/>
  <c r="K744" i="3"/>
  <c r="K742" i="3"/>
  <c r="L898" i="3" s="1"/>
  <c r="O898" i="3" s="1"/>
  <c r="K740" i="3"/>
  <c r="K738" i="3"/>
  <c r="K733" i="3"/>
  <c r="K716" i="3"/>
  <c r="K705" i="3"/>
  <c r="N735" i="3"/>
  <c r="N731" i="3"/>
  <c r="K678" i="3"/>
  <c r="K677" i="3"/>
  <c r="K676" i="3"/>
  <c r="L728" i="3" s="1"/>
  <c r="O728" i="3" s="1"/>
  <c r="N723" i="3"/>
  <c r="N690" i="3"/>
  <c r="K632" i="3"/>
  <c r="N682" i="3"/>
  <c r="N676" i="3"/>
  <c r="K603" i="3"/>
  <c r="K593" i="3"/>
  <c r="K366" i="3"/>
  <c r="K364" i="3"/>
  <c r="L520" i="3" s="1"/>
  <c r="O520" i="3" s="1"/>
  <c r="K362" i="3"/>
  <c r="K360" i="3"/>
  <c r="K358" i="3"/>
  <c r="K356" i="3"/>
  <c r="K354" i="3"/>
  <c r="K352" i="3"/>
  <c r="K350" i="3"/>
  <c r="K348" i="3"/>
  <c r="L504" i="3" s="1"/>
  <c r="O504" i="3" s="1"/>
  <c r="K346" i="3"/>
  <c r="K344" i="3"/>
  <c r="K342" i="3"/>
  <c r="K340" i="3"/>
  <c r="L496" i="3" s="1"/>
  <c r="O496" i="3" s="1"/>
  <c r="K338" i="3"/>
  <c r="K336" i="3"/>
  <c r="K334" i="3"/>
  <c r="K332" i="3"/>
  <c r="L488" i="3" s="1"/>
  <c r="O488" i="3" s="1"/>
  <c r="K330" i="3"/>
  <c r="K328" i="3"/>
  <c r="K326" i="3"/>
  <c r="K324" i="3"/>
  <c r="K322" i="3"/>
  <c r="K320" i="3"/>
  <c r="K318" i="3"/>
  <c r="K316" i="3"/>
  <c r="L472" i="3" s="1"/>
  <c r="O472" i="3" s="1"/>
  <c r="K760" i="3"/>
  <c r="L916" i="3" s="1"/>
  <c r="O916" i="3" s="1"/>
  <c r="K755" i="3"/>
  <c r="K749" i="3"/>
  <c r="L905" i="3" s="1"/>
  <c r="O905" i="3" s="1"/>
  <c r="K743" i="3"/>
  <c r="L899" i="3" s="1"/>
  <c r="O899" i="3" s="1"/>
  <c r="K739" i="3"/>
  <c r="K735" i="3"/>
  <c r="K726" i="3"/>
  <c r="K718" i="3"/>
  <c r="K704" i="3"/>
  <c r="K701" i="3"/>
  <c r="K686" i="3"/>
  <c r="K669" i="3"/>
  <c r="L825" i="3" s="1"/>
  <c r="O825" i="3" s="1"/>
  <c r="N718" i="3"/>
  <c r="K660" i="3"/>
  <c r="N707" i="3"/>
  <c r="N702" i="3"/>
  <c r="K644" i="3"/>
  <c r="L800" i="3" s="1"/>
  <c r="O800" i="3" s="1"/>
  <c r="N696" i="3"/>
  <c r="K641" i="3"/>
  <c r="K634" i="3"/>
  <c r="K623" i="3"/>
  <c r="N674" i="3"/>
  <c r="K614" i="3"/>
  <c r="K530" i="3"/>
  <c r="K528" i="3"/>
  <c r="K524" i="3"/>
  <c r="K522" i="3"/>
  <c r="K367" i="3"/>
  <c r="L523" i="3" s="1"/>
  <c r="O523" i="3" s="1"/>
  <c r="K365" i="3"/>
  <c r="K363" i="3"/>
  <c r="K361" i="3"/>
  <c r="K359" i="3"/>
  <c r="L515" i="3" s="1"/>
  <c r="O515" i="3" s="1"/>
  <c r="K357" i="3"/>
  <c r="K355" i="3"/>
  <c r="K353" i="3"/>
  <c r="K351" i="3"/>
  <c r="K349" i="3"/>
  <c r="K347" i="3"/>
  <c r="K345" i="3"/>
  <c r="K343" i="3"/>
  <c r="L499" i="3" s="1"/>
  <c r="O499" i="3" s="1"/>
  <c r="K341" i="3"/>
  <c r="K339" i="3"/>
  <c r="K337" i="3"/>
  <c r="K335" i="3"/>
  <c r="K333" i="3"/>
  <c r="K331" i="3"/>
  <c r="K329" i="3"/>
  <c r="K327" i="3"/>
  <c r="K325" i="3"/>
  <c r="K323" i="3"/>
  <c r="K321" i="3"/>
  <c r="K319" i="3"/>
  <c r="K317" i="3"/>
  <c r="N819" i="3"/>
  <c r="N832" i="3"/>
  <c r="N837" i="3"/>
  <c r="N816" i="3"/>
  <c r="N820" i="3"/>
  <c r="N838" i="3"/>
  <c r="N817" i="3"/>
  <c r="N823" i="3"/>
  <c r="N835" i="3"/>
  <c r="N844" i="3"/>
  <c r="N780" i="3"/>
  <c r="N728" i="3"/>
  <c r="L691" i="3"/>
  <c r="O691" i="3" s="1"/>
  <c r="N748" i="3"/>
  <c r="N703" i="3"/>
  <c r="N755" i="3"/>
  <c r="N673" i="3"/>
  <c r="N749" i="3"/>
  <c r="N745" i="3"/>
  <c r="N743" i="3"/>
  <c r="N795" i="3"/>
  <c r="N742" i="3"/>
  <c r="N738" i="3"/>
  <c r="N782" i="3"/>
  <c r="J729" i="3"/>
  <c r="J730" i="3"/>
  <c r="J731" i="3"/>
  <c r="K731" i="3" s="1"/>
  <c r="H730" i="3"/>
  <c r="K730" i="3" s="1"/>
  <c r="H729" i="3"/>
  <c r="H728" i="3"/>
  <c r="K728" i="3" s="1"/>
  <c r="N719" i="3"/>
  <c r="N713" i="3"/>
  <c r="N764" i="3"/>
  <c r="N712" i="3"/>
  <c r="N709" i="3"/>
  <c r="N761" i="3"/>
  <c r="N685" i="3"/>
  <c r="N677" i="3"/>
  <c r="N729" i="3"/>
  <c r="K761" i="3"/>
  <c r="K723" i="3"/>
  <c r="K722" i="3"/>
  <c r="K693" i="3"/>
  <c r="K685" i="3"/>
  <c r="K662" i="3"/>
  <c r="K657" i="3"/>
  <c r="K646" i="3"/>
  <c r="L750" i="3" s="1"/>
  <c r="O750" i="3" s="1"/>
  <c r="K609" i="3"/>
  <c r="K608" i="3"/>
  <c r="K592" i="3"/>
  <c r="L575" i="3"/>
  <c r="O575" i="3" s="1"/>
  <c r="L624" i="3"/>
  <c r="O624" i="3" s="1"/>
  <c r="L578" i="3"/>
  <c r="O578" i="3" s="1"/>
  <c r="N726" i="3"/>
  <c r="K763" i="3"/>
  <c r="K759" i="3"/>
  <c r="K752" i="3"/>
  <c r="N751" i="3"/>
  <c r="K747" i="3"/>
  <c r="L903" i="3" s="1"/>
  <c r="O903" i="3" s="1"/>
  <c r="K746" i="3"/>
  <c r="L902" i="3" s="1"/>
  <c r="O902" i="3" s="1"/>
  <c r="K732" i="3"/>
  <c r="K725" i="3"/>
  <c r="K724" i="3"/>
  <c r="K715" i="3"/>
  <c r="K708" i="3"/>
  <c r="K699" i="3"/>
  <c r="K695" i="3"/>
  <c r="K694" i="3"/>
  <c r="K691" i="3"/>
  <c r="K690" i="3"/>
  <c r="L846" i="3" s="1"/>
  <c r="O846" i="3" s="1"/>
  <c r="L845" i="3"/>
  <c r="O845" i="3" s="1"/>
  <c r="K683" i="3"/>
  <c r="K682" i="3"/>
  <c r="K674" i="3"/>
  <c r="K670" i="3"/>
  <c r="K668" i="3"/>
  <c r="K665" i="3"/>
  <c r="K659" i="3"/>
  <c r="L814" i="3"/>
  <c r="O814" i="3" s="1"/>
  <c r="K654" i="3"/>
  <c r="K649" i="3"/>
  <c r="K643" i="3"/>
  <c r="K637" i="3"/>
  <c r="K629" i="3"/>
  <c r="K626" i="3"/>
  <c r="K621" i="3"/>
  <c r="K617" i="3"/>
  <c r="K616" i="3"/>
  <c r="K611" i="3"/>
  <c r="K606" i="3"/>
  <c r="K601" i="3"/>
  <c r="K600" i="3"/>
  <c r="K595" i="3"/>
  <c r="K590" i="3"/>
  <c r="L740" i="3"/>
  <c r="O740" i="3" s="1"/>
  <c r="L695" i="3"/>
  <c r="O695" i="3" s="1"/>
  <c r="L693" i="3"/>
  <c r="O693" i="3" s="1"/>
  <c r="K529" i="3"/>
  <c r="K527" i="3"/>
  <c r="N812" i="3"/>
  <c r="N747" i="3"/>
  <c r="N799" i="3"/>
  <c r="N727" i="3"/>
  <c r="N772" i="3"/>
  <c r="N720" i="3"/>
  <c r="N711" i="3"/>
  <c r="N763" i="3"/>
  <c r="N695" i="3"/>
  <c r="N691" i="3"/>
  <c r="N683" i="3"/>
  <c r="N681" i="3"/>
  <c r="N733" i="3"/>
  <c r="K757" i="3"/>
  <c r="K736" i="3"/>
  <c r="K734" i="3"/>
  <c r="K717" i="3"/>
  <c r="L873" i="3" s="1"/>
  <c r="O873" i="3" s="1"/>
  <c r="K667" i="3"/>
  <c r="K651" i="3"/>
  <c r="K633" i="3"/>
  <c r="L759" i="3"/>
  <c r="O759" i="3" s="1"/>
  <c r="K598" i="3"/>
  <c r="L655" i="3"/>
  <c r="O655" i="3" s="1"/>
  <c r="L574" i="3"/>
  <c r="O574" i="3" s="1"/>
  <c r="K315" i="3"/>
  <c r="K313" i="3"/>
  <c r="K311" i="3"/>
  <c r="L467" i="3" s="1"/>
  <c r="O467" i="3" s="1"/>
  <c r="K309" i="3"/>
  <c r="K307" i="3"/>
  <c r="L463" i="3" s="1"/>
  <c r="O463" i="3" s="1"/>
  <c r="K305" i="3"/>
  <c r="K303" i="3"/>
  <c r="K301" i="3"/>
  <c r="K299" i="3"/>
  <c r="K297" i="3"/>
  <c r="K295" i="3"/>
  <c r="L451" i="3" s="1"/>
  <c r="O451" i="3" s="1"/>
  <c r="K293" i="3"/>
  <c r="K291" i="3"/>
  <c r="L447" i="3" s="1"/>
  <c r="O447" i="3" s="1"/>
  <c r="K289" i="3"/>
  <c r="K287" i="3"/>
  <c r="K285" i="3"/>
  <c r="L441" i="3" s="1"/>
  <c r="O441" i="3" s="1"/>
  <c r="K283" i="3"/>
  <c r="K281" i="3"/>
  <c r="K279" i="3"/>
  <c r="L435" i="3" s="1"/>
  <c r="O435" i="3" s="1"/>
  <c r="K277" i="3"/>
  <c r="K275" i="3"/>
  <c r="K273" i="3"/>
  <c r="K271" i="3"/>
  <c r="L323" i="3" s="1"/>
  <c r="O323" i="3" s="1"/>
  <c r="K269" i="3"/>
  <c r="K267" i="3"/>
  <c r="K265" i="3"/>
  <c r="K263" i="3"/>
  <c r="K261" i="3"/>
  <c r="L365" i="3" s="1"/>
  <c r="O365" i="3" s="1"/>
  <c r="K259" i="3"/>
  <c r="K257" i="3"/>
  <c r="K255" i="3"/>
  <c r="K253" i="3"/>
  <c r="K251" i="3"/>
  <c r="K249" i="3"/>
  <c r="K247" i="3"/>
  <c r="K245" i="3"/>
  <c r="K243" i="3"/>
  <c r="K241" i="3"/>
  <c r="K239" i="3"/>
  <c r="K237" i="3"/>
  <c r="K235" i="3"/>
  <c r="K233" i="3"/>
  <c r="K231" i="3"/>
  <c r="K229" i="3"/>
  <c r="K227" i="3"/>
  <c r="K225" i="3"/>
  <c r="K223" i="3"/>
  <c r="K221" i="3"/>
  <c r="K766" i="3"/>
  <c r="L922" i="3" s="1"/>
  <c r="O922" i="3" s="1"/>
  <c r="K770" i="3"/>
  <c r="K774" i="3"/>
  <c r="K780" i="3"/>
  <c r="K784" i="3"/>
  <c r="N787" i="3"/>
  <c r="N788" i="3"/>
  <c r="N789" i="3"/>
  <c r="N792" i="3"/>
  <c r="N796" i="3"/>
  <c r="N797" i="3"/>
  <c r="N800" i="3"/>
  <c r="N803" i="3"/>
  <c r="K804" i="3"/>
  <c r="N809" i="3"/>
  <c r="K811" i="3"/>
  <c r="N813" i="3"/>
  <c r="K815" i="3"/>
  <c r="K819" i="3"/>
  <c r="K822" i="3"/>
  <c r="K823" i="3"/>
  <c r="N824" i="3"/>
  <c r="N828" i="3"/>
  <c r="K830" i="3"/>
  <c r="K834" i="3"/>
  <c r="K837" i="3"/>
  <c r="N839" i="3"/>
  <c r="N840" i="3"/>
  <c r="N842" i="3"/>
  <c r="K843" i="3"/>
  <c r="K845" i="3"/>
  <c r="K314" i="3"/>
  <c r="K312" i="3"/>
  <c r="K310" i="3"/>
  <c r="K308" i="3"/>
  <c r="K306" i="3"/>
  <c r="K304" i="3"/>
  <c r="K302" i="3"/>
  <c r="K300" i="3"/>
  <c r="K298" i="3"/>
  <c r="K296" i="3"/>
  <c r="K294" i="3"/>
  <c r="K292" i="3"/>
  <c r="K290" i="3"/>
  <c r="K288" i="3"/>
  <c r="K286" i="3"/>
  <c r="K284" i="3"/>
  <c r="L440" i="3" s="1"/>
  <c r="O440" i="3" s="1"/>
  <c r="K282" i="3"/>
  <c r="K280" i="3"/>
  <c r="K278" i="3"/>
  <c r="K276" i="3"/>
  <c r="L432" i="3" s="1"/>
  <c r="O432" i="3" s="1"/>
  <c r="K274" i="3"/>
  <c r="K272" i="3"/>
  <c r="K270" i="3"/>
  <c r="K268" i="3"/>
  <c r="L424" i="3" s="1"/>
  <c r="O424" i="3" s="1"/>
  <c r="K266" i="3"/>
  <c r="K264" i="3"/>
  <c r="K262" i="3"/>
  <c r="L366" i="3" s="1"/>
  <c r="O366" i="3" s="1"/>
  <c r="K260" i="3"/>
  <c r="K258" i="3"/>
  <c r="K256" i="3"/>
  <c r="K254" i="3"/>
  <c r="K252" i="3"/>
  <c r="K250" i="3"/>
  <c r="K248" i="3"/>
  <c r="L404" i="3" s="1"/>
  <c r="O404" i="3" s="1"/>
  <c r="K246" i="3"/>
  <c r="K244" i="3"/>
  <c r="K242" i="3"/>
  <c r="K240" i="3"/>
  <c r="K238" i="3"/>
  <c r="K236" i="3"/>
  <c r="K234" i="3"/>
  <c r="K232" i="3"/>
  <c r="L388" i="3" s="1"/>
  <c r="O388" i="3" s="1"/>
  <c r="K230" i="3"/>
  <c r="K228" i="3"/>
  <c r="K226" i="3"/>
  <c r="K224" i="3"/>
  <c r="K222" i="3"/>
  <c r="K764" i="3"/>
  <c r="L920" i="3" s="1"/>
  <c r="O920" i="3" s="1"/>
  <c r="K768" i="3"/>
  <c r="K772" i="3"/>
  <c r="K778" i="3"/>
  <c r="K782" i="3"/>
  <c r="K786" i="3"/>
  <c r="K787" i="3"/>
  <c r="K788" i="3"/>
  <c r="K789" i="3"/>
  <c r="N790" i="3"/>
  <c r="K792" i="3"/>
  <c r="N793" i="3"/>
  <c r="N794" i="3"/>
  <c r="K796" i="3"/>
  <c r="K797" i="3"/>
  <c r="N798" i="3"/>
  <c r="K800" i="3"/>
  <c r="N801" i="3"/>
  <c r="N802" i="3"/>
  <c r="N804" i="3"/>
  <c r="N807" i="3"/>
  <c r="N808" i="3"/>
  <c r="K809" i="3"/>
  <c r="N810" i="3"/>
  <c r="N811" i="3"/>
  <c r="K813" i="3"/>
  <c r="N814" i="3"/>
  <c r="N815" i="3"/>
  <c r="K817" i="3"/>
  <c r="N818" i="3"/>
  <c r="K820" i="3"/>
  <c r="N821" i="3"/>
  <c r="N822" i="3"/>
  <c r="K824" i="3"/>
  <c r="N825" i="3"/>
  <c r="N826" i="3"/>
  <c r="K828" i="3"/>
  <c r="N829" i="3"/>
  <c r="N830" i="3"/>
  <c r="K832" i="3"/>
  <c r="N833" i="3"/>
  <c r="N834" i="3"/>
  <c r="K835" i="3"/>
  <c r="N836" i="3"/>
  <c r="K838" i="3"/>
  <c r="K840" i="3"/>
  <c r="N841" i="3"/>
  <c r="K842" i="3"/>
  <c r="N843" i="3"/>
  <c r="K844" i="3"/>
  <c r="N845" i="3"/>
  <c r="K803" i="3"/>
  <c r="N806" i="3"/>
  <c r="K807" i="3"/>
  <c r="K808" i="3"/>
  <c r="L876" i="3" l="1"/>
  <c r="O876" i="3" s="1"/>
  <c r="L924" i="3"/>
  <c r="O924" i="3" s="1"/>
  <c r="L913" i="3"/>
  <c r="O913" i="3" s="1"/>
  <c r="L919" i="3"/>
  <c r="O919" i="3" s="1"/>
  <c r="L911" i="3"/>
  <c r="O911" i="3" s="1"/>
  <c r="L912" i="3"/>
  <c r="O912" i="3" s="1"/>
  <c r="L921" i="3"/>
  <c r="O921" i="3" s="1"/>
  <c r="L897" i="3"/>
  <c r="O897" i="3" s="1"/>
  <c r="L918" i="3"/>
  <c r="O918" i="3" s="1"/>
  <c r="L925" i="3"/>
  <c r="O925" i="3" s="1"/>
  <c r="L811" i="3"/>
  <c r="O811" i="3" s="1"/>
  <c r="L915" i="3"/>
  <c r="O915" i="3" s="1"/>
  <c r="L917" i="3"/>
  <c r="O917" i="3" s="1"/>
  <c r="L923" i="3"/>
  <c r="O923" i="3" s="1"/>
  <c r="L909" i="3"/>
  <c r="O909" i="3" s="1"/>
  <c r="L892" i="3"/>
  <c r="O892" i="3" s="1"/>
  <c r="L895" i="3"/>
  <c r="O895" i="3" s="1"/>
  <c r="L894" i="3"/>
  <c r="O894" i="3" s="1"/>
  <c r="L901" i="3"/>
  <c r="O901" i="3" s="1"/>
  <c r="L907" i="3"/>
  <c r="O907" i="3" s="1"/>
  <c r="L862" i="3"/>
  <c r="O862" i="3" s="1"/>
  <c r="L854" i="3"/>
  <c r="O854" i="3" s="1"/>
  <c r="L906" i="3"/>
  <c r="O906" i="3" s="1"/>
  <c r="L908" i="3"/>
  <c r="O908" i="3" s="1"/>
  <c r="L792" i="3"/>
  <c r="O792" i="3" s="1"/>
  <c r="L896" i="3"/>
  <c r="O896" i="3" s="1"/>
  <c r="L796" i="3"/>
  <c r="O796" i="3" s="1"/>
  <c r="L900" i="3"/>
  <c r="O900" i="3" s="1"/>
  <c r="L904" i="3"/>
  <c r="O904" i="3" s="1"/>
  <c r="L893" i="3"/>
  <c r="O893" i="3" s="1"/>
  <c r="L339" i="3"/>
  <c r="O339" i="3" s="1"/>
  <c r="L306" i="3"/>
  <c r="O306" i="3" s="1"/>
  <c r="L713" i="3"/>
  <c r="O713" i="3" s="1"/>
  <c r="L288" i="3"/>
  <c r="O288" i="3" s="1"/>
  <c r="L853" i="3"/>
  <c r="O853" i="3" s="1"/>
  <c r="L296" i="3"/>
  <c r="O296" i="3" s="1"/>
  <c r="L616" i="3"/>
  <c r="O616" i="3" s="1"/>
  <c r="L345" i="3"/>
  <c r="O345" i="3" s="1"/>
  <c r="L307" i="3"/>
  <c r="O307" i="3" s="1"/>
  <c r="L224" i="3"/>
  <c r="O224" i="3" s="1"/>
  <c r="L264" i="3"/>
  <c r="O264" i="3" s="1"/>
  <c r="L552" i="3"/>
  <c r="O552" i="3" s="1"/>
  <c r="L320" i="3"/>
  <c r="O320" i="3" s="1"/>
  <c r="L744" i="3"/>
  <c r="O744" i="3" s="1"/>
  <c r="L716" i="3"/>
  <c r="O716" i="3" s="1"/>
  <c r="L890" i="3"/>
  <c r="O890" i="3" s="1"/>
  <c r="L888" i="3"/>
  <c r="O888" i="3" s="1"/>
  <c r="L887" i="3"/>
  <c r="O887" i="3" s="1"/>
  <c r="L889" i="3"/>
  <c r="O889" i="3" s="1"/>
  <c r="L550" i="3"/>
  <c r="O550" i="3" s="1"/>
  <c r="L614" i="3"/>
  <c r="O614" i="3" s="1"/>
  <c r="L646" i="3"/>
  <c r="O646" i="3" s="1"/>
  <c r="L319" i="3"/>
  <c r="O319" i="3" s="1"/>
  <c r="L553" i="3"/>
  <c r="O553" i="3" s="1"/>
  <c r="L581" i="3"/>
  <c r="O581" i="3" s="1"/>
  <c r="L629" i="3"/>
  <c r="O629" i="3" s="1"/>
  <c r="L236" i="3"/>
  <c r="O236" i="3" s="1"/>
  <c r="L540" i="3"/>
  <c r="O540" i="3" s="1"/>
  <c r="L604" i="3"/>
  <c r="O604" i="3" s="1"/>
  <c r="L682" i="3"/>
  <c r="O682" i="3" s="1"/>
  <c r="L560" i="3"/>
  <c r="O560" i="3" s="1"/>
  <c r="L612" i="3"/>
  <c r="O612" i="3" s="1"/>
  <c r="L688" i="3"/>
  <c r="O688" i="3" s="1"/>
  <c r="L554" i="3"/>
  <c r="O554" i="3" s="1"/>
  <c r="L311" i="3"/>
  <c r="O311" i="3" s="1"/>
  <c r="L450" i="3"/>
  <c r="O450" i="3" s="1"/>
  <c r="L601" i="3"/>
  <c r="O601" i="3" s="1"/>
  <c r="L648" i="3"/>
  <c r="O648" i="3" s="1"/>
  <c r="L403" i="3"/>
  <c r="O403" i="3" s="1"/>
  <c r="L419" i="3"/>
  <c r="O419" i="3" s="1"/>
  <c r="L827" i="3"/>
  <c r="O827" i="3" s="1"/>
  <c r="L822" i="3"/>
  <c r="O822" i="3" s="1"/>
  <c r="L519" i="3"/>
  <c r="O519" i="3" s="1"/>
  <c r="L891" i="3"/>
  <c r="O891" i="3" s="1"/>
  <c r="L476" i="3"/>
  <c r="O476" i="3" s="1"/>
  <c r="L630" i="3"/>
  <c r="O630" i="3" s="1"/>
  <c r="L852" i="3"/>
  <c r="O852" i="3" s="1"/>
  <c r="L281" i="3"/>
  <c r="O281" i="3" s="1"/>
  <c r="L593" i="3"/>
  <c r="O593" i="3" s="1"/>
  <c r="L657" i="3"/>
  <c r="O657" i="3" s="1"/>
  <c r="L654" i="3"/>
  <c r="O654" i="3" s="1"/>
  <c r="L609" i="3"/>
  <c r="O609" i="3" s="1"/>
  <c r="L543" i="3"/>
  <c r="O543" i="3" s="1"/>
  <c r="L886" i="3"/>
  <c r="O886" i="3" s="1"/>
  <c r="L799" i="3"/>
  <c r="O799" i="3" s="1"/>
  <c r="L590" i="3"/>
  <c r="O590" i="3" s="1"/>
  <c r="L538" i="3"/>
  <c r="O538" i="3" s="1"/>
  <c r="L387" i="3"/>
  <c r="O387" i="3" s="1"/>
  <c r="L570" i="3"/>
  <c r="O570" i="3" s="1"/>
  <c r="L245" i="3"/>
  <c r="O245" i="3" s="1"/>
  <c r="L870" i="3"/>
  <c r="O870" i="3" s="1"/>
  <c r="L473" i="3"/>
  <c r="O473" i="3" s="1"/>
  <c r="L505" i="3"/>
  <c r="O505" i="3" s="1"/>
  <c r="L521" i="3"/>
  <c r="O521" i="3" s="1"/>
  <c r="L843" i="3"/>
  <c r="O843" i="3" s="1"/>
  <c r="L478" i="3"/>
  <c r="O478" i="3" s="1"/>
  <c r="L638" i="3"/>
  <c r="O638" i="3" s="1"/>
  <c r="L621" i="3"/>
  <c r="O621" i="3" s="1"/>
  <c r="L225" i="3"/>
  <c r="O225" i="3" s="1"/>
  <c r="L613" i="3"/>
  <c r="O613" i="3" s="1"/>
  <c r="L739" i="3"/>
  <c r="O739" i="3" s="1"/>
  <c r="L707" i="3"/>
  <c r="O707" i="3" s="1"/>
  <c r="L532" i="3"/>
  <c r="O532" i="3" s="1"/>
  <c r="L544" i="3"/>
  <c r="O544" i="3" s="1"/>
  <c r="L620" i="3"/>
  <c r="O620" i="3" s="1"/>
  <c r="L663" i="3"/>
  <c r="O663" i="3" s="1"/>
  <c r="L338" i="3"/>
  <c r="O338" i="3" s="1"/>
  <c r="L577" i="3"/>
  <c r="O577" i="3" s="1"/>
  <c r="L393" i="3"/>
  <c r="O393" i="3" s="1"/>
  <c r="L409" i="3"/>
  <c r="O409" i="3" s="1"/>
  <c r="L248" i="3"/>
  <c r="O248" i="3" s="1"/>
  <c r="L376" i="3"/>
  <c r="O376" i="3" s="1"/>
  <c r="L379" i="3"/>
  <c r="O379" i="3" s="1"/>
  <c r="L717" i="3"/>
  <c r="O717" i="3" s="1"/>
  <c r="L766" i="3"/>
  <c r="O766" i="3" s="1"/>
  <c r="L884" i="3"/>
  <c r="O884" i="3" s="1"/>
  <c r="L797" i="3"/>
  <c r="O797" i="3" s="1"/>
  <c r="L637" i="3"/>
  <c r="O637" i="3" s="1"/>
  <c r="L676" i="3"/>
  <c r="O676" i="3" s="1"/>
  <c r="L819" i="3"/>
  <c r="O819" i="3" s="1"/>
  <c r="L700" i="3"/>
  <c r="O700" i="3" s="1"/>
  <c r="L592" i="3"/>
  <c r="O592" i="3" s="1"/>
  <c r="L736" i="3"/>
  <c r="O736" i="3" s="1"/>
  <c r="L377" i="3"/>
  <c r="O377" i="3" s="1"/>
  <c r="L270" i="3"/>
  <c r="O270" i="3" s="1"/>
  <c r="L594" i="3"/>
  <c r="O594" i="3" s="1"/>
  <c r="L659" i="3"/>
  <c r="O659" i="3" s="1"/>
  <c r="L723" i="3"/>
  <c r="O723" i="3" s="1"/>
  <c r="L216" i="3"/>
  <c r="O216" i="3" s="1"/>
  <c r="L360" i="3"/>
  <c r="O360" i="3" s="1"/>
  <c r="L395" i="3"/>
  <c r="O395" i="3" s="1"/>
  <c r="L411" i="3"/>
  <c r="O411" i="3" s="1"/>
  <c r="L699" i="3"/>
  <c r="O699" i="3" s="1"/>
  <c r="L382" i="3"/>
  <c r="O382" i="3" s="1"/>
  <c r="L398" i="3"/>
  <c r="O398" i="3" s="1"/>
  <c r="L414" i="3"/>
  <c r="O414" i="3" s="1"/>
  <c r="L430" i="3"/>
  <c r="O430" i="3" s="1"/>
  <c r="L462" i="3"/>
  <c r="O462" i="3" s="1"/>
  <c r="L381" i="3"/>
  <c r="O381" i="3" s="1"/>
  <c r="L397" i="3"/>
  <c r="O397" i="3" s="1"/>
  <c r="L413" i="3"/>
  <c r="O413" i="3" s="1"/>
  <c r="L756" i="3"/>
  <c r="O756" i="3" s="1"/>
  <c r="L733" i="3"/>
  <c r="O733" i="3" s="1"/>
  <c r="L495" i="3"/>
  <c r="O495" i="3" s="1"/>
  <c r="L857" i="3"/>
  <c r="O857" i="3" s="1"/>
  <c r="L662" i="3"/>
  <c r="O662" i="3" s="1"/>
  <c r="L858" i="3"/>
  <c r="O858" i="3" s="1"/>
  <c r="L641" i="3"/>
  <c r="O641" i="3" s="1"/>
  <c r="L313" i="3"/>
  <c r="O313" i="3" s="1"/>
  <c r="L252" i="3"/>
  <c r="O252" i="3" s="1"/>
  <c r="L556" i="3"/>
  <c r="O556" i="3" s="1"/>
  <c r="L242" i="3"/>
  <c r="O242" i="3" s="1"/>
  <c r="L525" i="3"/>
  <c r="O525" i="3" s="1"/>
  <c r="L211" i="3"/>
  <c r="O211" i="3" s="1"/>
  <c r="L806" i="3"/>
  <c r="O806" i="3" s="1"/>
  <c r="L446" i="3"/>
  <c r="O446" i="3" s="1"/>
  <c r="L867" i="3"/>
  <c r="O867" i="3" s="1"/>
  <c r="L489" i="3"/>
  <c r="O489" i="3" s="1"/>
  <c r="L490" i="3"/>
  <c r="O490" i="3" s="1"/>
  <c r="L872" i="3"/>
  <c r="O872" i="3" s="1"/>
  <c r="L651" i="3"/>
  <c r="O651" i="3" s="1"/>
  <c r="L607" i="3"/>
  <c r="O607" i="3" s="1"/>
  <c r="L239" i="3"/>
  <c r="O239" i="3" s="1"/>
  <c r="L615" i="3"/>
  <c r="O615" i="3" s="1"/>
  <c r="L831" i="3"/>
  <c r="O831" i="3" s="1"/>
  <c r="L562" i="3"/>
  <c r="O562" i="3" s="1"/>
  <c r="L732" i="3"/>
  <c r="O732" i="3" s="1"/>
  <c r="L448" i="3"/>
  <c r="O448" i="3" s="1"/>
  <c r="L464" i="3"/>
  <c r="O464" i="3" s="1"/>
  <c r="L507" i="3"/>
  <c r="O507" i="3" s="1"/>
  <c r="L508" i="3"/>
  <c r="O508" i="3" s="1"/>
  <c r="L671" i="3"/>
  <c r="O671" i="3" s="1"/>
  <c r="L606" i="3"/>
  <c r="O606" i="3" s="1"/>
  <c r="L254" i="3"/>
  <c r="O254" i="3" s="1"/>
  <c r="L566" i="3"/>
  <c r="O566" i="3" s="1"/>
  <c r="L255" i="3"/>
  <c r="O255" i="3" s="1"/>
  <c r="L647" i="3"/>
  <c r="O647" i="3" s="1"/>
  <c r="L282" i="3"/>
  <c r="O282" i="3" s="1"/>
  <c r="L582" i="3"/>
  <c r="O582" i="3" s="1"/>
  <c r="L586" i="3"/>
  <c r="O586" i="3" s="1"/>
  <c r="L244" i="3"/>
  <c r="O244" i="3" s="1"/>
  <c r="L293" i="3"/>
  <c r="O293" i="3" s="1"/>
  <c r="L861" i="3"/>
  <c r="O861" i="3" s="1"/>
  <c r="L863" i="3"/>
  <c r="O863" i="3" s="1"/>
  <c r="L262" i="3"/>
  <c r="O262" i="3" s="1"/>
  <c r="L480" i="3"/>
  <c r="O480" i="3" s="1"/>
  <c r="L557" i="3"/>
  <c r="O557" i="3" s="1"/>
  <c r="L622" i="3"/>
  <c r="O622" i="3" s="1"/>
  <c r="L561" i="3"/>
  <c r="O561" i="3" s="1"/>
  <c r="L218" i="3"/>
  <c r="O218" i="3" s="1"/>
  <c r="L565" i="3"/>
  <c r="O565" i="3" s="1"/>
  <c r="L354" i="3"/>
  <c r="O354" i="3" s="1"/>
  <c r="L370" i="3"/>
  <c r="O370" i="3" s="1"/>
  <c r="L350" i="3"/>
  <c r="O350" i="3" s="1"/>
  <c r="L665" i="3"/>
  <c r="O665" i="3" s="1"/>
  <c r="L851" i="3"/>
  <c r="O851" i="3" s="1"/>
  <c r="L497" i="3"/>
  <c r="O497" i="3" s="1"/>
  <c r="L498" i="3"/>
  <c r="O498" i="3" s="1"/>
  <c r="L611" i="3"/>
  <c r="O611" i="3" s="1"/>
  <c r="L283" i="3"/>
  <c r="O283" i="3" s="1"/>
  <c r="L229" i="3"/>
  <c r="O229" i="3" s="1"/>
  <c r="L257" i="3"/>
  <c r="O257" i="3" s="1"/>
  <c r="L529" i="3"/>
  <c r="O529" i="3" s="1"/>
  <c r="L250" i="3"/>
  <c r="O250" i="3" s="1"/>
  <c r="L589" i="3"/>
  <c r="O589" i="3" s="1"/>
  <c r="L848" i="3"/>
  <c r="O848" i="3" s="1"/>
  <c r="L268" i="3"/>
  <c r="O268" i="3" s="1"/>
  <c r="L636" i="3"/>
  <c r="O636" i="3" s="1"/>
  <c r="L549" i="3"/>
  <c r="O549" i="3" s="1"/>
  <c r="L271" i="3"/>
  <c r="O271" i="3" s="1"/>
  <c r="L425" i="3"/>
  <c r="O425" i="3" s="1"/>
  <c r="L801" i="3"/>
  <c r="O801" i="3" s="1"/>
  <c r="L623" i="3"/>
  <c r="O623" i="3" s="1"/>
  <c r="L249" i="3"/>
  <c r="O249" i="3" s="1"/>
  <c r="L625" i="3"/>
  <c r="O625" i="3" s="1"/>
  <c r="L817" i="3"/>
  <c r="O817" i="3" s="1"/>
  <c r="L324" i="3"/>
  <c r="O324" i="3" s="1"/>
  <c r="L628" i="3"/>
  <c r="O628" i="3" s="1"/>
  <c r="L304" i="3"/>
  <c r="O304" i="3" s="1"/>
  <c r="L500" i="3"/>
  <c r="O500" i="3" s="1"/>
  <c r="L567" i="3"/>
  <c r="O567" i="3" s="1"/>
  <c r="L837" i="3"/>
  <c r="O837" i="3" s="1"/>
  <c r="L286" i="3"/>
  <c r="O286" i="3" s="1"/>
  <c r="L690" i="3"/>
  <c r="O690" i="3" s="1"/>
  <c r="L253" i="3"/>
  <c r="O253" i="3" s="1"/>
  <c r="L212" i="3"/>
  <c r="O212" i="3" s="1"/>
  <c r="L546" i="3"/>
  <c r="O546" i="3" s="1"/>
  <c r="L356" i="3"/>
  <c r="O356" i="3" s="1"/>
  <c r="L292" i="3"/>
  <c r="O292" i="3" s="1"/>
  <c r="L434" i="3"/>
  <c r="O434" i="3" s="1"/>
  <c r="L842" i="3"/>
  <c r="O842" i="3" s="1"/>
  <c r="L729" i="3"/>
  <c r="O729" i="3" s="1"/>
  <c r="L479" i="3"/>
  <c r="O479" i="3" s="1"/>
  <c r="L859" i="3"/>
  <c r="O859" i="3" s="1"/>
  <c r="L645" i="3"/>
  <c r="O645" i="3" s="1"/>
  <c r="L865" i="3"/>
  <c r="O865" i="3" s="1"/>
  <c r="L564" i="3"/>
  <c r="O564" i="3" s="1"/>
  <c r="L626" i="3"/>
  <c r="O626" i="3" s="1"/>
  <c r="L674" i="3"/>
  <c r="O674" i="3" s="1"/>
  <c r="L816" i="3"/>
  <c r="O816" i="3" s="1"/>
  <c r="L456" i="3"/>
  <c r="O456" i="3" s="1"/>
  <c r="L752" i="3"/>
  <c r="O752" i="3" s="1"/>
  <c r="L516" i="3"/>
  <c r="O516" i="3" s="1"/>
  <c r="L222" i="3"/>
  <c r="O222" i="3" s="1"/>
  <c r="L534" i="3"/>
  <c r="O534" i="3" s="1"/>
  <c r="L598" i="3"/>
  <c r="O598" i="3" s="1"/>
  <c r="L374" i="3"/>
  <c r="O374" i="3" s="1"/>
  <c r="L433" i="3"/>
  <c r="O433" i="3" s="1"/>
  <c r="L449" i="3"/>
  <c r="O449" i="3" s="1"/>
  <c r="L758" i="3"/>
  <c r="O758" i="3" s="1"/>
  <c r="L804" i="3"/>
  <c r="O804" i="3" s="1"/>
  <c r="L486" i="3"/>
  <c r="O486" i="3" s="1"/>
  <c r="L596" i="3"/>
  <c r="O596" i="3" s="1"/>
  <c r="L618" i="3"/>
  <c r="O618" i="3" s="1"/>
  <c r="L526" i="3"/>
  <c r="O526" i="3" s="1"/>
  <c r="L269" i="3"/>
  <c r="O269" i="3" s="1"/>
  <c r="L605" i="3"/>
  <c r="O605" i="3" s="1"/>
  <c r="L585" i="3"/>
  <c r="O585" i="3" s="1"/>
  <c r="L649" i="3"/>
  <c r="O649" i="3" s="1"/>
  <c r="L617" i="3"/>
  <c r="O617" i="3" s="1"/>
  <c r="L524" i="3"/>
  <c r="O524" i="3" s="1"/>
  <c r="L588" i="3"/>
  <c r="O588" i="3" s="1"/>
  <c r="L548" i="3"/>
  <c r="O548" i="3" s="1"/>
  <c r="L664" i="3"/>
  <c r="O664" i="3" s="1"/>
  <c r="L545" i="3"/>
  <c r="O545" i="3" s="1"/>
  <c r="L834" i="3"/>
  <c r="O834" i="3" s="1"/>
  <c r="L384" i="3"/>
  <c r="O384" i="3" s="1"/>
  <c r="L400" i="3"/>
  <c r="O400" i="3" s="1"/>
  <c r="L416" i="3"/>
  <c r="O416" i="3" s="1"/>
  <c r="L389" i="3"/>
  <c r="O389" i="3" s="1"/>
  <c r="L405" i="3"/>
  <c r="O405" i="3" s="1"/>
  <c r="L421" i="3"/>
  <c r="O421" i="3" s="1"/>
  <c r="L437" i="3"/>
  <c r="O437" i="3" s="1"/>
  <c r="L453" i="3"/>
  <c r="O453" i="3" s="1"/>
  <c r="L469" i="3"/>
  <c r="O469" i="3" s="1"/>
  <c r="L757" i="3"/>
  <c r="O757" i="3" s="1"/>
  <c r="L760" i="3"/>
  <c r="O760" i="3" s="1"/>
  <c r="L864" i="3"/>
  <c r="O864" i="3" s="1"/>
  <c r="L475" i="3"/>
  <c r="O475" i="3" s="1"/>
  <c r="L491" i="3"/>
  <c r="O491" i="3" s="1"/>
  <c r="L738" i="3"/>
  <c r="O738" i="3" s="1"/>
  <c r="L474" i="3"/>
  <c r="O474" i="3" s="1"/>
  <c r="L506" i="3"/>
  <c r="O506" i="3" s="1"/>
  <c r="L522" i="3"/>
  <c r="O522" i="3" s="1"/>
  <c r="L640" i="3"/>
  <c r="O640" i="3" s="1"/>
  <c r="L230" i="3"/>
  <c r="O230" i="3" s="1"/>
  <c r="L294" i="3"/>
  <c r="O294" i="3" s="1"/>
  <c r="L272" i="3"/>
  <c r="O272" i="3" s="1"/>
  <c r="L321" i="3"/>
  <c r="O321" i="3" s="1"/>
  <c r="L328" i="3"/>
  <c r="O328" i="3" s="1"/>
  <c r="L362" i="3"/>
  <c r="O362" i="3" s="1"/>
  <c r="L332" i="3"/>
  <c r="O332" i="3" s="1"/>
  <c r="L315" i="3"/>
  <c r="O315" i="3" s="1"/>
  <c r="L347" i="3"/>
  <c r="O347" i="3" s="1"/>
  <c r="L875" i="3"/>
  <c r="O875" i="3" s="1"/>
  <c r="L349" i="3"/>
  <c r="O349" i="3" s="1"/>
  <c r="L844" i="3"/>
  <c r="O844" i="3" s="1"/>
  <c r="L386" i="3"/>
  <c r="O386" i="3" s="1"/>
  <c r="L402" i="3"/>
  <c r="O402" i="3" s="1"/>
  <c r="L418" i="3"/>
  <c r="O418" i="3" s="1"/>
  <c r="L466" i="3"/>
  <c r="O466" i="3" s="1"/>
  <c r="L391" i="3"/>
  <c r="O391" i="3" s="1"/>
  <c r="L407" i="3"/>
  <c r="O407" i="3" s="1"/>
  <c r="L423" i="3"/>
  <c r="O423" i="3" s="1"/>
  <c r="L439" i="3"/>
  <c r="O439" i="3" s="1"/>
  <c r="L455" i="3"/>
  <c r="O455" i="3" s="1"/>
  <c r="L471" i="3"/>
  <c r="O471" i="3" s="1"/>
  <c r="L790" i="3"/>
  <c r="O790" i="3" s="1"/>
  <c r="L871" i="3"/>
  <c r="O871" i="3" s="1"/>
  <c r="L573" i="3"/>
  <c r="O573" i="3" s="1"/>
  <c r="L849" i="3"/>
  <c r="O849" i="3" s="1"/>
  <c r="L477" i="3"/>
  <c r="O477" i="3" s="1"/>
  <c r="L493" i="3"/>
  <c r="O493" i="3" s="1"/>
  <c r="L509" i="3"/>
  <c r="O509" i="3" s="1"/>
  <c r="L492" i="3"/>
  <c r="O492" i="3" s="1"/>
  <c r="L563" i="3"/>
  <c r="O563" i="3" s="1"/>
  <c r="L610" i="3"/>
  <c r="O610" i="3" s="1"/>
  <c r="L302" i="3"/>
  <c r="O302" i="3" s="1"/>
  <c r="L295" i="3"/>
  <c r="O295" i="3" s="1"/>
  <c r="L234" i="3"/>
  <c r="O234" i="3" s="1"/>
  <c r="L265" i="3"/>
  <c r="O265" i="3" s="1"/>
  <c r="L329" i="3"/>
  <c r="O329" i="3" s="1"/>
  <c r="L537" i="3"/>
  <c r="O537" i="3" s="1"/>
  <c r="L351" i="3"/>
  <c r="O351" i="3" s="1"/>
  <c r="L276" i="3"/>
  <c r="O276" i="3" s="1"/>
  <c r="L340" i="3"/>
  <c r="O340" i="3" s="1"/>
  <c r="L259" i="3"/>
  <c r="O259" i="3" s="1"/>
  <c r="L346" i="3"/>
  <c r="O346" i="3" s="1"/>
  <c r="L343" i="3"/>
  <c r="O343" i="3" s="1"/>
  <c r="L369" i="3"/>
  <c r="O369" i="3" s="1"/>
  <c r="L363" i="3"/>
  <c r="O363" i="3" s="1"/>
  <c r="L261" i="3"/>
  <c r="O261" i="3" s="1"/>
  <c r="L420" i="3"/>
  <c r="O420" i="3" s="1"/>
  <c r="L452" i="3"/>
  <c r="O452" i="3" s="1"/>
  <c r="L457" i="3"/>
  <c r="O457" i="3" s="1"/>
  <c r="L828" i="3"/>
  <c r="O828" i="3" s="1"/>
  <c r="L880" i="3"/>
  <c r="O880" i="3" s="1"/>
  <c r="L878" i="3"/>
  <c r="O878" i="3" s="1"/>
  <c r="L510" i="3"/>
  <c r="O510" i="3" s="1"/>
  <c r="L310" i="3"/>
  <c r="O310" i="3" s="1"/>
  <c r="L337" i="3"/>
  <c r="O337" i="3" s="1"/>
  <c r="L284" i="3"/>
  <c r="O284" i="3" s="1"/>
  <c r="L331" i="3"/>
  <c r="O331" i="3" s="1"/>
  <c r="L364" i="3"/>
  <c r="O364" i="3" s="1"/>
  <c r="L373" i="3"/>
  <c r="O373" i="3" s="1"/>
  <c r="L820" i="3"/>
  <c r="O820" i="3" s="1"/>
  <c r="L422" i="3"/>
  <c r="O422" i="3" s="1"/>
  <c r="L454" i="3"/>
  <c r="O454" i="3" s="1"/>
  <c r="L427" i="3"/>
  <c r="O427" i="3" s="1"/>
  <c r="L459" i="3"/>
  <c r="O459" i="3" s="1"/>
  <c r="L860" i="3"/>
  <c r="O860" i="3" s="1"/>
  <c r="L512" i="3"/>
  <c r="O512" i="3" s="1"/>
  <c r="L539" i="3"/>
  <c r="O539" i="3" s="1"/>
  <c r="L731" i="3"/>
  <c r="O731" i="3" s="1"/>
  <c r="L232" i="3"/>
  <c r="O232" i="3" s="1"/>
  <c r="L228" i="3"/>
  <c r="O228" i="3" s="1"/>
  <c r="L258" i="3"/>
  <c r="O258" i="3" s="1"/>
  <c r="L275" i="3"/>
  <c r="O275" i="3" s="1"/>
  <c r="L240" i="3"/>
  <c r="O240" i="3" s="1"/>
  <c r="L357" i="3"/>
  <c r="O357" i="3" s="1"/>
  <c r="L408" i="3"/>
  <c r="O408" i="3" s="1"/>
  <c r="L429" i="3"/>
  <c r="O429" i="3" s="1"/>
  <c r="L445" i="3"/>
  <c r="O445" i="3" s="1"/>
  <c r="L461" i="3"/>
  <c r="O461" i="3" s="1"/>
  <c r="L697" i="3"/>
  <c r="O697" i="3" s="1"/>
  <c r="L847" i="3"/>
  <c r="O847" i="3" s="1"/>
  <c r="L784" i="3"/>
  <c r="O784" i="3" s="1"/>
  <c r="L724" i="3"/>
  <c r="O724" i="3" s="1"/>
  <c r="L483" i="3"/>
  <c r="O483" i="3" s="1"/>
  <c r="L874" i="3"/>
  <c r="O874" i="3" s="1"/>
  <c r="L768" i="3"/>
  <c r="O768" i="3" s="1"/>
  <c r="L482" i="3"/>
  <c r="O482" i="3" s="1"/>
  <c r="L514" i="3"/>
  <c r="O514" i="3" s="1"/>
  <c r="L584" i="3"/>
  <c r="O584" i="3" s="1"/>
  <c r="L600" i="3"/>
  <c r="O600" i="3" s="1"/>
  <c r="L326" i="3"/>
  <c r="O326" i="3" s="1"/>
  <c r="L330" i="3"/>
  <c r="O330" i="3" s="1"/>
  <c r="L301" i="3"/>
  <c r="O301" i="3" s="1"/>
  <c r="L541" i="3"/>
  <c r="O541" i="3" s="1"/>
  <c r="L367" i="3"/>
  <c r="O367" i="3" s="1"/>
  <c r="L289" i="3"/>
  <c r="O289" i="3" s="1"/>
  <c r="L231" i="3"/>
  <c r="O231" i="3" s="1"/>
  <c r="L290" i="3"/>
  <c r="O290" i="3" s="1"/>
  <c r="L277" i="3"/>
  <c r="O277" i="3" s="1"/>
  <c r="L300" i="3"/>
  <c r="O300" i="3" s="1"/>
  <c r="L856" i="3"/>
  <c r="O856" i="3" s="1"/>
  <c r="L355" i="3"/>
  <c r="O355" i="3" s="1"/>
  <c r="L274" i="3"/>
  <c r="O274" i="3" s="1"/>
  <c r="L213" i="3"/>
  <c r="O213" i="3" s="1"/>
  <c r="L312" i="3"/>
  <c r="O312" i="3" s="1"/>
  <c r="L352" i="3"/>
  <c r="O352" i="3" s="1"/>
  <c r="L361" i="3"/>
  <c r="O361" i="3" s="1"/>
  <c r="L436" i="3"/>
  <c r="O436" i="3" s="1"/>
  <c r="L468" i="3"/>
  <c r="O468" i="3" s="1"/>
  <c r="L494" i="3"/>
  <c r="O494" i="3" s="1"/>
  <c r="L221" i="3"/>
  <c r="O221" i="3" s="1"/>
  <c r="L406" i="3"/>
  <c r="O406" i="3" s="1"/>
  <c r="L829" i="3"/>
  <c r="O829" i="3" s="1"/>
  <c r="L881" i="3"/>
  <c r="O881" i="3" s="1"/>
  <c r="L513" i="3"/>
  <c r="O513" i="3" s="1"/>
  <c r="L749" i="3"/>
  <c r="O749" i="3" s="1"/>
  <c r="L335" i="3"/>
  <c r="O335" i="3" s="1"/>
  <c r="L344" i="3"/>
  <c r="O344" i="3" s="1"/>
  <c r="L392" i="3"/>
  <c r="O392" i="3" s="1"/>
  <c r="L378" i="3"/>
  <c r="O378" i="3" s="1"/>
  <c r="L394" i="3"/>
  <c r="O394" i="3" s="1"/>
  <c r="L410" i="3"/>
  <c r="O410" i="3" s="1"/>
  <c r="L426" i="3"/>
  <c r="O426" i="3" s="1"/>
  <c r="L442" i="3"/>
  <c r="O442" i="3" s="1"/>
  <c r="L458" i="3"/>
  <c r="O458" i="3" s="1"/>
  <c r="L383" i="3"/>
  <c r="O383" i="3" s="1"/>
  <c r="L399" i="3"/>
  <c r="O399" i="3" s="1"/>
  <c r="L415" i="3"/>
  <c r="O415" i="3" s="1"/>
  <c r="L431" i="3"/>
  <c r="O431" i="3" s="1"/>
  <c r="L807" i="3"/>
  <c r="O807" i="3" s="1"/>
  <c r="L788" i="3"/>
  <c r="O788" i="3" s="1"/>
  <c r="L805" i="3"/>
  <c r="O805" i="3" s="1"/>
  <c r="L722" i="3"/>
  <c r="O722" i="3" s="1"/>
  <c r="L798" i="3"/>
  <c r="O798" i="3" s="1"/>
  <c r="L850" i="3"/>
  <c r="O850" i="3" s="1"/>
  <c r="L780" i="3"/>
  <c r="O780" i="3" s="1"/>
  <c r="L485" i="3"/>
  <c r="O485" i="3" s="1"/>
  <c r="L501" i="3"/>
  <c r="O501" i="3" s="1"/>
  <c r="L517" i="3"/>
  <c r="O517" i="3" s="1"/>
  <c r="L770" i="3"/>
  <c r="O770" i="3" s="1"/>
  <c r="L882" i="3"/>
  <c r="O882" i="3" s="1"/>
  <c r="L484" i="3"/>
  <c r="O484" i="3" s="1"/>
  <c r="L672" i="3"/>
  <c r="O672" i="3" s="1"/>
  <c r="L334" i="3"/>
  <c r="O334" i="3" s="1"/>
  <c r="L358" i="3"/>
  <c r="O358" i="3" s="1"/>
  <c r="L317" i="3"/>
  <c r="O317" i="3" s="1"/>
  <c r="L348" i="3"/>
  <c r="O348" i="3" s="1"/>
  <c r="L233" i="3"/>
  <c r="O233" i="3" s="1"/>
  <c r="L297" i="3"/>
  <c r="O297" i="3" s="1"/>
  <c r="L569" i="3"/>
  <c r="O569" i="3" s="1"/>
  <c r="L322" i="3"/>
  <c r="O322" i="3" s="1"/>
  <c r="L309" i="3"/>
  <c r="O309" i="3" s="1"/>
  <c r="L308" i="3"/>
  <c r="O308" i="3" s="1"/>
  <c r="L215" i="3"/>
  <c r="O215" i="3" s="1"/>
  <c r="L298" i="3"/>
  <c r="O298" i="3" s="1"/>
  <c r="L237" i="3"/>
  <c r="O237" i="3" s="1"/>
  <c r="L291" i="3"/>
  <c r="O291" i="3" s="1"/>
  <c r="L279" i="3"/>
  <c r="O279" i="3" s="1"/>
  <c r="L226" i="3"/>
  <c r="O226" i="3" s="1"/>
  <c r="L336" i="3"/>
  <c r="O336" i="3" s="1"/>
  <c r="L368" i="3"/>
  <c r="O368" i="3" s="1"/>
  <c r="L372" i="3"/>
  <c r="O372" i="3" s="1"/>
  <c r="L803" i="3"/>
  <c r="O803" i="3" s="1"/>
  <c r="L855" i="3"/>
  <c r="O855" i="3" s="1"/>
  <c r="L791" i="3"/>
  <c r="O791" i="3" s="1"/>
  <c r="L511" i="3"/>
  <c r="O511" i="3" s="1"/>
  <c r="L273" i="3"/>
  <c r="O273" i="3" s="1"/>
  <c r="L220" i="3"/>
  <c r="O220" i="3" s="1"/>
  <c r="L267" i="3"/>
  <c r="O267" i="3" s="1"/>
  <c r="L371" i="3"/>
  <c r="O371" i="3" s="1"/>
  <c r="L390" i="3"/>
  <c r="O390" i="3" s="1"/>
  <c r="L438" i="3"/>
  <c r="O438" i="3" s="1"/>
  <c r="L470" i="3"/>
  <c r="O470" i="3" s="1"/>
  <c r="L443" i="3"/>
  <c r="O443" i="3" s="1"/>
  <c r="L789" i="3"/>
  <c r="O789" i="3" s="1"/>
  <c r="L775" i="3"/>
  <c r="O775" i="3" s="1"/>
  <c r="L879" i="3"/>
  <c r="O879" i="3" s="1"/>
  <c r="L481" i="3"/>
  <c r="O481" i="3" s="1"/>
  <c r="L318" i="3"/>
  <c r="O318" i="3" s="1"/>
  <c r="L285" i="3"/>
  <c r="O285" i="3" s="1"/>
  <c r="L217" i="3"/>
  <c r="O217" i="3" s="1"/>
  <c r="L353" i="3"/>
  <c r="O353" i="3" s="1"/>
  <c r="L359" i="3"/>
  <c r="O359" i="3" s="1"/>
  <c r="L380" i="3"/>
  <c r="O380" i="3" s="1"/>
  <c r="L396" i="3"/>
  <c r="O396" i="3" s="1"/>
  <c r="L412" i="3"/>
  <c r="O412" i="3" s="1"/>
  <c r="L428" i="3"/>
  <c r="O428" i="3" s="1"/>
  <c r="L444" i="3"/>
  <c r="O444" i="3" s="1"/>
  <c r="L460" i="3"/>
  <c r="O460" i="3" s="1"/>
  <c r="L385" i="3"/>
  <c r="O385" i="3" s="1"/>
  <c r="L401" i="3"/>
  <c r="O401" i="3" s="1"/>
  <c r="L417" i="3"/>
  <c r="O417" i="3" s="1"/>
  <c r="L465" i="3"/>
  <c r="O465" i="3" s="1"/>
  <c r="L809" i="3"/>
  <c r="O809" i="3" s="1"/>
  <c r="L711" i="3"/>
  <c r="O711" i="3" s="1"/>
  <c r="L808" i="3"/>
  <c r="O808" i="3" s="1"/>
  <c r="K729" i="3"/>
  <c r="L885" i="3" s="1"/>
  <c r="O885" i="3" s="1"/>
  <c r="L487" i="3"/>
  <c r="O487" i="3" s="1"/>
  <c r="L503" i="3"/>
  <c r="O503" i="3" s="1"/>
  <c r="L502" i="3"/>
  <c r="O502" i="3" s="1"/>
  <c r="L518" i="3"/>
  <c r="O518" i="3" s="1"/>
  <c r="L214" i="3"/>
  <c r="O214" i="3" s="1"/>
  <c r="L278" i="3"/>
  <c r="O278" i="3" s="1"/>
  <c r="L342" i="3"/>
  <c r="O342" i="3" s="1"/>
  <c r="L341" i="3"/>
  <c r="O341" i="3" s="1"/>
  <c r="L241" i="3"/>
  <c r="O241" i="3" s="1"/>
  <c r="L305" i="3"/>
  <c r="O305" i="3" s="1"/>
  <c r="L327" i="3"/>
  <c r="O327" i="3" s="1"/>
  <c r="L333" i="3"/>
  <c r="O333" i="3" s="1"/>
  <c r="L280" i="3"/>
  <c r="O280" i="3" s="1"/>
  <c r="L316" i="3"/>
  <c r="O316" i="3" s="1"/>
  <c r="L869" i="3"/>
  <c r="O869" i="3" s="1"/>
  <c r="L287" i="3"/>
  <c r="O287" i="3" s="1"/>
  <c r="L314" i="3"/>
  <c r="O314" i="3" s="1"/>
  <c r="L325" i="3"/>
  <c r="O325" i="3" s="1"/>
  <c r="L235" i="3"/>
  <c r="O235" i="3" s="1"/>
  <c r="L299" i="3"/>
  <c r="O299" i="3" s="1"/>
  <c r="L303" i="3"/>
  <c r="O303" i="3" s="1"/>
  <c r="L266" i="3"/>
  <c r="O266" i="3" s="1"/>
  <c r="L375" i="3"/>
  <c r="O375" i="3" s="1"/>
  <c r="L868" i="3"/>
  <c r="O868" i="3" s="1"/>
  <c r="L576" i="3"/>
  <c r="O576" i="3" s="1"/>
  <c r="L680" i="3"/>
  <c r="O680" i="3" s="1"/>
  <c r="L634" i="3"/>
  <c r="O634" i="3" s="1"/>
  <c r="L686" i="3"/>
  <c r="O686" i="3" s="1"/>
  <c r="L755" i="3"/>
  <c r="O755" i="3" s="1"/>
  <c r="L772" i="3"/>
  <c r="O772" i="3" s="1"/>
  <c r="L774" i="3"/>
  <c r="O774" i="3" s="1"/>
  <c r="L652" i="3"/>
  <c r="O652" i="3" s="1"/>
  <c r="L743" i="3"/>
  <c r="O743" i="3" s="1"/>
  <c r="L795" i="3"/>
  <c r="O795" i="3" s="1"/>
  <c r="L632" i="3"/>
  <c r="O632" i="3" s="1"/>
  <c r="L684" i="3"/>
  <c r="O684" i="3" s="1"/>
  <c r="L727" i="3"/>
  <c r="O727" i="3" s="1"/>
  <c r="L779" i="3"/>
  <c r="O779" i="3" s="1"/>
  <c r="L703" i="3"/>
  <c r="O703" i="3" s="1"/>
  <c r="L824" i="3"/>
  <c r="O824" i="3" s="1"/>
  <c r="L841" i="3"/>
  <c r="O841" i="3" s="1"/>
  <c r="L675" i="3"/>
  <c r="O675" i="3" s="1"/>
  <c r="L580" i="3"/>
  <c r="O580" i="3" s="1"/>
  <c r="L666" i="3"/>
  <c r="O666" i="3" s="1"/>
  <c r="L718" i="3"/>
  <c r="O718" i="3" s="1"/>
  <c r="L783" i="3"/>
  <c r="O783" i="3" s="1"/>
  <c r="L835" i="3"/>
  <c r="O835" i="3" s="1"/>
  <c r="L702" i="3"/>
  <c r="O702" i="3" s="1"/>
  <c r="L650" i="3"/>
  <c r="O650" i="3" s="1"/>
  <c r="L754" i="3"/>
  <c r="O754" i="3" s="1"/>
  <c r="L823" i="3"/>
  <c r="O823" i="3" s="1"/>
  <c r="L719" i="3"/>
  <c r="O719" i="3" s="1"/>
  <c r="L771" i="3"/>
  <c r="O771" i="3" s="1"/>
  <c r="L683" i="3"/>
  <c r="O683" i="3" s="1"/>
  <c r="L631" i="3"/>
  <c r="O631" i="3" s="1"/>
  <c r="L579" i="3"/>
  <c r="O579" i="3" s="1"/>
  <c r="L777" i="3"/>
  <c r="O777" i="3" s="1"/>
  <c r="L673" i="3"/>
  <c r="O673" i="3" s="1"/>
  <c r="L782" i="3"/>
  <c r="O782" i="3" s="1"/>
  <c r="L730" i="3"/>
  <c r="O730" i="3" s="1"/>
  <c r="L793" i="3"/>
  <c r="O793" i="3" s="1"/>
  <c r="L741" i="3"/>
  <c r="O741" i="3" s="1"/>
  <c r="L689" i="3"/>
  <c r="O689" i="3" s="1"/>
  <c r="L830" i="3"/>
  <c r="O830" i="3" s="1"/>
  <c r="L726" i="3"/>
  <c r="O726" i="3" s="1"/>
  <c r="L838" i="3"/>
  <c r="O838" i="3" s="1"/>
  <c r="L734" i="3"/>
  <c r="O734" i="3" s="1"/>
  <c r="L742" i="3"/>
  <c r="O742" i="3" s="1"/>
  <c r="L764" i="3"/>
  <c r="O764" i="3" s="1"/>
  <c r="L660" i="3"/>
  <c r="O660" i="3" s="1"/>
  <c r="L712" i="3"/>
  <c r="O712" i="3" s="1"/>
  <c r="L802" i="3"/>
  <c r="O802" i="3" s="1"/>
  <c r="L698" i="3"/>
  <c r="O698" i="3" s="1"/>
  <c r="L813" i="3"/>
  <c r="O813" i="3" s="1"/>
  <c r="L709" i="3"/>
  <c r="O709" i="3" s="1"/>
  <c r="L761" i="3"/>
  <c r="O761" i="3" s="1"/>
  <c r="L633" i="3"/>
  <c r="O633" i="3" s="1"/>
  <c r="L685" i="3"/>
  <c r="O685" i="3" s="1"/>
  <c r="L746" i="3"/>
  <c r="O746" i="3" s="1"/>
  <c r="L642" i="3"/>
  <c r="O642" i="3" s="1"/>
  <c r="L694" i="3"/>
  <c r="O694" i="3" s="1"/>
  <c r="L762" i="3"/>
  <c r="O762" i="3" s="1"/>
  <c r="L658" i="3"/>
  <c r="O658" i="3" s="1"/>
  <c r="L710" i="3"/>
  <c r="O710" i="3" s="1"/>
  <c r="L715" i="3"/>
  <c r="O715" i="3" s="1"/>
  <c r="L767" i="3"/>
  <c r="O767" i="3" s="1"/>
  <c r="L669" i="3"/>
  <c r="O669" i="3" s="1"/>
  <c r="L773" i="3"/>
  <c r="O773" i="3" s="1"/>
  <c r="L721" i="3"/>
  <c r="O721" i="3" s="1"/>
  <c r="L785" i="3"/>
  <c r="O785" i="3" s="1"/>
  <c r="L681" i="3"/>
  <c r="O681" i="3" s="1"/>
  <c r="L810" i="3"/>
  <c r="O810" i="3" s="1"/>
  <c r="L706" i="3"/>
  <c r="O706" i="3" s="1"/>
  <c r="L815" i="3"/>
  <c r="O815" i="3" s="1"/>
  <c r="L763" i="3"/>
  <c r="O763" i="3" s="1"/>
  <c r="L839" i="3"/>
  <c r="O839" i="3" s="1"/>
  <c r="L735" i="3"/>
  <c r="O735" i="3" s="1"/>
  <c r="L748" i="3"/>
  <c r="O748" i="3" s="1"/>
  <c r="L644" i="3"/>
  <c r="O644" i="3" s="1"/>
  <c r="L696" i="3"/>
  <c r="O696" i="3" s="1"/>
  <c r="L765" i="3"/>
  <c r="O765" i="3" s="1"/>
  <c r="L661" i="3"/>
  <c r="O661" i="3" s="1"/>
  <c r="L818" i="3"/>
  <c r="O818" i="3" s="1"/>
  <c r="L714" i="3"/>
  <c r="O714" i="3" s="1"/>
  <c r="L745" i="3"/>
  <c r="O745" i="3" s="1"/>
  <c r="L840" i="3"/>
  <c r="O840" i="3" s="1"/>
  <c r="L653" i="3"/>
  <c r="O653" i="3" s="1"/>
  <c r="L668" i="3"/>
  <c r="O668" i="3" s="1"/>
  <c r="L747" i="3"/>
  <c r="O747" i="3" s="1"/>
  <c r="L836" i="3"/>
  <c r="O836" i="3" s="1"/>
  <c r="L812" i="3"/>
  <c r="O812" i="3" s="1"/>
  <c r="L678" i="3"/>
  <c r="O678" i="3" s="1"/>
  <c r="L776" i="3"/>
  <c r="O776" i="3" s="1"/>
  <c r="L794" i="3"/>
  <c r="O794" i="3" s="1"/>
  <c r="L701" i="3"/>
  <c r="O701" i="3" s="1"/>
  <c r="L705" i="3"/>
  <c r="O705" i="3" s="1"/>
  <c r="L725" i="3"/>
  <c r="O725" i="3" s="1"/>
  <c r="L737" i="3"/>
  <c r="O737" i="3" s="1"/>
  <c r="L751" i="3"/>
  <c r="O751" i="3" s="1"/>
  <c r="L821" i="3"/>
  <c r="O821" i="3" s="1"/>
  <c r="L826" i="3"/>
  <c r="O826" i="3" s="1"/>
  <c r="L778" i="3"/>
  <c r="O778" i="3" s="1"/>
  <c r="L704" i="3"/>
  <c r="O704" i="3" s="1"/>
  <c r="L720" i="3"/>
  <c r="O720" i="3" s="1"/>
  <c r="L753" i="3"/>
  <c r="O753" i="3" s="1"/>
  <c r="L787" i="3"/>
  <c r="O787" i="3" s="1"/>
  <c r="L832" i="3"/>
  <c r="O832" i="3" s="1"/>
  <c r="L786" i="3"/>
  <c r="O786" i="3" s="1"/>
  <c r="L769" i="3"/>
  <c r="O769" i="3" s="1"/>
  <c r="L781" i="3" l="1"/>
  <c r="O781" i="3" s="1"/>
  <c r="L833" i="3"/>
  <c r="O833" i="3" s="1"/>
</calcChain>
</file>

<file path=xl/sharedStrings.xml><?xml version="1.0" encoding="utf-8"?>
<sst xmlns="http://schemas.openxmlformats.org/spreadsheetml/2006/main" count="1038" uniqueCount="41">
  <si>
    <t>1,000 Tons</t>
  </si>
  <si>
    <t>Corn</t>
  </si>
  <si>
    <t>Wheat</t>
  </si>
  <si>
    <t>Soybeans</t>
  </si>
  <si>
    <t>Total</t>
  </si>
  <si>
    <t>May</t>
  </si>
  <si>
    <t>Weeks in Year</t>
  </si>
  <si>
    <t>Month</t>
  </si>
  <si>
    <t>Soybean</t>
  </si>
  <si>
    <t>Jan.</t>
  </si>
  <si>
    <t>Apr.</t>
  </si>
  <si>
    <t>July</t>
  </si>
  <si>
    <t>4-week running average</t>
  </si>
  <si>
    <t xml:space="preserve">Total running avg </t>
  </si>
  <si>
    <t>Apr</t>
  </si>
  <si>
    <t>Dec</t>
  </si>
  <si>
    <t>Jan</t>
  </si>
  <si>
    <r>
      <t>1</t>
    </r>
    <r>
      <rPr>
        <sz val="8"/>
        <rFont val="Times New Roman"/>
        <family val="1"/>
      </rPr>
      <t xml:space="preserve"> The 3-year average is a 4-week moving average.</t>
    </r>
  </si>
  <si>
    <t>Figure 10</t>
  </si>
  <si>
    <t>Aug</t>
  </si>
  <si>
    <t>Oct</t>
  </si>
  <si>
    <t>% change from 3-yr average</t>
  </si>
  <si>
    <t>% change from last year</t>
  </si>
  <si>
    <t>Feb</t>
  </si>
  <si>
    <t>Sep</t>
  </si>
  <si>
    <t>week #</t>
  </si>
  <si>
    <t>Nov</t>
  </si>
  <si>
    <t>Mar</t>
  </si>
  <si>
    <r>
      <t>Barge Movements on the Mississippi River</t>
    </r>
    <r>
      <rPr>
        <b/>
        <vertAlign val="superscript"/>
        <sz val="9"/>
        <rFont val="Times New Roman"/>
        <family val="1"/>
      </rPr>
      <t>1</t>
    </r>
    <r>
      <rPr>
        <b/>
        <sz val="11"/>
        <rFont val="Times New Roman"/>
        <family val="1"/>
      </rPr>
      <t xml:space="preserve"> (Locks 27 - Granite City, IL)</t>
    </r>
  </si>
  <si>
    <t>Figure 10:  Grain Barge Movements through Mississippi River Locks 27</t>
  </si>
  <si>
    <t>Jun</t>
  </si>
  <si>
    <t>Jul</t>
  </si>
  <si>
    <t>Ap</t>
  </si>
  <si>
    <t xml:space="preserve">Footnote:  </t>
  </si>
  <si>
    <t>June</t>
  </si>
  <si>
    <t xml:space="preserve">June </t>
  </si>
  <si>
    <t xml:space="preserve">Empty cells indicate insufficient data to perform the calculation.  </t>
  </si>
  <si>
    <t>Source:  U.S. Army Corps of Engineers</t>
  </si>
  <si>
    <t>3-yr avg of 4-week running avg</t>
  </si>
  <si>
    <t>3-year average</t>
  </si>
  <si>
    <r>
      <t>Barge Movements on the Mississippi River</t>
    </r>
    <r>
      <rPr>
        <b/>
        <sz val="11"/>
        <rFont val="Times New Roman"/>
        <family val="1"/>
      </rPr>
      <t xml:space="preserve"> (Locks 27 - Granite City, IL)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</si>
</sst>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"/>
  </numFmts>
  <fonts count="12" x14ac:knownFonts="1">
    <font>
      <sz val="12"/>
      <name val="Arial"/>
    </font>
    <font>
      <sz val="11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vertAlign val="superscript"/>
      <sz val="8"/>
      <name val="Times New Roman"/>
      <family val="1"/>
    </font>
    <font>
      <sz val="12"/>
      <name val="Arial"/>
      <family val="2"/>
    </font>
    <font>
      <b/>
      <vertAlign val="superscript"/>
      <sz val="9"/>
      <name val="Times New Roman"/>
      <family val="1"/>
    </font>
    <font>
      <b/>
      <sz val="16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6" fillId="3" borderId="0" xfId="0" applyFont="1" applyFill="1"/>
    <xf numFmtId="0" fontId="5" fillId="3" borderId="0" xfId="0" applyFont="1" applyFill="1"/>
    <xf numFmtId="14" fontId="4" fillId="0" borderId="0" xfId="0" applyNumberFormat="1" applyFont="1"/>
    <xf numFmtId="0" fontId="8" fillId="0" borderId="0" xfId="0" applyFont="1" applyBorder="1" applyAlignment="1">
      <alignment horizontal="right" wrapText="1"/>
    </xf>
    <xf numFmtId="0" fontId="3" fillId="2" borderId="0" xfId="0" applyFont="1" applyFill="1" applyBorder="1"/>
    <xf numFmtId="0" fontId="4" fillId="2" borderId="0" xfId="0" applyFont="1" applyFill="1" applyBorder="1"/>
    <xf numFmtId="0" fontId="7" fillId="2" borderId="0" xfId="0" applyFont="1" applyFill="1"/>
    <xf numFmtId="0" fontId="3" fillId="2" borderId="0" xfId="0" applyFont="1" applyFill="1"/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10" fillId="0" borderId="0" xfId="0" applyFont="1"/>
    <xf numFmtId="0" fontId="8" fillId="0" borderId="0" xfId="0" applyFont="1"/>
    <xf numFmtId="0" fontId="8" fillId="0" borderId="0" xfId="0" applyFont="1" applyFill="1" applyBorder="1"/>
    <xf numFmtId="164" fontId="8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64" fontId="8" fillId="0" borderId="0" xfId="0" applyNumberFormat="1" applyFont="1"/>
    <xf numFmtId="0" fontId="8" fillId="4" borderId="0" xfId="0" applyFont="1" applyFill="1"/>
    <xf numFmtId="1" fontId="8" fillId="0" borderId="0" xfId="0" applyNumberFormat="1" applyFont="1" applyAlignment="1">
      <alignment horizontal="right"/>
    </xf>
    <xf numFmtId="1" fontId="8" fillId="0" borderId="0" xfId="0" applyNumberFormat="1" applyFont="1"/>
    <xf numFmtId="9" fontId="8" fillId="0" borderId="0" xfId="1" applyFont="1"/>
    <xf numFmtId="165" fontId="8" fillId="0" borderId="0" xfId="1" applyNumberFormat="1" applyFont="1"/>
    <xf numFmtId="164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3" fontId="8" fillId="0" borderId="0" xfId="0" applyNumberFormat="1" applyFont="1"/>
    <xf numFmtId="164" fontId="8" fillId="0" borderId="0" xfId="0" applyNumberFormat="1" applyFont="1" applyBorder="1" applyAlignment="1">
      <alignment horizontal="right"/>
    </xf>
    <xf numFmtId="1" fontId="8" fillId="4" borderId="0" xfId="0" applyNumberFormat="1" applyFont="1" applyFill="1"/>
    <xf numFmtId="14" fontId="8" fillId="0" borderId="0" xfId="0" applyNumberFormat="1" applyFont="1"/>
    <xf numFmtId="0" fontId="11" fillId="0" borderId="0" xfId="0" applyFont="1"/>
    <xf numFmtId="164" fontId="11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wrapText="1"/>
    </xf>
    <xf numFmtId="16" fontId="8" fillId="0" borderId="0" xfId="0" applyNumberFormat="1" applyFont="1"/>
    <xf numFmtId="0" fontId="8" fillId="0" borderId="0" xfId="0" applyFont="1" applyBorder="1"/>
    <xf numFmtId="0" fontId="0" fillId="6" borderId="0" xfId="0" applyFill="1"/>
    <xf numFmtId="0" fontId="6" fillId="6" borderId="0" xfId="0" applyFont="1" applyFill="1"/>
    <xf numFmtId="0" fontId="4" fillId="6" borderId="0" xfId="0" applyFont="1" applyFill="1"/>
    <xf numFmtId="0" fontId="3" fillId="6" borderId="0" xfId="0" applyFont="1" applyFill="1" applyBorder="1"/>
    <xf numFmtId="0" fontId="4" fillId="6" borderId="0" xfId="0" applyFont="1" applyFill="1" applyBorder="1"/>
    <xf numFmtId="0" fontId="3" fillId="6" borderId="0" xfId="0" applyFont="1" applyFill="1"/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4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437612310909274E-2"/>
          <c:y val="4.3147045643684781E-2"/>
          <c:w val="0.91194096310996031"/>
          <c:h val="0.726923076923105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graphdata!$H$5</c:f>
              <c:strCache>
                <c:ptCount val="1"/>
                <c:pt idx="0">
                  <c:v>Corn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graphdata!$B$960:$B$1016</c:f>
              <c:numCache>
                <c:formatCode>mm/dd/yy;@</c:formatCode>
                <c:ptCount val="57"/>
                <c:pt idx="0">
                  <c:v>41041</c:v>
                </c:pt>
                <c:pt idx="1">
                  <c:v>41048</c:v>
                </c:pt>
                <c:pt idx="2">
                  <c:v>41055</c:v>
                </c:pt>
                <c:pt idx="3">
                  <c:v>41062</c:v>
                </c:pt>
                <c:pt idx="4">
                  <c:v>41069</c:v>
                </c:pt>
                <c:pt idx="5">
                  <c:v>41076</c:v>
                </c:pt>
                <c:pt idx="6">
                  <c:v>41083</c:v>
                </c:pt>
                <c:pt idx="7">
                  <c:v>41090</c:v>
                </c:pt>
                <c:pt idx="8">
                  <c:v>41097</c:v>
                </c:pt>
                <c:pt idx="9">
                  <c:v>41104</c:v>
                </c:pt>
                <c:pt idx="10">
                  <c:v>41111</c:v>
                </c:pt>
                <c:pt idx="11">
                  <c:v>41118</c:v>
                </c:pt>
                <c:pt idx="12">
                  <c:v>41125</c:v>
                </c:pt>
                <c:pt idx="13">
                  <c:v>41132</c:v>
                </c:pt>
                <c:pt idx="14">
                  <c:v>41139</c:v>
                </c:pt>
                <c:pt idx="15">
                  <c:v>41146</c:v>
                </c:pt>
                <c:pt idx="16">
                  <c:v>41153</c:v>
                </c:pt>
                <c:pt idx="17">
                  <c:v>41160</c:v>
                </c:pt>
                <c:pt idx="18">
                  <c:v>41167</c:v>
                </c:pt>
                <c:pt idx="19">
                  <c:v>41174</c:v>
                </c:pt>
                <c:pt idx="20">
                  <c:v>41181</c:v>
                </c:pt>
                <c:pt idx="21">
                  <c:v>41188</c:v>
                </c:pt>
                <c:pt idx="22">
                  <c:v>41195</c:v>
                </c:pt>
                <c:pt idx="23">
                  <c:v>41202</c:v>
                </c:pt>
                <c:pt idx="24">
                  <c:v>41209</c:v>
                </c:pt>
                <c:pt idx="25">
                  <c:v>41216</c:v>
                </c:pt>
                <c:pt idx="26">
                  <c:v>41223</c:v>
                </c:pt>
                <c:pt idx="27">
                  <c:v>41230</c:v>
                </c:pt>
                <c:pt idx="28">
                  <c:v>41237</c:v>
                </c:pt>
                <c:pt idx="29">
                  <c:v>41244</c:v>
                </c:pt>
                <c:pt idx="30">
                  <c:v>41251</c:v>
                </c:pt>
                <c:pt idx="31">
                  <c:v>41258</c:v>
                </c:pt>
                <c:pt idx="32">
                  <c:v>41265</c:v>
                </c:pt>
                <c:pt idx="33">
                  <c:v>41272</c:v>
                </c:pt>
                <c:pt idx="34">
                  <c:v>41279</c:v>
                </c:pt>
                <c:pt idx="35">
                  <c:v>41286</c:v>
                </c:pt>
                <c:pt idx="36">
                  <c:v>41293</c:v>
                </c:pt>
                <c:pt idx="37">
                  <c:v>41300</c:v>
                </c:pt>
                <c:pt idx="38">
                  <c:v>41307</c:v>
                </c:pt>
                <c:pt idx="39">
                  <c:v>41314</c:v>
                </c:pt>
                <c:pt idx="40">
                  <c:v>41321</c:v>
                </c:pt>
                <c:pt idx="41">
                  <c:v>41328</c:v>
                </c:pt>
                <c:pt idx="42">
                  <c:v>41335</c:v>
                </c:pt>
                <c:pt idx="43">
                  <c:v>41342</c:v>
                </c:pt>
                <c:pt idx="44">
                  <c:v>41349</c:v>
                </c:pt>
                <c:pt idx="45">
                  <c:v>41356</c:v>
                </c:pt>
                <c:pt idx="46">
                  <c:v>41363</c:v>
                </c:pt>
                <c:pt idx="47">
                  <c:v>41370</c:v>
                </c:pt>
                <c:pt idx="48">
                  <c:v>41377</c:v>
                </c:pt>
                <c:pt idx="49">
                  <c:v>41384</c:v>
                </c:pt>
                <c:pt idx="50">
                  <c:v>41391</c:v>
                </c:pt>
                <c:pt idx="51">
                  <c:v>41398</c:v>
                </c:pt>
                <c:pt idx="52">
                  <c:v>41405</c:v>
                </c:pt>
                <c:pt idx="53">
                  <c:v>41412</c:v>
                </c:pt>
                <c:pt idx="54">
                  <c:v>41419</c:v>
                </c:pt>
                <c:pt idx="55">
                  <c:v>41426</c:v>
                </c:pt>
                <c:pt idx="56">
                  <c:v>41433</c:v>
                </c:pt>
              </c:numCache>
            </c:numRef>
          </c:cat>
          <c:val>
            <c:numRef>
              <c:f>graphdata!$C$960:$C$1016</c:f>
              <c:numCache>
                <c:formatCode>General</c:formatCode>
                <c:ptCount val="57"/>
                <c:pt idx="0">
                  <c:v>302</c:v>
                </c:pt>
                <c:pt idx="1">
                  <c:v>402</c:v>
                </c:pt>
                <c:pt idx="2">
                  <c:v>332</c:v>
                </c:pt>
                <c:pt idx="3">
                  <c:v>437</c:v>
                </c:pt>
                <c:pt idx="4">
                  <c:v>330</c:v>
                </c:pt>
                <c:pt idx="5">
                  <c:v>287</c:v>
                </c:pt>
                <c:pt idx="6">
                  <c:v>300</c:v>
                </c:pt>
                <c:pt idx="7">
                  <c:v>279</c:v>
                </c:pt>
                <c:pt idx="8">
                  <c:v>234</c:v>
                </c:pt>
                <c:pt idx="9">
                  <c:v>242</c:v>
                </c:pt>
                <c:pt idx="10">
                  <c:v>289</c:v>
                </c:pt>
                <c:pt idx="11">
                  <c:v>365</c:v>
                </c:pt>
                <c:pt idx="12">
                  <c:v>256</c:v>
                </c:pt>
                <c:pt idx="13">
                  <c:v>228</c:v>
                </c:pt>
                <c:pt idx="14">
                  <c:v>289</c:v>
                </c:pt>
                <c:pt idx="15">
                  <c:v>87</c:v>
                </c:pt>
                <c:pt idx="16">
                  <c:v>58</c:v>
                </c:pt>
                <c:pt idx="17">
                  <c:v>70</c:v>
                </c:pt>
                <c:pt idx="18">
                  <c:v>44</c:v>
                </c:pt>
                <c:pt idx="19">
                  <c:v>79</c:v>
                </c:pt>
                <c:pt idx="20">
                  <c:v>194</c:v>
                </c:pt>
                <c:pt idx="21">
                  <c:v>79</c:v>
                </c:pt>
                <c:pt idx="22">
                  <c:v>112</c:v>
                </c:pt>
                <c:pt idx="23">
                  <c:v>154</c:v>
                </c:pt>
                <c:pt idx="24">
                  <c:v>115</c:v>
                </c:pt>
                <c:pt idx="25">
                  <c:v>217</c:v>
                </c:pt>
                <c:pt idx="26">
                  <c:v>212</c:v>
                </c:pt>
                <c:pt idx="27">
                  <c:v>153</c:v>
                </c:pt>
                <c:pt idx="28">
                  <c:v>281</c:v>
                </c:pt>
                <c:pt idx="29">
                  <c:v>246</c:v>
                </c:pt>
                <c:pt idx="30">
                  <c:v>224</c:v>
                </c:pt>
                <c:pt idx="31">
                  <c:v>126</c:v>
                </c:pt>
                <c:pt idx="32">
                  <c:v>87</c:v>
                </c:pt>
                <c:pt idx="33">
                  <c:v>28</c:v>
                </c:pt>
                <c:pt idx="34">
                  <c:v>48</c:v>
                </c:pt>
                <c:pt idx="35">
                  <c:v>29</c:v>
                </c:pt>
                <c:pt idx="36">
                  <c:v>75</c:v>
                </c:pt>
                <c:pt idx="37">
                  <c:v>32</c:v>
                </c:pt>
                <c:pt idx="38">
                  <c:v>59</c:v>
                </c:pt>
                <c:pt idx="39">
                  <c:v>50</c:v>
                </c:pt>
                <c:pt idx="40">
                  <c:v>104</c:v>
                </c:pt>
                <c:pt idx="41">
                  <c:v>57</c:v>
                </c:pt>
                <c:pt idx="42">
                  <c:v>35</c:v>
                </c:pt>
                <c:pt idx="43">
                  <c:v>133</c:v>
                </c:pt>
                <c:pt idx="44">
                  <c:v>85</c:v>
                </c:pt>
                <c:pt idx="45">
                  <c:v>120</c:v>
                </c:pt>
                <c:pt idx="46">
                  <c:v>139</c:v>
                </c:pt>
                <c:pt idx="47">
                  <c:v>85</c:v>
                </c:pt>
                <c:pt idx="48">
                  <c:v>127</c:v>
                </c:pt>
                <c:pt idx="49">
                  <c:v>65</c:v>
                </c:pt>
                <c:pt idx="50">
                  <c:v>22</c:v>
                </c:pt>
                <c:pt idx="51">
                  <c:v>199</c:v>
                </c:pt>
                <c:pt idx="52">
                  <c:v>138</c:v>
                </c:pt>
              </c:numCache>
            </c:numRef>
          </c:val>
        </c:ser>
        <c:ser>
          <c:idx val="1"/>
          <c:order val="1"/>
          <c:tx>
            <c:strRef>
              <c:f>graphdata!$I$5</c:f>
              <c:strCache>
                <c:ptCount val="1"/>
                <c:pt idx="0">
                  <c:v>Wheat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graphdata!$B$960:$B$1016</c:f>
              <c:numCache>
                <c:formatCode>mm/dd/yy;@</c:formatCode>
                <c:ptCount val="57"/>
                <c:pt idx="0">
                  <c:v>41041</c:v>
                </c:pt>
                <c:pt idx="1">
                  <c:v>41048</c:v>
                </c:pt>
                <c:pt idx="2">
                  <c:v>41055</c:v>
                </c:pt>
                <c:pt idx="3">
                  <c:v>41062</c:v>
                </c:pt>
                <c:pt idx="4">
                  <c:v>41069</c:v>
                </c:pt>
                <c:pt idx="5">
                  <c:v>41076</c:v>
                </c:pt>
                <c:pt idx="6">
                  <c:v>41083</c:v>
                </c:pt>
                <c:pt idx="7">
                  <c:v>41090</c:v>
                </c:pt>
                <c:pt idx="8">
                  <c:v>41097</c:v>
                </c:pt>
                <c:pt idx="9">
                  <c:v>41104</c:v>
                </c:pt>
                <c:pt idx="10">
                  <c:v>41111</c:v>
                </c:pt>
                <c:pt idx="11">
                  <c:v>41118</c:v>
                </c:pt>
                <c:pt idx="12">
                  <c:v>41125</c:v>
                </c:pt>
                <c:pt idx="13">
                  <c:v>41132</c:v>
                </c:pt>
                <c:pt idx="14">
                  <c:v>41139</c:v>
                </c:pt>
                <c:pt idx="15">
                  <c:v>41146</c:v>
                </c:pt>
                <c:pt idx="16">
                  <c:v>41153</c:v>
                </c:pt>
                <c:pt idx="17">
                  <c:v>41160</c:v>
                </c:pt>
                <c:pt idx="18">
                  <c:v>41167</c:v>
                </c:pt>
                <c:pt idx="19">
                  <c:v>41174</c:v>
                </c:pt>
                <c:pt idx="20">
                  <c:v>41181</c:v>
                </c:pt>
                <c:pt idx="21">
                  <c:v>41188</c:v>
                </c:pt>
                <c:pt idx="22">
                  <c:v>41195</c:v>
                </c:pt>
                <c:pt idx="23">
                  <c:v>41202</c:v>
                </c:pt>
                <c:pt idx="24">
                  <c:v>41209</c:v>
                </c:pt>
                <c:pt idx="25">
                  <c:v>41216</c:v>
                </c:pt>
                <c:pt idx="26">
                  <c:v>41223</c:v>
                </c:pt>
                <c:pt idx="27">
                  <c:v>41230</c:v>
                </c:pt>
                <c:pt idx="28">
                  <c:v>41237</c:v>
                </c:pt>
                <c:pt idx="29">
                  <c:v>41244</c:v>
                </c:pt>
                <c:pt idx="30">
                  <c:v>41251</c:v>
                </c:pt>
                <c:pt idx="31">
                  <c:v>41258</c:v>
                </c:pt>
                <c:pt idx="32">
                  <c:v>41265</c:v>
                </c:pt>
                <c:pt idx="33">
                  <c:v>41272</c:v>
                </c:pt>
                <c:pt idx="34">
                  <c:v>41279</c:v>
                </c:pt>
                <c:pt idx="35">
                  <c:v>41286</c:v>
                </c:pt>
                <c:pt idx="36">
                  <c:v>41293</c:v>
                </c:pt>
                <c:pt idx="37">
                  <c:v>41300</c:v>
                </c:pt>
                <c:pt idx="38">
                  <c:v>41307</c:v>
                </c:pt>
                <c:pt idx="39">
                  <c:v>41314</c:v>
                </c:pt>
                <c:pt idx="40">
                  <c:v>41321</c:v>
                </c:pt>
                <c:pt idx="41">
                  <c:v>41328</c:v>
                </c:pt>
                <c:pt idx="42">
                  <c:v>41335</c:v>
                </c:pt>
                <c:pt idx="43">
                  <c:v>41342</c:v>
                </c:pt>
                <c:pt idx="44">
                  <c:v>41349</c:v>
                </c:pt>
                <c:pt idx="45">
                  <c:v>41356</c:v>
                </c:pt>
                <c:pt idx="46">
                  <c:v>41363</c:v>
                </c:pt>
                <c:pt idx="47">
                  <c:v>41370</c:v>
                </c:pt>
                <c:pt idx="48">
                  <c:v>41377</c:v>
                </c:pt>
                <c:pt idx="49">
                  <c:v>41384</c:v>
                </c:pt>
                <c:pt idx="50">
                  <c:v>41391</c:v>
                </c:pt>
                <c:pt idx="51">
                  <c:v>41398</c:v>
                </c:pt>
                <c:pt idx="52">
                  <c:v>41405</c:v>
                </c:pt>
                <c:pt idx="53">
                  <c:v>41412</c:v>
                </c:pt>
                <c:pt idx="54">
                  <c:v>41419</c:v>
                </c:pt>
                <c:pt idx="55">
                  <c:v>41426</c:v>
                </c:pt>
                <c:pt idx="56">
                  <c:v>41433</c:v>
                </c:pt>
              </c:numCache>
            </c:numRef>
          </c:cat>
          <c:val>
            <c:numRef>
              <c:f>graphdata!$D$960:$D$1016</c:f>
              <c:numCache>
                <c:formatCode>General</c:formatCode>
                <c:ptCount val="57"/>
                <c:pt idx="0">
                  <c:v>15</c:v>
                </c:pt>
                <c:pt idx="1">
                  <c:v>27</c:v>
                </c:pt>
                <c:pt idx="2">
                  <c:v>11</c:v>
                </c:pt>
                <c:pt idx="3">
                  <c:v>12</c:v>
                </c:pt>
                <c:pt idx="4">
                  <c:v>6</c:v>
                </c:pt>
                <c:pt idx="5">
                  <c:v>0</c:v>
                </c:pt>
                <c:pt idx="6">
                  <c:v>8</c:v>
                </c:pt>
                <c:pt idx="7">
                  <c:v>11</c:v>
                </c:pt>
                <c:pt idx="8">
                  <c:v>0</c:v>
                </c:pt>
                <c:pt idx="9">
                  <c:v>2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2</c:v>
                </c:pt>
                <c:pt idx="14">
                  <c:v>14</c:v>
                </c:pt>
                <c:pt idx="15">
                  <c:v>2</c:v>
                </c:pt>
                <c:pt idx="16">
                  <c:v>5</c:v>
                </c:pt>
                <c:pt idx="17">
                  <c:v>17</c:v>
                </c:pt>
                <c:pt idx="18">
                  <c:v>8</c:v>
                </c:pt>
                <c:pt idx="19">
                  <c:v>3</c:v>
                </c:pt>
                <c:pt idx="20">
                  <c:v>27</c:v>
                </c:pt>
                <c:pt idx="21">
                  <c:v>2</c:v>
                </c:pt>
                <c:pt idx="22">
                  <c:v>6</c:v>
                </c:pt>
                <c:pt idx="23">
                  <c:v>11</c:v>
                </c:pt>
                <c:pt idx="24">
                  <c:v>2</c:v>
                </c:pt>
                <c:pt idx="25">
                  <c:v>5</c:v>
                </c:pt>
                <c:pt idx="26">
                  <c:v>0</c:v>
                </c:pt>
                <c:pt idx="27">
                  <c:v>6</c:v>
                </c:pt>
                <c:pt idx="28">
                  <c:v>3</c:v>
                </c:pt>
                <c:pt idx="29">
                  <c:v>2</c:v>
                </c:pt>
                <c:pt idx="30">
                  <c:v>5</c:v>
                </c:pt>
                <c:pt idx="31">
                  <c:v>3</c:v>
                </c:pt>
                <c:pt idx="32">
                  <c:v>9</c:v>
                </c:pt>
                <c:pt idx="33">
                  <c:v>0</c:v>
                </c:pt>
                <c:pt idx="34">
                  <c:v>2</c:v>
                </c:pt>
                <c:pt idx="35">
                  <c:v>13</c:v>
                </c:pt>
                <c:pt idx="36">
                  <c:v>11</c:v>
                </c:pt>
                <c:pt idx="37">
                  <c:v>2</c:v>
                </c:pt>
                <c:pt idx="38">
                  <c:v>0</c:v>
                </c:pt>
                <c:pt idx="39">
                  <c:v>11</c:v>
                </c:pt>
                <c:pt idx="40">
                  <c:v>33</c:v>
                </c:pt>
                <c:pt idx="41">
                  <c:v>49</c:v>
                </c:pt>
                <c:pt idx="42">
                  <c:v>38</c:v>
                </c:pt>
                <c:pt idx="43">
                  <c:v>100</c:v>
                </c:pt>
                <c:pt idx="44">
                  <c:v>60</c:v>
                </c:pt>
                <c:pt idx="45">
                  <c:v>48</c:v>
                </c:pt>
                <c:pt idx="46">
                  <c:v>53</c:v>
                </c:pt>
                <c:pt idx="47">
                  <c:v>13</c:v>
                </c:pt>
                <c:pt idx="48">
                  <c:v>30</c:v>
                </c:pt>
                <c:pt idx="49">
                  <c:v>25</c:v>
                </c:pt>
                <c:pt idx="50">
                  <c:v>3</c:v>
                </c:pt>
                <c:pt idx="51">
                  <c:v>28</c:v>
                </c:pt>
                <c:pt idx="52">
                  <c:v>20</c:v>
                </c:pt>
              </c:numCache>
            </c:numRef>
          </c:val>
        </c:ser>
        <c:ser>
          <c:idx val="2"/>
          <c:order val="2"/>
          <c:tx>
            <c:strRef>
              <c:f>graphdata!$J$5</c:f>
              <c:strCache>
                <c:ptCount val="1"/>
                <c:pt idx="0">
                  <c:v>Soybeans</c:v>
                </c:pt>
              </c:strCache>
            </c:strRef>
          </c:tx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graphdata!$B$960:$B$1016</c:f>
              <c:numCache>
                <c:formatCode>mm/dd/yy;@</c:formatCode>
                <c:ptCount val="57"/>
                <c:pt idx="0">
                  <c:v>41041</c:v>
                </c:pt>
                <c:pt idx="1">
                  <c:v>41048</c:v>
                </c:pt>
                <c:pt idx="2">
                  <c:v>41055</c:v>
                </c:pt>
                <c:pt idx="3">
                  <c:v>41062</c:v>
                </c:pt>
                <c:pt idx="4">
                  <c:v>41069</c:v>
                </c:pt>
                <c:pt idx="5">
                  <c:v>41076</c:v>
                </c:pt>
                <c:pt idx="6">
                  <c:v>41083</c:v>
                </c:pt>
                <c:pt idx="7">
                  <c:v>41090</c:v>
                </c:pt>
                <c:pt idx="8">
                  <c:v>41097</c:v>
                </c:pt>
                <c:pt idx="9">
                  <c:v>41104</c:v>
                </c:pt>
                <c:pt idx="10">
                  <c:v>41111</c:v>
                </c:pt>
                <c:pt idx="11">
                  <c:v>41118</c:v>
                </c:pt>
                <c:pt idx="12">
                  <c:v>41125</c:v>
                </c:pt>
                <c:pt idx="13">
                  <c:v>41132</c:v>
                </c:pt>
                <c:pt idx="14">
                  <c:v>41139</c:v>
                </c:pt>
                <c:pt idx="15">
                  <c:v>41146</c:v>
                </c:pt>
                <c:pt idx="16">
                  <c:v>41153</c:v>
                </c:pt>
                <c:pt idx="17">
                  <c:v>41160</c:v>
                </c:pt>
                <c:pt idx="18">
                  <c:v>41167</c:v>
                </c:pt>
                <c:pt idx="19">
                  <c:v>41174</c:v>
                </c:pt>
                <c:pt idx="20">
                  <c:v>41181</c:v>
                </c:pt>
                <c:pt idx="21">
                  <c:v>41188</c:v>
                </c:pt>
                <c:pt idx="22">
                  <c:v>41195</c:v>
                </c:pt>
                <c:pt idx="23">
                  <c:v>41202</c:v>
                </c:pt>
                <c:pt idx="24">
                  <c:v>41209</c:v>
                </c:pt>
                <c:pt idx="25">
                  <c:v>41216</c:v>
                </c:pt>
                <c:pt idx="26">
                  <c:v>41223</c:v>
                </c:pt>
                <c:pt idx="27">
                  <c:v>41230</c:v>
                </c:pt>
                <c:pt idx="28">
                  <c:v>41237</c:v>
                </c:pt>
                <c:pt idx="29">
                  <c:v>41244</c:v>
                </c:pt>
                <c:pt idx="30">
                  <c:v>41251</c:v>
                </c:pt>
                <c:pt idx="31">
                  <c:v>41258</c:v>
                </c:pt>
                <c:pt idx="32">
                  <c:v>41265</c:v>
                </c:pt>
                <c:pt idx="33">
                  <c:v>41272</c:v>
                </c:pt>
                <c:pt idx="34">
                  <c:v>41279</c:v>
                </c:pt>
                <c:pt idx="35">
                  <c:v>41286</c:v>
                </c:pt>
                <c:pt idx="36">
                  <c:v>41293</c:v>
                </c:pt>
                <c:pt idx="37">
                  <c:v>41300</c:v>
                </c:pt>
                <c:pt idx="38">
                  <c:v>41307</c:v>
                </c:pt>
                <c:pt idx="39">
                  <c:v>41314</c:v>
                </c:pt>
                <c:pt idx="40">
                  <c:v>41321</c:v>
                </c:pt>
                <c:pt idx="41">
                  <c:v>41328</c:v>
                </c:pt>
                <c:pt idx="42">
                  <c:v>41335</c:v>
                </c:pt>
                <c:pt idx="43">
                  <c:v>41342</c:v>
                </c:pt>
                <c:pt idx="44">
                  <c:v>41349</c:v>
                </c:pt>
                <c:pt idx="45">
                  <c:v>41356</c:v>
                </c:pt>
                <c:pt idx="46">
                  <c:v>41363</c:v>
                </c:pt>
                <c:pt idx="47">
                  <c:v>41370</c:v>
                </c:pt>
                <c:pt idx="48">
                  <c:v>41377</c:v>
                </c:pt>
                <c:pt idx="49">
                  <c:v>41384</c:v>
                </c:pt>
                <c:pt idx="50">
                  <c:v>41391</c:v>
                </c:pt>
                <c:pt idx="51">
                  <c:v>41398</c:v>
                </c:pt>
                <c:pt idx="52">
                  <c:v>41405</c:v>
                </c:pt>
                <c:pt idx="53">
                  <c:v>41412</c:v>
                </c:pt>
                <c:pt idx="54">
                  <c:v>41419</c:v>
                </c:pt>
                <c:pt idx="55">
                  <c:v>41426</c:v>
                </c:pt>
                <c:pt idx="56">
                  <c:v>41433</c:v>
                </c:pt>
              </c:numCache>
            </c:numRef>
          </c:cat>
          <c:val>
            <c:numRef>
              <c:f>graphdata!$E$960:$E$1016</c:f>
              <c:numCache>
                <c:formatCode>General</c:formatCode>
                <c:ptCount val="57"/>
                <c:pt idx="0">
                  <c:v>86</c:v>
                </c:pt>
                <c:pt idx="1">
                  <c:v>107</c:v>
                </c:pt>
                <c:pt idx="2">
                  <c:v>55</c:v>
                </c:pt>
                <c:pt idx="3">
                  <c:v>78</c:v>
                </c:pt>
                <c:pt idx="4">
                  <c:v>93</c:v>
                </c:pt>
                <c:pt idx="5">
                  <c:v>150</c:v>
                </c:pt>
                <c:pt idx="6">
                  <c:v>199</c:v>
                </c:pt>
                <c:pt idx="7">
                  <c:v>143</c:v>
                </c:pt>
                <c:pt idx="8">
                  <c:v>223</c:v>
                </c:pt>
                <c:pt idx="9">
                  <c:v>162</c:v>
                </c:pt>
                <c:pt idx="10">
                  <c:v>173</c:v>
                </c:pt>
                <c:pt idx="11">
                  <c:v>256</c:v>
                </c:pt>
                <c:pt idx="12">
                  <c:v>283</c:v>
                </c:pt>
                <c:pt idx="13">
                  <c:v>267</c:v>
                </c:pt>
                <c:pt idx="14">
                  <c:v>126</c:v>
                </c:pt>
                <c:pt idx="15">
                  <c:v>75</c:v>
                </c:pt>
                <c:pt idx="16">
                  <c:v>68</c:v>
                </c:pt>
                <c:pt idx="17">
                  <c:v>35</c:v>
                </c:pt>
                <c:pt idx="18">
                  <c:v>22</c:v>
                </c:pt>
                <c:pt idx="19">
                  <c:v>19</c:v>
                </c:pt>
                <c:pt idx="20">
                  <c:v>58</c:v>
                </c:pt>
                <c:pt idx="21">
                  <c:v>75</c:v>
                </c:pt>
                <c:pt idx="22">
                  <c:v>328</c:v>
                </c:pt>
                <c:pt idx="23">
                  <c:v>414</c:v>
                </c:pt>
                <c:pt idx="24">
                  <c:v>147</c:v>
                </c:pt>
                <c:pt idx="25">
                  <c:v>262</c:v>
                </c:pt>
                <c:pt idx="26">
                  <c:v>202</c:v>
                </c:pt>
                <c:pt idx="27">
                  <c:v>217</c:v>
                </c:pt>
                <c:pt idx="28">
                  <c:v>310</c:v>
                </c:pt>
                <c:pt idx="29">
                  <c:v>451</c:v>
                </c:pt>
                <c:pt idx="30">
                  <c:v>423</c:v>
                </c:pt>
                <c:pt idx="31">
                  <c:v>241</c:v>
                </c:pt>
                <c:pt idx="32">
                  <c:v>147</c:v>
                </c:pt>
                <c:pt idx="33">
                  <c:v>108</c:v>
                </c:pt>
                <c:pt idx="34">
                  <c:v>154</c:v>
                </c:pt>
                <c:pt idx="35">
                  <c:v>119</c:v>
                </c:pt>
                <c:pt idx="36">
                  <c:v>160</c:v>
                </c:pt>
                <c:pt idx="37">
                  <c:v>158</c:v>
                </c:pt>
                <c:pt idx="38">
                  <c:v>102</c:v>
                </c:pt>
                <c:pt idx="39">
                  <c:v>127</c:v>
                </c:pt>
                <c:pt idx="40">
                  <c:v>96</c:v>
                </c:pt>
                <c:pt idx="41">
                  <c:v>65</c:v>
                </c:pt>
                <c:pt idx="42">
                  <c:v>24</c:v>
                </c:pt>
                <c:pt idx="43">
                  <c:v>92</c:v>
                </c:pt>
                <c:pt idx="44">
                  <c:v>100</c:v>
                </c:pt>
                <c:pt idx="45">
                  <c:v>55</c:v>
                </c:pt>
                <c:pt idx="46">
                  <c:v>41</c:v>
                </c:pt>
                <c:pt idx="47">
                  <c:v>47</c:v>
                </c:pt>
                <c:pt idx="48">
                  <c:v>53</c:v>
                </c:pt>
                <c:pt idx="49">
                  <c:v>41</c:v>
                </c:pt>
                <c:pt idx="50">
                  <c:v>12</c:v>
                </c:pt>
                <c:pt idx="51">
                  <c:v>54</c:v>
                </c:pt>
                <c:pt idx="52">
                  <c:v>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016000"/>
        <c:axId val="44017536"/>
      </c:barChart>
      <c:lineChart>
        <c:grouping val="stacked"/>
        <c:varyColors val="0"/>
        <c:ser>
          <c:idx val="3"/>
          <c:order val="3"/>
          <c:tx>
            <c:v>3-Year Average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graphdata!$B$960:$B$1016</c:f>
              <c:numCache>
                <c:formatCode>mm/dd/yy;@</c:formatCode>
                <c:ptCount val="57"/>
                <c:pt idx="0">
                  <c:v>41041</c:v>
                </c:pt>
                <c:pt idx="1">
                  <c:v>41048</c:v>
                </c:pt>
                <c:pt idx="2">
                  <c:v>41055</c:v>
                </c:pt>
                <c:pt idx="3">
                  <c:v>41062</c:v>
                </c:pt>
                <c:pt idx="4">
                  <c:v>41069</c:v>
                </c:pt>
                <c:pt idx="5">
                  <c:v>41076</c:v>
                </c:pt>
                <c:pt idx="6">
                  <c:v>41083</c:v>
                </c:pt>
                <c:pt idx="7">
                  <c:v>41090</c:v>
                </c:pt>
                <c:pt idx="8">
                  <c:v>41097</c:v>
                </c:pt>
                <c:pt idx="9">
                  <c:v>41104</c:v>
                </c:pt>
                <c:pt idx="10">
                  <c:v>41111</c:v>
                </c:pt>
                <c:pt idx="11">
                  <c:v>41118</c:v>
                </c:pt>
                <c:pt idx="12">
                  <c:v>41125</c:v>
                </c:pt>
                <c:pt idx="13">
                  <c:v>41132</c:v>
                </c:pt>
                <c:pt idx="14">
                  <c:v>41139</c:v>
                </c:pt>
                <c:pt idx="15">
                  <c:v>41146</c:v>
                </c:pt>
                <c:pt idx="16">
                  <c:v>41153</c:v>
                </c:pt>
                <c:pt idx="17">
                  <c:v>41160</c:v>
                </c:pt>
                <c:pt idx="18">
                  <c:v>41167</c:v>
                </c:pt>
                <c:pt idx="19">
                  <c:v>41174</c:v>
                </c:pt>
                <c:pt idx="20">
                  <c:v>41181</c:v>
                </c:pt>
                <c:pt idx="21">
                  <c:v>41188</c:v>
                </c:pt>
                <c:pt idx="22">
                  <c:v>41195</c:v>
                </c:pt>
                <c:pt idx="23">
                  <c:v>41202</c:v>
                </c:pt>
                <c:pt idx="24">
                  <c:v>41209</c:v>
                </c:pt>
                <c:pt idx="25">
                  <c:v>41216</c:v>
                </c:pt>
                <c:pt idx="26">
                  <c:v>41223</c:v>
                </c:pt>
                <c:pt idx="27">
                  <c:v>41230</c:v>
                </c:pt>
                <c:pt idx="28">
                  <c:v>41237</c:v>
                </c:pt>
                <c:pt idx="29">
                  <c:v>41244</c:v>
                </c:pt>
                <c:pt idx="30">
                  <c:v>41251</c:v>
                </c:pt>
                <c:pt idx="31">
                  <c:v>41258</c:v>
                </c:pt>
                <c:pt idx="32">
                  <c:v>41265</c:v>
                </c:pt>
                <c:pt idx="33">
                  <c:v>41272</c:v>
                </c:pt>
                <c:pt idx="34">
                  <c:v>41279</c:v>
                </c:pt>
                <c:pt idx="35">
                  <c:v>41286</c:v>
                </c:pt>
                <c:pt idx="36">
                  <c:v>41293</c:v>
                </c:pt>
                <c:pt idx="37">
                  <c:v>41300</c:v>
                </c:pt>
                <c:pt idx="38">
                  <c:v>41307</c:v>
                </c:pt>
                <c:pt idx="39">
                  <c:v>41314</c:v>
                </c:pt>
                <c:pt idx="40">
                  <c:v>41321</c:v>
                </c:pt>
                <c:pt idx="41">
                  <c:v>41328</c:v>
                </c:pt>
                <c:pt idx="42">
                  <c:v>41335</c:v>
                </c:pt>
                <c:pt idx="43">
                  <c:v>41342</c:v>
                </c:pt>
                <c:pt idx="44">
                  <c:v>41349</c:v>
                </c:pt>
                <c:pt idx="45">
                  <c:v>41356</c:v>
                </c:pt>
                <c:pt idx="46">
                  <c:v>41363</c:v>
                </c:pt>
                <c:pt idx="47">
                  <c:v>41370</c:v>
                </c:pt>
                <c:pt idx="48">
                  <c:v>41377</c:v>
                </c:pt>
                <c:pt idx="49">
                  <c:v>41384</c:v>
                </c:pt>
                <c:pt idx="50">
                  <c:v>41391</c:v>
                </c:pt>
                <c:pt idx="51">
                  <c:v>41398</c:v>
                </c:pt>
                <c:pt idx="52">
                  <c:v>41405</c:v>
                </c:pt>
                <c:pt idx="53">
                  <c:v>41412</c:v>
                </c:pt>
                <c:pt idx="54">
                  <c:v>41419</c:v>
                </c:pt>
                <c:pt idx="55">
                  <c:v>41426</c:v>
                </c:pt>
                <c:pt idx="56">
                  <c:v>41433</c:v>
                </c:pt>
              </c:numCache>
            </c:numRef>
          </c:cat>
          <c:val>
            <c:numRef>
              <c:f>graphdata!$L$960:$L$1016</c:f>
              <c:numCache>
                <c:formatCode>0</c:formatCode>
                <c:ptCount val="57"/>
                <c:pt idx="0">
                  <c:v>477.5</c:v>
                </c:pt>
                <c:pt idx="1">
                  <c:v>514.25</c:v>
                </c:pt>
                <c:pt idx="2">
                  <c:v>580.66666666666663</c:v>
                </c:pt>
                <c:pt idx="3">
                  <c:v>604.5</c:v>
                </c:pt>
                <c:pt idx="4">
                  <c:v>607.91666666666663</c:v>
                </c:pt>
                <c:pt idx="5">
                  <c:v>615.08333333333337</c:v>
                </c:pt>
                <c:pt idx="6">
                  <c:v>605.66666666666663</c:v>
                </c:pt>
                <c:pt idx="7">
                  <c:v>635.08333333333337</c:v>
                </c:pt>
                <c:pt idx="8">
                  <c:v>627.25</c:v>
                </c:pt>
                <c:pt idx="9">
                  <c:v>626.33333333333337</c:v>
                </c:pt>
                <c:pt idx="10">
                  <c:v>656.91666666666663</c:v>
                </c:pt>
                <c:pt idx="11">
                  <c:v>675.83333333333337</c:v>
                </c:pt>
                <c:pt idx="12">
                  <c:v>683.75</c:v>
                </c:pt>
                <c:pt idx="13">
                  <c:v>683.08333333333337</c:v>
                </c:pt>
                <c:pt idx="14">
                  <c:v>624.25</c:v>
                </c:pt>
                <c:pt idx="15">
                  <c:v>534.83333333333337</c:v>
                </c:pt>
                <c:pt idx="16">
                  <c:v>458</c:v>
                </c:pt>
                <c:pt idx="17">
                  <c:v>369.5</c:v>
                </c:pt>
                <c:pt idx="18">
                  <c:v>298.58333333333331</c:v>
                </c:pt>
                <c:pt idx="19">
                  <c:v>250.58333333333334</c:v>
                </c:pt>
                <c:pt idx="20">
                  <c:v>233.5</c:v>
                </c:pt>
                <c:pt idx="21">
                  <c:v>236.58333333333334</c:v>
                </c:pt>
                <c:pt idx="22">
                  <c:v>297.25</c:v>
                </c:pt>
                <c:pt idx="23">
                  <c:v>351.41666666666669</c:v>
                </c:pt>
                <c:pt idx="24">
                  <c:v>398.5</c:v>
                </c:pt>
                <c:pt idx="25">
                  <c:v>429.16666666666669</c:v>
                </c:pt>
                <c:pt idx="26">
                  <c:v>479.08333333333331</c:v>
                </c:pt>
                <c:pt idx="27">
                  <c:v>521.5</c:v>
                </c:pt>
                <c:pt idx="28">
                  <c:v>588.16666666666663</c:v>
                </c:pt>
                <c:pt idx="29">
                  <c:v>686.33333333333337</c:v>
                </c:pt>
                <c:pt idx="30">
                  <c:v>707.58333333333337</c:v>
                </c:pt>
                <c:pt idx="31">
                  <c:v>697.08333333333337</c:v>
                </c:pt>
                <c:pt idx="32">
                  <c:v>638.16666666666663</c:v>
                </c:pt>
                <c:pt idx="33">
                  <c:v>499.58333333333331</c:v>
                </c:pt>
                <c:pt idx="34">
                  <c:v>380</c:v>
                </c:pt>
                <c:pt idx="35">
                  <c:v>290.43733333333336</c:v>
                </c:pt>
                <c:pt idx="36">
                  <c:v>256.52066666666667</c:v>
                </c:pt>
                <c:pt idx="37">
                  <c:v>269.27066666666667</c:v>
                </c:pt>
                <c:pt idx="38">
                  <c:v>283.93733333333336</c:v>
                </c:pt>
                <c:pt idx="39">
                  <c:v>310.08333333333331</c:v>
                </c:pt>
                <c:pt idx="40">
                  <c:v>309.91666666666669</c:v>
                </c:pt>
                <c:pt idx="41">
                  <c:v>315.08333333333331</c:v>
                </c:pt>
                <c:pt idx="42">
                  <c:v>324.41666666666669</c:v>
                </c:pt>
                <c:pt idx="43">
                  <c:v>334.75</c:v>
                </c:pt>
                <c:pt idx="44">
                  <c:v>321.75</c:v>
                </c:pt>
                <c:pt idx="45">
                  <c:v>344.41666666666669</c:v>
                </c:pt>
                <c:pt idx="46">
                  <c:v>374.16666666666669</c:v>
                </c:pt>
                <c:pt idx="47">
                  <c:v>376.08333333333331</c:v>
                </c:pt>
                <c:pt idx="48">
                  <c:v>403.66666666666669</c:v>
                </c:pt>
                <c:pt idx="49">
                  <c:v>417.08333333333331</c:v>
                </c:pt>
                <c:pt idx="50">
                  <c:v>397.33333333333331</c:v>
                </c:pt>
                <c:pt idx="51">
                  <c:v>410.5</c:v>
                </c:pt>
                <c:pt idx="52">
                  <c:v>445.25</c:v>
                </c:pt>
                <c:pt idx="53">
                  <c:v>473.25</c:v>
                </c:pt>
                <c:pt idx="54">
                  <c:v>518.83333333333337</c:v>
                </c:pt>
                <c:pt idx="55">
                  <c:v>547.25</c:v>
                </c:pt>
                <c:pt idx="56">
                  <c:v>548.66666666666663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16000"/>
        <c:axId val="44017536"/>
      </c:lineChart>
      <c:catAx>
        <c:axId val="44016000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4017536"/>
        <c:crosses val="autoZero"/>
        <c:auto val="0"/>
        <c:lblAlgn val="ctr"/>
        <c:lblOffset val="100"/>
        <c:tickLblSkip val="2"/>
        <c:tickMarkSkip val="4"/>
        <c:noMultiLvlLbl val="0"/>
      </c:catAx>
      <c:valAx>
        <c:axId val="44017536"/>
        <c:scaling>
          <c:orientation val="minMax"/>
          <c:max val="1000"/>
        </c:scaling>
        <c:delete val="0"/>
        <c:axPos val="l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tons 
</a:t>
                </a:r>
              </a:p>
            </c:rich>
          </c:tx>
          <c:layout>
            <c:manualLayout>
              <c:xMode val="edge"/>
              <c:yMode val="edge"/>
              <c:x val="7.4627532872259582E-3"/>
              <c:y val="0.3269229367162581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40160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00802803072602"/>
          <c:y val="6.0666179614146172E-2"/>
          <c:w val="0.18075245942667925"/>
          <c:h val="0.1866354838885944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21" r="0.75000000000001421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499221495618127E-2"/>
          <c:y val="4.7792933575610742E-2"/>
          <c:w val="0.91194096310996031"/>
          <c:h val="0.784358893599838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graphdata!$H$5</c:f>
              <c:strCache>
                <c:ptCount val="1"/>
                <c:pt idx="0">
                  <c:v>Corn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graphdata!$B$949:$B$1005</c:f>
              <c:numCache>
                <c:formatCode>mm/dd/yy;@</c:formatCode>
                <c:ptCount val="57"/>
                <c:pt idx="0">
                  <c:v>40964</c:v>
                </c:pt>
                <c:pt idx="1">
                  <c:v>40971</c:v>
                </c:pt>
                <c:pt idx="2">
                  <c:v>40978</c:v>
                </c:pt>
                <c:pt idx="3">
                  <c:v>40985</c:v>
                </c:pt>
                <c:pt idx="4">
                  <c:v>40992</c:v>
                </c:pt>
                <c:pt idx="5">
                  <c:v>40999</c:v>
                </c:pt>
                <c:pt idx="6">
                  <c:v>41006</c:v>
                </c:pt>
                <c:pt idx="7">
                  <c:v>41013</c:v>
                </c:pt>
                <c:pt idx="8">
                  <c:v>41020</c:v>
                </c:pt>
                <c:pt idx="9">
                  <c:v>41027</c:v>
                </c:pt>
                <c:pt idx="10">
                  <c:v>41034</c:v>
                </c:pt>
                <c:pt idx="11">
                  <c:v>41041</c:v>
                </c:pt>
                <c:pt idx="12">
                  <c:v>41048</c:v>
                </c:pt>
                <c:pt idx="13">
                  <c:v>41055</c:v>
                </c:pt>
                <c:pt idx="14">
                  <c:v>41062</c:v>
                </c:pt>
                <c:pt idx="15">
                  <c:v>41069</c:v>
                </c:pt>
                <c:pt idx="16">
                  <c:v>41076</c:v>
                </c:pt>
                <c:pt idx="17">
                  <c:v>41083</c:v>
                </c:pt>
                <c:pt idx="18">
                  <c:v>41090</c:v>
                </c:pt>
                <c:pt idx="19">
                  <c:v>41097</c:v>
                </c:pt>
                <c:pt idx="20">
                  <c:v>41104</c:v>
                </c:pt>
                <c:pt idx="21">
                  <c:v>41111</c:v>
                </c:pt>
                <c:pt idx="22">
                  <c:v>41118</c:v>
                </c:pt>
                <c:pt idx="23">
                  <c:v>41125</c:v>
                </c:pt>
                <c:pt idx="24">
                  <c:v>41132</c:v>
                </c:pt>
                <c:pt idx="25">
                  <c:v>41139</c:v>
                </c:pt>
                <c:pt idx="26">
                  <c:v>41146</c:v>
                </c:pt>
                <c:pt idx="27">
                  <c:v>41153</c:v>
                </c:pt>
                <c:pt idx="28">
                  <c:v>41160</c:v>
                </c:pt>
                <c:pt idx="29">
                  <c:v>41167</c:v>
                </c:pt>
                <c:pt idx="30">
                  <c:v>41174</c:v>
                </c:pt>
                <c:pt idx="31">
                  <c:v>41181</c:v>
                </c:pt>
                <c:pt idx="32">
                  <c:v>41188</c:v>
                </c:pt>
                <c:pt idx="33">
                  <c:v>41195</c:v>
                </c:pt>
                <c:pt idx="34">
                  <c:v>41202</c:v>
                </c:pt>
                <c:pt idx="35">
                  <c:v>41209</c:v>
                </c:pt>
                <c:pt idx="36">
                  <c:v>41216</c:v>
                </c:pt>
                <c:pt idx="37">
                  <c:v>41223</c:v>
                </c:pt>
                <c:pt idx="38">
                  <c:v>41230</c:v>
                </c:pt>
                <c:pt idx="39">
                  <c:v>41237</c:v>
                </c:pt>
                <c:pt idx="40">
                  <c:v>41244</c:v>
                </c:pt>
                <c:pt idx="41">
                  <c:v>41251</c:v>
                </c:pt>
                <c:pt idx="42">
                  <c:v>41258</c:v>
                </c:pt>
                <c:pt idx="43">
                  <c:v>41265</c:v>
                </c:pt>
                <c:pt idx="44">
                  <c:v>41272</c:v>
                </c:pt>
                <c:pt idx="45">
                  <c:v>41279</c:v>
                </c:pt>
                <c:pt idx="46">
                  <c:v>41286</c:v>
                </c:pt>
                <c:pt idx="47">
                  <c:v>41293</c:v>
                </c:pt>
                <c:pt idx="48">
                  <c:v>41300</c:v>
                </c:pt>
                <c:pt idx="49">
                  <c:v>41307</c:v>
                </c:pt>
                <c:pt idx="50">
                  <c:v>41314</c:v>
                </c:pt>
                <c:pt idx="51">
                  <c:v>41321</c:v>
                </c:pt>
                <c:pt idx="52">
                  <c:v>41328</c:v>
                </c:pt>
                <c:pt idx="53">
                  <c:v>41335</c:v>
                </c:pt>
                <c:pt idx="54">
                  <c:v>41342</c:v>
                </c:pt>
                <c:pt idx="55">
                  <c:v>41349</c:v>
                </c:pt>
                <c:pt idx="56">
                  <c:v>41356</c:v>
                </c:pt>
              </c:numCache>
            </c:numRef>
          </c:cat>
          <c:val>
            <c:numRef>
              <c:f>graphdata!$C$949:$C$1005</c:f>
              <c:numCache>
                <c:formatCode>General</c:formatCode>
                <c:ptCount val="57"/>
                <c:pt idx="0">
                  <c:v>200</c:v>
                </c:pt>
                <c:pt idx="1">
                  <c:v>176</c:v>
                </c:pt>
                <c:pt idx="2">
                  <c:v>115</c:v>
                </c:pt>
                <c:pt idx="3">
                  <c:v>144</c:v>
                </c:pt>
                <c:pt idx="4">
                  <c:v>456</c:v>
                </c:pt>
                <c:pt idx="5">
                  <c:v>424</c:v>
                </c:pt>
                <c:pt idx="6">
                  <c:v>325</c:v>
                </c:pt>
                <c:pt idx="7">
                  <c:v>227</c:v>
                </c:pt>
                <c:pt idx="8">
                  <c:v>413</c:v>
                </c:pt>
                <c:pt idx="9">
                  <c:v>339</c:v>
                </c:pt>
                <c:pt idx="10">
                  <c:v>193</c:v>
                </c:pt>
                <c:pt idx="11">
                  <c:v>302</c:v>
                </c:pt>
                <c:pt idx="12">
                  <c:v>402</c:v>
                </c:pt>
                <c:pt idx="13">
                  <c:v>332</c:v>
                </c:pt>
                <c:pt idx="14">
                  <c:v>437</c:v>
                </c:pt>
                <c:pt idx="15">
                  <c:v>330</c:v>
                </c:pt>
                <c:pt idx="16">
                  <c:v>287</c:v>
                </c:pt>
                <c:pt idx="17">
                  <c:v>300</c:v>
                </c:pt>
                <c:pt idx="18">
                  <c:v>279</c:v>
                </c:pt>
                <c:pt idx="19">
                  <c:v>234</c:v>
                </c:pt>
                <c:pt idx="20">
                  <c:v>242</c:v>
                </c:pt>
                <c:pt idx="21">
                  <c:v>289</c:v>
                </c:pt>
                <c:pt idx="22">
                  <c:v>365</c:v>
                </c:pt>
                <c:pt idx="23">
                  <c:v>256</c:v>
                </c:pt>
                <c:pt idx="24">
                  <c:v>228</c:v>
                </c:pt>
                <c:pt idx="25">
                  <c:v>289</c:v>
                </c:pt>
                <c:pt idx="26">
                  <c:v>87</c:v>
                </c:pt>
                <c:pt idx="27">
                  <c:v>58</c:v>
                </c:pt>
                <c:pt idx="28">
                  <c:v>70</c:v>
                </c:pt>
                <c:pt idx="29">
                  <c:v>44</c:v>
                </c:pt>
                <c:pt idx="30">
                  <c:v>79</c:v>
                </c:pt>
                <c:pt idx="31">
                  <c:v>194</c:v>
                </c:pt>
                <c:pt idx="32">
                  <c:v>79</c:v>
                </c:pt>
                <c:pt idx="33">
                  <c:v>112</c:v>
                </c:pt>
                <c:pt idx="34">
                  <c:v>154</c:v>
                </c:pt>
                <c:pt idx="35">
                  <c:v>115</c:v>
                </c:pt>
                <c:pt idx="36">
                  <c:v>217</c:v>
                </c:pt>
                <c:pt idx="37">
                  <c:v>212</c:v>
                </c:pt>
                <c:pt idx="38">
                  <c:v>153</c:v>
                </c:pt>
                <c:pt idx="39">
                  <c:v>281</c:v>
                </c:pt>
                <c:pt idx="40">
                  <c:v>246</c:v>
                </c:pt>
                <c:pt idx="41">
                  <c:v>224</c:v>
                </c:pt>
                <c:pt idx="42">
                  <c:v>126</c:v>
                </c:pt>
                <c:pt idx="43">
                  <c:v>87</c:v>
                </c:pt>
                <c:pt idx="44">
                  <c:v>28</c:v>
                </c:pt>
                <c:pt idx="45">
                  <c:v>48</c:v>
                </c:pt>
                <c:pt idx="46">
                  <c:v>29</c:v>
                </c:pt>
                <c:pt idx="47">
                  <c:v>75</c:v>
                </c:pt>
                <c:pt idx="48">
                  <c:v>32</c:v>
                </c:pt>
                <c:pt idx="49">
                  <c:v>59</c:v>
                </c:pt>
                <c:pt idx="50">
                  <c:v>50</c:v>
                </c:pt>
                <c:pt idx="51">
                  <c:v>104</c:v>
                </c:pt>
                <c:pt idx="52">
                  <c:v>57</c:v>
                </c:pt>
                <c:pt idx="53">
                  <c:v>35</c:v>
                </c:pt>
                <c:pt idx="54">
                  <c:v>133</c:v>
                </c:pt>
                <c:pt idx="55">
                  <c:v>85</c:v>
                </c:pt>
                <c:pt idx="56">
                  <c:v>120</c:v>
                </c:pt>
              </c:numCache>
            </c:numRef>
          </c:val>
        </c:ser>
        <c:ser>
          <c:idx val="1"/>
          <c:order val="1"/>
          <c:tx>
            <c:strRef>
              <c:f>graphdata!$I$5</c:f>
              <c:strCache>
                <c:ptCount val="1"/>
                <c:pt idx="0">
                  <c:v>Wheat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graphdata!$B$949:$B$1005</c:f>
              <c:numCache>
                <c:formatCode>mm/dd/yy;@</c:formatCode>
                <c:ptCount val="57"/>
                <c:pt idx="0">
                  <c:v>40964</c:v>
                </c:pt>
                <c:pt idx="1">
                  <c:v>40971</c:v>
                </c:pt>
                <c:pt idx="2">
                  <c:v>40978</c:v>
                </c:pt>
                <c:pt idx="3">
                  <c:v>40985</c:v>
                </c:pt>
                <c:pt idx="4">
                  <c:v>40992</c:v>
                </c:pt>
                <c:pt idx="5">
                  <c:v>40999</c:v>
                </c:pt>
                <c:pt idx="6">
                  <c:v>41006</c:v>
                </c:pt>
                <c:pt idx="7">
                  <c:v>41013</c:v>
                </c:pt>
                <c:pt idx="8">
                  <c:v>41020</c:v>
                </c:pt>
                <c:pt idx="9">
                  <c:v>41027</c:v>
                </c:pt>
                <c:pt idx="10">
                  <c:v>41034</c:v>
                </c:pt>
                <c:pt idx="11">
                  <c:v>41041</c:v>
                </c:pt>
                <c:pt idx="12">
                  <c:v>41048</c:v>
                </c:pt>
                <c:pt idx="13">
                  <c:v>41055</c:v>
                </c:pt>
                <c:pt idx="14">
                  <c:v>41062</c:v>
                </c:pt>
                <c:pt idx="15">
                  <c:v>41069</c:v>
                </c:pt>
                <c:pt idx="16">
                  <c:v>41076</c:v>
                </c:pt>
                <c:pt idx="17">
                  <c:v>41083</c:v>
                </c:pt>
                <c:pt idx="18">
                  <c:v>41090</c:v>
                </c:pt>
                <c:pt idx="19">
                  <c:v>41097</c:v>
                </c:pt>
                <c:pt idx="20">
                  <c:v>41104</c:v>
                </c:pt>
                <c:pt idx="21">
                  <c:v>41111</c:v>
                </c:pt>
                <c:pt idx="22">
                  <c:v>41118</c:v>
                </c:pt>
                <c:pt idx="23">
                  <c:v>41125</c:v>
                </c:pt>
                <c:pt idx="24">
                  <c:v>41132</c:v>
                </c:pt>
                <c:pt idx="25">
                  <c:v>41139</c:v>
                </c:pt>
                <c:pt idx="26">
                  <c:v>41146</c:v>
                </c:pt>
                <c:pt idx="27">
                  <c:v>41153</c:v>
                </c:pt>
                <c:pt idx="28">
                  <c:v>41160</c:v>
                </c:pt>
                <c:pt idx="29">
                  <c:v>41167</c:v>
                </c:pt>
                <c:pt idx="30">
                  <c:v>41174</c:v>
                </c:pt>
                <c:pt idx="31">
                  <c:v>41181</c:v>
                </c:pt>
                <c:pt idx="32">
                  <c:v>41188</c:v>
                </c:pt>
                <c:pt idx="33">
                  <c:v>41195</c:v>
                </c:pt>
                <c:pt idx="34">
                  <c:v>41202</c:v>
                </c:pt>
                <c:pt idx="35">
                  <c:v>41209</c:v>
                </c:pt>
                <c:pt idx="36">
                  <c:v>41216</c:v>
                </c:pt>
                <c:pt idx="37">
                  <c:v>41223</c:v>
                </c:pt>
                <c:pt idx="38">
                  <c:v>41230</c:v>
                </c:pt>
                <c:pt idx="39">
                  <c:v>41237</c:v>
                </c:pt>
                <c:pt idx="40">
                  <c:v>41244</c:v>
                </c:pt>
                <c:pt idx="41">
                  <c:v>41251</c:v>
                </c:pt>
                <c:pt idx="42">
                  <c:v>41258</c:v>
                </c:pt>
                <c:pt idx="43">
                  <c:v>41265</c:v>
                </c:pt>
                <c:pt idx="44">
                  <c:v>41272</c:v>
                </c:pt>
                <c:pt idx="45">
                  <c:v>41279</c:v>
                </c:pt>
                <c:pt idx="46">
                  <c:v>41286</c:v>
                </c:pt>
                <c:pt idx="47">
                  <c:v>41293</c:v>
                </c:pt>
                <c:pt idx="48">
                  <c:v>41300</c:v>
                </c:pt>
                <c:pt idx="49">
                  <c:v>41307</c:v>
                </c:pt>
                <c:pt idx="50">
                  <c:v>41314</c:v>
                </c:pt>
                <c:pt idx="51">
                  <c:v>41321</c:v>
                </c:pt>
                <c:pt idx="52">
                  <c:v>41328</c:v>
                </c:pt>
                <c:pt idx="53">
                  <c:v>41335</c:v>
                </c:pt>
                <c:pt idx="54">
                  <c:v>41342</c:v>
                </c:pt>
                <c:pt idx="55">
                  <c:v>41349</c:v>
                </c:pt>
                <c:pt idx="56">
                  <c:v>41356</c:v>
                </c:pt>
              </c:numCache>
            </c:numRef>
          </c:cat>
          <c:val>
            <c:numRef>
              <c:f>graphdata!$D$949:$D$1005</c:f>
              <c:numCache>
                <c:formatCode>General</c:formatCode>
                <c:ptCount val="57"/>
                <c:pt idx="0">
                  <c:v>3</c:v>
                </c:pt>
                <c:pt idx="1">
                  <c:v>6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11</c:v>
                </c:pt>
                <c:pt idx="6">
                  <c:v>16</c:v>
                </c:pt>
                <c:pt idx="7">
                  <c:v>19</c:v>
                </c:pt>
                <c:pt idx="8">
                  <c:v>12</c:v>
                </c:pt>
                <c:pt idx="9">
                  <c:v>9</c:v>
                </c:pt>
                <c:pt idx="10">
                  <c:v>11</c:v>
                </c:pt>
                <c:pt idx="11">
                  <c:v>15</c:v>
                </c:pt>
                <c:pt idx="12">
                  <c:v>27</c:v>
                </c:pt>
                <c:pt idx="13">
                  <c:v>11</c:v>
                </c:pt>
                <c:pt idx="14">
                  <c:v>12</c:v>
                </c:pt>
                <c:pt idx="15">
                  <c:v>6</c:v>
                </c:pt>
                <c:pt idx="16">
                  <c:v>0</c:v>
                </c:pt>
                <c:pt idx="17">
                  <c:v>8</c:v>
                </c:pt>
                <c:pt idx="18">
                  <c:v>11</c:v>
                </c:pt>
                <c:pt idx="19">
                  <c:v>0</c:v>
                </c:pt>
                <c:pt idx="20">
                  <c:v>2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2</c:v>
                </c:pt>
                <c:pt idx="25">
                  <c:v>14</c:v>
                </c:pt>
                <c:pt idx="26">
                  <c:v>2</c:v>
                </c:pt>
                <c:pt idx="27">
                  <c:v>5</c:v>
                </c:pt>
                <c:pt idx="28">
                  <c:v>17</c:v>
                </c:pt>
                <c:pt idx="29">
                  <c:v>8</c:v>
                </c:pt>
                <c:pt idx="30">
                  <c:v>3</c:v>
                </c:pt>
                <c:pt idx="31">
                  <c:v>27</c:v>
                </c:pt>
                <c:pt idx="32">
                  <c:v>2</c:v>
                </c:pt>
                <c:pt idx="33">
                  <c:v>6</c:v>
                </c:pt>
                <c:pt idx="34">
                  <c:v>11</c:v>
                </c:pt>
                <c:pt idx="35">
                  <c:v>2</c:v>
                </c:pt>
                <c:pt idx="36">
                  <c:v>5</c:v>
                </c:pt>
                <c:pt idx="37">
                  <c:v>0</c:v>
                </c:pt>
                <c:pt idx="38">
                  <c:v>6</c:v>
                </c:pt>
                <c:pt idx="39">
                  <c:v>3</c:v>
                </c:pt>
                <c:pt idx="40">
                  <c:v>2</c:v>
                </c:pt>
                <c:pt idx="41">
                  <c:v>5</c:v>
                </c:pt>
                <c:pt idx="42">
                  <c:v>3</c:v>
                </c:pt>
                <c:pt idx="43">
                  <c:v>9</c:v>
                </c:pt>
                <c:pt idx="44">
                  <c:v>0</c:v>
                </c:pt>
                <c:pt idx="45">
                  <c:v>2</c:v>
                </c:pt>
                <c:pt idx="46">
                  <c:v>13</c:v>
                </c:pt>
                <c:pt idx="47">
                  <c:v>11</c:v>
                </c:pt>
                <c:pt idx="48">
                  <c:v>2</c:v>
                </c:pt>
                <c:pt idx="49">
                  <c:v>0</c:v>
                </c:pt>
                <c:pt idx="50">
                  <c:v>11</c:v>
                </c:pt>
                <c:pt idx="51">
                  <c:v>33</c:v>
                </c:pt>
                <c:pt idx="52">
                  <c:v>49</c:v>
                </c:pt>
                <c:pt idx="53">
                  <c:v>38</c:v>
                </c:pt>
                <c:pt idx="54">
                  <c:v>100</c:v>
                </c:pt>
                <c:pt idx="55">
                  <c:v>60</c:v>
                </c:pt>
                <c:pt idx="56">
                  <c:v>48</c:v>
                </c:pt>
              </c:numCache>
            </c:numRef>
          </c:val>
        </c:ser>
        <c:ser>
          <c:idx val="2"/>
          <c:order val="2"/>
          <c:tx>
            <c:strRef>
              <c:f>graphdata!$J$5</c:f>
              <c:strCache>
                <c:ptCount val="1"/>
                <c:pt idx="0">
                  <c:v>Soybeans</c:v>
                </c:pt>
              </c:strCache>
            </c:strRef>
          </c:tx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graphdata!$B$949:$B$1005</c:f>
              <c:numCache>
                <c:formatCode>mm/dd/yy;@</c:formatCode>
                <c:ptCount val="57"/>
                <c:pt idx="0">
                  <c:v>40964</c:v>
                </c:pt>
                <c:pt idx="1">
                  <c:v>40971</c:v>
                </c:pt>
                <c:pt idx="2">
                  <c:v>40978</c:v>
                </c:pt>
                <c:pt idx="3">
                  <c:v>40985</c:v>
                </c:pt>
                <c:pt idx="4">
                  <c:v>40992</c:v>
                </c:pt>
                <c:pt idx="5">
                  <c:v>40999</c:v>
                </c:pt>
                <c:pt idx="6">
                  <c:v>41006</c:v>
                </c:pt>
                <c:pt idx="7">
                  <c:v>41013</c:v>
                </c:pt>
                <c:pt idx="8">
                  <c:v>41020</c:v>
                </c:pt>
                <c:pt idx="9">
                  <c:v>41027</c:v>
                </c:pt>
                <c:pt idx="10">
                  <c:v>41034</c:v>
                </c:pt>
                <c:pt idx="11">
                  <c:v>41041</c:v>
                </c:pt>
                <c:pt idx="12">
                  <c:v>41048</c:v>
                </c:pt>
                <c:pt idx="13">
                  <c:v>41055</c:v>
                </c:pt>
                <c:pt idx="14">
                  <c:v>41062</c:v>
                </c:pt>
                <c:pt idx="15">
                  <c:v>41069</c:v>
                </c:pt>
                <c:pt idx="16">
                  <c:v>41076</c:v>
                </c:pt>
                <c:pt idx="17">
                  <c:v>41083</c:v>
                </c:pt>
                <c:pt idx="18">
                  <c:v>41090</c:v>
                </c:pt>
                <c:pt idx="19">
                  <c:v>41097</c:v>
                </c:pt>
                <c:pt idx="20">
                  <c:v>41104</c:v>
                </c:pt>
                <c:pt idx="21">
                  <c:v>41111</c:v>
                </c:pt>
                <c:pt idx="22">
                  <c:v>41118</c:v>
                </c:pt>
                <c:pt idx="23">
                  <c:v>41125</c:v>
                </c:pt>
                <c:pt idx="24">
                  <c:v>41132</c:v>
                </c:pt>
                <c:pt idx="25">
                  <c:v>41139</c:v>
                </c:pt>
                <c:pt idx="26">
                  <c:v>41146</c:v>
                </c:pt>
                <c:pt idx="27">
                  <c:v>41153</c:v>
                </c:pt>
                <c:pt idx="28">
                  <c:v>41160</c:v>
                </c:pt>
                <c:pt idx="29">
                  <c:v>41167</c:v>
                </c:pt>
                <c:pt idx="30">
                  <c:v>41174</c:v>
                </c:pt>
                <c:pt idx="31">
                  <c:v>41181</c:v>
                </c:pt>
                <c:pt idx="32">
                  <c:v>41188</c:v>
                </c:pt>
                <c:pt idx="33">
                  <c:v>41195</c:v>
                </c:pt>
                <c:pt idx="34">
                  <c:v>41202</c:v>
                </c:pt>
                <c:pt idx="35">
                  <c:v>41209</c:v>
                </c:pt>
                <c:pt idx="36">
                  <c:v>41216</c:v>
                </c:pt>
                <c:pt idx="37">
                  <c:v>41223</c:v>
                </c:pt>
                <c:pt idx="38">
                  <c:v>41230</c:v>
                </c:pt>
                <c:pt idx="39">
                  <c:v>41237</c:v>
                </c:pt>
                <c:pt idx="40">
                  <c:v>41244</c:v>
                </c:pt>
                <c:pt idx="41">
                  <c:v>41251</c:v>
                </c:pt>
                <c:pt idx="42">
                  <c:v>41258</c:v>
                </c:pt>
                <c:pt idx="43">
                  <c:v>41265</c:v>
                </c:pt>
                <c:pt idx="44">
                  <c:v>41272</c:v>
                </c:pt>
                <c:pt idx="45">
                  <c:v>41279</c:v>
                </c:pt>
                <c:pt idx="46">
                  <c:v>41286</c:v>
                </c:pt>
                <c:pt idx="47">
                  <c:v>41293</c:v>
                </c:pt>
                <c:pt idx="48">
                  <c:v>41300</c:v>
                </c:pt>
                <c:pt idx="49">
                  <c:v>41307</c:v>
                </c:pt>
                <c:pt idx="50">
                  <c:v>41314</c:v>
                </c:pt>
                <c:pt idx="51">
                  <c:v>41321</c:v>
                </c:pt>
                <c:pt idx="52">
                  <c:v>41328</c:v>
                </c:pt>
                <c:pt idx="53">
                  <c:v>41335</c:v>
                </c:pt>
                <c:pt idx="54">
                  <c:v>41342</c:v>
                </c:pt>
                <c:pt idx="55">
                  <c:v>41349</c:v>
                </c:pt>
                <c:pt idx="56">
                  <c:v>41356</c:v>
                </c:pt>
              </c:numCache>
            </c:numRef>
          </c:cat>
          <c:val>
            <c:numRef>
              <c:f>graphdata!$E$949:$E$1005</c:f>
              <c:numCache>
                <c:formatCode>General</c:formatCode>
                <c:ptCount val="57"/>
                <c:pt idx="0">
                  <c:v>69</c:v>
                </c:pt>
                <c:pt idx="1">
                  <c:v>78</c:v>
                </c:pt>
                <c:pt idx="2">
                  <c:v>128</c:v>
                </c:pt>
                <c:pt idx="3">
                  <c:v>54</c:v>
                </c:pt>
                <c:pt idx="4">
                  <c:v>113</c:v>
                </c:pt>
                <c:pt idx="5">
                  <c:v>161</c:v>
                </c:pt>
                <c:pt idx="6">
                  <c:v>174</c:v>
                </c:pt>
                <c:pt idx="7">
                  <c:v>115</c:v>
                </c:pt>
                <c:pt idx="8">
                  <c:v>177</c:v>
                </c:pt>
                <c:pt idx="9">
                  <c:v>156</c:v>
                </c:pt>
                <c:pt idx="10">
                  <c:v>90</c:v>
                </c:pt>
                <c:pt idx="11">
                  <c:v>86</c:v>
                </c:pt>
                <c:pt idx="12">
                  <c:v>107</c:v>
                </c:pt>
                <c:pt idx="13">
                  <c:v>55</c:v>
                </c:pt>
                <c:pt idx="14">
                  <c:v>78</c:v>
                </c:pt>
                <c:pt idx="15">
                  <c:v>93</c:v>
                </c:pt>
                <c:pt idx="16">
                  <c:v>150</c:v>
                </c:pt>
                <c:pt idx="17">
                  <c:v>199</c:v>
                </c:pt>
                <c:pt idx="18">
                  <c:v>143</c:v>
                </c:pt>
                <c:pt idx="19">
                  <c:v>223</c:v>
                </c:pt>
                <c:pt idx="20">
                  <c:v>162</c:v>
                </c:pt>
                <c:pt idx="21">
                  <c:v>173</c:v>
                </c:pt>
                <c:pt idx="22">
                  <c:v>256</c:v>
                </c:pt>
                <c:pt idx="23">
                  <c:v>283</c:v>
                </c:pt>
                <c:pt idx="24">
                  <c:v>267</c:v>
                </c:pt>
                <c:pt idx="25">
                  <c:v>126</c:v>
                </c:pt>
                <c:pt idx="26">
                  <c:v>75</c:v>
                </c:pt>
                <c:pt idx="27">
                  <c:v>68</c:v>
                </c:pt>
                <c:pt idx="28">
                  <c:v>35</c:v>
                </c:pt>
                <c:pt idx="29">
                  <c:v>22</c:v>
                </c:pt>
                <c:pt idx="30">
                  <c:v>19</c:v>
                </c:pt>
                <c:pt idx="31">
                  <c:v>58</c:v>
                </c:pt>
                <c:pt idx="32">
                  <c:v>75</c:v>
                </c:pt>
                <c:pt idx="33">
                  <c:v>328</c:v>
                </c:pt>
                <c:pt idx="34">
                  <c:v>414</c:v>
                </c:pt>
                <c:pt idx="35">
                  <c:v>147</c:v>
                </c:pt>
                <c:pt idx="36">
                  <c:v>262</c:v>
                </c:pt>
                <c:pt idx="37">
                  <c:v>202</c:v>
                </c:pt>
                <c:pt idx="38">
                  <c:v>217</c:v>
                </c:pt>
                <c:pt idx="39">
                  <c:v>310</c:v>
                </c:pt>
                <c:pt idx="40">
                  <c:v>451</c:v>
                </c:pt>
                <c:pt idx="41">
                  <c:v>423</c:v>
                </c:pt>
                <c:pt idx="42">
                  <c:v>241</c:v>
                </c:pt>
                <c:pt idx="43">
                  <c:v>147</c:v>
                </c:pt>
                <c:pt idx="44">
                  <c:v>108</c:v>
                </c:pt>
                <c:pt idx="45">
                  <c:v>154</c:v>
                </c:pt>
                <c:pt idx="46">
                  <c:v>119</c:v>
                </c:pt>
                <c:pt idx="47">
                  <c:v>160</c:v>
                </c:pt>
                <c:pt idx="48">
                  <c:v>158</c:v>
                </c:pt>
                <c:pt idx="49">
                  <c:v>102</c:v>
                </c:pt>
                <c:pt idx="50">
                  <c:v>127</c:v>
                </c:pt>
                <c:pt idx="51">
                  <c:v>96</c:v>
                </c:pt>
                <c:pt idx="52">
                  <c:v>65</c:v>
                </c:pt>
                <c:pt idx="53">
                  <c:v>24</c:v>
                </c:pt>
                <c:pt idx="54">
                  <c:v>92</c:v>
                </c:pt>
                <c:pt idx="55">
                  <c:v>100</c:v>
                </c:pt>
                <c:pt idx="56">
                  <c:v>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78304"/>
        <c:axId val="44579840"/>
      </c:barChart>
      <c:lineChart>
        <c:grouping val="stacked"/>
        <c:varyColors val="0"/>
        <c:ser>
          <c:idx val="3"/>
          <c:order val="3"/>
          <c:tx>
            <c:v>3-Year Average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graphdata!$B$949:$B$1005</c:f>
              <c:numCache>
                <c:formatCode>mm/dd/yy;@</c:formatCode>
                <c:ptCount val="57"/>
                <c:pt idx="0">
                  <c:v>40964</c:v>
                </c:pt>
                <c:pt idx="1">
                  <c:v>40971</c:v>
                </c:pt>
                <c:pt idx="2">
                  <c:v>40978</c:v>
                </c:pt>
                <c:pt idx="3">
                  <c:v>40985</c:v>
                </c:pt>
                <c:pt idx="4">
                  <c:v>40992</c:v>
                </c:pt>
                <c:pt idx="5">
                  <c:v>40999</c:v>
                </c:pt>
                <c:pt idx="6">
                  <c:v>41006</c:v>
                </c:pt>
                <c:pt idx="7">
                  <c:v>41013</c:v>
                </c:pt>
                <c:pt idx="8">
                  <c:v>41020</c:v>
                </c:pt>
                <c:pt idx="9">
                  <c:v>41027</c:v>
                </c:pt>
                <c:pt idx="10">
                  <c:v>41034</c:v>
                </c:pt>
                <c:pt idx="11">
                  <c:v>41041</c:v>
                </c:pt>
                <c:pt idx="12">
                  <c:v>41048</c:v>
                </c:pt>
                <c:pt idx="13">
                  <c:v>41055</c:v>
                </c:pt>
                <c:pt idx="14">
                  <c:v>41062</c:v>
                </c:pt>
                <c:pt idx="15">
                  <c:v>41069</c:v>
                </c:pt>
                <c:pt idx="16">
                  <c:v>41076</c:v>
                </c:pt>
                <c:pt idx="17">
                  <c:v>41083</c:v>
                </c:pt>
                <c:pt idx="18">
                  <c:v>41090</c:v>
                </c:pt>
                <c:pt idx="19">
                  <c:v>41097</c:v>
                </c:pt>
                <c:pt idx="20">
                  <c:v>41104</c:v>
                </c:pt>
                <c:pt idx="21">
                  <c:v>41111</c:v>
                </c:pt>
                <c:pt idx="22">
                  <c:v>41118</c:v>
                </c:pt>
                <c:pt idx="23">
                  <c:v>41125</c:v>
                </c:pt>
                <c:pt idx="24">
                  <c:v>41132</c:v>
                </c:pt>
                <c:pt idx="25">
                  <c:v>41139</c:v>
                </c:pt>
                <c:pt idx="26">
                  <c:v>41146</c:v>
                </c:pt>
                <c:pt idx="27">
                  <c:v>41153</c:v>
                </c:pt>
                <c:pt idx="28">
                  <c:v>41160</c:v>
                </c:pt>
                <c:pt idx="29">
                  <c:v>41167</c:v>
                </c:pt>
                <c:pt idx="30">
                  <c:v>41174</c:v>
                </c:pt>
                <c:pt idx="31">
                  <c:v>41181</c:v>
                </c:pt>
                <c:pt idx="32">
                  <c:v>41188</c:v>
                </c:pt>
                <c:pt idx="33">
                  <c:v>41195</c:v>
                </c:pt>
                <c:pt idx="34">
                  <c:v>41202</c:v>
                </c:pt>
                <c:pt idx="35">
                  <c:v>41209</c:v>
                </c:pt>
                <c:pt idx="36">
                  <c:v>41216</c:v>
                </c:pt>
                <c:pt idx="37">
                  <c:v>41223</c:v>
                </c:pt>
                <c:pt idx="38">
                  <c:v>41230</c:v>
                </c:pt>
                <c:pt idx="39">
                  <c:v>41237</c:v>
                </c:pt>
                <c:pt idx="40">
                  <c:v>41244</c:v>
                </c:pt>
                <c:pt idx="41">
                  <c:v>41251</c:v>
                </c:pt>
                <c:pt idx="42">
                  <c:v>41258</c:v>
                </c:pt>
                <c:pt idx="43">
                  <c:v>41265</c:v>
                </c:pt>
                <c:pt idx="44">
                  <c:v>41272</c:v>
                </c:pt>
                <c:pt idx="45">
                  <c:v>41279</c:v>
                </c:pt>
                <c:pt idx="46">
                  <c:v>41286</c:v>
                </c:pt>
                <c:pt idx="47">
                  <c:v>41293</c:v>
                </c:pt>
                <c:pt idx="48">
                  <c:v>41300</c:v>
                </c:pt>
                <c:pt idx="49">
                  <c:v>41307</c:v>
                </c:pt>
                <c:pt idx="50">
                  <c:v>41314</c:v>
                </c:pt>
                <c:pt idx="51">
                  <c:v>41321</c:v>
                </c:pt>
                <c:pt idx="52">
                  <c:v>41328</c:v>
                </c:pt>
                <c:pt idx="53">
                  <c:v>41335</c:v>
                </c:pt>
                <c:pt idx="54">
                  <c:v>41342</c:v>
                </c:pt>
                <c:pt idx="55">
                  <c:v>41349</c:v>
                </c:pt>
                <c:pt idx="56">
                  <c:v>41356</c:v>
                </c:pt>
              </c:numCache>
            </c:numRef>
          </c:cat>
          <c:val>
            <c:numRef>
              <c:f>graphdata!$M$949:$M$1005</c:f>
              <c:numCache>
                <c:formatCode>0</c:formatCode>
                <c:ptCount val="57"/>
                <c:pt idx="0">
                  <c:v>432.66666666666669</c:v>
                </c:pt>
                <c:pt idx="1">
                  <c:v>411</c:v>
                </c:pt>
                <c:pt idx="2">
                  <c:v>453.66666666666669</c:v>
                </c:pt>
                <c:pt idx="3">
                  <c:v>352.33333333333331</c:v>
                </c:pt>
                <c:pt idx="4">
                  <c:v>367.33333333333331</c:v>
                </c:pt>
                <c:pt idx="5">
                  <c:v>441.66666666666669</c:v>
                </c:pt>
                <c:pt idx="6">
                  <c:v>357</c:v>
                </c:pt>
                <c:pt idx="7">
                  <c:v>478</c:v>
                </c:pt>
                <c:pt idx="8">
                  <c:v>466.66666666666669</c:v>
                </c:pt>
                <c:pt idx="9">
                  <c:v>358</c:v>
                </c:pt>
                <c:pt idx="10">
                  <c:v>480.33333333333331</c:v>
                </c:pt>
                <c:pt idx="11">
                  <c:v>605</c:v>
                </c:pt>
                <c:pt idx="12">
                  <c:v>613.66666666666663</c:v>
                </c:pt>
                <c:pt idx="13">
                  <c:v>623.66666666666663</c:v>
                </c:pt>
                <c:pt idx="14">
                  <c:v>575.66666666666663</c:v>
                </c:pt>
                <c:pt idx="15">
                  <c:v>618.66666666666663</c:v>
                </c:pt>
                <c:pt idx="16">
                  <c:v>642.33333333333337</c:v>
                </c:pt>
                <c:pt idx="17">
                  <c:v>586</c:v>
                </c:pt>
                <c:pt idx="18">
                  <c:v>693.33333333333337</c:v>
                </c:pt>
                <c:pt idx="19">
                  <c:v>587.33333333333337</c:v>
                </c:pt>
                <c:pt idx="20">
                  <c:v>638.66666666666663</c:v>
                </c:pt>
                <c:pt idx="21">
                  <c:v>708.33333333333337</c:v>
                </c:pt>
                <c:pt idx="22">
                  <c:v>769</c:v>
                </c:pt>
                <c:pt idx="23">
                  <c:v>619</c:v>
                </c:pt>
                <c:pt idx="24">
                  <c:v>636</c:v>
                </c:pt>
                <c:pt idx="25">
                  <c:v>473</c:v>
                </c:pt>
                <c:pt idx="26">
                  <c:v>411.33333333333331</c:v>
                </c:pt>
                <c:pt idx="27">
                  <c:v>311.66666666666669</c:v>
                </c:pt>
                <c:pt idx="28">
                  <c:v>282</c:v>
                </c:pt>
                <c:pt idx="29">
                  <c:v>189.33333333333334</c:v>
                </c:pt>
                <c:pt idx="30">
                  <c:v>219.33333333333334</c:v>
                </c:pt>
                <c:pt idx="31">
                  <c:v>243.33333333333334</c:v>
                </c:pt>
                <c:pt idx="32">
                  <c:v>294.33333333333331</c:v>
                </c:pt>
                <c:pt idx="33">
                  <c:v>432</c:v>
                </c:pt>
                <c:pt idx="34">
                  <c:v>436</c:v>
                </c:pt>
                <c:pt idx="35">
                  <c:v>431.66666666666669</c:v>
                </c:pt>
                <c:pt idx="36">
                  <c:v>417</c:v>
                </c:pt>
                <c:pt idx="37">
                  <c:v>631.66666666666663</c:v>
                </c:pt>
                <c:pt idx="38">
                  <c:v>605.66666666666663</c:v>
                </c:pt>
                <c:pt idx="39">
                  <c:v>698.33333333333337</c:v>
                </c:pt>
                <c:pt idx="40">
                  <c:v>809.66666666666663</c:v>
                </c:pt>
                <c:pt idx="41">
                  <c:v>716.66666666666663</c:v>
                </c:pt>
                <c:pt idx="42">
                  <c:v>563.66666666666663</c:v>
                </c:pt>
                <c:pt idx="43">
                  <c:v>462.66666666666669</c:v>
                </c:pt>
                <c:pt idx="44">
                  <c:v>255.33333333333334</c:v>
                </c:pt>
                <c:pt idx="45">
                  <c:v>238.33333333333334</c:v>
                </c:pt>
                <c:pt idx="46">
                  <c:v>205.41600000000003</c:v>
                </c:pt>
                <c:pt idx="47">
                  <c:v>327</c:v>
                </c:pt>
                <c:pt idx="48">
                  <c:v>306.33333333333331</c:v>
                </c:pt>
                <c:pt idx="49">
                  <c:v>297</c:v>
                </c:pt>
                <c:pt idx="50">
                  <c:v>310</c:v>
                </c:pt>
                <c:pt idx="51">
                  <c:v>326.33333333333331</c:v>
                </c:pt>
                <c:pt idx="52">
                  <c:v>327</c:v>
                </c:pt>
                <c:pt idx="53">
                  <c:v>334.33333333333331</c:v>
                </c:pt>
                <c:pt idx="54">
                  <c:v>351.33333333333331</c:v>
                </c:pt>
                <c:pt idx="55">
                  <c:v>274.33333333333331</c:v>
                </c:pt>
                <c:pt idx="56">
                  <c:v>417.66666666666669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78304"/>
        <c:axId val="44579840"/>
      </c:lineChart>
      <c:catAx>
        <c:axId val="44578304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4579840"/>
        <c:crosses val="autoZero"/>
        <c:auto val="0"/>
        <c:lblAlgn val="ctr"/>
        <c:lblOffset val="100"/>
        <c:tickLblSkip val="2"/>
        <c:tickMarkSkip val="4"/>
        <c:noMultiLvlLbl val="0"/>
      </c:catAx>
      <c:valAx>
        <c:axId val="44579840"/>
        <c:scaling>
          <c:orientation val="minMax"/>
          <c:max val="1000"/>
        </c:scaling>
        <c:delete val="0"/>
        <c:axPos val="l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tons 
</a:t>
                </a:r>
              </a:p>
            </c:rich>
          </c:tx>
          <c:layout>
            <c:manualLayout>
              <c:xMode val="edge"/>
              <c:yMode val="edge"/>
              <c:x val="7.4627532872259582E-3"/>
              <c:y val="0.3269229367162581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45783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34750482922308E-2"/>
          <c:y val="6.8871391076115479E-2"/>
          <c:w val="0.18701490279816718"/>
          <c:h val="0.178430203916818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21" r="0.75000000000001421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19050</xdr:rowOff>
    </xdr:from>
    <xdr:to>
      <xdr:col>6</xdr:col>
      <xdr:colOff>895350</xdr:colOff>
      <xdr:row>17</xdr:row>
      <xdr:rowOff>142875</xdr:rowOff>
    </xdr:to>
    <xdr:graphicFrame macro="">
      <xdr:nvGraphicFramePr>
        <xdr:cNvPr id="309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0.08434</cdr:x>
      <cdr:y>0.0569</cdr:y>
    </cdr:from>
    <cdr:to>
      <cdr:x>0.71455</cdr:x>
      <cdr:y>0.11242</cdr:y>
    </cdr:to>
    <cdr:sp macro="" textlink="">
      <cdr:nvSpPr>
        <cdr:cNvPr id="7169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25704" y="156196"/>
          <a:ext cx="3928186" cy="15241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Week ending May 11:  Down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49.6%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from last year, and 54.4% lower 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than t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he 3-yr average.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</xdr:row>
      <xdr:rowOff>19050</xdr:rowOff>
    </xdr:from>
    <xdr:to>
      <xdr:col>7</xdr:col>
      <xdr:colOff>708660</xdr:colOff>
      <xdr:row>18</xdr:row>
      <xdr:rowOff>142875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0.61738</cdr:x>
      <cdr:y>0.0681</cdr:y>
    </cdr:from>
    <cdr:to>
      <cdr:x>0.98812</cdr:x>
      <cdr:y>0.15631</cdr:y>
    </cdr:to>
    <cdr:sp macro="" textlink="">
      <cdr:nvSpPr>
        <cdr:cNvPr id="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63621" y="210821"/>
          <a:ext cx="2139949" cy="27305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2860" rIns="0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Week ending February 23:  Down 37% from last year, and 45.7% lower 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than t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he 3-yr average.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codeName="Sheet3"/>
  <dimension ref="A1:O1759"/>
  <sheetViews>
    <sheetView defaultGridColor="0" topLeftCell="B1" colorId="22" zoomScale="78" zoomScaleNormal="78" workbookViewId="0">
      <pane ySplit="5" topLeftCell="A959" activePane="bottomLeft" state="frozen"/>
      <selection pane="bottomLeft" activeCell="O1012" sqref="O1012"/>
    </sheetView>
  </sheetViews>
  <sheetFormatPr defaultColWidth="9.6328125" defaultRowHeight="15" x14ac:dyDescent="0.25"/>
  <cols>
    <col min="1" max="1" width="9.453125" style="15" customWidth="1"/>
    <col min="2" max="2" width="12.6328125" style="17" bestFit="1" customWidth="1"/>
    <col min="3" max="3" width="9" style="15" customWidth="1"/>
    <col min="4" max="6" width="9.453125" style="15" customWidth="1"/>
    <col min="7" max="7" width="9.453125" style="18" customWidth="1"/>
    <col min="8" max="8" width="8.36328125" style="19" customWidth="1"/>
    <col min="9" max="9" width="7.36328125" style="15" customWidth="1"/>
    <col min="10" max="10" width="9.453125" style="15" customWidth="1"/>
    <col min="11" max="11" width="17.26953125" style="15" customWidth="1"/>
    <col min="12" max="12" width="17.7265625" style="15" customWidth="1"/>
    <col min="13" max="13" width="11.90625" style="15" customWidth="1"/>
    <col min="14" max="14" width="16.453125" style="15" customWidth="1"/>
    <col min="15" max="15" width="16.90625" style="15" customWidth="1"/>
    <col min="16" max="16384" width="9.6328125" style="15"/>
  </cols>
  <sheetData>
    <row r="1" spans="1:15" ht="21" x14ac:dyDescent="0.4">
      <c r="A1" s="14" t="s">
        <v>29</v>
      </c>
    </row>
    <row r="2" spans="1:15" x14ac:dyDescent="0.25">
      <c r="A2" s="15" t="s">
        <v>0</v>
      </c>
    </row>
    <row r="4" spans="1:15" s="32" customFormat="1" ht="19.5" customHeight="1" x14ac:dyDescent="0.3">
      <c r="B4" s="33"/>
      <c r="G4" s="34"/>
      <c r="H4" s="47" t="s">
        <v>12</v>
      </c>
      <c r="I4" s="48"/>
      <c r="J4" s="48"/>
      <c r="K4" s="49"/>
    </row>
    <row r="5" spans="1:15" s="32" customFormat="1" ht="31.65" customHeight="1" x14ac:dyDescent="0.3">
      <c r="A5" s="32" t="s">
        <v>7</v>
      </c>
      <c r="B5" s="33" t="s">
        <v>6</v>
      </c>
      <c r="C5" s="34" t="s">
        <v>1</v>
      </c>
      <c r="D5" s="34" t="s">
        <v>2</v>
      </c>
      <c r="E5" s="34" t="s">
        <v>8</v>
      </c>
      <c r="F5" s="34" t="s">
        <v>4</v>
      </c>
      <c r="G5" s="34" t="s">
        <v>25</v>
      </c>
      <c r="H5" s="36" t="s">
        <v>1</v>
      </c>
      <c r="I5" s="37" t="s">
        <v>2</v>
      </c>
      <c r="J5" s="37" t="s">
        <v>3</v>
      </c>
      <c r="K5" s="38" t="s">
        <v>13</v>
      </c>
      <c r="L5" s="35" t="s">
        <v>38</v>
      </c>
      <c r="M5" s="35" t="s">
        <v>39</v>
      </c>
      <c r="N5" s="35" t="s">
        <v>22</v>
      </c>
      <c r="O5" s="35" t="s">
        <v>21</v>
      </c>
    </row>
    <row r="6" spans="1:15" x14ac:dyDescent="0.25">
      <c r="A6" s="15" t="s">
        <v>16</v>
      </c>
      <c r="B6" s="20">
        <v>34363</v>
      </c>
      <c r="C6" s="15">
        <v>177</v>
      </c>
      <c r="D6" s="15">
        <v>10</v>
      </c>
      <c r="E6" s="15">
        <v>6</v>
      </c>
      <c r="F6" s="21">
        <f t="shared" ref="F6:F69" si="0">SUM(C6:E6)</f>
        <v>193</v>
      </c>
      <c r="G6" s="18">
        <v>4</v>
      </c>
      <c r="H6" s="22"/>
    </row>
    <row r="7" spans="1:15" x14ac:dyDescent="0.25">
      <c r="A7" s="15" t="s">
        <v>23</v>
      </c>
      <c r="B7" s="20">
        <v>34370</v>
      </c>
      <c r="C7" s="15">
        <v>387</v>
      </c>
      <c r="D7" s="15">
        <v>46</v>
      </c>
      <c r="E7" s="15">
        <v>65</v>
      </c>
      <c r="F7" s="21">
        <f t="shared" si="0"/>
        <v>498</v>
      </c>
      <c r="G7" s="18">
        <v>5</v>
      </c>
      <c r="H7" s="22"/>
    </row>
    <row r="8" spans="1:15" x14ac:dyDescent="0.25">
      <c r="A8" s="15" t="s">
        <v>23</v>
      </c>
      <c r="B8" s="20">
        <v>34377</v>
      </c>
      <c r="C8" s="15">
        <v>471</v>
      </c>
      <c r="D8" s="15">
        <v>5</v>
      </c>
      <c r="E8" s="15">
        <v>60</v>
      </c>
      <c r="F8" s="21">
        <f t="shared" si="0"/>
        <v>536</v>
      </c>
      <c r="G8" s="18">
        <v>6</v>
      </c>
      <c r="K8" s="18"/>
    </row>
    <row r="9" spans="1:15" x14ac:dyDescent="0.25">
      <c r="A9" s="15" t="s">
        <v>23</v>
      </c>
      <c r="B9" s="20">
        <v>34384</v>
      </c>
      <c r="C9" s="15">
        <v>415</v>
      </c>
      <c r="D9" s="15">
        <v>31</v>
      </c>
      <c r="E9" s="15">
        <v>83</v>
      </c>
      <c r="F9" s="21">
        <f t="shared" si="0"/>
        <v>529</v>
      </c>
      <c r="G9" s="18">
        <v>7</v>
      </c>
      <c r="H9" s="22">
        <f>AVERAGE(C6:C9)</f>
        <v>362.5</v>
      </c>
      <c r="I9" s="22">
        <f>AVERAGE(D6:D9)</f>
        <v>23</v>
      </c>
      <c r="J9" s="22">
        <f>AVERAGE(E6:E9)</f>
        <v>53.5</v>
      </c>
      <c r="K9" s="23">
        <f>SUM(H9:J9)</f>
        <v>439</v>
      </c>
    </row>
    <row r="10" spans="1:15" x14ac:dyDescent="0.25">
      <c r="A10" s="15" t="s">
        <v>23</v>
      </c>
      <c r="B10" s="20">
        <v>34391</v>
      </c>
      <c r="C10" s="15">
        <v>444</v>
      </c>
      <c r="D10" s="15">
        <v>14</v>
      </c>
      <c r="E10" s="15">
        <v>79</v>
      </c>
      <c r="F10" s="21">
        <f t="shared" si="0"/>
        <v>537</v>
      </c>
      <c r="G10" s="18">
        <v>8</v>
      </c>
      <c r="H10" s="22">
        <f t="shared" ref="H10:H73" si="1">AVERAGE(C7:C10)</f>
        <v>429.25</v>
      </c>
      <c r="I10" s="22">
        <f t="shared" ref="I10:I73" si="2">AVERAGE(D7:D10)</f>
        <v>24</v>
      </c>
      <c r="J10" s="22">
        <f t="shared" ref="J10:J73" si="3">AVERAGE(E7:E10)</f>
        <v>71.75</v>
      </c>
      <c r="K10" s="23">
        <f t="shared" ref="K10:K73" si="4">SUM(H10:J10)</f>
        <v>525</v>
      </c>
      <c r="N10" s="24"/>
      <c r="O10" s="24"/>
    </row>
    <row r="11" spans="1:15" x14ac:dyDescent="0.25">
      <c r="A11" s="15" t="s">
        <v>27</v>
      </c>
      <c r="B11" s="20">
        <v>34398</v>
      </c>
      <c r="C11" s="15">
        <v>366</v>
      </c>
      <c r="D11" s="15">
        <v>20</v>
      </c>
      <c r="E11" s="15">
        <v>54</v>
      </c>
      <c r="F11" s="21">
        <f t="shared" si="0"/>
        <v>440</v>
      </c>
      <c r="G11" s="18">
        <v>9</v>
      </c>
      <c r="H11" s="22">
        <f t="shared" si="1"/>
        <v>424</v>
      </c>
      <c r="I11" s="22">
        <f t="shared" si="2"/>
        <v>17.5</v>
      </c>
      <c r="J11" s="22">
        <f t="shared" si="3"/>
        <v>69</v>
      </c>
      <c r="K11" s="23">
        <f t="shared" si="4"/>
        <v>510.5</v>
      </c>
      <c r="N11" s="24"/>
      <c r="O11" s="24"/>
    </row>
    <row r="12" spans="1:15" x14ac:dyDescent="0.25">
      <c r="A12" s="15" t="s">
        <v>27</v>
      </c>
      <c r="B12" s="20">
        <v>34405</v>
      </c>
      <c r="C12" s="15">
        <v>452</v>
      </c>
      <c r="D12" s="15">
        <v>13</v>
      </c>
      <c r="E12" s="15">
        <v>99</v>
      </c>
      <c r="F12" s="21">
        <f t="shared" si="0"/>
        <v>564</v>
      </c>
      <c r="G12" s="18">
        <v>10</v>
      </c>
      <c r="H12" s="22">
        <f t="shared" si="1"/>
        <v>419.25</v>
      </c>
      <c r="I12" s="22">
        <f t="shared" si="2"/>
        <v>19.5</v>
      </c>
      <c r="J12" s="22">
        <f t="shared" si="3"/>
        <v>78.75</v>
      </c>
      <c r="K12" s="23">
        <f t="shared" si="4"/>
        <v>517.5</v>
      </c>
      <c r="N12" s="24"/>
      <c r="O12" s="24"/>
    </row>
    <row r="13" spans="1:15" x14ac:dyDescent="0.25">
      <c r="A13" s="15" t="s">
        <v>27</v>
      </c>
      <c r="B13" s="20">
        <v>34412</v>
      </c>
      <c r="C13" s="15">
        <v>425</v>
      </c>
      <c r="D13" s="15">
        <v>2</v>
      </c>
      <c r="E13" s="15">
        <v>158</v>
      </c>
      <c r="F13" s="21">
        <f t="shared" si="0"/>
        <v>585</v>
      </c>
      <c r="G13" s="18">
        <v>11</v>
      </c>
      <c r="H13" s="22">
        <f t="shared" si="1"/>
        <v>421.75</v>
      </c>
      <c r="I13" s="22">
        <f t="shared" si="2"/>
        <v>12.25</v>
      </c>
      <c r="J13" s="22">
        <f t="shared" si="3"/>
        <v>97.5</v>
      </c>
      <c r="K13" s="23">
        <f t="shared" si="4"/>
        <v>531.5</v>
      </c>
      <c r="N13" s="24"/>
      <c r="O13" s="24"/>
    </row>
    <row r="14" spans="1:15" x14ac:dyDescent="0.25">
      <c r="A14" s="15" t="s">
        <v>27</v>
      </c>
      <c r="B14" s="20">
        <v>34419</v>
      </c>
      <c r="C14" s="15">
        <v>496</v>
      </c>
      <c r="D14" s="15">
        <v>5</v>
      </c>
      <c r="E14" s="15">
        <v>74</v>
      </c>
      <c r="F14" s="21">
        <f t="shared" si="0"/>
        <v>575</v>
      </c>
      <c r="G14" s="18">
        <v>12</v>
      </c>
      <c r="H14" s="22">
        <f t="shared" si="1"/>
        <v>434.75</v>
      </c>
      <c r="I14" s="22">
        <f t="shared" si="2"/>
        <v>10</v>
      </c>
      <c r="J14" s="22">
        <f t="shared" si="3"/>
        <v>96.25</v>
      </c>
      <c r="K14" s="23">
        <f t="shared" si="4"/>
        <v>541</v>
      </c>
      <c r="N14" s="24"/>
      <c r="O14" s="24"/>
    </row>
    <row r="15" spans="1:15" x14ac:dyDescent="0.25">
      <c r="A15" s="15" t="s">
        <v>14</v>
      </c>
      <c r="B15" s="20">
        <v>34426</v>
      </c>
      <c r="C15" s="15">
        <v>595</v>
      </c>
      <c r="D15" s="15">
        <v>35</v>
      </c>
      <c r="E15" s="15">
        <v>110</v>
      </c>
      <c r="F15" s="21">
        <f t="shared" si="0"/>
        <v>740</v>
      </c>
      <c r="G15" s="18">
        <v>13</v>
      </c>
      <c r="H15" s="22">
        <f t="shared" si="1"/>
        <v>492</v>
      </c>
      <c r="I15" s="22">
        <f t="shared" si="2"/>
        <v>13.75</v>
      </c>
      <c r="J15" s="22">
        <f t="shared" si="3"/>
        <v>110.25</v>
      </c>
      <c r="K15" s="23">
        <f t="shared" si="4"/>
        <v>616</v>
      </c>
      <c r="N15" s="24"/>
      <c r="O15" s="24"/>
    </row>
    <row r="16" spans="1:15" x14ac:dyDescent="0.25">
      <c r="A16" s="15" t="s">
        <v>14</v>
      </c>
      <c r="B16" s="20">
        <v>34433</v>
      </c>
      <c r="C16" s="15">
        <v>497</v>
      </c>
      <c r="D16" s="15">
        <v>9</v>
      </c>
      <c r="E16" s="15">
        <v>153</v>
      </c>
      <c r="F16" s="21">
        <f t="shared" si="0"/>
        <v>659</v>
      </c>
      <c r="G16" s="18">
        <v>14</v>
      </c>
      <c r="H16" s="22">
        <f t="shared" si="1"/>
        <v>503.25</v>
      </c>
      <c r="I16" s="22">
        <f t="shared" si="2"/>
        <v>12.75</v>
      </c>
      <c r="J16" s="22">
        <f t="shared" si="3"/>
        <v>123.75</v>
      </c>
      <c r="K16" s="23">
        <f t="shared" si="4"/>
        <v>639.75</v>
      </c>
      <c r="N16" s="24"/>
      <c r="O16" s="24"/>
    </row>
    <row r="17" spans="1:15" x14ac:dyDescent="0.25">
      <c r="A17" s="15" t="s">
        <v>14</v>
      </c>
      <c r="B17" s="20">
        <v>34440</v>
      </c>
      <c r="C17" s="15">
        <v>501</v>
      </c>
      <c r="D17" s="15">
        <v>37</v>
      </c>
      <c r="E17" s="15">
        <v>100</v>
      </c>
      <c r="F17" s="21">
        <f t="shared" si="0"/>
        <v>638</v>
      </c>
      <c r="G17" s="18">
        <v>15</v>
      </c>
      <c r="H17" s="22">
        <f t="shared" si="1"/>
        <v>522.25</v>
      </c>
      <c r="I17" s="22">
        <f t="shared" si="2"/>
        <v>21.5</v>
      </c>
      <c r="J17" s="22">
        <f t="shared" si="3"/>
        <v>109.25</v>
      </c>
      <c r="K17" s="23">
        <f t="shared" si="4"/>
        <v>653</v>
      </c>
      <c r="N17" s="24"/>
      <c r="O17" s="24"/>
    </row>
    <row r="18" spans="1:15" x14ac:dyDescent="0.25">
      <c r="A18" s="15" t="s">
        <v>14</v>
      </c>
      <c r="B18" s="20">
        <v>34447</v>
      </c>
      <c r="C18" s="15">
        <v>640</v>
      </c>
      <c r="D18" s="15">
        <v>6</v>
      </c>
      <c r="E18" s="15">
        <v>90</v>
      </c>
      <c r="F18" s="21">
        <f t="shared" si="0"/>
        <v>736</v>
      </c>
      <c r="G18" s="18">
        <v>16</v>
      </c>
      <c r="H18" s="22">
        <f t="shared" si="1"/>
        <v>558.25</v>
      </c>
      <c r="I18" s="22">
        <f t="shared" si="2"/>
        <v>21.75</v>
      </c>
      <c r="J18" s="22">
        <f t="shared" si="3"/>
        <v>113.25</v>
      </c>
      <c r="K18" s="23">
        <f t="shared" si="4"/>
        <v>693.25</v>
      </c>
      <c r="N18" s="24"/>
      <c r="O18" s="24"/>
    </row>
    <row r="19" spans="1:15" x14ac:dyDescent="0.25">
      <c r="A19" s="15" t="s">
        <v>14</v>
      </c>
      <c r="B19" s="20">
        <v>34454</v>
      </c>
      <c r="C19" s="15">
        <v>824</v>
      </c>
      <c r="D19" s="15">
        <v>0</v>
      </c>
      <c r="E19" s="15">
        <v>59</v>
      </c>
      <c r="F19" s="21">
        <f t="shared" si="0"/>
        <v>883</v>
      </c>
      <c r="G19" s="18">
        <v>17</v>
      </c>
      <c r="H19" s="22">
        <f t="shared" si="1"/>
        <v>615.5</v>
      </c>
      <c r="I19" s="22">
        <f t="shared" si="2"/>
        <v>13</v>
      </c>
      <c r="J19" s="22">
        <f t="shared" si="3"/>
        <v>100.5</v>
      </c>
      <c r="K19" s="23">
        <f t="shared" si="4"/>
        <v>729</v>
      </c>
      <c r="N19" s="24"/>
      <c r="O19" s="24"/>
    </row>
    <row r="20" spans="1:15" x14ac:dyDescent="0.25">
      <c r="A20" s="15" t="s">
        <v>5</v>
      </c>
      <c r="B20" s="20">
        <v>34461</v>
      </c>
      <c r="C20" s="15">
        <v>514</v>
      </c>
      <c r="D20" s="15">
        <v>5</v>
      </c>
      <c r="E20" s="15">
        <v>70</v>
      </c>
      <c r="F20" s="21">
        <f t="shared" si="0"/>
        <v>589</v>
      </c>
      <c r="G20" s="18">
        <v>18</v>
      </c>
      <c r="H20" s="22">
        <f t="shared" si="1"/>
        <v>619.75</v>
      </c>
      <c r="I20" s="22">
        <f t="shared" si="2"/>
        <v>12</v>
      </c>
      <c r="J20" s="22">
        <f t="shared" si="3"/>
        <v>79.75</v>
      </c>
      <c r="K20" s="23">
        <f t="shared" si="4"/>
        <v>711.5</v>
      </c>
      <c r="N20" s="24"/>
      <c r="O20" s="24"/>
    </row>
    <row r="21" spans="1:15" x14ac:dyDescent="0.25">
      <c r="A21" s="15" t="s">
        <v>5</v>
      </c>
      <c r="B21" s="20">
        <v>34468</v>
      </c>
      <c r="C21" s="15">
        <v>537</v>
      </c>
      <c r="D21" s="15">
        <v>30</v>
      </c>
      <c r="E21" s="15">
        <v>82</v>
      </c>
      <c r="F21" s="21">
        <f t="shared" si="0"/>
        <v>649</v>
      </c>
      <c r="G21" s="18">
        <v>19</v>
      </c>
      <c r="H21" s="22">
        <f t="shared" si="1"/>
        <v>628.75</v>
      </c>
      <c r="I21" s="22">
        <f t="shared" si="2"/>
        <v>10.25</v>
      </c>
      <c r="J21" s="22">
        <f t="shared" si="3"/>
        <v>75.25</v>
      </c>
      <c r="K21" s="23">
        <f t="shared" si="4"/>
        <v>714.25</v>
      </c>
      <c r="N21" s="24"/>
      <c r="O21" s="24"/>
    </row>
    <row r="22" spans="1:15" x14ac:dyDescent="0.25">
      <c r="A22" s="15" t="s">
        <v>5</v>
      </c>
      <c r="B22" s="20">
        <v>34475</v>
      </c>
      <c r="C22" s="15">
        <v>611</v>
      </c>
      <c r="D22" s="15">
        <v>32</v>
      </c>
      <c r="E22" s="15">
        <v>126</v>
      </c>
      <c r="F22" s="21">
        <f t="shared" si="0"/>
        <v>769</v>
      </c>
      <c r="G22" s="18">
        <v>20</v>
      </c>
      <c r="H22" s="22">
        <f t="shared" si="1"/>
        <v>621.5</v>
      </c>
      <c r="I22" s="22">
        <f t="shared" si="2"/>
        <v>16.75</v>
      </c>
      <c r="J22" s="22">
        <f t="shared" si="3"/>
        <v>84.25</v>
      </c>
      <c r="K22" s="23">
        <f t="shared" si="4"/>
        <v>722.5</v>
      </c>
      <c r="N22" s="24"/>
      <c r="O22" s="24"/>
    </row>
    <row r="23" spans="1:15" x14ac:dyDescent="0.25">
      <c r="A23" s="15" t="s">
        <v>5</v>
      </c>
      <c r="B23" s="20">
        <v>34482</v>
      </c>
      <c r="C23" s="15">
        <v>535</v>
      </c>
      <c r="D23" s="15">
        <v>37</v>
      </c>
      <c r="E23" s="15">
        <v>98</v>
      </c>
      <c r="F23" s="21">
        <f t="shared" si="0"/>
        <v>670</v>
      </c>
      <c r="G23" s="18">
        <v>21</v>
      </c>
      <c r="H23" s="22">
        <f t="shared" si="1"/>
        <v>549.25</v>
      </c>
      <c r="I23" s="22">
        <f t="shared" si="2"/>
        <v>26</v>
      </c>
      <c r="J23" s="22">
        <f t="shared" si="3"/>
        <v>94</v>
      </c>
      <c r="K23" s="23">
        <f t="shared" si="4"/>
        <v>669.25</v>
      </c>
      <c r="N23" s="24"/>
      <c r="O23" s="24"/>
    </row>
    <row r="24" spans="1:15" x14ac:dyDescent="0.25">
      <c r="A24" s="15" t="s">
        <v>30</v>
      </c>
      <c r="B24" s="20">
        <v>34489</v>
      </c>
      <c r="C24" s="15">
        <v>394</v>
      </c>
      <c r="D24" s="15">
        <v>14</v>
      </c>
      <c r="E24" s="15">
        <v>11</v>
      </c>
      <c r="F24" s="21">
        <f t="shared" si="0"/>
        <v>419</v>
      </c>
      <c r="G24" s="18">
        <v>22</v>
      </c>
      <c r="H24" s="22">
        <f t="shared" si="1"/>
        <v>519.25</v>
      </c>
      <c r="I24" s="22">
        <f t="shared" si="2"/>
        <v>28.25</v>
      </c>
      <c r="J24" s="22">
        <f t="shared" si="3"/>
        <v>79.25</v>
      </c>
      <c r="K24" s="23">
        <f t="shared" si="4"/>
        <v>626.75</v>
      </c>
      <c r="N24" s="24"/>
      <c r="O24" s="24"/>
    </row>
    <row r="25" spans="1:15" x14ac:dyDescent="0.25">
      <c r="A25" s="15" t="s">
        <v>30</v>
      </c>
      <c r="B25" s="20">
        <v>34496</v>
      </c>
      <c r="C25" s="15">
        <v>311</v>
      </c>
      <c r="D25" s="15">
        <v>8</v>
      </c>
      <c r="E25" s="15">
        <v>135</v>
      </c>
      <c r="F25" s="21">
        <f t="shared" si="0"/>
        <v>454</v>
      </c>
      <c r="G25" s="18">
        <v>23</v>
      </c>
      <c r="H25" s="22">
        <f t="shared" si="1"/>
        <v>462.75</v>
      </c>
      <c r="I25" s="22">
        <f t="shared" si="2"/>
        <v>22.75</v>
      </c>
      <c r="J25" s="22">
        <f t="shared" si="3"/>
        <v>92.5</v>
      </c>
      <c r="K25" s="23">
        <f t="shared" si="4"/>
        <v>578</v>
      </c>
      <c r="N25" s="24"/>
      <c r="O25" s="24"/>
    </row>
    <row r="26" spans="1:15" x14ac:dyDescent="0.25">
      <c r="A26" s="15" t="s">
        <v>30</v>
      </c>
      <c r="B26" s="20">
        <v>34503</v>
      </c>
      <c r="C26" s="15">
        <v>599</v>
      </c>
      <c r="D26" s="15">
        <v>15</v>
      </c>
      <c r="E26" s="15">
        <v>113</v>
      </c>
      <c r="F26" s="21">
        <f t="shared" si="0"/>
        <v>727</v>
      </c>
      <c r="G26" s="18">
        <v>24</v>
      </c>
      <c r="H26" s="22">
        <f t="shared" si="1"/>
        <v>459.75</v>
      </c>
      <c r="I26" s="22">
        <f t="shared" si="2"/>
        <v>18.5</v>
      </c>
      <c r="J26" s="22">
        <f t="shared" si="3"/>
        <v>89.25</v>
      </c>
      <c r="K26" s="23">
        <f t="shared" si="4"/>
        <v>567.5</v>
      </c>
      <c r="N26" s="24"/>
      <c r="O26" s="24"/>
    </row>
    <row r="27" spans="1:15" x14ac:dyDescent="0.25">
      <c r="A27" s="15" t="s">
        <v>30</v>
      </c>
      <c r="B27" s="20">
        <v>34510</v>
      </c>
      <c r="C27" s="15">
        <v>404</v>
      </c>
      <c r="D27" s="15">
        <v>4</v>
      </c>
      <c r="E27" s="15">
        <v>65</v>
      </c>
      <c r="F27" s="21">
        <f t="shared" si="0"/>
        <v>473</v>
      </c>
      <c r="G27" s="18">
        <v>25</v>
      </c>
      <c r="H27" s="22">
        <f t="shared" si="1"/>
        <v>427</v>
      </c>
      <c r="I27" s="22">
        <f t="shared" si="2"/>
        <v>10.25</v>
      </c>
      <c r="J27" s="22">
        <f t="shared" si="3"/>
        <v>81</v>
      </c>
      <c r="K27" s="23">
        <f t="shared" si="4"/>
        <v>518.25</v>
      </c>
      <c r="N27" s="24"/>
      <c r="O27" s="24"/>
    </row>
    <row r="28" spans="1:15" x14ac:dyDescent="0.25">
      <c r="A28" s="15" t="s">
        <v>31</v>
      </c>
      <c r="B28" s="20">
        <v>34517</v>
      </c>
      <c r="C28" s="15">
        <v>626</v>
      </c>
      <c r="D28" s="15">
        <v>42</v>
      </c>
      <c r="E28" s="15">
        <v>74</v>
      </c>
      <c r="F28" s="21">
        <f t="shared" si="0"/>
        <v>742</v>
      </c>
      <c r="G28" s="18">
        <v>26</v>
      </c>
      <c r="H28" s="22">
        <f t="shared" si="1"/>
        <v>485</v>
      </c>
      <c r="I28" s="22">
        <f t="shared" si="2"/>
        <v>17.25</v>
      </c>
      <c r="J28" s="22">
        <f t="shared" si="3"/>
        <v>96.75</v>
      </c>
      <c r="K28" s="23">
        <f t="shared" si="4"/>
        <v>599</v>
      </c>
      <c r="N28" s="24"/>
      <c r="O28" s="24"/>
    </row>
    <row r="29" spans="1:15" x14ac:dyDescent="0.25">
      <c r="A29" s="15" t="s">
        <v>31</v>
      </c>
      <c r="B29" s="20">
        <v>34524</v>
      </c>
      <c r="C29" s="15">
        <v>569</v>
      </c>
      <c r="D29" s="15">
        <v>55</v>
      </c>
      <c r="E29" s="15">
        <v>104</v>
      </c>
      <c r="F29" s="21">
        <f t="shared" si="0"/>
        <v>728</v>
      </c>
      <c r="G29" s="18">
        <v>27</v>
      </c>
      <c r="H29" s="22">
        <f t="shared" si="1"/>
        <v>549.5</v>
      </c>
      <c r="I29" s="22">
        <f t="shared" si="2"/>
        <v>29</v>
      </c>
      <c r="J29" s="22">
        <f t="shared" si="3"/>
        <v>89</v>
      </c>
      <c r="K29" s="23">
        <f t="shared" si="4"/>
        <v>667.5</v>
      </c>
      <c r="N29" s="24"/>
      <c r="O29" s="24"/>
    </row>
    <row r="30" spans="1:15" x14ac:dyDescent="0.25">
      <c r="A30" s="15" t="s">
        <v>31</v>
      </c>
      <c r="B30" s="20">
        <v>34531</v>
      </c>
      <c r="C30" s="15">
        <v>569</v>
      </c>
      <c r="D30" s="15">
        <v>55</v>
      </c>
      <c r="E30" s="15">
        <v>104</v>
      </c>
      <c r="F30" s="21">
        <f t="shared" si="0"/>
        <v>728</v>
      </c>
      <c r="G30" s="18">
        <v>28</v>
      </c>
      <c r="H30" s="22">
        <f t="shared" si="1"/>
        <v>542</v>
      </c>
      <c r="I30" s="22">
        <f t="shared" si="2"/>
        <v>39</v>
      </c>
      <c r="J30" s="22">
        <f t="shared" si="3"/>
        <v>86.75</v>
      </c>
      <c r="K30" s="23">
        <f t="shared" si="4"/>
        <v>667.75</v>
      </c>
      <c r="N30" s="24"/>
      <c r="O30" s="24"/>
    </row>
    <row r="31" spans="1:15" x14ac:dyDescent="0.25">
      <c r="A31" s="15" t="s">
        <v>31</v>
      </c>
      <c r="B31" s="20">
        <v>34538</v>
      </c>
      <c r="C31" s="15">
        <v>553</v>
      </c>
      <c r="D31" s="15">
        <v>76</v>
      </c>
      <c r="E31" s="15">
        <v>120</v>
      </c>
      <c r="F31" s="21">
        <f t="shared" si="0"/>
        <v>749</v>
      </c>
      <c r="G31" s="18">
        <v>29</v>
      </c>
      <c r="H31" s="22">
        <f t="shared" si="1"/>
        <v>579.25</v>
      </c>
      <c r="I31" s="22">
        <f t="shared" si="2"/>
        <v>57</v>
      </c>
      <c r="J31" s="22">
        <f t="shared" si="3"/>
        <v>100.5</v>
      </c>
      <c r="K31" s="23">
        <f t="shared" si="4"/>
        <v>736.75</v>
      </c>
      <c r="N31" s="24"/>
      <c r="O31" s="24"/>
    </row>
    <row r="32" spans="1:15" x14ac:dyDescent="0.25">
      <c r="A32" s="15" t="s">
        <v>31</v>
      </c>
      <c r="B32" s="20">
        <v>34545</v>
      </c>
      <c r="C32" s="15">
        <v>762</v>
      </c>
      <c r="D32" s="15">
        <v>48</v>
      </c>
      <c r="E32" s="15">
        <v>126</v>
      </c>
      <c r="F32" s="21">
        <f t="shared" si="0"/>
        <v>936</v>
      </c>
      <c r="G32" s="18">
        <v>30</v>
      </c>
      <c r="H32" s="22">
        <f t="shared" si="1"/>
        <v>613.25</v>
      </c>
      <c r="I32" s="22">
        <f t="shared" si="2"/>
        <v>58.5</v>
      </c>
      <c r="J32" s="22">
        <f t="shared" si="3"/>
        <v>113.5</v>
      </c>
      <c r="K32" s="23">
        <f t="shared" si="4"/>
        <v>785.25</v>
      </c>
      <c r="N32" s="24"/>
      <c r="O32" s="24"/>
    </row>
    <row r="33" spans="1:15" x14ac:dyDescent="0.25">
      <c r="A33" s="15" t="s">
        <v>19</v>
      </c>
      <c r="B33" s="20">
        <v>34552</v>
      </c>
      <c r="C33" s="15">
        <v>761</v>
      </c>
      <c r="D33" s="15">
        <v>61</v>
      </c>
      <c r="E33" s="15">
        <v>155</v>
      </c>
      <c r="F33" s="21">
        <f t="shared" si="0"/>
        <v>977</v>
      </c>
      <c r="G33" s="18">
        <v>31</v>
      </c>
      <c r="H33" s="22">
        <f t="shared" si="1"/>
        <v>661.25</v>
      </c>
      <c r="I33" s="22">
        <f t="shared" si="2"/>
        <v>60</v>
      </c>
      <c r="J33" s="22">
        <f t="shared" si="3"/>
        <v>126.25</v>
      </c>
      <c r="K33" s="23">
        <f t="shared" si="4"/>
        <v>847.5</v>
      </c>
      <c r="N33" s="24"/>
      <c r="O33" s="24"/>
    </row>
    <row r="34" spans="1:15" x14ac:dyDescent="0.25">
      <c r="A34" s="15" t="s">
        <v>19</v>
      </c>
      <c r="B34" s="20">
        <v>34559</v>
      </c>
      <c r="C34" s="15">
        <v>551</v>
      </c>
      <c r="D34" s="15">
        <v>68</v>
      </c>
      <c r="E34" s="15">
        <v>155</v>
      </c>
      <c r="F34" s="21">
        <f t="shared" si="0"/>
        <v>774</v>
      </c>
      <c r="G34" s="18">
        <v>32</v>
      </c>
      <c r="H34" s="22">
        <f t="shared" si="1"/>
        <v>656.75</v>
      </c>
      <c r="I34" s="22">
        <f t="shared" si="2"/>
        <v>63.25</v>
      </c>
      <c r="J34" s="22">
        <f t="shared" si="3"/>
        <v>139</v>
      </c>
      <c r="K34" s="23">
        <f t="shared" si="4"/>
        <v>859</v>
      </c>
      <c r="N34" s="24"/>
      <c r="O34" s="24"/>
    </row>
    <row r="35" spans="1:15" x14ac:dyDescent="0.25">
      <c r="A35" s="15" t="s">
        <v>19</v>
      </c>
      <c r="B35" s="20">
        <v>34566</v>
      </c>
      <c r="C35" s="15">
        <v>507</v>
      </c>
      <c r="D35" s="15">
        <v>62</v>
      </c>
      <c r="E35" s="15">
        <v>100</v>
      </c>
      <c r="F35" s="21">
        <f t="shared" si="0"/>
        <v>669</v>
      </c>
      <c r="G35" s="18">
        <v>33</v>
      </c>
      <c r="H35" s="22">
        <f t="shared" si="1"/>
        <v>645.25</v>
      </c>
      <c r="I35" s="22">
        <f t="shared" si="2"/>
        <v>59.75</v>
      </c>
      <c r="J35" s="22">
        <f t="shared" si="3"/>
        <v>134</v>
      </c>
      <c r="K35" s="23">
        <f t="shared" si="4"/>
        <v>839</v>
      </c>
      <c r="N35" s="24"/>
      <c r="O35" s="24"/>
    </row>
    <row r="36" spans="1:15" x14ac:dyDescent="0.25">
      <c r="A36" s="15" t="s">
        <v>19</v>
      </c>
      <c r="B36" s="20">
        <v>34573</v>
      </c>
      <c r="C36" s="15">
        <v>505</v>
      </c>
      <c r="D36" s="15">
        <v>57</v>
      </c>
      <c r="E36" s="15">
        <v>70</v>
      </c>
      <c r="F36" s="21">
        <f t="shared" si="0"/>
        <v>632</v>
      </c>
      <c r="G36" s="18">
        <v>34</v>
      </c>
      <c r="H36" s="22">
        <f t="shared" si="1"/>
        <v>581</v>
      </c>
      <c r="I36" s="22">
        <f t="shared" si="2"/>
        <v>62</v>
      </c>
      <c r="J36" s="22">
        <f t="shared" si="3"/>
        <v>120</v>
      </c>
      <c r="K36" s="23">
        <f t="shared" si="4"/>
        <v>763</v>
      </c>
      <c r="N36" s="24"/>
      <c r="O36" s="24"/>
    </row>
    <row r="37" spans="1:15" x14ac:dyDescent="0.25">
      <c r="A37" s="15" t="s">
        <v>24</v>
      </c>
      <c r="B37" s="20">
        <v>34580</v>
      </c>
      <c r="C37" s="15">
        <v>492</v>
      </c>
      <c r="D37" s="15">
        <v>45</v>
      </c>
      <c r="E37" s="15">
        <v>86</v>
      </c>
      <c r="F37" s="21">
        <f t="shared" si="0"/>
        <v>623</v>
      </c>
      <c r="G37" s="18">
        <v>35</v>
      </c>
      <c r="H37" s="22">
        <f t="shared" si="1"/>
        <v>513.75</v>
      </c>
      <c r="I37" s="22">
        <f t="shared" si="2"/>
        <v>58</v>
      </c>
      <c r="J37" s="22">
        <f t="shared" si="3"/>
        <v>102.75</v>
      </c>
      <c r="K37" s="23">
        <f t="shared" si="4"/>
        <v>674.5</v>
      </c>
      <c r="N37" s="24"/>
      <c r="O37" s="24"/>
    </row>
    <row r="38" spans="1:15" x14ac:dyDescent="0.25">
      <c r="A38" s="15" t="s">
        <v>24</v>
      </c>
      <c r="B38" s="20">
        <v>34587</v>
      </c>
      <c r="C38" s="15">
        <v>426</v>
      </c>
      <c r="D38" s="15">
        <v>90</v>
      </c>
      <c r="E38" s="15">
        <v>102</v>
      </c>
      <c r="F38" s="21">
        <f t="shared" si="0"/>
        <v>618</v>
      </c>
      <c r="G38" s="18">
        <v>36</v>
      </c>
      <c r="H38" s="22">
        <f t="shared" si="1"/>
        <v>482.5</v>
      </c>
      <c r="I38" s="22">
        <f t="shared" si="2"/>
        <v>63.5</v>
      </c>
      <c r="J38" s="22">
        <f t="shared" si="3"/>
        <v>89.5</v>
      </c>
      <c r="K38" s="23">
        <f t="shared" si="4"/>
        <v>635.5</v>
      </c>
      <c r="N38" s="24"/>
      <c r="O38" s="24"/>
    </row>
    <row r="39" spans="1:15" x14ac:dyDescent="0.25">
      <c r="A39" s="15" t="s">
        <v>24</v>
      </c>
      <c r="B39" s="20">
        <v>34594</v>
      </c>
      <c r="C39" s="15">
        <v>356</v>
      </c>
      <c r="D39" s="15">
        <v>29</v>
      </c>
      <c r="E39" s="15">
        <v>95</v>
      </c>
      <c r="F39" s="21">
        <f t="shared" si="0"/>
        <v>480</v>
      </c>
      <c r="G39" s="18">
        <v>37</v>
      </c>
      <c r="H39" s="22">
        <f t="shared" si="1"/>
        <v>444.75</v>
      </c>
      <c r="I39" s="22">
        <f t="shared" si="2"/>
        <v>55.25</v>
      </c>
      <c r="J39" s="22">
        <f t="shared" si="3"/>
        <v>88.25</v>
      </c>
      <c r="K39" s="23">
        <f t="shared" si="4"/>
        <v>588.25</v>
      </c>
      <c r="N39" s="24"/>
      <c r="O39" s="24"/>
    </row>
    <row r="40" spans="1:15" x14ac:dyDescent="0.25">
      <c r="A40" s="15" t="s">
        <v>24</v>
      </c>
      <c r="B40" s="20">
        <v>34601</v>
      </c>
      <c r="C40" s="15">
        <v>355</v>
      </c>
      <c r="D40" s="15">
        <v>42</v>
      </c>
      <c r="E40" s="15">
        <v>87</v>
      </c>
      <c r="F40" s="21">
        <f t="shared" si="0"/>
        <v>484</v>
      </c>
      <c r="G40" s="18">
        <v>38</v>
      </c>
      <c r="H40" s="22">
        <f t="shared" si="1"/>
        <v>407.25</v>
      </c>
      <c r="I40" s="22">
        <f t="shared" si="2"/>
        <v>51.5</v>
      </c>
      <c r="J40" s="22">
        <f t="shared" si="3"/>
        <v>92.5</v>
      </c>
      <c r="K40" s="23">
        <f t="shared" si="4"/>
        <v>551.25</v>
      </c>
      <c r="N40" s="24"/>
      <c r="O40" s="24"/>
    </row>
    <row r="41" spans="1:15" x14ac:dyDescent="0.25">
      <c r="A41" s="15" t="s">
        <v>24</v>
      </c>
      <c r="B41" s="20">
        <v>34608</v>
      </c>
      <c r="C41" s="15">
        <v>414</v>
      </c>
      <c r="D41" s="15">
        <v>32</v>
      </c>
      <c r="E41" s="15">
        <v>163</v>
      </c>
      <c r="F41" s="21">
        <f t="shared" si="0"/>
        <v>609</v>
      </c>
      <c r="G41" s="18">
        <v>39</v>
      </c>
      <c r="H41" s="22">
        <f t="shared" si="1"/>
        <v>387.75</v>
      </c>
      <c r="I41" s="22">
        <f t="shared" si="2"/>
        <v>48.25</v>
      </c>
      <c r="J41" s="22">
        <f t="shared" si="3"/>
        <v>111.75</v>
      </c>
      <c r="K41" s="23">
        <f t="shared" si="4"/>
        <v>547.75</v>
      </c>
      <c r="N41" s="24"/>
      <c r="O41" s="24"/>
    </row>
    <row r="42" spans="1:15" x14ac:dyDescent="0.25">
      <c r="A42" s="15" t="s">
        <v>20</v>
      </c>
      <c r="B42" s="20">
        <v>34615</v>
      </c>
      <c r="C42" s="15">
        <v>269</v>
      </c>
      <c r="D42" s="15">
        <v>36</v>
      </c>
      <c r="E42" s="15">
        <v>147</v>
      </c>
      <c r="F42" s="21">
        <f t="shared" si="0"/>
        <v>452</v>
      </c>
      <c r="G42" s="18">
        <v>40</v>
      </c>
      <c r="H42" s="22">
        <f t="shared" si="1"/>
        <v>348.5</v>
      </c>
      <c r="I42" s="22">
        <f t="shared" si="2"/>
        <v>34.75</v>
      </c>
      <c r="J42" s="22">
        <f t="shared" si="3"/>
        <v>123</v>
      </c>
      <c r="K42" s="23">
        <f t="shared" si="4"/>
        <v>506.25</v>
      </c>
      <c r="N42" s="24"/>
      <c r="O42" s="24"/>
    </row>
    <row r="43" spans="1:15" x14ac:dyDescent="0.25">
      <c r="A43" s="15" t="s">
        <v>20</v>
      </c>
      <c r="B43" s="20">
        <v>34622</v>
      </c>
      <c r="C43" s="15">
        <v>376</v>
      </c>
      <c r="D43" s="15">
        <v>44</v>
      </c>
      <c r="E43" s="15">
        <v>242</v>
      </c>
      <c r="F43" s="21">
        <f t="shared" si="0"/>
        <v>662</v>
      </c>
      <c r="G43" s="18">
        <v>41</v>
      </c>
      <c r="H43" s="22">
        <f t="shared" si="1"/>
        <v>353.5</v>
      </c>
      <c r="I43" s="22">
        <f t="shared" si="2"/>
        <v>38.5</v>
      </c>
      <c r="J43" s="22">
        <f t="shared" si="3"/>
        <v>159.75</v>
      </c>
      <c r="K43" s="23">
        <f t="shared" si="4"/>
        <v>551.75</v>
      </c>
      <c r="N43" s="24"/>
      <c r="O43" s="24"/>
    </row>
    <row r="44" spans="1:15" x14ac:dyDescent="0.25">
      <c r="A44" s="15" t="s">
        <v>20</v>
      </c>
      <c r="B44" s="20">
        <v>34629</v>
      </c>
      <c r="C44" s="15">
        <v>620</v>
      </c>
      <c r="D44" s="15">
        <v>40</v>
      </c>
      <c r="E44" s="15">
        <v>193</v>
      </c>
      <c r="F44" s="21">
        <f t="shared" si="0"/>
        <v>853</v>
      </c>
      <c r="G44" s="18">
        <v>42</v>
      </c>
      <c r="H44" s="22">
        <f t="shared" si="1"/>
        <v>419.75</v>
      </c>
      <c r="I44" s="22">
        <f t="shared" si="2"/>
        <v>38</v>
      </c>
      <c r="J44" s="22">
        <f t="shared" si="3"/>
        <v>186.25</v>
      </c>
      <c r="K44" s="23">
        <f t="shared" si="4"/>
        <v>644</v>
      </c>
      <c r="N44" s="24"/>
      <c r="O44" s="24"/>
    </row>
    <row r="45" spans="1:15" x14ac:dyDescent="0.25">
      <c r="A45" s="15" t="s">
        <v>20</v>
      </c>
      <c r="B45" s="20">
        <v>34636</v>
      </c>
      <c r="C45" s="15">
        <v>715</v>
      </c>
      <c r="D45" s="15">
        <v>31</v>
      </c>
      <c r="E45" s="15">
        <v>155</v>
      </c>
      <c r="F45" s="21">
        <f t="shared" si="0"/>
        <v>901</v>
      </c>
      <c r="G45" s="18">
        <v>43</v>
      </c>
      <c r="H45" s="22">
        <f t="shared" si="1"/>
        <v>495</v>
      </c>
      <c r="I45" s="22">
        <f t="shared" si="2"/>
        <v>37.75</v>
      </c>
      <c r="J45" s="22">
        <f t="shared" si="3"/>
        <v>184.25</v>
      </c>
      <c r="K45" s="23">
        <f t="shared" si="4"/>
        <v>717</v>
      </c>
      <c r="N45" s="24"/>
      <c r="O45" s="24"/>
    </row>
    <row r="46" spans="1:15" x14ac:dyDescent="0.25">
      <c r="A46" s="15" t="s">
        <v>26</v>
      </c>
      <c r="B46" s="20">
        <v>34643</v>
      </c>
      <c r="C46" s="15">
        <v>774</v>
      </c>
      <c r="D46" s="15">
        <v>21</v>
      </c>
      <c r="E46" s="15">
        <v>125</v>
      </c>
      <c r="F46" s="21">
        <f t="shared" si="0"/>
        <v>920</v>
      </c>
      <c r="G46" s="18">
        <v>44</v>
      </c>
      <c r="H46" s="22">
        <f t="shared" si="1"/>
        <v>621.25</v>
      </c>
      <c r="I46" s="22">
        <f t="shared" si="2"/>
        <v>34</v>
      </c>
      <c r="J46" s="22">
        <f t="shared" si="3"/>
        <v>178.75</v>
      </c>
      <c r="K46" s="23">
        <f t="shared" si="4"/>
        <v>834</v>
      </c>
      <c r="N46" s="24"/>
      <c r="O46" s="24"/>
    </row>
    <row r="47" spans="1:15" x14ac:dyDescent="0.25">
      <c r="A47" s="15" t="s">
        <v>26</v>
      </c>
      <c r="B47" s="20">
        <v>34650</v>
      </c>
      <c r="C47" s="15">
        <v>817</v>
      </c>
      <c r="D47" s="15">
        <v>21</v>
      </c>
      <c r="E47" s="15">
        <v>78</v>
      </c>
      <c r="F47" s="21">
        <f t="shared" si="0"/>
        <v>916</v>
      </c>
      <c r="G47" s="18">
        <v>45</v>
      </c>
      <c r="H47" s="22">
        <f t="shared" si="1"/>
        <v>731.5</v>
      </c>
      <c r="I47" s="22">
        <f t="shared" si="2"/>
        <v>28.25</v>
      </c>
      <c r="J47" s="22">
        <f t="shared" si="3"/>
        <v>137.75</v>
      </c>
      <c r="K47" s="23">
        <f t="shared" si="4"/>
        <v>897.5</v>
      </c>
      <c r="N47" s="24"/>
      <c r="O47" s="24"/>
    </row>
    <row r="48" spans="1:15" x14ac:dyDescent="0.25">
      <c r="A48" s="15" t="s">
        <v>26</v>
      </c>
      <c r="B48" s="20">
        <v>34657</v>
      </c>
      <c r="C48" s="15">
        <v>782</v>
      </c>
      <c r="D48" s="15">
        <v>26</v>
      </c>
      <c r="E48" s="15">
        <v>151</v>
      </c>
      <c r="F48" s="21">
        <f t="shared" si="0"/>
        <v>959</v>
      </c>
      <c r="G48" s="18">
        <v>46</v>
      </c>
      <c r="H48" s="22">
        <f t="shared" si="1"/>
        <v>772</v>
      </c>
      <c r="I48" s="22">
        <f t="shared" si="2"/>
        <v>24.75</v>
      </c>
      <c r="J48" s="22">
        <f t="shared" si="3"/>
        <v>127.25</v>
      </c>
      <c r="K48" s="23">
        <f t="shared" si="4"/>
        <v>924</v>
      </c>
      <c r="N48" s="24"/>
      <c r="O48" s="24"/>
    </row>
    <row r="49" spans="1:15" x14ac:dyDescent="0.25">
      <c r="A49" s="15" t="s">
        <v>26</v>
      </c>
      <c r="B49" s="20">
        <v>34664</v>
      </c>
      <c r="C49" s="15">
        <v>435</v>
      </c>
      <c r="D49" s="15">
        <v>46</v>
      </c>
      <c r="E49" s="15">
        <v>96</v>
      </c>
      <c r="F49" s="21">
        <f t="shared" si="0"/>
        <v>577</v>
      </c>
      <c r="G49" s="18">
        <v>47</v>
      </c>
      <c r="H49" s="22">
        <f t="shared" si="1"/>
        <v>702</v>
      </c>
      <c r="I49" s="22">
        <f t="shared" si="2"/>
        <v>28.5</v>
      </c>
      <c r="J49" s="22">
        <f t="shared" si="3"/>
        <v>112.5</v>
      </c>
      <c r="K49" s="23">
        <f t="shared" si="4"/>
        <v>843</v>
      </c>
      <c r="N49" s="24"/>
      <c r="O49" s="24"/>
    </row>
    <row r="50" spans="1:15" x14ac:dyDescent="0.25">
      <c r="A50" s="15" t="s">
        <v>15</v>
      </c>
      <c r="B50" s="20">
        <v>34671</v>
      </c>
      <c r="C50" s="15">
        <v>944</v>
      </c>
      <c r="D50" s="15">
        <v>86</v>
      </c>
      <c r="E50" s="15">
        <v>159</v>
      </c>
      <c r="F50" s="21">
        <f t="shared" si="0"/>
        <v>1189</v>
      </c>
      <c r="G50" s="18">
        <v>48</v>
      </c>
      <c r="H50" s="22">
        <f t="shared" si="1"/>
        <v>744.5</v>
      </c>
      <c r="I50" s="22">
        <f t="shared" si="2"/>
        <v>44.75</v>
      </c>
      <c r="J50" s="22">
        <f t="shared" si="3"/>
        <v>121</v>
      </c>
      <c r="K50" s="23">
        <f t="shared" si="4"/>
        <v>910.25</v>
      </c>
      <c r="N50" s="24"/>
      <c r="O50" s="24"/>
    </row>
    <row r="51" spans="1:15" x14ac:dyDescent="0.25">
      <c r="A51" s="15" t="s">
        <v>15</v>
      </c>
      <c r="B51" s="20">
        <v>34678</v>
      </c>
      <c r="C51" s="15">
        <v>819</v>
      </c>
      <c r="D51" s="15">
        <v>21</v>
      </c>
      <c r="E51" s="15">
        <v>178</v>
      </c>
      <c r="F51" s="21">
        <f t="shared" si="0"/>
        <v>1018</v>
      </c>
      <c r="G51" s="18">
        <v>49</v>
      </c>
      <c r="H51" s="22">
        <f t="shared" si="1"/>
        <v>745</v>
      </c>
      <c r="I51" s="22">
        <f t="shared" si="2"/>
        <v>44.75</v>
      </c>
      <c r="J51" s="22">
        <f t="shared" si="3"/>
        <v>146</v>
      </c>
      <c r="K51" s="23">
        <f t="shared" si="4"/>
        <v>935.75</v>
      </c>
      <c r="N51" s="24"/>
      <c r="O51" s="24"/>
    </row>
    <row r="52" spans="1:15" x14ac:dyDescent="0.25">
      <c r="A52" s="15" t="s">
        <v>15</v>
      </c>
      <c r="B52" s="20">
        <v>34685</v>
      </c>
      <c r="C52" s="15">
        <v>771</v>
      </c>
      <c r="D52" s="15">
        <v>17</v>
      </c>
      <c r="E52" s="15">
        <v>119</v>
      </c>
      <c r="F52" s="21">
        <f t="shared" si="0"/>
        <v>907</v>
      </c>
      <c r="G52" s="18">
        <v>50</v>
      </c>
      <c r="H52" s="22">
        <f t="shared" si="1"/>
        <v>742.25</v>
      </c>
      <c r="I52" s="22">
        <f t="shared" si="2"/>
        <v>42.5</v>
      </c>
      <c r="J52" s="22">
        <f t="shared" si="3"/>
        <v>138</v>
      </c>
      <c r="K52" s="23">
        <f t="shared" si="4"/>
        <v>922.75</v>
      </c>
      <c r="N52" s="24"/>
      <c r="O52" s="24"/>
    </row>
    <row r="53" spans="1:15" x14ac:dyDescent="0.25">
      <c r="A53" s="15" t="s">
        <v>15</v>
      </c>
      <c r="B53" s="20">
        <v>34692</v>
      </c>
      <c r="C53" s="15">
        <v>618</v>
      </c>
      <c r="D53" s="15">
        <v>3</v>
      </c>
      <c r="E53" s="15">
        <v>86</v>
      </c>
      <c r="F53" s="21">
        <f t="shared" si="0"/>
        <v>707</v>
      </c>
      <c r="G53" s="18">
        <v>51</v>
      </c>
      <c r="H53" s="22">
        <f t="shared" si="1"/>
        <v>788</v>
      </c>
      <c r="I53" s="22">
        <f t="shared" si="2"/>
        <v>31.75</v>
      </c>
      <c r="J53" s="22">
        <f t="shared" si="3"/>
        <v>135.5</v>
      </c>
      <c r="K53" s="23">
        <f t="shared" si="4"/>
        <v>955.25</v>
      </c>
      <c r="N53" s="24"/>
      <c r="O53" s="24"/>
    </row>
    <row r="54" spans="1:15" x14ac:dyDescent="0.25">
      <c r="A54" s="15" t="s">
        <v>15</v>
      </c>
      <c r="B54" s="20">
        <v>34699</v>
      </c>
      <c r="C54" s="15">
        <v>328</v>
      </c>
      <c r="D54" s="15">
        <v>2</v>
      </c>
      <c r="E54" s="15">
        <v>55</v>
      </c>
      <c r="F54" s="21">
        <f t="shared" si="0"/>
        <v>385</v>
      </c>
      <c r="G54" s="18">
        <v>52</v>
      </c>
      <c r="H54" s="22">
        <f t="shared" si="1"/>
        <v>634</v>
      </c>
      <c r="I54" s="22">
        <f t="shared" si="2"/>
        <v>10.75</v>
      </c>
      <c r="J54" s="22">
        <f t="shared" si="3"/>
        <v>109.5</v>
      </c>
      <c r="K54" s="23">
        <f t="shared" si="4"/>
        <v>754.25</v>
      </c>
      <c r="N54" s="24"/>
      <c r="O54" s="24"/>
    </row>
    <row r="55" spans="1:15" x14ac:dyDescent="0.25">
      <c r="A55" s="15" t="s">
        <v>16</v>
      </c>
      <c r="B55" s="20">
        <v>34706</v>
      </c>
      <c r="C55" s="15">
        <v>598</v>
      </c>
      <c r="D55" s="15">
        <v>3</v>
      </c>
      <c r="E55" s="15">
        <v>77</v>
      </c>
      <c r="F55" s="21">
        <f t="shared" si="0"/>
        <v>678</v>
      </c>
      <c r="G55" s="18">
        <v>1</v>
      </c>
      <c r="H55" s="22">
        <f t="shared" si="1"/>
        <v>578.75</v>
      </c>
      <c r="I55" s="22">
        <f t="shared" si="2"/>
        <v>6.25</v>
      </c>
      <c r="J55" s="22">
        <f t="shared" si="3"/>
        <v>84.25</v>
      </c>
      <c r="K55" s="23">
        <f t="shared" si="4"/>
        <v>669.25</v>
      </c>
      <c r="N55" s="24"/>
      <c r="O55" s="24"/>
    </row>
    <row r="56" spans="1:15" x14ac:dyDescent="0.25">
      <c r="A56" s="15" t="s">
        <v>16</v>
      </c>
      <c r="B56" s="20">
        <v>34713</v>
      </c>
      <c r="C56" s="15">
        <v>451</v>
      </c>
      <c r="D56" s="15">
        <v>18</v>
      </c>
      <c r="E56" s="15">
        <v>67</v>
      </c>
      <c r="F56" s="21">
        <f t="shared" si="0"/>
        <v>536</v>
      </c>
      <c r="G56" s="18">
        <v>2</v>
      </c>
      <c r="H56" s="22">
        <f t="shared" si="1"/>
        <v>498.75</v>
      </c>
      <c r="I56" s="22">
        <f t="shared" si="2"/>
        <v>6.5</v>
      </c>
      <c r="J56" s="22">
        <f t="shared" si="3"/>
        <v>71.25</v>
      </c>
      <c r="K56" s="23">
        <f t="shared" si="4"/>
        <v>576.5</v>
      </c>
      <c r="N56" s="24"/>
      <c r="O56" s="24"/>
    </row>
    <row r="57" spans="1:15" x14ac:dyDescent="0.25">
      <c r="A57" s="15" t="s">
        <v>16</v>
      </c>
      <c r="B57" s="20">
        <v>34720</v>
      </c>
      <c r="C57" s="15">
        <v>694</v>
      </c>
      <c r="D57" s="15">
        <v>19</v>
      </c>
      <c r="E57" s="15">
        <v>110</v>
      </c>
      <c r="F57" s="21">
        <f t="shared" si="0"/>
        <v>823</v>
      </c>
      <c r="G57" s="18">
        <v>3</v>
      </c>
      <c r="H57" s="22">
        <f t="shared" si="1"/>
        <v>517.75</v>
      </c>
      <c r="I57" s="22">
        <f t="shared" si="2"/>
        <v>10.5</v>
      </c>
      <c r="J57" s="22">
        <f t="shared" si="3"/>
        <v>77.25</v>
      </c>
      <c r="K57" s="23">
        <f t="shared" si="4"/>
        <v>605.5</v>
      </c>
      <c r="N57" s="24"/>
      <c r="O57" s="24"/>
    </row>
    <row r="58" spans="1:15" x14ac:dyDescent="0.25">
      <c r="A58" s="15" t="s">
        <v>16</v>
      </c>
      <c r="B58" s="20">
        <v>34727</v>
      </c>
      <c r="C58" s="15">
        <v>497</v>
      </c>
      <c r="D58" s="15">
        <v>15</v>
      </c>
      <c r="E58" s="15">
        <v>112</v>
      </c>
      <c r="F58" s="21">
        <f t="shared" si="0"/>
        <v>624</v>
      </c>
      <c r="G58" s="18">
        <v>4</v>
      </c>
      <c r="H58" s="22">
        <f t="shared" si="1"/>
        <v>560</v>
      </c>
      <c r="I58" s="22">
        <f t="shared" si="2"/>
        <v>13.75</v>
      </c>
      <c r="J58" s="22">
        <f t="shared" si="3"/>
        <v>91.5</v>
      </c>
      <c r="K58" s="23">
        <f t="shared" si="4"/>
        <v>665.25</v>
      </c>
      <c r="N58" s="25">
        <f t="shared" ref="N58:N74" si="5">(F58-F6)/F6</f>
        <v>2.233160621761658</v>
      </c>
      <c r="O58" s="25"/>
    </row>
    <row r="59" spans="1:15" x14ac:dyDescent="0.25">
      <c r="A59" s="15" t="s">
        <v>23</v>
      </c>
      <c r="B59" s="20">
        <v>34734</v>
      </c>
      <c r="C59" s="15">
        <v>512</v>
      </c>
      <c r="D59" s="15">
        <v>2</v>
      </c>
      <c r="E59" s="15">
        <v>124</v>
      </c>
      <c r="F59" s="21">
        <f t="shared" si="0"/>
        <v>638</v>
      </c>
      <c r="G59" s="18">
        <v>5</v>
      </c>
      <c r="H59" s="22">
        <f t="shared" si="1"/>
        <v>538.5</v>
      </c>
      <c r="I59" s="22">
        <f t="shared" si="2"/>
        <v>13.5</v>
      </c>
      <c r="J59" s="22">
        <f t="shared" si="3"/>
        <v>103.25</v>
      </c>
      <c r="K59" s="23">
        <f t="shared" si="4"/>
        <v>655.25</v>
      </c>
      <c r="N59" s="25">
        <f t="shared" si="5"/>
        <v>0.28112449799196787</v>
      </c>
      <c r="O59" s="25"/>
    </row>
    <row r="60" spans="1:15" x14ac:dyDescent="0.25">
      <c r="A60" s="15" t="s">
        <v>23</v>
      </c>
      <c r="B60" s="20">
        <v>34741</v>
      </c>
      <c r="C60" s="15">
        <v>414</v>
      </c>
      <c r="E60" s="15">
        <v>64</v>
      </c>
      <c r="F60" s="21">
        <f t="shared" si="0"/>
        <v>478</v>
      </c>
      <c r="G60" s="18">
        <v>6</v>
      </c>
      <c r="H60" s="22">
        <f t="shared" si="1"/>
        <v>529.25</v>
      </c>
      <c r="I60" s="22">
        <f t="shared" si="2"/>
        <v>12</v>
      </c>
      <c r="J60" s="22">
        <f t="shared" si="3"/>
        <v>102.5</v>
      </c>
      <c r="K60" s="23">
        <f t="shared" si="4"/>
        <v>643.75</v>
      </c>
      <c r="N60" s="25">
        <f t="shared" si="5"/>
        <v>-0.10820895522388059</v>
      </c>
      <c r="O60" s="25"/>
    </row>
    <row r="61" spans="1:15" x14ac:dyDescent="0.25">
      <c r="A61" s="15" t="s">
        <v>23</v>
      </c>
      <c r="B61" s="20">
        <v>34748</v>
      </c>
      <c r="C61" s="15">
        <v>423</v>
      </c>
      <c r="D61" s="15">
        <v>15</v>
      </c>
      <c r="E61" s="15">
        <v>57</v>
      </c>
      <c r="F61" s="21">
        <f t="shared" si="0"/>
        <v>495</v>
      </c>
      <c r="G61" s="18">
        <v>7</v>
      </c>
      <c r="H61" s="22">
        <f t="shared" si="1"/>
        <v>461.5</v>
      </c>
      <c r="I61" s="22">
        <f t="shared" si="2"/>
        <v>10.666666666666666</v>
      </c>
      <c r="J61" s="22">
        <f t="shared" si="3"/>
        <v>89.25</v>
      </c>
      <c r="K61" s="23">
        <f t="shared" si="4"/>
        <v>561.41666666666674</v>
      </c>
      <c r="N61" s="25">
        <f t="shared" si="5"/>
        <v>-6.4272211720226846E-2</v>
      </c>
      <c r="O61" s="25"/>
    </row>
    <row r="62" spans="1:15" x14ac:dyDescent="0.25">
      <c r="A62" s="15" t="s">
        <v>23</v>
      </c>
      <c r="B62" s="20">
        <v>34755</v>
      </c>
      <c r="C62" s="15">
        <v>250</v>
      </c>
      <c r="D62" s="15">
        <v>1</v>
      </c>
      <c r="E62" s="15">
        <v>41</v>
      </c>
      <c r="F62" s="21">
        <f t="shared" si="0"/>
        <v>292</v>
      </c>
      <c r="G62" s="18">
        <v>8</v>
      </c>
      <c r="H62" s="22">
        <f t="shared" si="1"/>
        <v>399.75</v>
      </c>
      <c r="I62" s="22">
        <f t="shared" si="2"/>
        <v>6</v>
      </c>
      <c r="J62" s="22">
        <f t="shared" si="3"/>
        <v>71.5</v>
      </c>
      <c r="K62" s="23">
        <f t="shared" si="4"/>
        <v>477.25</v>
      </c>
      <c r="N62" s="25">
        <f t="shared" si="5"/>
        <v>-0.45623836126629425</v>
      </c>
      <c r="O62" s="25"/>
    </row>
    <row r="63" spans="1:15" x14ac:dyDescent="0.25">
      <c r="A63" s="15" t="s">
        <v>27</v>
      </c>
      <c r="B63" s="20">
        <v>34762</v>
      </c>
      <c r="C63" s="15">
        <v>499</v>
      </c>
      <c r="D63" s="15">
        <v>22</v>
      </c>
      <c r="E63" s="15">
        <v>73</v>
      </c>
      <c r="F63" s="21">
        <f t="shared" si="0"/>
        <v>594</v>
      </c>
      <c r="G63" s="18">
        <v>9</v>
      </c>
      <c r="H63" s="22">
        <f t="shared" si="1"/>
        <v>396.5</v>
      </c>
      <c r="I63" s="22">
        <f t="shared" si="2"/>
        <v>12.666666666666666</v>
      </c>
      <c r="J63" s="22">
        <f t="shared" si="3"/>
        <v>58.75</v>
      </c>
      <c r="K63" s="23">
        <f t="shared" si="4"/>
        <v>467.91666666666669</v>
      </c>
      <c r="N63" s="25">
        <f t="shared" si="5"/>
        <v>0.35</v>
      </c>
      <c r="O63" s="25"/>
    </row>
    <row r="64" spans="1:15" x14ac:dyDescent="0.25">
      <c r="A64" s="15" t="s">
        <v>27</v>
      </c>
      <c r="B64" s="20">
        <v>34769</v>
      </c>
      <c r="C64" s="15">
        <v>519</v>
      </c>
      <c r="E64" s="15">
        <v>98</v>
      </c>
      <c r="F64" s="21">
        <f t="shared" si="0"/>
        <v>617</v>
      </c>
      <c r="G64" s="18">
        <v>10</v>
      </c>
      <c r="H64" s="22">
        <f t="shared" si="1"/>
        <v>422.75</v>
      </c>
      <c r="I64" s="22">
        <f t="shared" si="2"/>
        <v>12.666666666666666</v>
      </c>
      <c r="J64" s="22">
        <f t="shared" si="3"/>
        <v>67.25</v>
      </c>
      <c r="K64" s="23">
        <f t="shared" si="4"/>
        <v>502.66666666666669</v>
      </c>
      <c r="N64" s="25">
        <f t="shared" si="5"/>
        <v>9.3971631205673756E-2</v>
      </c>
      <c r="O64" s="25"/>
    </row>
    <row r="65" spans="1:15" x14ac:dyDescent="0.25">
      <c r="A65" s="15" t="s">
        <v>27</v>
      </c>
      <c r="B65" s="20">
        <v>34776</v>
      </c>
      <c r="C65" s="15">
        <v>475</v>
      </c>
      <c r="D65" s="15">
        <v>5</v>
      </c>
      <c r="E65" s="15">
        <v>94</v>
      </c>
      <c r="F65" s="21">
        <f t="shared" si="0"/>
        <v>574</v>
      </c>
      <c r="G65" s="18">
        <v>11</v>
      </c>
      <c r="H65" s="22">
        <f t="shared" si="1"/>
        <v>435.75</v>
      </c>
      <c r="I65" s="22">
        <f t="shared" si="2"/>
        <v>9.3333333333333339</v>
      </c>
      <c r="J65" s="22">
        <f t="shared" si="3"/>
        <v>76.5</v>
      </c>
      <c r="K65" s="23">
        <f t="shared" si="4"/>
        <v>521.58333333333326</v>
      </c>
      <c r="N65" s="25">
        <f t="shared" si="5"/>
        <v>-1.8803418803418803E-2</v>
      </c>
      <c r="O65" s="25"/>
    </row>
    <row r="66" spans="1:15" x14ac:dyDescent="0.25">
      <c r="A66" s="15" t="s">
        <v>27</v>
      </c>
      <c r="B66" s="20">
        <v>34783</v>
      </c>
      <c r="C66" s="15">
        <v>539</v>
      </c>
      <c r="D66" s="15">
        <v>13</v>
      </c>
      <c r="E66" s="15">
        <v>142</v>
      </c>
      <c r="F66" s="21">
        <f t="shared" si="0"/>
        <v>694</v>
      </c>
      <c r="G66" s="18">
        <v>12</v>
      </c>
      <c r="H66" s="22">
        <f t="shared" si="1"/>
        <v>508</v>
      </c>
      <c r="I66" s="22">
        <f t="shared" si="2"/>
        <v>13.333333333333334</v>
      </c>
      <c r="J66" s="22">
        <f t="shared" si="3"/>
        <v>101.75</v>
      </c>
      <c r="K66" s="23">
        <f t="shared" si="4"/>
        <v>623.08333333333337</v>
      </c>
      <c r="N66" s="25">
        <f t="shared" si="5"/>
        <v>0.20695652173913043</v>
      </c>
      <c r="O66" s="25"/>
    </row>
    <row r="67" spans="1:15" x14ac:dyDescent="0.25">
      <c r="A67" s="15" t="s">
        <v>27</v>
      </c>
      <c r="B67" s="20">
        <v>34790</v>
      </c>
      <c r="C67" s="15">
        <v>585</v>
      </c>
      <c r="D67" s="15">
        <v>36</v>
      </c>
      <c r="E67" s="15">
        <v>168</v>
      </c>
      <c r="F67" s="21">
        <f t="shared" si="0"/>
        <v>789</v>
      </c>
      <c r="G67" s="18">
        <v>13</v>
      </c>
      <c r="H67" s="22">
        <f t="shared" si="1"/>
        <v>529.5</v>
      </c>
      <c r="I67" s="22">
        <f t="shared" si="2"/>
        <v>18</v>
      </c>
      <c r="J67" s="22">
        <f t="shared" si="3"/>
        <v>125.5</v>
      </c>
      <c r="K67" s="23">
        <f t="shared" si="4"/>
        <v>673</v>
      </c>
      <c r="N67" s="25">
        <f t="shared" si="5"/>
        <v>6.621621621621622E-2</v>
      </c>
      <c r="O67" s="25"/>
    </row>
    <row r="68" spans="1:15" x14ac:dyDescent="0.25">
      <c r="A68" s="15" t="s">
        <v>14</v>
      </c>
      <c r="B68" s="20">
        <v>34797</v>
      </c>
      <c r="C68" s="15">
        <v>622</v>
      </c>
      <c r="D68" s="15">
        <v>44</v>
      </c>
      <c r="E68" s="15">
        <v>193</v>
      </c>
      <c r="F68" s="21">
        <f t="shared" si="0"/>
        <v>859</v>
      </c>
      <c r="G68" s="18">
        <v>14</v>
      </c>
      <c r="H68" s="22">
        <f t="shared" si="1"/>
        <v>555.25</v>
      </c>
      <c r="I68" s="22">
        <f t="shared" si="2"/>
        <v>24.5</v>
      </c>
      <c r="J68" s="22">
        <f t="shared" si="3"/>
        <v>149.25</v>
      </c>
      <c r="K68" s="23">
        <f t="shared" si="4"/>
        <v>729</v>
      </c>
      <c r="N68" s="25">
        <f t="shared" si="5"/>
        <v>0.30349013657056145</v>
      </c>
      <c r="O68" s="25"/>
    </row>
    <row r="69" spans="1:15" x14ac:dyDescent="0.25">
      <c r="A69" s="15" t="s">
        <v>14</v>
      </c>
      <c r="B69" s="20">
        <v>34804</v>
      </c>
      <c r="C69" s="15">
        <v>729</v>
      </c>
      <c r="D69" s="15">
        <v>18</v>
      </c>
      <c r="E69" s="15">
        <v>176</v>
      </c>
      <c r="F69" s="21">
        <f t="shared" si="0"/>
        <v>923</v>
      </c>
      <c r="G69" s="18">
        <v>15</v>
      </c>
      <c r="H69" s="22">
        <f t="shared" si="1"/>
        <v>618.75</v>
      </c>
      <c r="I69" s="22">
        <f t="shared" si="2"/>
        <v>27.75</v>
      </c>
      <c r="J69" s="22">
        <f t="shared" si="3"/>
        <v>169.75</v>
      </c>
      <c r="K69" s="23">
        <f t="shared" si="4"/>
        <v>816.25</v>
      </c>
      <c r="N69" s="25">
        <f t="shared" si="5"/>
        <v>0.44670846394984326</v>
      </c>
      <c r="O69" s="25"/>
    </row>
    <row r="70" spans="1:15" x14ac:dyDescent="0.25">
      <c r="A70" s="15" t="s">
        <v>14</v>
      </c>
      <c r="B70" s="20">
        <v>34811</v>
      </c>
      <c r="C70" s="15">
        <v>556</v>
      </c>
      <c r="D70" s="15">
        <v>10</v>
      </c>
      <c r="E70" s="15">
        <v>180</v>
      </c>
      <c r="F70" s="21">
        <f t="shared" ref="F70:F133" si="6">SUM(C70:E70)</f>
        <v>746</v>
      </c>
      <c r="G70" s="18">
        <v>16</v>
      </c>
      <c r="H70" s="22">
        <f t="shared" si="1"/>
        <v>623</v>
      </c>
      <c r="I70" s="22">
        <f t="shared" si="2"/>
        <v>27</v>
      </c>
      <c r="J70" s="22">
        <f t="shared" si="3"/>
        <v>179.25</v>
      </c>
      <c r="K70" s="23">
        <f t="shared" si="4"/>
        <v>829.25</v>
      </c>
      <c r="N70" s="25">
        <f t="shared" si="5"/>
        <v>1.358695652173913E-2</v>
      </c>
      <c r="O70" s="25"/>
    </row>
    <row r="71" spans="1:15" x14ac:dyDescent="0.25">
      <c r="A71" s="15" t="s">
        <v>14</v>
      </c>
      <c r="B71" s="20">
        <v>34818</v>
      </c>
      <c r="C71" s="15">
        <v>747</v>
      </c>
      <c r="D71" s="15">
        <v>33</v>
      </c>
      <c r="E71" s="15">
        <v>157</v>
      </c>
      <c r="F71" s="21">
        <f t="shared" si="6"/>
        <v>937</v>
      </c>
      <c r="G71" s="18">
        <v>17</v>
      </c>
      <c r="H71" s="22">
        <f t="shared" si="1"/>
        <v>663.5</v>
      </c>
      <c r="I71" s="22">
        <f t="shared" si="2"/>
        <v>26.25</v>
      </c>
      <c r="J71" s="22">
        <f t="shared" si="3"/>
        <v>176.5</v>
      </c>
      <c r="K71" s="23">
        <f t="shared" si="4"/>
        <v>866.25</v>
      </c>
      <c r="N71" s="25">
        <f t="shared" si="5"/>
        <v>6.1155152887882216E-2</v>
      </c>
      <c r="O71" s="25"/>
    </row>
    <row r="72" spans="1:15" x14ac:dyDescent="0.25">
      <c r="A72" s="15" t="s">
        <v>5</v>
      </c>
      <c r="B72" s="20">
        <v>34825</v>
      </c>
      <c r="C72" s="15">
        <v>804</v>
      </c>
      <c r="D72" s="15">
        <v>45</v>
      </c>
      <c r="E72" s="15">
        <v>152</v>
      </c>
      <c r="F72" s="21">
        <f t="shared" si="6"/>
        <v>1001</v>
      </c>
      <c r="G72" s="18">
        <v>18</v>
      </c>
      <c r="H72" s="22">
        <f t="shared" si="1"/>
        <v>709</v>
      </c>
      <c r="I72" s="22">
        <f t="shared" si="2"/>
        <v>26.5</v>
      </c>
      <c r="J72" s="22">
        <f t="shared" si="3"/>
        <v>166.25</v>
      </c>
      <c r="K72" s="23">
        <f t="shared" si="4"/>
        <v>901.75</v>
      </c>
      <c r="N72" s="25">
        <f t="shared" si="5"/>
        <v>0.69949066213921907</v>
      </c>
      <c r="O72" s="25"/>
    </row>
    <row r="73" spans="1:15" x14ac:dyDescent="0.25">
      <c r="A73" s="15" t="s">
        <v>5</v>
      </c>
      <c r="B73" s="20">
        <v>34832</v>
      </c>
      <c r="C73" s="15">
        <v>857</v>
      </c>
      <c r="D73" s="15">
        <v>17</v>
      </c>
      <c r="E73" s="15">
        <v>134</v>
      </c>
      <c r="F73" s="21">
        <f t="shared" si="6"/>
        <v>1008</v>
      </c>
      <c r="G73" s="18">
        <v>19</v>
      </c>
      <c r="H73" s="22">
        <f t="shared" si="1"/>
        <v>741</v>
      </c>
      <c r="I73" s="22">
        <f t="shared" si="2"/>
        <v>26.25</v>
      </c>
      <c r="J73" s="22">
        <f t="shared" si="3"/>
        <v>155.75</v>
      </c>
      <c r="K73" s="23">
        <f t="shared" si="4"/>
        <v>923</v>
      </c>
      <c r="N73" s="25">
        <f t="shared" si="5"/>
        <v>0.55315870570107861</v>
      </c>
      <c r="O73" s="25"/>
    </row>
    <row r="74" spans="1:15" x14ac:dyDescent="0.25">
      <c r="A74" s="15" t="s">
        <v>5</v>
      </c>
      <c r="B74" s="20">
        <v>34839</v>
      </c>
      <c r="C74" s="15">
        <v>506</v>
      </c>
      <c r="D74" s="15">
        <v>3</v>
      </c>
      <c r="E74" s="15">
        <v>52</v>
      </c>
      <c r="F74" s="21">
        <f t="shared" si="6"/>
        <v>561</v>
      </c>
      <c r="G74" s="18">
        <v>20</v>
      </c>
      <c r="H74" s="22">
        <f t="shared" ref="H74:H137" si="7">AVERAGE(C71:C74)</f>
        <v>728.5</v>
      </c>
      <c r="I74" s="22">
        <f t="shared" ref="I74:I137" si="8">AVERAGE(D71:D74)</f>
        <v>24.5</v>
      </c>
      <c r="J74" s="22">
        <f t="shared" ref="J74:J137" si="9">AVERAGE(E71:E74)</f>
        <v>123.75</v>
      </c>
      <c r="K74" s="23">
        <f t="shared" ref="K74:K137" si="10">SUM(H74:J74)</f>
        <v>876.75</v>
      </c>
      <c r="N74" s="25">
        <f t="shared" si="5"/>
        <v>-0.270481144343303</v>
      </c>
      <c r="O74" s="25"/>
    </row>
    <row r="75" spans="1:15" x14ac:dyDescent="0.25">
      <c r="A75" s="15" t="s">
        <v>5</v>
      </c>
      <c r="B75" s="20">
        <v>34846</v>
      </c>
      <c r="C75" s="15">
        <v>0</v>
      </c>
      <c r="D75" s="15">
        <v>0</v>
      </c>
      <c r="E75" s="15">
        <v>0</v>
      </c>
      <c r="F75" s="21">
        <f t="shared" si="6"/>
        <v>0</v>
      </c>
      <c r="G75" s="18">
        <v>21</v>
      </c>
      <c r="H75" s="22">
        <f t="shared" si="7"/>
        <v>541.75</v>
      </c>
      <c r="I75" s="22">
        <f t="shared" si="8"/>
        <v>16.25</v>
      </c>
      <c r="J75" s="22">
        <f t="shared" si="9"/>
        <v>84.5</v>
      </c>
      <c r="K75" s="23">
        <f t="shared" si="10"/>
        <v>642.5</v>
      </c>
      <c r="N75" s="25"/>
      <c r="O75" s="25"/>
    </row>
    <row r="76" spans="1:15" x14ac:dyDescent="0.25">
      <c r="A76" s="15" t="s">
        <v>30</v>
      </c>
      <c r="B76" s="20">
        <v>34853</v>
      </c>
      <c r="C76" s="15">
        <v>0</v>
      </c>
      <c r="D76" s="15">
        <v>0</v>
      </c>
      <c r="E76" s="15">
        <v>0</v>
      </c>
      <c r="F76" s="21">
        <f t="shared" si="6"/>
        <v>0</v>
      </c>
      <c r="G76" s="18">
        <v>22</v>
      </c>
      <c r="H76" s="22">
        <f t="shared" si="7"/>
        <v>340.75</v>
      </c>
      <c r="I76" s="22">
        <f t="shared" si="8"/>
        <v>5</v>
      </c>
      <c r="J76" s="22">
        <f t="shared" si="9"/>
        <v>46.5</v>
      </c>
      <c r="K76" s="23">
        <f t="shared" si="10"/>
        <v>392.25</v>
      </c>
      <c r="N76" s="25"/>
      <c r="O76" s="25"/>
    </row>
    <row r="77" spans="1:15" x14ac:dyDescent="0.25">
      <c r="A77" s="15" t="s">
        <v>30</v>
      </c>
      <c r="B77" s="20">
        <v>34860</v>
      </c>
      <c r="C77" s="15">
        <v>254</v>
      </c>
      <c r="D77" s="15">
        <v>5</v>
      </c>
      <c r="E77" s="15">
        <v>43</v>
      </c>
      <c r="F77" s="21">
        <f t="shared" si="6"/>
        <v>302</v>
      </c>
      <c r="G77" s="18">
        <v>23</v>
      </c>
      <c r="H77" s="22">
        <f t="shared" si="7"/>
        <v>190</v>
      </c>
      <c r="I77" s="22">
        <f t="shared" si="8"/>
        <v>2</v>
      </c>
      <c r="J77" s="22">
        <f t="shared" si="9"/>
        <v>23.75</v>
      </c>
      <c r="K77" s="23">
        <f t="shared" si="10"/>
        <v>215.75</v>
      </c>
      <c r="N77" s="25">
        <f t="shared" ref="N77:N94" si="11">(F77-F25)/F25</f>
        <v>-0.33480176211453744</v>
      </c>
      <c r="O77" s="25"/>
    </row>
    <row r="78" spans="1:15" x14ac:dyDescent="0.25">
      <c r="A78" s="15" t="s">
        <v>30</v>
      </c>
      <c r="B78" s="20">
        <v>34867</v>
      </c>
      <c r="C78" s="15">
        <v>1041</v>
      </c>
      <c r="D78" s="15">
        <v>36</v>
      </c>
      <c r="E78" s="15">
        <v>141</v>
      </c>
      <c r="F78" s="21">
        <f t="shared" si="6"/>
        <v>1218</v>
      </c>
      <c r="G78" s="18">
        <v>24</v>
      </c>
      <c r="H78" s="22">
        <f t="shared" si="7"/>
        <v>323.75</v>
      </c>
      <c r="I78" s="22">
        <f t="shared" si="8"/>
        <v>10.25</v>
      </c>
      <c r="J78" s="22">
        <f t="shared" si="9"/>
        <v>46</v>
      </c>
      <c r="K78" s="23">
        <f t="shared" si="10"/>
        <v>380</v>
      </c>
      <c r="N78" s="25">
        <f t="shared" si="11"/>
        <v>0.67537826685006874</v>
      </c>
      <c r="O78" s="25"/>
    </row>
    <row r="79" spans="1:15" x14ac:dyDescent="0.25">
      <c r="A79" s="15" t="s">
        <v>30</v>
      </c>
      <c r="B79" s="20">
        <v>34874</v>
      </c>
      <c r="C79" s="15">
        <v>711</v>
      </c>
      <c r="D79" s="15">
        <v>15</v>
      </c>
      <c r="E79" s="15">
        <v>85</v>
      </c>
      <c r="F79" s="21">
        <f t="shared" si="6"/>
        <v>811</v>
      </c>
      <c r="G79" s="18">
        <v>25</v>
      </c>
      <c r="H79" s="22">
        <f t="shared" si="7"/>
        <v>501.5</v>
      </c>
      <c r="I79" s="22">
        <f t="shared" si="8"/>
        <v>14</v>
      </c>
      <c r="J79" s="22">
        <f t="shared" si="9"/>
        <v>67.25</v>
      </c>
      <c r="K79" s="23">
        <f t="shared" si="10"/>
        <v>582.75</v>
      </c>
      <c r="N79" s="25">
        <f t="shared" si="11"/>
        <v>0.71458773784355178</v>
      </c>
      <c r="O79" s="25"/>
    </row>
    <row r="80" spans="1:15" x14ac:dyDescent="0.25">
      <c r="A80" s="15" t="s">
        <v>30</v>
      </c>
      <c r="B80" s="20">
        <v>34881</v>
      </c>
      <c r="C80" s="15">
        <v>834</v>
      </c>
      <c r="D80" s="15">
        <v>35</v>
      </c>
      <c r="E80" s="15">
        <v>224</v>
      </c>
      <c r="F80" s="21">
        <f t="shared" si="6"/>
        <v>1093</v>
      </c>
      <c r="G80" s="18">
        <v>26</v>
      </c>
      <c r="H80" s="22">
        <f t="shared" si="7"/>
        <v>710</v>
      </c>
      <c r="I80" s="22">
        <f t="shared" si="8"/>
        <v>22.75</v>
      </c>
      <c r="J80" s="22">
        <f t="shared" si="9"/>
        <v>123.25</v>
      </c>
      <c r="K80" s="23">
        <f t="shared" si="10"/>
        <v>856</v>
      </c>
      <c r="N80" s="25">
        <f t="shared" si="11"/>
        <v>0.47304582210242585</v>
      </c>
      <c r="O80" s="25"/>
    </row>
    <row r="81" spans="1:15" x14ac:dyDescent="0.25">
      <c r="A81" s="15" t="s">
        <v>31</v>
      </c>
      <c r="B81" s="20">
        <v>34888</v>
      </c>
      <c r="C81" s="15">
        <v>393</v>
      </c>
      <c r="D81" s="15">
        <v>8</v>
      </c>
      <c r="E81" s="15">
        <v>103</v>
      </c>
      <c r="F81" s="21">
        <f t="shared" si="6"/>
        <v>504</v>
      </c>
      <c r="G81" s="18">
        <v>27</v>
      </c>
      <c r="H81" s="22">
        <f t="shared" si="7"/>
        <v>744.75</v>
      </c>
      <c r="I81" s="22">
        <f t="shared" si="8"/>
        <v>23.5</v>
      </c>
      <c r="J81" s="22">
        <f t="shared" si="9"/>
        <v>138.25</v>
      </c>
      <c r="K81" s="23">
        <f t="shared" si="10"/>
        <v>906.5</v>
      </c>
      <c r="N81" s="25">
        <f t="shared" si="11"/>
        <v>-0.30769230769230771</v>
      </c>
      <c r="O81" s="25"/>
    </row>
    <row r="82" spans="1:15" x14ac:dyDescent="0.25">
      <c r="A82" s="15" t="s">
        <v>31</v>
      </c>
      <c r="B82" s="20">
        <v>34895</v>
      </c>
      <c r="C82" s="15">
        <v>1042</v>
      </c>
      <c r="D82" s="15">
        <v>47</v>
      </c>
      <c r="E82" s="15">
        <v>163</v>
      </c>
      <c r="F82" s="21">
        <f t="shared" si="6"/>
        <v>1252</v>
      </c>
      <c r="G82" s="18">
        <v>28</v>
      </c>
      <c r="H82" s="22">
        <f t="shared" si="7"/>
        <v>745</v>
      </c>
      <c r="I82" s="22">
        <f t="shared" si="8"/>
        <v>26.25</v>
      </c>
      <c r="J82" s="22">
        <f t="shared" si="9"/>
        <v>143.75</v>
      </c>
      <c r="K82" s="23">
        <f t="shared" si="10"/>
        <v>915</v>
      </c>
      <c r="N82" s="25">
        <f t="shared" si="11"/>
        <v>0.71978021978021978</v>
      </c>
      <c r="O82" s="25"/>
    </row>
    <row r="83" spans="1:15" x14ac:dyDescent="0.25">
      <c r="A83" s="15" t="s">
        <v>31</v>
      </c>
      <c r="B83" s="20">
        <v>34902</v>
      </c>
      <c r="C83" s="15">
        <v>838</v>
      </c>
      <c r="D83" s="15">
        <v>47</v>
      </c>
      <c r="E83" s="15">
        <v>131</v>
      </c>
      <c r="F83" s="21">
        <f t="shared" si="6"/>
        <v>1016</v>
      </c>
      <c r="G83" s="18">
        <v>29</v>
      </c>
      <c r="H83" s="22">
        <f t="shared" si="7"/>
        <v>776.75</v>
      </c>
      <c r="I83" s="22">
        <f t="shared" si="8"/>
        <v>34.25</v>
      </c>
      <c r="J83" s="22">
        <f t="shared" si="9"/>
        <v>155.25</v>
      </c>
      <c r="K83" s="23">
        <f t="shared" si="10"/>
        <v>966.25</v>
      </c>
      <c r="N83" s="25">
        <f t="shared" si="11"/>
        <v>0.35647530040053405</v>
      </c>
      <c r="O83" s="25"/>
    </row>
    <row r="84" spans="1:15" x14ac:dyDescent="0.25">
      <c r="A84" s="15" t="s">
        <v>31</v>
      </c>
      <c r="B84" s="20">
        <v>34909</v>
      </c>
      <c r="C84" s="15">
        <v>872</v>
      </c>
      <c r="D84" s="15">
        <v>67</v>
      </c>
      <c r="E84" s="15">
        <v>199</v>
      </c>
      <c r="F84" s="21">
        <f t="shared" si="6"/>
        <v>1138</v>
      </c>
      <c r="G84" s="18">
        <v>30</v>
      </c>
      <c r="H84" s="22">
        <f t="shared" si="7"/>
        <v>786.25</v>
      </c>
      <c r="I84" s="22">
        <f t="shared" si="8"/>
        <v>42.25</v>
      </c>
      <c r="J84" s="22">
        <f t="shared" si="9"/>
        <v>149</v>
      </c>
      <c r="K84" s="23">
        <f t="shared" si="10"/>
        <v>977.5</v>
      </c>
      <c r="N84" s="25">
        <f t="shared" si="11"/>
        <v>0.21581196581196582</v>
      </c>
      <c r="O84" s="25"/>
    </row>
    <row r="85" spans="1:15" x14ac:dyDescent="0.25">
      <c r="A85" s="15" t="s">
        <v>19</v>
      </c>
      <c r="B85" s="20">
        <v>34916</v>
      </c>
      <c r="C85" s="15">
        <v>1065</v>
      </c>
      <c r="D85" s="15">
        <v>64</v>
      </c>
      <c r="E85" s="15">
        <v>111</v>
      </c>
      <c r="F85" s="21">
        <f t="shared" si="6"/>
        <v>1240</v>
      </c>
      <c r="G85" s="18">
        <v>31</v>
      </c>
      <c r="H85" s="22">
        <f t="shared" si="7"/>
        <v>954.25</v>
      </c>
      <c r="I85" s="22">
        <f t="shared" si="8"/>
        <v>56.25</v>
      </c>
      <c r="J85" s="22">
        <f t="shared" si="9"/>
        <v>151</v>
      </c>
      <c r="K85" s="23">
        <f t="shared" si="10"/>
        <v>1161.5</v>
      </c>
      <c r="N85" s="25">
        <f t="shared" si="11"/>
        <v>0.26919140225179122</v>
      </c>
      <c r="O85" s="25"/>
    </row>
    <row r="86" spans="1:15" x14ac:dyDescent="0.25">
      <c r="A86" s="15" t="s">
        <v>19</v>
      </c>
      <c r="B86" s="20">
        <v>34923</v>
      </c>
      <c r="C86" s="15">
        <v>846</v>
      </c>
      <c r="D86" s="15">
        <v>67</v>
      </c>
      <c r="E86" s="15">
        <v>162</v>
      </c>
      <c r="F86" s="21">
        <f t="shared" si="6"/>
        <v>1075</v>
      </c>
      <c r="G86" s="18">
        <v>32</v>
      </c>
      <c r="H86" s="22">
        <f t="shared" si="7"/>
        <v>905.25</v>
      </c>
      <c r="I86" s="22">
        <f t="shared" si="8"/>
        <v>61.25</v>
      </c>
      <c r="J86" s="22">
        <f t="shared" si="9"/>
        <v>150.75</v>
      </c>
      <c r="K86" s="23">
        <f t="shared" si="10"/>
        <v>1117.25</v>
      </c>
      <c r="N86" s="25">
        <f t="shared" si="11"/>
        <v>0.3888888888888889</v>
      </c>
      <c r="O86" s="25"/>
    </row>
    <row r="87" spans="1:15" x14ac:dyDescent="0.25">
      <c r="A87" s="15" t="s">
        <v>19</v>
      </c>
      <c r="B87" s="20">
        <v>34930</v>
      </c>
      <c r="C87" s="15">
        <v>949</v>
      </c>
      <c r="D87" s="15">
        <v>31</v>
      </c>
      <c r="E87" s="15">
        <v>183</v>
      </c>
      <c r="F87" s="21">
        <f t="shared" si="6"/>
        <v>1163</v>
      </c>
      <c r="G87" s="18">
        <v>33</v>
      </c>
      <c r="H87" s="22">
        <f t="shared" si="7"/>
        <v>933</v>
      </c>
      <c r="I87" s="22">
        <f t="shared" si="8"/>
        <v>57.25</v>
      </c>
      <c r="J87" s="22">
        <f t="shared" si="9"/>
        <v>163.75</v>
      </c>
      <c r="K87" s="23">
        <f t="shared" si="10"/>
        <v>1154</v>
      </c>
      <c r="N87" s="25">
        <f t="shared" si="11"/>
        <v>0.73841554559043343</v>
      </c>
      <c r="O87" s="25"/>
    </row>
    <row r="88" spans="1:15" x14ac:dyDescent="0.25">
      <c r="A88" s="15" t="s">
        <v>19</v>
      </c>
      <c r="B88" s="20">
        <v>34937</v>
      </c>
      <c r="C88" s="15">
        <v>878</v>
      </c>
      <c r="D88" s="15">
        <v>37</v>
      </c>
      <c r="E88" s="15">
        <v>138</v>
      </c>
      <c r="F88" s="21">
        <f t="shared" si="6"/>
        <v>1053</v>
      </c>
      <c r="G88" s="18">
        <v>34</v>
      </c>
      <c r="H88" s="22">
        <f t="shared" si="7"/>
        <v>934.5</v>
      </c>
      <c r="I88" s="22">
        <f t="shared" si="8"/>
        <v>49.75</v>
      </c>
      <c r="J88" s="22">
        <f t="shared" si="9"/>
        <v>148.5</v>
      </c>
      <c r="K88" s="23">
        <f t="shared" si="10"/>
        <v>1132.75</v>
      </c>
      <c r="N88" s="25">
        <f t="shared" si="11"/>
        <v>0.66613924050632911</v>
      </c>
      <c r="O88" s="25"/>
    </row>
    <row r="89" spans="1:15" x14ac:dyDescent="0.25">
      <c r="A89" s="15" t="s">
        <v>24</v>
      </c>
      <c r="B89" s="20">
        <v>34944</v>
      </c>
      <c r="C89" s="15">
        <v>761</v>
      </c>
      <c r="D89" s="15">
        <v>12</v>
      </c>
      <c r="E89" s="15">
        <v>152</v>
      </c>
      <c r="F89" s="21">
        <f t="shared" si="6"/>
        <v>925</v>
      </c>
      <c r="G89" s="18">
        <v>35</v>
      </c>
      <c r="H89" s="22">
        <f t="shared" si="7"/>
        <v>858.5</v>
      </c>
      <c r="I89" s="22">
        <f t="shared" si="8"/>
        <v>36.75</v>
      </c>
      <c r="J89" s="22">
        <f t="shared" si="9"/>
        <v>158.75</v>
      </c>
      <c r="K89" s="23">
        <f t="shared" si="10"/>
        <v>1054</v>
      </c>
      <c r="N89" s="25">
        <f t="shared" si="11"/>
        <v>0.48475120385232745</v>
      </c>
      <c r="O89" s="25"/>
    </row>
    <row r="90" spans="1:15" x14ac:dyDescent="0.25">
      <c r="A90" s="15" t="s">
        <v>24</v>
      </c>
      <c r="B90" s="20">
        <v>34951</v>
      </c>
      <c r="C90" s="15">
        <v>976</v>
      </c>
      <c r="D90" s="15">
        <v>30</v>
      </c>
      <c r="E90" s="15">
        <v>131</v>
      </c>
      <c r="F90" s="21">
        <f t="shared" si="6"/>
        <v>1137</v>
      </c>
      <c r="G90" s="18">
        <v>36</v>
      </c>
      <c r="H90" s="22">
        <f t="shared" si="7"/>
        <v>891</v>
      </c>
      <c r="I90" s="22">
        <f t="shared" si="8"/>
        <v>27.5</v>
      </c>
      <c r="J90" s="22">
        <f t="shared" si="9"/>
        <v>151</v>
      </c>
      <c r="K90" s="23">
        <f t="shared" si="10"/>
        <v>1069.5</v>
      </c>
      <c r="N90" s="25">
        <f t="shared" si="11"/>
        <v>0.83980582524271841</v>
      </c>
      <c r="O90" s="25"/>
    </row>
    <row r="91" spans="1:15" x14ac:dyDescent="0.25">
      <c r="A91" s="15" t="s">
        <v>24</v>
      </c>
      <c r="B91" s="20">
        <v>34958</v>
      </c>
      <c r="C91" s="15">
        <v>747</v>
      </c>
      <c r="D91" s="15">
        <v>24</v>
      </c>
      <c r="E91" s="15">
        <v>146</v>
      </c>
      <c r="F91" s="21">
        <f t="shared" si="6"/>
        <v>917</v>
      </c>
      <c r="G91" s="18">
        <v>37</v>
      </c>
      <c r="H91" s="22">
        <f t="shared" si="7"/>
        <v>840.5</v>
      </c>
      <c r="I91" s="22">
        <f t="shared" si="8"/>
        <v>25.75</v>
      </c>
      <c r="J91" s="22">
        <f t="shared" si="9"/>
        <v>141.75</v>
      </c>
      <c r="K91" s="23">
        <f t="shared" si="10"/>
        <v>1008</v>
      </c>
      <c r="N91" s="25">
        <f t="shared" si="11"/>
        <v>0.91041666666666665</v>
      </c>
      <c r="O91" s="25"/>
    </row>
    <row r="92" spans="1:15" x14ac:dyDescent="0.25">
      <c r="A92" s="15" t="s">
        <v>24</v>
      </c>
      <c r="B92" s="20">
        <v>34965</v>
      </c>
      <c r="C92" s="15">
        <v>734</v>
      </c>
      <c r="D92" s="15">
        <v>23</v>
      </c>
      <c r="E92" s="15">
        <v>135</v>
      </c>
      <c r="F92" s="21">
        <f t="shared" si="6"/>
        <v>892</v>
      </c>
      <c r="G92" s="18">
        <v>38</v>
      </c>
      <c r="H92" s="22">
        <f t="shared" si="7"/>
        <v>804.5</v>
      </c>
      <c r="I92" s="22">
        <f t="shared" si="8"/>
        <v>22.25</v>
      </c>
      <c r="J92" s="22">
        <f t="shared" si="9"/>
        <v>141</v>
      </c>
      <c r="K92" s="23">
        <f t="shared" si="10"/>
        <v>967.75</v>
      </c>
      <c r="N92" s="25">
        <f t="shared" si="11"/>
        <v>0.84297520661157022</v>
      </c>
      <c r="O92" s="25"/>
    </row>
    <row r="93" spans="1:15" x14ac:dyDescent="0.25">
      <c r="A93" s="15" t="s">
        <v>24</v>
      </c>
      <c r="B93" s="20">
        <v>34972</v>
      </c>
      <c r="C93" s="15">
        <v>765</v>
      </c>
      <c r="D93" s="15">
        <v>48</v>
      </c>
      <c r="E93" s="15">
        <v>98</v>
      </c>
      <c r="F93" s="21">
        <f t="shared" si="6"/>
        <v>911</v>
      </c>
      <c r="G93" s="18">
        <v>39</v>
      </c>
      <c r="H93" s="22">
        <f t="shared" si="7"/>
        <v>805.5</v>
      </c>
      <c r="I93" s="22">
        <f t="shared" si="8"/>
        <v>31.25</v>
      </c>
      <c r="J93" s="22">
        <f t="shared" si="9"/>
        <v>127.5</v>
      </c>
      <c r="K93" s="23">
        <f t="shared" si="10"/>
        <v>964.25</v>
      </c>
      <c r="N93" s="25">
        <f t="shared" si="11"/>
        <v>0.49589490968801314</v>
      </c>
      <c r="O93" s="25"/>
    </row>
    <row r="94" spans="1:15" x14ac:dyDescent="0.25">
      <c r="A94" s="15" t="s">
        <v>20</v>
      </c>
      <c r="B94" s="20">
        <v>34979</v>
      </c>
      <c r="C94" s="15">
        <v>583</v>
      </c>
      <c r="D94" s="15">
        <v>21</v>
      </c>
      <c r="E94" s="15">
        <v>139</v>
      </c>
      <c r="F94" s="21">
        <f t="shared" si="6"/>
        <v>743</v>
      </c>
      <c r="G94" s="18">
        <v>40</v>
      </c>
      <c r="H94" s="22">
        <f t="shared" si="7"/>
        <v>707.25</v>
      </c>
      <c r="I94" s="22">
        <f t="shared" si="8"/>
        <v>29</v>
      </c>
      <c r="J94" s="22">
        <f t="shared" si="9"/>
        <v>129.5</v>
      </c>
      <c r="K94" s="23">
        <f t="shared" si="10"/>
        <v>865.75</v>
      </c>
      <c r="N94" s="25">
        <f t="shared" si="11"/>
        <v>0.64380530973451322</v>
      </c>
      <c r="O94" s="25"/>
    </row>
    <row r="95" spans="1:15" x14ac:dyDescent="0.25">
      <c r="A95" s="15" t="s">
        <v>20</v>
      </c>
      <c r="B95" s="20">
        <v>34986</v>
      </c>
      <c r="C95" s="15">
        <v>802</v>
      </c>
      <c r="D95" s="15">
        <v>27</v>
      </c>
      <c r="E95" s="15">
        <v>135</v>
      </c>
      <c r="F95" s="21">
        <f t="shared" si="6"/>
        <v>964</v>
      </c>
      <c r="G95" s="18">
        <v>41</v>
      </c>
      <c r="H95" s="22">
        <f t="shared" si="7"/>
        <v>721</v>
      </c>
      <c r="I95" s="22">
        <f t="shared" si="8"/>
        <v>29.75</v>
      </c>
      <c r="J95" s="22">
        <f t="shared" si="9"/>
        <v>126.75</v>
      </c>
      <c r="K95" s="23">
        <f t="shared" si="10"/>
        <v>877.5</v>
      </c>
      <c r="N95" s="25">
        <f t="shared" ref="N95:N115" si="12">(F95-F43)/F43</f>
        <v>0.45619335347432022</v>
      </c>
      <c r="O95" s="25"/>
    </row>
    <row r="96" spans="1:15" x14ac:dyDescent="0.25">
      <c r="A96" s="15" t="s">
        <v>20</v>
      </c>
      <c r="B96" s="20">
        <v>34993</v>
      </c>
      <c r="C96" s="15">
        <v>669</v>
      </c>
      <c r="D96" s="15">
        <v>24</v>
      </c>
      <c r="E96" s="15">
        <v>236</v>
      </c>
      <c r="F96" s="21">
        <f t="shared" si="6"/>
        <v>929</v>
      </c>
      <c r="G96" s="18">
        <v>42</v>
      </c>
      <c r="H96" s="22">
        <f t="shared" si="7"/>
        <v>704.75</v>
      </c>
      <c r="I96" s="22">
        <f t="shared" si="8"/>
        <v>30</v>
      </c>
      <c r="J96" s="22">
        <f t="shared" si="9"/>
        <v>152</v>
      </c>
      <c r="K96" s="23">
        <f t="shared" si="10"/>
        <v>886.75</v>
      </c>
      <c r="N96" s="25">
        <f t="shared" si="12"/>
        <v>8.9097303634232128E-2</v>
      </c>
      <c r="O96" s="25"/>
    </row>
    <row r="97" spans="1:15" x14ac:dyDescent="0.25">
      <c r="A97" s="15" t="s">
        <v>20</v>
      </c>
      <c r="B97" s="20">
        <v>35000</v>
      </c>
      <c r="C97" s="15">
        <v>789</v>
      </c>
      <c r="D97" s="15">
        <v>43</v>
      </c>
      <c r="E97" s="15">
        <v>254</v>
      </c>
      <c r="F97" s="21">
        <f t="shared" si="6"/>
        <v>1086</v>
      </c>
      <c r="G97" s="18">
        <v>43</v>
      </c>
      <c r="H97" s="22">
        <f t="shared" si="7"/>
        <v>710.75</v>
      </c>
      <c r="I97" s="22">
        <f t="shared" si="8"/>
        <v>28.75</v>
      </c>
      <c r="J97" s="22">
        <f t="shared" si="9"/>
        <v>191</v>
      </c>
      <c r="K97" s="23">
        <f t="shared" si="10"/>
        <v>930.5</v>
      </c>
      <c r="N97" s="25">
        <f t="shared" si="12"/>
        <v>0.20532741398446172</v>
      </c>
      <c r="O97" s="25"/>
    </row>
    <row r="98" spans="1:15" x14ac:dyDescent="0.25">
      <c r="A98" s="15" t="s">
        <v>26</v>
      </c>
      <c r="B98" s="20">
        <v>35007</v>
      </c>
      <c r="C98" s="15">
        <v>892</v>
      </c>
      <c r="D98" s="15">
        <v>23</v>
      </c>
      <c r="E98" s="15">
        <v>196</v>
      </c>
      <c r="F98" s="21">
        <f t="shared" si="6"/>
        <v>1111</v>
      </c>
      <c r="G98" s="18">
        <v>44</v>
      </c>
      <c r="H98" s="22">
        <f t="shared" si="7"/>
        <v>788</v>
      </c>
      <c r="I98" s="22">
        <f t="shared" si="8"/>
        <v>29.25</v>
      </c>
      <c r="J98" s="22">
        <f t="shared" si="9"/>
        <v>205.25</v>
      </c>
      <c r="K98" s="23">
        <f t="shared" si="10"/>
        <v>1022.5</v>
      </c>
      <c r="N98" s="25">
        <f t="shared" si="12"/>
        <v>0.20760869565217391</v>
      </c>
      <c r="O98" s="25"/>
    </row>
    <row r="99" spans="1:15" x14ac:dyDescent="0.25">
      <c r="A99" s="15" t="s">
        <v>26</v>
      </c>
      <c r="B99" s="20">
        <v>35014</v>
      </c>
      <c r="C99" s="15">
        <v>1031</v>
      </c>
      <c r="D99" s="15">
        <v>32</v>
      </c>
      <c r="E99" s="15">
        <v>142</v>
      </c>
      <c r="F99" s="21">
        <f t="shared" si="6"/>
        <v>1205</v>
      </c>
      <c r="G99" s="18">
        <v>45</v>
      </c>
      <c r="H99" s="22">
        <f t="shared" si="7"/>
        <v>845.25</v>
      </c>
      <c r="I99" s="22">
        <f t="shared" si="8"/>
        <v>30.5</v>
      </c>
      <c r="J99" s="22">
        <f t="shared" si="9"/>
        <v>207</v>
      </c>
      <c r="K99" s="23">
        <f t="shared" si="10"/>
        <v>1082.75</v>
      </c>
      <c r="N99" s="25">
        <f t="shared" si="12"/>
        <v>0.31550218340611352</v>
      </c>
      <c r="O99" s="25"/>
    </row>
    <row r="100" spans="1:15" x14ac:dyDescent="0.25">
      <c r="A100" s="15" t="s">
        <v>26</v>
      </c>
      <c r="B100" s="20">
        <v>35021</v>
      </c>
      <c r="C100" s="15">
        <v>1077</v>
      </c>
      <c r="D100" s="15">
        <v>42</v>
      </c>
      <c r="E100" s="15">
        <v>143</v>
      </c>
      <c r="F100" s="21">
        <f t="shared" si="6"/>
        <v>1262</v>
      </c>
      <c r="G100" s="18">
        <v>46</v>
      </c>
      <c r="H100" s="22">
        <f t="shared" si="7"/>
        <v>947.25</v>
      </c>
      <c r="I100" s="22">
        <f t="shared" si="8"/>
        <v>35</v>
      </c>
      <c r="J100" s="22">
        <f t="shared" si="9"/>
        <v>183.75</v>
      </c>
      <c r="K100" s="23">
        <f t="shared" si="10"/>
        <v>1166</v>
      </c>
      <c r="N100" s="25">
        <f t="shared" si="12"/>
        <v>0.31595411887382691</v>
      </c>
      <c r="O100" s="25"/>
    </row>
    <row r="101" spans="1:15" x14ac:dyDescent="0.25">
      <c r="A101" s="15" t="s">
        <v>26</v>
      </c>
      <c r="B101" s="20">
        <v>35028</v>
      </c>
      <c r="C101" s="15">
        <v>1318</v>
      </c>
      <c r="D101" s="15">
        <v>54</v>
      </c>
      <c r="E101" s="15">
        <v>200</v>
      </c>
      <c r="F101" s="21">
        <f t="shared" si="6"/>
        <v>1572</v>
      </c>
      <c r="G101" s="18">
        <v>47</v>
      </c>
      <c r="H101" s="22">
        <f t="shared" si="7"/>
        <v>1079.5</v>
      </c>
      <c r="I101" s="22">
        <f t="shared" si="8"/>
        <v>37.75</v>
      </c>
      <c r="J101" s="22">
        <f t="shared" si="9"/>
        <v>170.25</v>
      </c>
      <c r="K101" s="23">
        <f t="shared" si="10"/>
        <v>1287.5</v>
      </c>
      <c r="N101" s="25">
        <f t="shared" si="12"/>
        <v>1.7244367417677644</v>
      </c>
      <c r="O101" s="25"/>
    </row>
    <row r="102" spans="1:15" x14ac:dyDescent="0.25">
      <c r="A102" s="15" t="s">
        <v>15</v>
      </c>
      <c r="B102" s="20">
        <v>35035</v>
      </c>
      <c r="C102" s="15">
        <v>1207</v>
      </c>
      <c r="D102" s="15">
        <v>12</v>
      </c>
      <c r="E102" s="15">
        <v>183</v>
      </c>
      <c r="F102" s="21">
        <f t="shared" si="6"/>
        <v>1402</v>
      </c>
      <c r="G102" s="18">
        <v>48</v>
      </c>
      <c r="H102" s="22">
        <f t="shared" si="7"/>
        <v>1158.25</v>
      </c>
      <c r="I102" s="22">
        <f t="shared" si="8"/>
        <v>35</v>
      </c>
      <c r="J102" s="22">
        <f t="shared" si="9"/>
        <v>167</v>
      </c>
      <c r="K102" s="23">
        <f t="shared" si="10"/>
        <v>1360.25</v>
      </c>
      <c r="N102" s="25">
        <f t="shared" si="12"/>
        <v>0.1791421362489487</v>
      </c>
      <c r="O102" s="25"/>
    </row>
    <row r="103" spans="1:15" x14ac:dyDescent="0.25">
      <c r="A103" s="15" t="s">
        <v>15</v>
      </c>
      <c r="B103" s="20">
        <v>35042</v>
      </c>
      <c r="C103" s="15">
        <v>1077</v>
      </c>
      <c r="D103" s="15">
        <v>20</v>
      </c>
      <c r="E103" s="15">
        <v>163</v>
      </c>
      <c r="F103" s="21">
        <f t="shared" si="6"/>
        <v>1260</v>
      </c>
      <c r="G103" s="18">
        <v>49</v>
      </c>
      <c r="H103" s="22">
        <f t="shared" si="7"/>
        <v>1169.75</v>
      </c>
      <c r="I103" s="22">
        <f t="shared" si="8"/>
        <v>32</v>
      </c>
      <c r="J103" s="22">
        <f t="shared" si="9"/>
        <v>172.25</v>
      </c>
      <c r="K103" s="23">
        <f t="shared" si="10"/>
        <v>1374</v>
      </c>
      <c r="N103" s="25">
        <f t="shared" si="12"/>
        <v>0.23772102161100198</v>
      </c>
      <c r="O103" s="25"/>
    </row>
    <row r="104" spans="1:15" x14ac:dyDescent="0.25">
      <c r="A104" s="15" t="s">
        <v>15</v>
      </c>
      <c r="B104" s="20">
        <v>35049</v>
      </c>
      <c r="C104" s="15">
        <v>665</v>
      </c>
      <c r="D104" s="15">
        <v>11</v>
      </c>
      <c r="E104" s="15">
        <v>112</v>
      </c>
      <c r="F104" s="21">
        <f t="shared" si="6"/>
        <v>788</v>
      </c>
      <c r="G104" s="18">
        <v>50</v>
      </c>
      <c r="H104" s="22">
        <f t="shared" si="7"/>
        <v>1066.75</v>
      </c>
      <c r="I104" s="22">
        <f t="shared" si="8"/>
        <v>24.25</v>
      </c>
      <c r="J104" s="22">
        <f t="shared" si="9"/>
        <v>164.5</v>
      </c>
      <c r="K104" s="23">
        <f t="shared" si="10"/>
        <v>1255.5</v>
      </c>
      <c r="N104" s="25">
        <f t="shared" si="12"/>
        <v>-0.13120176405733186</v>
      </c>
      <c r="O104" s="25"/>
    </row>
    <row r="105" spans="1:15" x14ac:dyDescent="0.25">
      <c r="A105" s="15" t="s">
        <v>15</v>
      </c>
      <c r="B105" s="20">
        <v>35056</v>
      </c>
      <c r="C105" s="15">
        <v>851</v>
      </c>
      <c r="D105" s="15">
        <v>10</v>
      </c>
      <c r="E105" s="15">
        <v>88</v>
      </c>
      <c r="F105" s="21">
        <f t="shared" si="6"/>
        <v>949</v>
      </c>
      <c r="G105" s="18">
        <v>51</v>
      </c>
      <c r="H105" s="22">
        <f t="shared" si="7"/>
        <v>950</v>
      </c>
      <c r="I105" s="22">
        <f t="shared" si="8"/>
        <v>13.25</v>
      </c>
      <c r="J105" s="22">
        <f t="shared" si="9"/>
        <v>136.5</v>
      </c>
      <c r="K105" s="23">
        <f t="shared" si="10"/>
        <v>1099.75</v>
      </c>
      <c r="N105" s="25">
        <f t="shared" si="12"/>
        <v>0.34229137199434229</v>
      </c>
      <c r="O105" s="25"/>
    </row>
    <row r="106" spans="1:15" x14ac:dyDescent="0.25">
      <c r="A106" s="15" t="s">
        <v>15</v>
      </c>
      <c r="B106" s="20">
        <v>35063</v>
      </c>
      <c r="C106" s="15">
        <v>676</v>
      </c>
      <c r="D106" s="15">
        <v>6</v>
      </c>
      <c r="E106" s="15">
        <v>116</v>
      </c>
      <c r="F106" s="21">
        <f t="shared" si="6"/>
        <v>798</v>
      </c>
      <c r="G106" s="18">
        <v>52</v>
      </c>
      <c r="H106" s="22">
        <f t="shared" si="7"/>
        <v>817.25</v>
      </c>
      <c r="I106" s="22">
        <f t="shared" si="8"/>
        <v>11.75</v>
      </c>
      <c r="J106" s="22">
        <f t="shared" si="9"/>
        <v>119.75</v>
      </c>
      <c r="K106" s="23">
        <f t="shared" si="10"/>
        <v>948.75</v>
      </c>
      <c r="N106" s="25">
        <f t="shared" si="12"/>
        <v>1.0727272727272728</v>
      </c>
      <c r="O106" s="25"/>
    </row>
    <row r="107" spans="1:15" x14ac:dyDescent="0.25">
      <c r="A107" s="15" t="s">
        <v>16</v>
      </c>
      <c r="B107" s="20">
        <v>35070</v>
      </c>
      <c r="C107" s="15">
        <v>312</v>
      </c>
      <c r="E107" s="15">
        <v>77</v>
      </c>
      <c r="F107" s="21">
        <f t="shared" si="6"/>
        <v>389</v>
      </c>
      <c r="G107" s="18">
        <v>1</v>
      </c>
      <c r="H107" s="22">
        <f t="shared" si="7"/>
        <v>626</v>
      </c>
      <c r="I107" s="22">
        <f t="shared" si="8"/>
        <v>9</v>
      </c>
      <c r="J107" s="22">
        <f t="shared" si="9"/>
        <v>98.25</v>
      </c>
      <c r="K107" s="23">
        <f t="shared" si="10"/>
        <v>733.25</v>
      </c>
      <c r="N107" s="25">
        <f t="shared" si="12"/>
        <v>-0.42625368731563423</v>
      </c>
      <c r="O107" s="25"/>
    </row>
    <row r="108" spans="1:15" x14ac:dyDescent="0.25">
      <c r="A108" s="15" t="s">
        <v>16</v>
      </c>
      <c r="B108" s="20">
        <v>35077</v>
      </c>
      <c r="C108" s="15">
        <v>397</v>
      </c>
      <c r="D108" s="15">
        <v>12</v>
      </c>
      <c r="E108" s="15">
        <v>43</v>
      </c>
      <c r="F108" s="21">
        <f t="shared" si="6"/>
        <v>452</v>
      </c>
      <c r="G108" s="18">
        <v>2</v>
      </c>
      <c r="H108" s="22">
        <f t="shared" si="7"/>
        <v>559</v>
      </c>
      <c r="I108" s="22">
        <f t="shared" si="8"/>
        <v>9.3333333333333339</v>
      </c>
      <c r="J108" s="22">
        <f t="shared" si="9"/>
        <v>81</v>
      </c>
      <c r="K108" s="23">
        <f t="shared" si="10"/>
        <v>649.33333333333337</v>
      </c>
      <c r="N108" s="25">
        <f t="shared" si="12"/>
        <v>-0.15671641791044777</v>
      </c>
      <c r="O108" s="25"/>
    </row>
    <row r="109" spans="1:15" x14ac:dyDescent="0.25">
      <c r="A109" s="15" t="s">
        <v>16</v>
      </c>
      <c r="B109" s="20">
        <v>35084</v>
      </c>
      <c r="C109" s="15">
        <v>542</v>
      </c>
      <c r="D109" s="15">
        <v>2</v>
      </c>
      <c r="E109" s="15">
        <v>156</v>
      </c>
      <c r="F109" s="21">
        <f t="shared" si="6"/>
        <v>700</v>
      </c>
      <c r="G109" s="18">
        <v>3</v>
      </c>
      <c r="H109" s="22">
        <f t="shared" si="7"/>
        <v>481.75</v>
      </c>
      <c r="I109" s="22">
        <f t="shared" si="8"/>
        <v>6.666666666666667</v>
      </c>
      <c r="J109" s="22">
        <f t="shared" si="9"/>
        <v>98</v>
      </c>
      <c r="K109" s="23">
        <f t="shared" si="10"/>
        <v>586.41666666666674</v>
      </c>
      <c r="N109" s="25">
        <f t="shared" si="12"/>
        <v>-0.14945321992709598</v>
      </c>
      <c r="O109" s="25"/>
    </row>
    <row r="110" spans="1:15" x14ac:dyDescent="0.25">
      <c r="A110" s="15" t="s">
        <v>16</v>
      </c>
      <c r="B110" s="20">
        <v>35091</v>
      </c>
      <c r="C110" s="15">
        <v>564</v>
      </c>
      <c r="E110" s="15">
        <v>172</v>
      </c>
      <c r="F110" s="21">
        <f t="shared" si="6"/>
        <v>736</v>
      </c>
      <c r="G110" s="18">
        <v>4</v>
      </c>
      <c r="H110" s="22">
        <f t="shared" si="7"/>
        <v>453.75</v>
      </c>
      <c r="I110" s="22">
        <f t="shared" si="8"/>
        <v>7</v>
      </c>
      <c r="J110" s="22">
        <f t="shared" si="9"/>
        <v>112</v>
      </c>
      <c r="K110" s="23">
        <f t="shared" si="10"/>
        <v>572.75</v>
      </c>
      <c r="N110" s="25">
        <f t="shared" si="12"/>
        <v>0.17948717948717949</v>
      </c>
      <c r="O110" s="25"/>
    </row>
    <row r="111" spans="1:15" x14ac:dyDescent="0.25">
      <c r="A111" s="15" t="s">
        <v>23</v>
      </c>
      <c r="B111" s="20">
        <v>35098</v>
      </c>
      <c r="C111" s="15">
        <v>404</v>
      </c>
      <c r="E111" s="15">
        <v>67</v>
      </c>
      <c r="F111" s="21">
        <f t="shared" si="6"/>
        <v>471</v>
      </c>
      <c r="G111" s="18">
        <v>5</v>
      </c>
      <c r="H111" s="22">
        <f t="shared" si="7"/>
        <v>476.75</v>
      </c>
      <c r="I111" s="22">
        <f t="shared" si="8"/>
        <v>7</v>
      </c>
      <c r="J111" s="22">
        <f t="shared" si="9"/>
        <v>109.5</v>
      </c>
      <c r="K111" s="23">
        <f t="shared" si="10"/>
        <v>593.25</v>
      </c>
      <c r="N111" s="25">
        <f t="shared" si="12"/>
        <v>-0.26175548589341691</v>
      </c>
      <c r="O111" s="25"/>
    </row>
    <row r="112" spans="1:15" x14ac:dyDescent="0.25">
      <c r="A112" s="15" t="s">
        <v>23</v>
      </c>
      <c r="B112" s="20">
        <v>35105</v>
      </c>
      <c r="C112" s="15">
        <v>229</v>
      </c>
      <c r="D112" s="15">
        <v>9</v>
      </c>
      <c r="E112" s="15">
        <v>40</v>
      </c>
      <c r="F112" s="21">
        <f t="shared" si="6"/>
        <v>278</v>
      </c>
      <c r="G112" s="18">
        <v>6</v>
      </c>
      <c r="H112" s="22">
        <f t="shared" si="7"/>
        <v>434.75</v>
      </c>
      <c r="I112" s="22">
        <f t="shared" si="8"/>
        <v>5.5</v>
      </c>
      <c r="J112" s="22">
        <f t="shared" si="9"/>
        <v>108.75</v>
      </c>
      <c r="K112" s="23">
        <f t="shared" si="10"/>
        <v>549</v>
      </c>
      <c r="N112" s="25">
        <f t="shared" si="12"/>
        <v>-0.41841004184100417</v>
      </c>
      <c r="O112" s="25"/>
    </row>
    <row r="113" spans="1:15" x14ac:dyDescent="0.25">
      <c r="A113" s="15" t="s">
        <v>23</v>
      </c>
      <c r="B113" s="20">
        <v>35112</v>
      </c>
      <c r="C113" s="15">
        <v>309</v>
      </c>
      <c r="D113" s="15">
        <v>2</v>
      </c>
      <c r="E113" s="15">
        <v>85</v>
      </c>
      <c r="F113" s="21">
        <f t="shared" si="6"/>
        <v>396</v>
      </c>
      <c r="G113" s="18">
        <v>7</v>
      </c>
      <c r="H113" s="22">
        <f t="shared" si="7"/>
        <v>376.5</v>
      </c>
      <c r="I113" s="22">
        <f t="shared" si="8"/>
        <v>5.5</v>
      </c>
      <c r="J113" s="22">
        <f t="shared" si="9"/>
        <v>91</v>
      </c>
      <c r="K113" s="23">
        <f t="shared" si="10"/>
        <v>473</v>
      </c>
      <c r="N113" s="25">
        <f t="shared" si="12"/>
        <v>-0.2</v>
      </c>
      <c r="O113" s="25"/>
    </row>
    <row r="114" spans="1:15" x14ac:dyDescent="0.25">
      <c r="A114" s="15" t="s">
        <v>23</v>
      </c>
      <c r="B114" s="20">
        <v>35119</v>
      </c>
      <c r="C114" s="15">
        <v>457</v>
      </c>
      <c r="D114" s="15">
        <v>14</v>
      </c>
      <c r="E114" s="15">
        <v>111</v>
      </c>
      <c r="F114" s="21">
        <f t="shared" si="6"/>
        <v>582</v>
      </c>
      <c r="G114" s="18">
        <v>8</v>
      </c>
      <c r="H114" s="22">
        <f t="shared" si="7"/>
        <v>349.75</v>
      </c>
      <c r="I114" s="22">
        <f t="shared" si="8"/>
        <v>8.3333333333333339</v>
      </c>
      <c r="J114" s="22">
        <f t="shared" si="9"/>
        <v>75.75</v>
      </c>
      <c r="K114" s="23">
        <f t="shared" si="10"/>
        <v>433.83333333333331</v>
      </c>
      <c r="N114" s="25">
        <f t="shared" si="12"/>
        <v>0.99315068493150682</v>
      </c>
      <c r="O114" s="25"/>
    </row>
    <row r="115" spans="1:15" x14ac:dyDescent="0.25">
      <c r="A115" s="15" t="s">
        <v>27</v>
      </c>
      <c r="B115" s="20">
        <v>35126</v>
      </c>
      <c r="C115" s="15">
        <v>694</v>
      </c>
      <c r="D115" s="15">
        <v>11</v>
      </c>
      <c r="E115" s="15">
        <v>132</v>
      </c>
      <c r="F115" s="21">
        <f t="shared" si="6"/>
        <v>837</v>
      </c>
      <c r="G115" s="18">
        <v>9</v>
      </c>
      <c r="H115" s="22">
        <f t="shared" si="7"/>
        <v>422.25</v>
      </c>
      <c r="I115" s="22">
        <f t="shared" si="8"/>
        <v>9</v>
      </c>
      <c r="J115" s="22">
        <f t="shared" si="9"/>
        <v>92</v>
      </c>
      <c r="K115" s="23">
        <f t="shared" si="10"/>
        <v>523.25</v>
      </c>
      <c r="N115" s="25">
        <f t="shared" si="12"/>
        <v>0.40909090909090912</v>
      </c>
      <c r="O115" s="25"/>
    </row>
    <row r="116" spans="1:15" x14ac:dyDescent="0.25">
      <c r="A116" s="15" t="s">
        <v>27</v>
      </c>
      <c r="B116" s="20">
        <v>35133</v>
      </c>
      <c r="C116" s="15">
        <v>457</v>
      </c>
      <c r="D116" s="15">
        <v>5</v>
      </c>
      <c r="E116" s="15">
        <v>88</v>
      </c>
      <c r="F116" s="21">
        <f t="shared" si="6"/>
        <v>550</v>
      </c>
      <c r="G116" s="18">
        <v>10</v>
      </c>
      <c r="H116" s="22">
        <f t="shared" si="7"/>
        <v>479.25</v>
      </c>
      <c r="I116" s="22">
        <f t="shared" si="8"/>
        <v>8</v>
      </c>
      <c r="J116" s="22">
        <f t="shared" si="9"/>
        <v>104</v>
      </c>
      <c r="K116" s="23">
        <f t="shared" si="10"/>
        <v>591.25</v>
      </c>
      <c r="N116" s="25">
        <f t="shared" ref="N116:N179" si="13">(F116-F64)/F64</f>
        <v>-0.10858995137763371</v>
      </c>
      <c r="O116" s="25"/>
    </row>
    <row r="117" spans="1:15" x14ac:dyDescent="0.25">
      <c r="A117" s="15" t="s">
        <v>27</v>
      </c>
      <c r="B117" s="20">
        <v>35140</v>
      </c>
      <c r="C117" s="15">
        <v>529</v>
      </c>
      <c r="E117" s="15">
        <v>89</v>
      </c>
      <c r="F117" s="21">
        <f t="shared" si="6"/>
        <v>618</v>
      </c>
      <c r="G117" s="18">
        <v>11</v>
      </c>
      <c r="H117" s="22">
        <f t="shared" si="7"/>
        <v>534.25</v>
      </c>
      <c r="I117" s="22">
        <f t="shared" si="8"/>
        <v>10</v>
      </c>
      <c r="J117" s="22">
        <f t="shared" si="9"/>
        <v>105</v>
      </c>
      <c r="K117" s="23">
        <f t="shared" si="10"/>
        <v>649.25</v>
      </c>
      <c r="N117" s="25">
        <f t="shared" si="13"/>
        <v>7.6655052264808357E-2</v>
      </c>
      <c r="O117" s="25"/>
    </row>
    <row r="118" spans="1:15" x14ac:dyDescent="0.25">
      <c r="A118" s="15" t="s">
        <v>27</v>
      </c>
      <c r="B118" s="20">
        <v>35147</v>
      </c>
      <c r="C118" s="15">
        <v>852</v>
      </c>
      <c r="D118" s="15">
        <v>14</v>
      </c>
      <c r="E118" s="15">
        <v>158</v>
      </c>
      <c r="F118" s="21">
        <f t="shared" si="6"/>
        <v>1024</v>
      </c>
      <c r="G118" s="18">
        <v>12</v>
      </c>
      <c r="H118" s="22">
        <f t="shared" si="7"/>
        <v>633</v>
      </c>
      <c r="I118" s="22">
        <f t="shared" si="8"/>
        <v>10</v>
      </c>
      <c r="J118" s="22">
        <f t="shared" si="9"/>
        <v>116.75</v>
      </c>
      <c r="K118" s="23">
        <f t="shared" si="10"/>
        <v>759.75</v>
      </c>
      <c r="N118" s="25">
        <f t="shared" si="13"/>
        <v>0.47550432276657062</v>
      </c>
      <c r="O118" s="25"/>
    </row>
    <row r="119" spans="1:15" x14ac:dyDescent="0.25">
      <c r="A119" s="15" t="s">
        <v>27</v>
      </c>
      <c r="B119" s="20">
        <v>35154</v>
      </c>
      <c r="C119" s="15">
        <v>812</v>
      </c>
      <c r="D119" s="15">
        <v>21</v>
      </c>
      <c r="E119" s="15">
        <v>126</v>
      </c>
      <c r="F119" s="21">
        <f t="shared" si="6"/>
        <v>959</v>
      </c>
      <c r="G119" s="18">
        <v>13</v>
      </c>
      <c r="H119" s="22">
        <f t="shared" si="7"/>
        <v>662.5</v>
      </c>
      <c r="I119" s="22">
        <f t="shared" si="8"/>
        <v>13.333333333333334</v>
      </c>
      <c r="J119" s="22">
        <f t="shared" si="9"/>
        <v>115.25</v>
      </c>
      <c r="K119" s="23">
        <f t="shared" si="10"/>
        <v>791.08333333333337</v>
      </c>
      <c r="N119" s="25">
        <f t="shared" si="13"/>
        <v>0.21546261089987326</v>
      </c>
      <c r="O119" s="25"/>
    </row>
    <row r="120" spans="1:15" x14ac:dyDescent="0.25">
      <c r="A120" s="15" t="s">
        <v>14</v>
      </c>
      <c r="B120" s="20">
        <v>35161</v>
      </c>
      <c r="C120" s="15">
        <v>972</v>
      </c>
      <c r="D120" s="15">
        <v>62</v>
      </c>
      <c r="E120" s="15">
        <v>104</v>
      </c>
      <c r="F120" s="21">
        <f t="shared" si="6"/>
        <v>1138</v>
      </c>
      <c r="G120" s="18">
        <v>14</v>
      </c>
      <c r="H120" s="22">
        <f t="shared" si="7"/>
        <v>791.25</v>
      </c>
      <c r="I120" s="22">
        <f t="shared" si="8"/>
        <v>32.333333333333336</v>
      </c>
      <c r="J120" s="22">
        <f t="shared" si="9"/>
        <v>119.25</v>
      </c>
      <c r="K120" s="23">
        <f t="shared" si="10"/>
        <v>942.83333333333337</v>
      </c>
      <c r="N120" s="25">
        <f t="shared" si="13"/>
        <v>0.32479627473806755</v>
      </c>
      <c r="O120" s="25"/>
    </row>
    <row r="121" spans="1:15" x14ac:dyDescent="0.25">
      <c r="A121" s="15" t="s">
        <v>14</v>
      </c>
      <c r="B121" s="20">
        <v>35168</v>
      </c>
      <c r="C121" s="15">
        <v>818</v>
      </c>
      <c r="D121" s="15">
        <v>6</v>
      </c>
      <c r="E121" s="15">
        <v>125</v>
      </c>
      <c r="F121" s="21">
        <f t="shared" si="6"/>
        <v>949</v>
      </c>
      <c r="G121" s="18">
        <v>15</v>
      </c>
      <c r="H121" s="22">
        <f t="shared" si="7"/>
        <v>863.5</v>
      </c>
      <c r="I121" s="22">
        <f t="shared" si="8"/>
        <v>25.75</v>
      </c>
      <c r="J121" s="22">
        <f t="shared" si="9"/>
        <v>128.25</v>
      </c>
      <c r="K121" s="23">
        <f t="shared" si="10"/>
        <v>1017.5</v>
      </c>
      <c r="N121" s="25">
        <f t="shared" si="13"/>
        <v>2.8169014084507043E-2</v>
      </c>
      <c r="O121" s="25"/>
    </row>
    <row r="122" spans="1:15" x14ac:dyDescent="0.25">
      <c r="A122" s="15" t="s">
        <v>14</v>
      </c>
      <c r="B122" s="20">
        <v>35175</v>
      </c>
      <c r="C122" s="15">
        <v>999</v>
      </c>
      <c r="D122" s="15">
        <v>15</v>
      </c>
      <c r="E122" s="15">
        <v>131</v>
      </c>
      <c r="F122" s="21">
        <f t="shared" si="6"/>
        <v>1145</v>
      </c>
      <c r="G122" s="18">
        <v>16</v>
      </c>
      <c r="H122" s="22">
        <f t="shared" si="7"/>
        <v>900.25</v>
      </c>
      <c r="I122" s="22">
        <f t="shared" si="8"/>
        <v>26</v>
      </c>
      <c r="J122" s="22">
        <f t="shared" si="9"/>
        <v>121.5</v>
      </c>
      <c r="K122" s="23">
        <f t="shared" si="10"/>
        <v>1047.75</v>
      </c>
      <c r="N122" s="25">
        <f t="shared" si="13"/>
        <v>0.5348525469168901</v>
      </c>
      <c r="O122" s="25"/>
    </row>
    <row r="123" spans="1:15" x14ac:dyDescent="0.25">
      <c r="A123" s="15" t="s">
        <v>14</v>
      </c>
      <c r="B123" s="20">
        <v>35182</v>
      </c>
      <c r="C123" s="15">
        <v>889</v>
      </c>
      <c r="D123" s="15">
        <v>25</v>
      </c>
      <c r="E123" s="15">
        <v>81</v>
      </c>
      <c r="F123" s="21">
        <f t="shared" si="6"/>
        <v>995</v>
      </c>
      <c r="G123" s="18">
        <v>17</v>
      </c>
      <c r="H123" s="22">
        <f t="shared" si="7"/>
        <v>919.5</v>
      </c>
      <c r="I123" s="22">
        <f t="shared" si="8"/>
        <v>27</v>
      </c>
      <c r="J123" s="22">
        <f t="shared" si="9"/>
        <v>110.25</v>
      </c>
      <c r="K123" s="23">
        <f t="shared" si="10"/>
        <v>1056.75</v>
      </c>
      <c r="N123" s="25">
        <f t="shared" si="13"/>
        <v>6.1899679829242264E-2</v>
      </c>
      <c r="O123" s="25"/>
    </row>
    <row r="124" spans="1:15" x14ac:dyDescent="0.25">
      <c r="A124" s="15" t="s">
        <v>5</v>
      </c>
      <c r="B124" s="20">
        <v>35189</v>
      </c>
      <c r="C124" s="15">
        <v>752</v>
      </c>
      <c r="D124" s="15">
        <v>11</v>
      </c>
      <c r="E124" s="15">
        <v>45</v>
      </c>
      <c r="F124" s="21">
        <f t="shared" si="6"/>
        <v>808</v>
      </c>
      <c r="G124" s="18">
        <v>18</v>
      </c>
      <c r="H124" s="22">
        <f t="shared" si="7"/>
        <v>864.5</v>
      </c>
      <c r="I124" s="22">
        <f t="shared" si="8"/>
        <v>14.25</v>
      </c>
      <c r="J124" s="22">
        <f t="shared" si="9"/>
        <v>95.5</v>
      </c>
      <c r="K124" s="23">
        <f t="shared" si="10"/>
        <v>974.25</v>
      </c>
      <c r="N124" s="25">
        <f t="shared" si="13"/>
        <v>-0.1928071928071928</v>
      </c>
      <c r="O124" s="25"/>
    </row>
    <row r="125" spans="1:15" x14ac:dyDescent="0.25">
      <c r="A125" s="15" t="s">
        <v>5</v>
      </c>
      <c r="B125" s="20">
        <v>35196</v>
      </c>
      <c r="C125" s="15">
        <v>760</v>
      </c>
      <c r="D125" s="15">
        <v>1</v>
      </c>
      <c r="E125" s="15">
        <v>115</v>
      </c>
      <c r="F125" s="21">
        <f t="shared" si="6"/>
        <v>876</v>
      </c>
      <c r="G125" s="18">
        <v>19</v>
      </c>
      <c r="H125" s="22">
        <f t="shared" si="7"/>
        <v>850</v>
      </c>
      <c r="I125" s="22">
        <f t="shared" si="8"/>
        <v>13</v>
      </c>
      <c r="J125" s="22">
        <f t="shared" si="9"/>
        <v>93</v>
      </c>
      <c r="K125" s="23">
        <f t="shared" si="10"/>
        <v>956</v>
      </c>
      <c r="N125" s="25">
        <f t="shared" si="13"/>
        <v>-0.13095238095238096</v>
      </c>
      <c r="O125" s="25"/>
    </row>
    <row r="126" spans="1:15" x14ac:dyDescent="0.25">
      <c r="A126" s="15" t="s">
        <v>5</v>
      </c>
      <c r="B126" s="20">
        <v>35203</v>
      </c>
      <c r="C126" s="15">
        <v>564</v>
      </c>
      <c r="D126" s="15">
        <v>3</v>
      </c>
      <c r="E126" s="15">
        <v>99</v>
      </c>
      <c r="F126" s="21">
        <f t="shared" si="6"/>
        <v>666</v>
      </c>
      <c r="G126" s="18">
        <v>20</v>
      </c>
      <c r="H126" s="22">
        <f t="shared" si="7"/>
        <v>741.25</v>
      </c>
      <c r="I126" s="22">
        <f t="shared" si="8"/>
        <v>10</v>
      </c>
      <c r="J126" s="22">
        <f t="shared" si="9"/>
        <v>85</v>
      </c>
      <c r="K126" s="23">
        <f t="shared" si="10"/>
        <v>836.25</v>
      </c>
      <c r="N126" s="25">
        <f t="shared" si="13"/>
        <v>0.18716577540106952</v>
      </c>
      <c r="O126" s="25"/>
    </row>
    <row r="127" spans="1:15" x14ac:dyDescent="0.25">
      <c r="A127" s="15" t="s">
        <v>5</v>
      </c>
      <c r="B127" s="20">
        <v>35210</v>
      </c>
      <c r="C127" s="15">
        <v>965</v>
      </c>
      <c r="D127" s="15">
        <v>13</v>
      </c>
      <c r="E127" s="15">
        <v>87</v>
      </c>
      <c r="F127" s="21">
        <f t="shared" si="6"/>
        <v>1065</v>
      </c>
      <c r="G127" s="18">
        <v>21</v>
      </c>
      <c r="H127" s="22">
        <f t="shared" si="7"/>
        <v>760.25</v>
      </c>
      <c r="I127" s="22">
        <f t="shared" si="8"/>
        <v>7</v>
      </c>
      <c r="J127" s="22">
        <f t="shared" si="9"/>
        <v>86.5</v>
      </c>
      <c r="K127" s="23">
        <f t="shared" si="10"/>
        <v>853.75</v>
      </c>
      <c r="N127" s="25"/>
      <c r="O127" s="25"/>
    </row>
    <row r="128" spans="1:15" x14ac:dyDescent="0.25">
      <c r="A128" s="15" t="s">
        <v>5</v>
      </c>
      <c r="B128" s="20">
        <v>35217</v>
      </c>
      <c r="C128" s="15">
        <v>653</v>
      </c>
      <c r="E128" s="15">
        <v>59</v>
      </c>
      <c r="F128" s="21">
        <f t="shared" si="6"/>
        <v>712</v>
      </c>
      <c r="G128" s="18">
        <v>22</v>
      </c>
      <c r="H128" s="22">
        <f t="shared" si="7"/>
        <v>735.5</v>
      </c>
      <c r="I128" s="22">
        <f t="shared" si="8"/>
        <v>5.666666666666667</v>
      </c>
      <c r="J128" s="22">
        <f t="shared" si="9"/>
        <v>90</v>
      </c>
      <c r="K128" s="23">
        <f t="shared" si="10"/>
        <v>831.16666666666663</v>
      </c>
      <c r="N128" s="25"/>
      <c r="O128" s="25"/>
    </row>
    <row r="129" spans="1:15" x14ac:dyDescent="0.25">
      <c r="A129" s="15" t="s">
        <v>30</v>
      </c>
      <c r="B129" s="20">
        <v>35224</v>
      </c>
      <c r="C129" s="15">
        <v>612</v>
      </c>
      <c r="D129" s="15">
        <v>9</v>
      </c>
      <c r="E129" s="15">
        <v>87</v>
      </c>
      <c r="F129" s="21">
        <f t="shared" si="6"/>
        <v>708</v>
      </c>
      <c r="G129" s="18">
        <v>23</v>
      </c>
      <c r="H129" s="22">
        <f t="shared" si="7"/>
        <v>698.5</v>
      </c>
      <c r="I129" s="22">
        <f t="shared" si="8"/>
        <v>8.3333333333333339</v>
      </c>
      <c r="J129" s="22">
        <f t="shared" si="9"/>
        <v>83</v>
      </c>
      <c r="K129" s="23">
        <f t="shared" si="10"/>
        <v>789.83333333333337</v>
      </c>
      <c r="N129" s="25">
        <f t="shared" si="13"/>
        <v>1.3443708609271523</v>
      </c>
      <c r="O129" s="25"/>
    </row>
    <row r="130" spans="1:15" x14ac:dyDescent="0.25">
      <c r="A130" s="15" t="s">
        <v>30</v>
      </c>
      <c r="B130" s="20">
        <v>35231</v>
      </c>
      <c r="C130" s="15">
        <v>859</v>
      </c>
      <c r="D130" s="15">
        <v>12</v>
      </c>
      <c r="E130" s="15">
        <v>176</v>
      </c>
      <c r="F130" s="21">
        <f t="shared" si="6"/>
        <v>1047</v>
      </c>
      <c r="G130" s="18">
        <v>24</v>
      </c>
      <c r="H130" s="22">
        <f t="shared" si="7"/>
        <v>772.25</v>
      </c>
      <c r="I130" s="22">
        <f t="shared" si="8"/>
        <v>11.333333333333334</v>
      </c>
      <c r="J130" s="22">
        <f t="shared" si="9"/>
        <v>102.25</v>
      </c>
      <c r="K130" s="23">
        <f t="shared" si="10"/>
        <v>885.83333333333337</v>
      </c>
      <c r="N130" s="25">
        <f t="shared" si="13"/>
        <v>-0.14039408866995073</v>
      </c>
      <c r="O130" s="25"/>
    </row>
    <row r="131" spans="1:15" x14ac:dyDescent="0.25">
      <c r="A131" s="15" t="s">
        <v>30</v>
      </c>
      <c r="B131" s="20">
        <v>35238</v>
      </c>
      <c r="C131" s="15">
        <v>756</v>
      </c>
      <c r="D131" s="15">
        <v>20</v>
      </c>
      <c r="E131" s="15">
        <v>182</v>
      </c>
      <c r="F131" s="21">
        <f t="shared" si="6"/>
        <v>958</v>
      </c>
      <c r="G131" s="18">
        <v>25</v>
      </c>
      <c r="H131" s="22">
        <f t="shared" si="7"/>
        <v>720</v>
      </c>
      <c r="I131" s="22">
        <f t="shared" si="8"/>
        <v>13.666666666666666</v>
      </c>
      <c r="J131" s="22">
        <f t="shared" si="9"/>
        <v>126</v>
      </c>
      <c r="K131" s="23">
        <f t="shared" si="10"/>
        <v>859.66666666666663</v>
      </c>
      <c r="N131" s="25">
        <f t="shared" si="13"/>
        <v>0.18125770653514181</v>
      </c>
      <c r="O131" s="25"/>
    </row>
    <row r="132" spans="1:15" x14ac:dyDescent="0.25">
      <c r="A132" s="15" t="s">
        <v>30</v>
      </c>
      <c r="B132" s="20">
        <v>35245</v>
      </c>
      <c r="C132" s="15">
        <v>1046</v>
      </c>
      <c r="D132" s="15">
        <v>24</v>
      </c>
      <c r="E132" s="15">
        <v>191</v>
      </c>
      <c r="F132" s="21">
        <f t="shared" si="6"/>
        <v>1261</v>
      </c>
      <c r="G132" s="18">
        <v>26</v>
      </c>
      <c r="H132" s="22">
        <f t="shared" si="7"/>
        <v>818.25</v>
      </c>
      <c r="I132" s="22">
        <f t="shared" si="8"/>
        <v>16.25</v>
      </c>
      <c r="J132" s="22">
        <f t="shared" si="9"/>
        <v>159</v>
      </c>
      <c r="K132" s="23">
        <f t="shared" si="10"/>
        <v>993.5</v>
      </c>
      <c r="N132" s="25">
        <f t="shared" si="13"/>
        <v>0.15370539798719121</v>
      </c>
      <c r="O132" s="25"/>
    </row>
    <row r="133" spans="1:15" x14ac:dyDescent="0.25">
      <c r="A133" s="15" t="s">
        <v>31</v>
      </c>
      <c r="B133" s="20">
        <v>35252</v>
      </c>
      <c r="C133" s="15">
        <v>1029</v>
      </c>
      <c r="D133" s="15">
        <v>51</v>
      </c>
      <c r="E133" s="15">
        <v>178</v>
      </c>
      <c r="F133" s="21">
        <f t="shared" si="6"/>
        <v>1258</v>
      </c>
      <c r="G133" s="18">
        <v>27</v>
      </c>
      <c r="H133" s="22">
        <f t="shared" si="7"/>
        <v>922.5</v>
      </c>
      <c r="I133" s="22">
        <f t="shared" si="8"/>
        <v>26.75</v>
      </c>
      <c r="J133" s="22">
        <f t="shared" si="9"/>
        <v>181.75</v>
      </c>
      <c r="K133" s="23">
        <f t="shared" si="10"/>
        <v>1131</v>
      </c>
      <c r="N133" s="25">
        <f t="shared" si="13"/>
        <v>1.496031746031746</v>
      </c>
      <c r="O133" s="25"/>
    </row>
    <row r="134" spans="1:15" x14ac:dyDescent="0.25">
      <c r="A134" s="15" t="s">
        <v>31</v>
      </c>
      <c r="B134" s="20">
        <v>35259</v>
      </c>
      <c r="C134" s="15">
        <v>803</v>
      </c>
      <c r="D134" s="15">
        <v>13</v>
      </c>
      <c r="E134" s="15">
        <v>181</v>
      </c>
      <c r="F134" s="21">
        <f t="shared" ref="F134:F197" si="14">SUM(C134:E134)</f>
        <v>997</v>
      </c>
      <c r="G134" s="18">
        <v>28</v>
      </c>
      <c r="H134" s="22">
        <f t="shared" si="7"/>
        <v>908.5</v>
      </c>
      <c r="I134" s="22">
        <f t="shared" si="8"/>
        <v>27</v>
      </c>
      <c r="J134" s="22">
        <f t="shared" si="9"/>
        <v>183</v>
      </c>
      <c r="K134" s="23">
        <f t="shared" si="10"/>
        <v>1118.5</v>
      </c>
      <c r="N134" s="25">
        <f t="shared" si="13"/>
        <v>-0.20367412140575081</v>
      </c>
      <c r="O134" s="25"/>
    </row>
    <row r="135" spans="1:15" x14ac:dyDescent="0.25">
      <c r="A135" s="15" t="s">
        <v>31</v>
      </c>
      <c r="B135" s="20">
        <v>35266</v>
      </c>
      <c r="C135" s="15">
        <v>668</v>
      </c>
      <c r="D135" s="15">
        <v>23</v>
      </c>
      <c r="E135" s="15">
        <v>121</v>
      </c>
      <c r="F135" s="21">
        <f t="shared" si="14"/>
        <v>812</v>
      </c>
      <c r="G135" s="18">
        <v>29</v>
      </c>
      <c r="H135" s="22">
        <f t="shared" si="7"/>
        <v>886.5</v>
      </c>
      <c r="I135" s="22">
        <f t="shared" si="8"/>
        <v>27.75</v>
      </c>
      <c r="J135" s="22">
        <f t="shared" si="9"/>
        <v>167.75</v>
      </c>
      <c r="K135" s="23">
        <f t="shared" si="10"/>
        <v>1082</v>
      </c>
      <c r="N135" s="25">
        <f t="shared" si="13"/>
        <v>-0.20078740157480315</v>
      </c>
      <c r="O135" s="25"/>
    </row>
    <row r="136" spans="1:15" x14ac:dyDescent="0.25">
      <c r="A136" s="15" t="s">
        <v>31</v>
      </c>
      <c r="B136" s="20">
        <v>35273</v>
      </c>
      <c r="C136" s="15">
        <v>773</v>
      </c>
      <c r="D136" s="15">
        <v>32</v>
      </c>
      <c r="E136" s="15">
        <v>180</v>
      </c>
      <c r="F136" s="21">
        <f t="shared" si="14"/>
        <v>985</v>
      </c>
      <c r="G136" s="18">
        <v>30</v>
      </c>
      <c r="H136" s="22">
        <f t="shared" si="7"/>
        <v>818.25</v>
      </c>
      <c r="I136" s="22">
        <f t="shared" si="8"/>
        <v>29.75</v>
      </c>
      <c r="J136" s="22">
        <f t="shared" si="9"/>
        <v>165</v>
      </c>
      <c r="K136" s="23">
        <f t="shared" si="10"/>
        <v>1013</v>
      </c>
      <c r="N136" s="25">
        <f t="shared" si="13"/>
        <v>-0.13444639718804921</v>
      </c>
      <c r="O136" s="25"/>
    </row>
    <row r="137" spans="1:15" x14ac:dyDescent="0.25">
      <c r="A137" s="15" t="s">
        <v>19</v>
      </c>
      <c r="B137" s="20">
        <v>35280</v>
      </c>
      <c r="C137" s="15">
        <v>607</v>
      </c>
      <c r="D137" s="15">
        <v>41</v>
      </c>
      <c r="E137" s="15">
        <v>229</v>
      </c>
      <c r="F137" s="21">
        <f t="shared" si="14"/>
        <v>877</v>
      </c>
      <c r="G137" s="18">
        <v>31</v>
      </c>
      <c r="H137" s="22">
        <f t="shared" si="7"/>
        <v>712.75</v>
      </c>
      <c r="I137" s="22">
        <f t="shared" si="8"/>
        <v>27.25</v>
      </c>
      <c r="J137" s="22">
        <f t="shared" si="9"/>
        <v>177.75</v>
      </c>
      <c r="K137" s="23">
        <f t="shared" si="10"/>
        <v>917.75</v>
      </c>
      <c r="N137" s="25">
        <f t="shared" si="13"/>
        <v>-0.29274193548387095</v>
      </c>
      <c r="O137" s="25"/>
    </row>
    <row r="138" spans="1:15" x14ac:dyDescent="0.25">
      <c r="A138" s="15" t="s">
        <v>19</v>
      </c>
      <c r="B138" s="20">
        <v>35287</v>
      </c>
      <c r="C138" s="15">
        <v>596</v>
      </c>
      <c r="D138" s="15">
        <v>37</v>
      </c>
      <c r="E138" s="15">
        <v>193</v>
      </c>
      <c r="F138" s="21">
        <f t="shared" si="14"/>
        <v>826</v>
      </c>
      <c r="G138" s="18">
        <v>32</v>
      </c>
      <c r="H138" s="22">
        <f t="shared" ref="H138:H201" si="15">AVERAGE(C135:C138)</f>
        <v>661</v>
      </c>
      <c r="I138" s="22">
        <f t="shared" ref="I138:I201" si="16">AVERAGE(D135:D138)</f>
        <v>33.25</v>
      </c>
      <c r="J138" s="22">
        <f t="shared" ref="J138:J201" si="17">AVERAGE(E135:E138)</f>
        <v>180.75</v>
      </c>
      <c r="K138" s="23">
        <f t="shared" ref="K138:K201" si="18">SUM(H138:J138)</f>
        <v>875</v>
      </c>
      <c r="N138" s="25">
        <f t="shared" si="13"/>
        <v>-0.23162790697674418</v>
      </c>
      <c r="O138" s="25"/>
    </row>
    <row r="139" spans="1:15" x14ac:dyDescent="0.25">
      <c r="A139" s="15" t="s">
        <v>19</v>
      </c>
      <c r="B139" s="20">
        <v>35294</v>
      </c>
      <c r="C139" s="15">
        <v>353</v>
      </c>
      <c r="D139" s="15">
        <v>41</v>
      </c>
      <c r="E139" s="15">
        <v>116</v>
      </c>
      <c r="F139" s="21">
        <f t="shared" si="14"/>
        <v>510</v>
      </c>
      <c r="G139" s="18">
        <v>33</v>
      </c>
      <c r="H139" s="22">
        <f t="shared" si="15"/>
        <v>582.25</v>
      </c>
      <c r="I139" s="22">
        <f t="shared" si="16"/>
        <v>37.75</v>
      </c>
      <c r="J139" s="22">
        <f t="shared" si="17"/>
        <v>179.5</v>
      </c>
      <c r="K139" s="23">
        <f t="shared" si="18"/>
        <v>799.5</v>
      </c>
      <c r="N139" s="25">
        <f t="shared" si="13"/>
        <v>-0.56147893379191749</v>
      </c>
      <c r="O139" s="25"/>
    </row>
    <row r="140" spans="1:15" x14ac:dyDescent="0.25">
      <c r="A140" s="15" t="s">
        <v>19</v>
      </c>
      <c r="B140" s="20">
        <v>35301</v>
      </c>
      <c r="C140" s="15">
        <v>304</v>
      </c>
      <c r="D140" s="15">
        <v>22</v>
      </c>
      <c r="E140" s="15">
        <v>145</v>
      </c>
      <c r="F140" s="21">
        <f t="shared" si="14"/>
        <v>471</v>
      </c>
      <c r="G140" s="18">
        <v>34</v>
      </c>
      <c r="H140" s="22">
        <f t="shared" si="15"/>
        <v>465</v>
      </c>
      <c r="I140" s="22">
        <f t="shared" si="16"/>
        <v>35.25</v>
      </c>
      <c r="J140" s="22">
        <f t="shared" si="17"/>
        <v>170.75</v>
      </c>
      <c r="K140" s="23">
        <f t="shared" si="18"/>
        <v>671</v>
      </c>
      <c r="N140" s="25">
        <f t="shared" si="13"/>
        <v>-0.55270655270655267</v>
      </c>
      <c r="O140" s="25"/>
    </row>
    <row r="141" spans="1:15" x14ac:dyDescent="0.25">
      <c r="A141" s="15" t="s">
        <v>19</v>
      </c>
      <c r="B141" s="20">
        <v>35308</v>
      </c>
      <c r="C141" s="15">
        <v>161</v>
      </c>
      <c r="D141" s="15">
        <v>38</v>
      </c>
      <c r="E141" s="15">
        <v>172</v>
      </c>
      <c r="F141" s="21">
        <f t="shared" si="14"/>
        <v>371</v>
      </c>
      <c r="G141" s="18">
        <v>35</v>
      </c>
      <c r="H141" s="22">
        <f t="shared" si="15"/>
        <v>353.5</v>
      </c>
      <c r="I141" s="22">
        <f t="shared" si="16"/>
        <v>34.5</v>
      </c>
      <c r="J141" s="22">
        <f t="shared" si="17"/>
        <v>156.5</v>
      </c>
      <c r="K141" s="23">
        <f t="shared" si="18"/>
        <v>544.5</v>
      </c>
      <c r="N141" s="25">
        <f t="shared" si="13"/>
        <v>-0.59891891891891891</v>
      </c>
      <c r="O141" s="25"/>
    </row>
    <row r="142" spans="1:15" x14ac:dyDescent="0.25">
      <c r="A142" s="15" t="s">
        <v>24</v>
      </c>
      <c r="B142" s="20">
        <v>35315</v>
      </c>
      <c r="C142" s="15">
        <v>56</v>
      </c>
      <c r="D142" s="15">
        <v>41</v>
      </c>
      <c r="E142" s="15">
        <v>99</v>
      </c>
      <c r="F142" s="21">
        <f t="shared" si="14"/>
        <v>196</v>
      </c>
      <c r="G142" s="18">
        <v>36</v>
      </c>
      <c r="H142" s="22">
        <f t="shared" si="15"/>
        <v>218.5</v>
      </c>
      <c r="I142" s="22">
        <f t="shared" si="16"/>
        <v>35.5</v>
      </c>
      <c r="J142" s="22">
        <f t="shared" si="17"/>
        <v>133</v>
      </c>
      <c r="K142" s="23">
        <f t="shared" si="18"/>
        <v>387</v>
      </c>
      <c r="N142" s="25">
        <f t="shared" si="13"/>
        <v>-0.82761653474054531</v>
      </c>
      <c r="O142" s="25"/>
    </row>
    <row r="143" spans="1:15" x14ac:dyDescent="0.25">
      <c r="A143" s="15" t="s">
        <v>24</v>
      </c>
      <c r="B143" s="20">
        <v>35322</v>
      </c>
      <c r="C143" s="15">
        <v>119</v>
      </c>
      <c r="D143" s="15">
        <v>62</v>
      </c>
      <c r="E143" s="15">
        <v>142</v>
      </c>
      <c r="F143" s="21">
        <f t="shared" si="14"/>
        <v>323</v>
      </c>
      <c r="G143" s="18">
        <v>37</v>
      </c>
      <c r="H143" s="22">
        <f t="shared" si="15"/>
        <v>160</v>
      </c>
      <c r="I143" s="22">
        <f t="shared" si="16"/>
        <v>40.75</v>
      </c>
      <c r="J143" s="22">
        <f t="shared" si="17"/>
        <v>139.5</v>
      </c>
      <c r="K143" s="23">
        <f t="shared" si="18"/>
        <v>340.25</v>
      </c>
      <c r="N143" s="25">
        <f t="shared" si="13"/>
        <v>-0.64776444929116683</v>
      </c>
      <c r="O143" s="25"/>
    </row>
    <row r="144" spans="1:15" x14ac:dyDescent="0.25">
      <c r="A144" s="15" t="s">
        <v>24</v>
      </c>
      <c r="B144" s="20">
        <v>35329</v>
      </c>
      <c r="C144" s="15">
        <v>80</v>
      </c>
      <c r="D144" s="15">
        <v>72</v>
      </c>
      <c r="E144" s="15">
        <v>105</v>
      </c>
      <c r="F144" s="21">
        <f t="shared" si="14"/>
        <v>257</v>
      </c>
      <c r="G144" s="18">
        <v>38</v>
      </c>
      <c r="H144" s="22">
        <f t="shared" si="15"/>
        <v>104</v>
      </c>
      <c r="I144" s="22">
        <f t="shared" si="16"/>
        <v>53.25</v>
      </c>
      <c r="J144" s="22">
        <f t="shared" si="17"/>
        <v>129.5</v>
      </c>
      <c r="K144" s="23">
        <f t="shared" si="18"/>
        <v>286.75</v>
      </c>
      <c r="N144" s="25">
        <f t="shared" si="13"/>
        <v>-0.71188340807174888</v>
      </c>
      <c r="O144" s="25"/>
    </row>
    <row r="145" spans="1:15" x14ac:dyDescent="0.25">
      <c r="A145" s="15" t="s">
        <v>24</v>
      </c>
      <c r="B145" s="20">
        <v>35336</v>
      </c>
      <c r="C145" s="15">
        <v>157</v>
      </c>
      <c r="D145" s="15">
        <v>50</v>
      </c>
      <c r="E145" s="15">
        <v>81</v>
      </c>
      <c r="F145" s="21">
        <f t="shared" si="14"/>
        <v>288</v>
      </c>
      <c r="G145" s="18">
        <v>39</v>
      </c>
      <c r="H145" s="22">
        <f t="shared" si="15"/>
        <v>103</v>
      </c>
      <c r="I145" s="22">
        <f t="shared" si="16"/>
        <v>56.25</v>
      </c>
      <c r="J145" s="22">
        <f t="shared" si="17"/>
        <v>106.75</v>
      </c>
      <c r="K145" s="23">
        <f t="shared" si="18"/>
        <v>266</v>
      </c>
      <c r="N145" s="25">
        <f t="shared" si="13"/>
        <v>-0.68386388583973656</v>
      </c>
      <c r="O145" s="25"/>
    </row>
    <row r="146" spans="1:15" x14ac:dyDescent="0.25">
      <c r="A146" s="15" t="s">
        <v>20</v>
      </c>
      <c r="B146" s="20">
        <v>35343</v>
      </c>
      <c r="C146" s="15">
        <v>128</v>
      </c>
      <c r="D146" s="15">
        <v>8</v>
      </c>
      <c r="E146" s="15">
        <v>27</v>
      </c>
      <c r="F146" s="21">
        <f t="shared" si="14"/>
        <v>163</v>
      </c>
      <c r="G146" s="18">
        <v>40</v>
      </c>
      <c r="H146" s="22">
        <f t="shared" si="15"/>
        <v>121</v>
      </c>
      <c r="I146" s="22">
        <f t="shared" si="16"/>
        <v>48</v>
      </c>
      <c r="J146" s="22">
        <f t="shared" si="17"/>
        <v>88.75</v>
      </c>
      <c r="K146" s="23">
        <f t="shared" si="18"/>
        <v>257.75</v>
      </c>
      <c r="N146" s="25">
        <f t="shared" si="13"/>
        <v>-0.78061911170928666</v>
      </c>
      <c r="O146" s="25"/>
    </row>
    <row r="147" spans="1:15" x14ac:dyDescent="0.25">
      <c r="A147" s="15" t="s">
        <v>20</v>
      </c>
      <c r="B147" s="20">
        <v>35350</v>
      </c>
      <c r="C147" s="15">
        <v>337</v>
      </c>
      <c r="D147" s="15">
        <v>35</v>
      </c>
      <c r="E147" s="15">
        <v>198</v>
      </c>
      <c r="F147" s="21">
        <f t="shared" si="14"/>
        <v>570</v>
      </c>
      <c r="G147" s="18">
        <v>41</v>
      </c>
      <c r="H147" s="22">
        <f t="shared" si="15"/>
        <v>175.5</v>
      </c>
      <c r="I147" s="22">
        <f t="shared" si="16"/>
        <v>41.25</v>
      </c>
      <c r="J147" s="22">
        <f t="shared" si="17"/>
        <v>102.75</v>
      </c>
      <c r="K147" s="23">
        <f t="shared" si="18"/>
        <v>319.5</v>
      </c>
      <c r="N147" s="25">
        <f t="shared" si="13"/>
        <v>-0.40871369294605808</v>
      </c>
      <c r="O147" s="25"/>
    </row>
    <row r="148" spans="1:15" x14ac:dyDescent="0.25">
      <c r="A148" s="15" t="s">
        <v>20</v>
      </c>
      <c r="B148" s="20">
        <v>35357</v>
      </c>
      <c r="C148" s="15">
        <v>698</v>
      </c>
      <c r="D148" s="15">
        <v>26</v>
      </c>
      <c r="E148" s="15">
        <v>296</v>
      </c>
      <c r="F148" s="21">
        <f t="shared" si="14"/>
        <v>1020</v>
      </c>
      <c r="G148" s="18">
        <v>42</v>
      </c>
      <c r="H148" s="22">
        <f t="shared" si="15"/>
        <v>330</v>
      </c>
      <c r="I148" s="22">
        <f t="shared" si="16"/>
        <v>29.75</v>
      </c>
      <c r="J148" s="22">
        <f t="shared" si="17"/>
        <v>150.5</v>
      </c>
      <c r="K148" s="23">
        <f t="shared" si="18"/>
        <v>510.25</v>
      </c>
      <c r="N148" s="25">
        <f t="shared" si="13"/>
        <v>9.7954790096878366E-2</v>
      </c>
      <c r="O148" s="25"/>
    </row>
    <row r="149" spans="1:15" x14ac:dyDescent="0.25">
      <c r="A149" s="15" t="s">
        <v>20</v>
      </c>
      <c r="B149" s="20">
        <v>35364</v>
      </c>
      <c r="C149" s="15">
        <v>712</v>
      </c>
      <c r="D149" s="15">
        <v>21</v>
      </c>
      <c r="E149" s="15">
        <v>480</v>
      </c>
      <c r="F149" s="21">
        <f t="shared" si="14"/>
        <v>1213</v>
      </c>
      <c r="G149" s="18">
        <v>43</v>
      </c>
      <c r="H149" s="22">
        <f t="shared" si="15"/>
        <v>468.75</v>
      </c>
      <c r="I149" s="22">
        <f t="shared" si="16"/>
        <v>22.5</v>
      </c>
      <c r="J149" s="22">
        <f t="shared" si="17"/>
        <v>250.25</v>
      </c>
      <c r="K149" s="23">
        <f t="shared" si="18"/>
        <v>741.5</v>
      </c>
      <c r="N149" s="25">
        <f t="shared" si="13"/>
        <v>0.11694290976058933</v>
      </c>
      <c r="O149" s="25"/>
    </row>
    <row r="150" spans="1:15" x14ac:dyDescent="0.25">
      <c r="A150" s="15" t="s">
        <v>20</v>
      </c>
      <c r="B150" s="20">
        <v>35371</v>
      </c>
      <c r="C150" s="15">
        <v>885</v>
      </c>
      <c r="D150" s="15">
        <v>24</v>
      </c>
      <c r="E150" s="15">
        <v>255</v>
      </c>
      <c r="F150" s="21">
        <f t="shared" si="14"/>
        <v>1164</v>
      </c>
      <c r="G150" s="18">
        <v>44</v>
      </c>
      <c r="H150" s="22">
        <f t="shared" si="15"/>
        <v>658</v>
      </c>
      <c r="I150" s="22">
        <f t="shared" si="16"/>
        <v>26.5</v>
      </c>
      <c r="J150" s="22">
        <f t="shared" si="17"/>
        <v>307.25</v>
      </c>
      <c r="K150" s="23">
        <f t="shared" si="18"/>
        <v>991.75</v>
      </c>
      <c r="N150" s="25">
        <f t="shared" si="13"/>
        <v>4.7704770477047707E-2</v>
      </c>
      <c r="O150" s="25"/>
    </row>
    <row r="151" spans="1:15" x14ac:dyDescent="0.25">
      <c r="A151" s="15" t="s">
        <v>26</v>
      </c>
      <c r="B151" s="20">
        <v>35378</v>
      </c>
      <c r="C151" s="15">
        <v>979</v>
      </c>
      <c r="D151" s="15">
        <v>31</v>
      </c>
      <c r="E151" s="15">
        <v>214</v>
      </c>
      <c r="F151" s="21">
        <f t="shared" si="14"/>
        <v>1224</v>
      </c>
      <c r="G151" s="18">
        <v>45</v>
      </c>
      <c r="H151" s="22">
        <f t="shared" si="15"/>
        <v>818.5</v>
      </c>
      <c r="I151" s="22">
        <f t="shared" si="16"/>
        <v>25.5</v>
      </c>
      <c r="J151" s="22">
        <f t="shared" si="17"/>
        <v>311.25</v>
      </c>
      <c r="K151" s="23">
        <f t="shared" si="18"/>
        <v>1155.25</v>
      </c>
      <c r="N151" s="25">
        <f t="shared" si="13"/>
        <v>1.5767634854771784E-2</v>
      </c>
      <c r="O151" s="25"/>
    </row>
    <row r="152" spans="1:15" x14ac:dyDescent="0.25">
      <c r="A152" s="15" t="s">
        <v>26</v>
      </c>
      <c r="B152" s="20">
        <v>35385</v>
      </c>
      <c r="C152" s="15">
        <v>1084</v>
      </c>
      <c r="D152" s="15">
        <v>20</v>
      </c>
      <c r="E152" s="15">
        <v>239</v>
      </c>
      <c r="F152" s="21">
        <f t="shared" si="14"/>
        <v>1343</v>
      </c>
      <c r="G152" s="18">
        <v>46</v>
      </c>
      <c r="H152" s="22">
        <f t="shared" si="15"/>
        <v>915</v>
      </c>
      <c r="I152" s="22">
        <f t="shared" si="16"/>
        <v>24</v>
      </c>
      <c r="J152" s="22">
        <f t="shared" si="17"/>
        <v>297</v>
      </c>
      <c r="K152" s="23">
        <f t="shared" si="18"/>
        <v>1236</v>
      </c>
      <c r="N152" s="25">
        <f t="shared" si="13"/>
        <v>6.418383518225039E-2</v>
      </c>
      <c r="O152" s="25"/>
    </row>
    <row r="153" spans="1:15" x14ac:dyDescent="0.25">
      <c r="A153" s="15" t="s">
        <v>26</v>
      </c>
      <c r="B153" s="20">
        <v>35392</v>
      </c>
      <c r="C153" s="15">
        <v>995</v>
      </c>
      <c r="D153" s="15">
        <v>14</v>
      </c>
      <c r="E153" s="15">
        <v>98</v>
      </c>
      <c r="F153" s="21">
        <f t="shared" si="14"/>
        <v>1107</v>
      </c>
      <c r="G153" s="18">
        <v>47</v>
      </c>
      <c r="H153" s="22">
        <f t="shared" si="15"/>
        <v>985.75</v>
      </c>
      <c r="I153" s="22">
        <f t="shared" si="16"/>
        <v>22.25</v>
      </c>
      <c r="J153" s="22">
        <f t="shared" si="17"/>
        <v>201.5</v>
      </c>
      <c r="K153" s="23">
        <f t="shared" si="18"/>
        <v>1209.5</v>
      </c>
      <c r="N153" s="25">
        <f t="shared" si="13"/>
        <v>-0.29580152671755727</v>
      </c>
      <c r="O153" s="25"/>
    </row>
    <row r="154" spans="1:15" x14ac:dyDescent="0.25">
      <c r="A154" s="15" t="s">
        <v>26</v>
      </c>
      <c r="B154" s="20">
        <v>35399</v>
      </c>
      <c r="C154" s="15">
        <v>1066</v>
      </c>
      <c r="D154" s="15">
        <v>15</v>
      </c>
      <c r="E154" s="15">
        <v>176</v>
      </c>
      <c r="F154" s="21">
        <f t="shared" si="14"/>
        <v>1257</v>
      </c>
      <c r="G154" s="18">
        <v>48</v>
      </c>
      <c r="H154" s="22">
        <f t="shared" si="15"/>
        <v>1031</v>
      </c>
      <c r="I154" s="22">
        <f t="shared" si="16"/>
        <v>20</v>
      </c>
      <c r="J154" s="22">
        <f t="shared" si="17"/>
        <v>181.75</v>
      </c>
      <c r="K154" s="23">
        <f t="shared" si="18"/>
        <v>1232.75</v>
      </c>
      <c r="N154" s="25">
        <f t="shared" si="13"/>
        <v>-0.10342368045649072</v>
      </c>
      <c r="O154" s="25"/>
    </row>
    <row r="155" spans="1:15" x14ac:dyDescent="0.25">
      <c r="A155" s="15" t="s">
        <v>15</v>
      </c>
      <c r="B155" s="20">
        <v>35406</v>
      </c>
      <c r="C155" s="15">
        <v>1095</v>
      </c>
      <c r="E155" s="15">
        <v>213</v>
      </c>
      <c r="F155" s="21">
        <f t="shared" si="14"/>
        <v>1308</v>
      </c>
      <c r="G155" s="18">
        <v>49</v>
      </c>
      <c r="H155" s="22">
        <f t="shared" si="15"/>
        <v>1060</v>
      </c>
      <c r="I155" s="22">
        <f t="shared" si="16"/>
        <v>16.333333333333332</v>
      </c>
      <c r="J155" s="22">
        <f t="shared" si="17"/>
        <v>181.5</v>
      </c>
      <c r="K155" s="23">
        <f t="shared" si="18"/>
        <v>1257.8333333333333</v>
      </c>
      <c r="N155" s="25">
        <f t="shared" si="13"/>
        <v>3.8095238095238099E-2</v>
      </c>
      <c r="O155" s="25"/>
    </row>
    <row r="156" spans="1:15" x14ac:dyDescent="0.25">
      <c r="A156" s="15" t="s">
        <v>15</v>
      </c>
      <c r="B156" s="20">
        <v>35413</v>
      </c>
      <c r="C156" s="15">
        <v>964</v>
      </c>
      <c r="D156" s="15">
        <v>8</v>
      </c>
      <c r="E156" s="15">
        <v>131</v>
      </c>
      <c r="F156" s="21">
        <f t="shared" si="14"/>
        <v>1103</v>
      </c>
      <c r="G156" s="18">
        <v>50</v>
      </c>
      <c r="H156" s="22">
        <f t="shared" si="15"/>
        <v>1030</v>
      </c>
      <c r="I156" s="22">
        <f t="shared" si="16"/>
        <v>12.333333333333334</v>
      </c>
      <c r="J156" s="22">
        <f t="shared" si="17"/>
        <v>154.5</v>
      </c>
      <c r="K156" s="23">
        <f t="shared" si="18"/>
        <v>1196.8333333333333</v>
      </c>
      <c r="N156" s="25">
        <f t="shared" si="13"/>
        <v>0.39974619289340102</v>
      </c>
      <c r="O156" s="25"/>
    </row>
    <row r="157" spans="1:15" x14ac:dyDescent="0.25">
      <c r="A157" s="15" t="s">
        <v>15</v>
      </c>
      <c r="B157" s="20">
        <v>35420</v>
      </c>
      <c r="C157" s="15">
        <v>470</v>
      </c>
      <c r="D157" s="15">
        <v>6</v>
      </c>
      <c r="E157" s="15">
        <v>107</v>
      </c>
      <c r="F157" s="21">
        <f t="shared" si="14"/>
        <v>583</v>
      </c>
      <c r="G157" s="18">
        <v>51</v>
      </c>
      <c r="H157" s="22">
        <f t="shared" si="15"/>
        <v>898.75</v>
      </c>
      <c r="I157" s="22">
        <f t="shared" si="16"/>
        <v>9.6666666666666661</v>
      </c>
      <c r="J157" s="22">
        <f t="shared" si="17"/>
        <v>156.75</v>
      </c>
      <c r="K157" s="23">
        <f t="shared" si="18"/>
        <v>1065.1666666666665</v>
      </c>
      <c r="N157" s="25">
        <f t="shared" si="13"/>
        <v>-0.3856691253951528</v>
      </c>
      <c r="O157" s="25"/>
    </row>
    <row r="158" spans="1:15" x14ac:dyDescent="0.25">
      <c r="A158" s="15" t="s">
        <v>15</v>
      </c>
      <c r="B158" s="20">
        <v>35427</v>
      </c>
      <c r="C158" s="15">
        <v>261</v>
      </c>
      <c r="D158" s="15">
        <v>9</v>
      </c>
      <c r="E158" s="15">
        <v>81</v>
      </c>
      <c r="F158" s="21">
        <f t="shared" si="14"/>
        <v>351</v>
      </c>
      <c r="G158" s="18">
        <v>52</v>
      </c>
      <c r="H158" s="22">
        <f t="shared" si="15"/>
        <v>697.5</v>
      </c>
      <c r="I158" s="22">
        <f t="shared" si="16"/>
        <v>7.666666666666667</v>
      </c>
      <c r="J158" s="22">
        <f t="shared" si="17"/>
        <v>133</v>
      </c>
      <c r="K158" s="23">
        <f t="shared" si="18"/>
        <v>838.16666666666663</v>
      </c>
      <c r="N158" s="25">
        <f t="shared" si="13"/>
        <v>-0.56015037593984962</v>
      </c>
      <c r="O158" s="25"/>
    </row>
    <row r="159" spans="1:15" x14ac:dyDescent="0.25">
      <c r="A159" s="15" t="s">
        <v>15</v>
      </c>
      <c r="B159" s="20">
        <v>35434</v>
      </c>
      <c r="C159" s="15">
        <v>279</v>
      </c>
      <c r="D159" s="15">
        <v>6</v>
      </c>
      <c r="E159" s="15">
        <v>20</v>
      </c>
      <c r="F159" s="21">
        <f t="shared" si="14"/>
        <v>305</v>
      </c>
      <c r="G159" s="18">
        <v>53</v>
      </c>
      <c r="H159" s="22">
        <f t="shared" si="15"/>
        <v>493.5</v>
      </c>
      <c r="I159" s="22">
        <f t="shared" si="16"/>
        <v>7.25</v>
      </c>
      <c r="J159" s="22">
        <f t="shared" si="17"/>
        <v>84.75</v>
      </c>
      <c r="K159" s="23">
        <f t="shared" si="18"/>
        <v>585.5</v>
      </c>
      <c r="N159" s="25">
        <f t="shared" si="13"/>
        <v>-0.21593830334190231</v>
      </c>
      <c r="O159" s="25"/>
    </row>
    <row r="160" spans="1:15" x14ac:dyDescent="0.25">
      <c r="A160" s="15" t="s">
        <v>16</v>
      </c>
      <c r="B160" s="20">
        <v>35441</v>
      </c>
      <c r="C160" s="15">
        <v>583</v>
      </c>
      <c r="D160" s="15">
        <v>17</v>
      </c>
      <c r="E160" s="15">
        <v>72</v>
      </c>
      <c r="F160" s="21">
        <f t="shared" si="14"/>
        <v>672</v>
      </c>
      <c r="G160" s="18">
        <v>1</v>
      </c>
      <c r="H160" s="22">
        <f t="shared" si="15"/>
        <v>398.25</v>
      </c>
      <c r="I160" s="22">
        <f t="shared" si="16"/>
        <v>9.5</v>
      </c>
      <c r="J160" s="22">
        <f t="shared" si="17"/>
        <v>70</v>
      </c>
      <c r="K160" s="23">
        <f t="shared" si="18"/>
        <v>477.75</v>
      </c>
      <c r="N160" s="25">
        <f t="shared" si="13"/>
        <v>0.48672566371681414</v>
      </c>
      <c r="O160" s="25"/>
    </row>
    <row r="161" spans="1:15" x14ac:dyDescent="0.25">
      <c r="A161" s="15" t="s">
        <v>16</v>
      </c>
      <c r="B161" s="20">
        <v>35448</v>
      </c>
      <c r="C161" s="15">
        <v>312</v>
      </c>
      <c r="E161" s="15">
        <v>48</v>
      </c>
      <c r="F161" s="21">
        <f t="shared" si="14"/>
        <v>360</v>
      </c>
      <c r="G161" s="18">
        <v>2</v>
      </c>
      <c r="H161" s="22">
        <f t="shared" si="15"/>
        <v>358.75</v>
      </c>
      <c r="I161" s="22">
        <f t="shared" si="16"/>
        <v>10.666666666666666</v>
      </c>
      <c r="J161" s="22">
        <f t="shared" si="17"/>
        <v>55.25</v>
      </c>
      <c r="K161" s="23">
        <f t="shared" si="18"/>
        <v>424.66666666666669</v>
      </c>
      <c r="N161" s="25">
        <f t="shared" si="13"/>
        <v>-0.48571428571428571</v>
      </c>
      <c r="O161" s="25"/>
    </row>
    <row r="162" spans="1:15" x14ac:dyDescent="0.25">
      <c r="A162" s="15" t="s">
        <v>16</v>
      </c>
      <c r="B162" s="20">
        <v>35455</v>
      </c>
      <c r="C162" s="15">
        <v>296</v>
      </c>
      <c r="E162" s="15">
        <v>21</v>
      </c>
      <c r="F162" s="21">
        <f t="shared" si="14"/>
        <v>317</v>
      </c>
      <c r="G162" s="18">
        <v>3</v>
      </c>
      <c r="H162" s="22">
        <f t="shared" si="15"/>
        <v>367.5</v>
      </c>
      <c r="I162" s="22">
        <f t="shared" si="16"/>
        <v>11.5</v>
      </c>
      <c r="J162" s="22">
        <f t="shared" si="17"/>
        <v>40.25</v>
      </c>
      <c r="K162" s="23">
        <f t="shared" si="18"/>
        <v>419.25</v>
      </c>
      <c r="N162" s="25">
        <f t="shared" si="13"/>
        <v>-0.56929347826086951</v>
      </c>
      <c r="O162" s="25"/>
    </row>
    <row r="163" spans="1:15" x14ac:dyDescent="0.25">
      <c r="A163" s="15" t="s">
        <v>16</v>
      </c>
      <c r="B163" s="20">
        <v>35462</v>
      </c>
      <c r="C163" s="15">
        <v>283</v>
      </c>
      <c r="D163" s="15">
        <v>14</v>
      </c>
      <c r="E163" s="15">
        <v>33</v>
      </c>
      <c r="F163" s="21">
        <f t="shared" si="14"/>
        <v>330</v>
      </c>
      <c r="G163" s="18">
        <v>4</v>
      </c>
      <c r="H163" s="22">
        <f t="shared" si="15"/>
        <v>368.5</v>
      </c>
      <c r="I163" s="22">
        <f t="shared" si="16"/>
        <v>15.5</v>
      </c>
      <c r="J163" s="22">
        <f t="shared" si="17"/>
        <v>43.5</v>
      </c>
      <c r="K163" s="23">
        <f t="shared" si="18"/>
        <v>427.5</v>
      </c>
      <c r="N163" s="25">
        <f t="shared" si="13"/>
        <v>-0.29936305732484075</v>
      </c>
      <c r="O163" s="25"/>
    </row>
    <row r="164" spans="1:15" x14ac:dyDescent="0.25">
      <c r="A164" s="15" t="s">
        <v>23</v>
      </c>
      <c r="B164" s="20">
        <v>35469</v>
      </c>
      <c r="C164" s="15">
        <v>377</v>
      </c>
      <c r="D164" s="15">
        <v>11</v>
      </c>
      <c r="E164" s="15">
        <v>96</v>
      </c>
      <c r="F164" s="21">
        <f t="shared" si="14"/>
        <v>484</v>
      </c>
      <c r="G164" s="18">
        <v>5</v>
      </c>
      <c r="H164" s="22">
        <f t="shared" si="15"/>
        <v>317</v>
      </c>
      <c r="I164" s="22">
        <f t="shared" si="16"/>
        <v>12.5</v>
      </c>
      <c r="J164" s="22">
        <f t="shared" si="17"/>
        <v>49.5</v>
      </c>
      <c r="K164" s="23">
        <f t="shared" si="18"/>
        <v>379</v>
      </c>
      <c r="N164" s="25">
        <f t="shared" si="13"/>
        <v>0.74100719424460426</v>
      </c>
      <c r="O164" s="25"/>
    </row>
    <row r="165" spans="1:15" x14ac:dyDescent="0.25">
      <c r="A165" s="15" t="s">
        <v>23</v>
      </c>
      <c r="B165" s="20">
        <v>35476</v>
      </c>
      <c r="C165" s="15">
        <v>358</v>
      </c>
      <c r="D165" s="15">
        <v>3</v>
      </c>
      <c r="E165" s="15">
        <v>51</v>
      </c>
      <c r="F165" s="21">
        <f t="shared" si="14"/>
        <v>412</v>
      </c>
      <c r="G165" s="18">
        <v>6</v>
      </c>
      <c r="H165" s="22">
        <f t="shared" si="15"/>
        <v>328.5</v>
      </c>
      <c r="I165" s="22">
        <f t="shared" si="16"/>
        <v>9.3333333333333339</v>
      </c>
      <c r="J165" s="22">
        <f t="shared" si="17"/>
        <v>50.25</v>
      </c>
      <c r="K165" s="23">
        <f t="shared" si="18"/>
        <v>388.08333333333331</v>
      </c>
      <c r="N165" s="25">
        <f t="shared" si="13"/>
        <v>4.0404040404040407E-2</v>
      </c>
      <c r="O165" s="25"/>
    </row>
    <row r="166" spans="1:15" x14ac:dyDescent="0.25">
      <c r="A166" s="15" t="s">
        <v>23</v>
      </c>
      <c r="B166" s="20">
        <v>35483</v>
      </c>
      <c r="C166" s="15">
        <v>567</v>
      </c>
      <c r="E166" s="15">
        <v>92</v>
      </c>
      <c r="F166" s="21">
        <f t="shared" si="14"/>
        <v>659</v>
      </c>
      <c r="G166" s="18">
        <v>7</v>
      </c>
      <c r="H166" s="22">
        <f t="shared" si="15"/>
        <v>396.25</v>
      </c>
      <c r="I166" s="22">
        <f t="shared" si="16"/>
        <v>9.3333333333333339</v>
      </c>
      <c r="J166" s="22">
        <f t="shared" si="17"/>
        <v>68</v>
      </c>
      <c r="K166" s="23">
        <f t="shared" si="18"/>
        <v>473.58333333333331</v>
      </c>
      <c r="N166" s="25">
        <f t="shared" si="13"/>
        <v>0.13230240549828179</v>
      </c>
      <c r="O166" s="25"/>
    </row>
    <row r="167" spans="1:15" x14ac:dyDescent="0.25">
      <c r="A167" s="15" t="s">
        <v>23</v>
      </c>
      <c r="B167" s="20">
        <v>35490</v>
      </c>
      <c r="C167" s="15">
        <v>309</v>
      </c>
      <c r="E167" s="15">
        <v>89</v>
      </c>
      <c r="F167" s="21">
        <f t="shared" si="14"/>
        <v>398</v>
      </c>
      <c r="G167" s="18">
        <v>8</v>
      </c>
      <c r="H167" s="22">
        <f t="shared" si="15"/>
        <v>402.75</v>
      </c>
      <c r="I167" s="22">
        <f t="shared" si="16"/>
        <v>7</v>
      </c>
      <c r="J167" s="22">
        <f t="shared" si="17"/>
        <v>82</v>
      </c>
      <c r="K167" s="23">
        <f t="shared" si="18"/>
        <v>491.75</v>
      </c>
      <c r="N167" s="25">
        <f t="shared" si="13"/>
        <v>-0.52449223416965352</v>
      </c>
      <c r="O167" s="25"/>
    </row>
    <row r="168" spans="1:15" x14ac:dyDescent="0.25">
      <c r="A168" s="15" t="s">
        <v>27</v>
      </c>
      <c r="B168" s="20">
        <v>35497</v>
      </c>
      <c r="C168" s="15">
        <v>370</v>
      </c>
      <c r="D168" s="15">
        <v>20</v>
      </c>
      <c r="E168" s="15">
        <v>67</v>
      </c>
      <c r="F168" s="21">
        <f t="shared" si="14"/>
        <v>457</v>
      </c>
      <c r="G168" s="18">
        <v>9</v>
      </c>
      <c r="H168" s="22">
        <f t="shared" si="15"/>
        <v>401</v>
      </c>
      <c r="I168" s="22">
        <f t="shared" si="16"/>
        <v>11.5</v>
      </c>
      <c r="J168" s="22">
        <f t="shared" si="17"/>
        <v>74.75</v>
      </c>
      <c r="K168" s="23">
        <f t="shared" si="18"/>
        <v>487.25</v>
      </c>
      <c r="N168" s="25">
        <f t="shared" si="13"/>
        <v>-0.1690909090909091</v>
      </c>
      <c r="O168" s="25"/>
    </row>
    <row r="169" spans="1:15" x14ac:dyDescent="0.25">
      <c r="A169" s="15" t="s">
        <v>27</v>
      </c>
      <c r="B169" s="20">
        <v>35504</v>
      </c>
      <c r="C169" s="15">
        <v>657</v>
      </c>
      <c r="E169" s="15">
        <v>230</v>
      </c>
      <c r="F169" s="21">
        <f t="shared" si="14"/>
        <v>887</v>
      </c>
      <c r="G169" s="18">
        <v>10</v>
      </c>
      <c r="H169" s="22">
        <f t="shared" si="15"/>
        <v>475.75</v>
      </c>
      <c r="I169" s="22">
        <f t="shared" si="16"/>
        <v>20</v>
      </c>
      <c r="J169" s="22">
        <f t="shared" si="17"/>
        <v>119.5</v>
      </c>
      <c r="K169" s="23">
        <f t="shared" si="18"/>
        <v>615.25</v>
      </c>
      <c r="N169" s="25">
        <f t="shared" si="13"/>
        <v>0.43527508090614886</v>
      </c>
      <c r="O169" s="25"/>
    </row>
    <row r="170" spans="1:15" x14ac:dyDescent="0.25">
      <c r="A170" s="15" t="s">
        <v>27</v>
      </c>
      <c r="B170" s="20">
        <v>35511</v>
      </c>
      <c r="C170" s="15">
        <v>769</v>
      </c>
      <c r="D170" s="15">
        <v>20</v>
      </c>
      <c r="E170" s="15">
        <v>246</v>
      </c>
      <c r="F170" s="21">
        <f t="shared" si="14"/>
        <v>1035</v>
      </c>
      <c r="G170" s="18">
        <v>11</v>
      </c>
      <c r="H170" s="22">
        <f t="shared" si="15"/>
        <v>526.25</v>
      </c>
      <c r="I170" s="22">
        <f t="shared" si="16"/>
        <v>20</v>
      </c>
      <c r="J170" s="22">
        <f t="shared" si="17"/>
        <v>158</v>
      </c>
      <c r="K170" s="23">
        <f t="shared" si="18"/>
        <v>704.25</v>
      </c>
      <c r="N170" s="25">
        <f t="shared" si="13"/>
        <v>1.07421875E-2</v>
      </c>
      <c r="O170" s="25"/>
    </row>
    <row r="171" spans="1:15" x14ac:dyDescent="0.25">
      <c r="A171" s="15" t="s">
        <v>27</v>
      </c>
      <c r="B171" s="20">
        <v>35518</v>
      </c>
      <c r="C171" s="15">
        <v>592</v>
      </c>
      <c r="E171" s="15">
        <v>111</v>
      </c>
      <c r="F171" s="21">
        <f t="shared" si="14"/>
        <v>703</v>
      </c>
      <c r="G171" s="18">
        <v>12</v>
      </c>
      <c r="H171" s="22">
        <f t="shared" si="15"/>
        <v>597</v>
      </c>
      <c r="I171" s="22">
        <f t="shared" si="16"/>
        <v>20</v>
      </c>
      <c r="J171" s="22">
        <f t="shared" si="17"/>
        <v>163.5</v>
      </c>
      <c r="K171" s="23">
        <f t="shared" si="18"/>
        <v>780.5</v>
      </c>
      <c r="N171" s="25">
        <f t="shared" si="13"/>
        <v>-0.26694473409801878</v>
      </c>
      <c r="O171" s="25"/>
    </row>
    <row r="172" spans="1:15" x14ac:dyDescent="0.25">
      <c r="A172" s="15" t="s">
        <v>14</v>
      </c>
      <c r="B172" s="20">
        <v>35525</v>
      </c>
      <c r="C172" s="15">
        <v>572</v>
      </c>
      <c r="D172" s="15">
        <v>14</v>
      </c>
      <c r="E172" s="15">
        <v>124</v>
      </c>
      <c r="F172" s="21">
        <f t="shared" si="14"/>
        <v>710</v>
      </c>
      <c r="G172" s="18">
        <v>13</v>
      </c>
      <c r="H172" s="22">
        <f t="shared" si="15"/>
        <v>647.5</v>
      </c>
      <c r="I172" s="22">
        <f t="shared" si="16"/>
        <v>17</v>
      </c>
      <c r="J172" s="22">
        <f t="shared" si="17"/>
        <v>177.75</v>
      </c>
      <c r="K172" s="23">
        <f t="shared" si="18"/>
        <v>842.25</v>
      </c>
      <c r="N172" s="25">
        <f t="shared" si="13"/>
        <v>-0.37609841827768015</v>
      </c>
      <c r="O172" s="25"/>
    </row>
    <row r="173" spans="1:15" x14ac:dyDescent="0.25">
      <c r="A173" s="15" t="s">
        <v>14</v>
      </c>
      <c r="B173" s="20">
        <v>35532</v>
      </c>
      <c r="C173" s="15">
        <v>585</v>
      </c>
      <c r="E173" s="15">
        <v>110</v>
      </c>
      <c r="F173" s="21">
        <f t="shared" si="14"/>
        <v>695</v>
      </c>
      <c r="G173" s="18">
        <v>14</v>
      </c>
      <c r="H173" s="22">
        <f t="shared" si="15"/>
        <v>629.5</v>
      </c>
      <c r="I173" s="22">
        <f t="shared" si="16"/>
        <v>17</v>
      </c>
      <c r="J173" s="22">
        <f t="shared" si="17"/>
        <v>147.75</v>
      </c>
      <c r="K173" s="23">
        <f t="shared" si="18"/>
        <v>794.25</v>
      </c>
      <c r="N173" s="25">
        <f t="shared" si="13"/>
        <v>-0.26765015806111697</v>
      </c>
      <c r="O173" s="25"/>
    </row>
    <row r="174" spans="1:15" x14ac:dyDescent="0.25">
      <c r="A174" s="15" t="s">
        <v>14</v>
      </c>
      <c r="B174" s="20">
        <v>35539</v>
      </c>
      <c r="C174" s="15">
        <v>618</v>
      </c>
      <c r="D174" s="15">
        <v>2</v>
      </c>
      <c r="E174" s="15">
        <v>130</v>
      </c>
      <c r="F174" s="21">
        <f t="shared" si="14"/>
        <v>750</v>
      </c>
      <c r="G174" s="18">
        <v>15</v>
      </c>
      <c r="H174" s="22">
        <f t="shared" si="15"/>
        <v>591.75</v>
      </c>
      <c r="I174" s="22">
        <f t="shared" si="16"/>
        <v>8</v>
      </c>
      <c r="J174" s="22">
        <f t="shared" si="17"/>
        <v>118.75</v>
      </c>
      <c r="K174" s="23">
        <f t="shared" si="18"/>
        <v>718.5</v>
      </c>
      <c r="N174" s="25">
        <f t="shared" si="13"/>
        <v>-0.34497816593886466</v>
      </c>
      <c r="O174" s="25"/>
    </row>
    <row r="175" spans="1:15" x14ac:dyDescent="0.25">
      <c r="A175" s="15" t="s">
        <v>14</v>
      </c>
      <c r="B175" s="20">
        <v>35546</v>
      </c>
      <c r="C175" s="15">
        <v>392</v>
      </c>
      <c r="D175" s="15">
        <v>20</v>
      </c>
      <c r="E175" s="15">
        <v>88</v>
      </c>
      <c r="F175" s="21">
        <f t="shared" si="14"/>
        <v>500</v>
      </c>
      <c r="G175" s="18">
        <v>16</v>
      </c>
      <c r="H175" s="22">
        <f t="shared" si="15"/>
        <v>541.75</v>
      </c>
      <c r="I175" s="22">
        <f t="shared" si="16"/>
        <v>12</v>
      </c>
      <c r="J175" s="22">
        <f t="shared" si="17"/>
        <v>113</v>
      </c>
      <c r="K175" s="23">
        <f t="shared" si="18"/>
        <v>666.75</v>
      </c>
      <c r="N175" s="25">
        <f t="shared" si="13"/>
        <v>-0.49748743718592964</v>
      </c>
      <c r="O175" s="25"/>
    </row>
    <row r="176" spans="1:15" x14ac:dyDescent="0.25">
      <c r="A176" s="15" t="s">
        <v>5</v>
      </c>
      <c r="B176" s="20">
        <v>35553</v>
      </c>
      <c r="C176" s="15">
        <v>288</v>
      </c>
      <c r="D176" s="15">
        <v>6</v>
      </c>
      <c r="E176" s="15">
        <v>68</v>
      </c>
      <c r="F176" s="21">
        <f t="shared" si="14"/>
        <v>362</v>
      </c>
      <c r="G176" s="18">
        <v>17</v>
      </c>
      <c r="H176" s="22">
        <f t="shared" si="15"/>
        <v>470.75</v>
      </c>
      <c r="I176" s="22">
        <f t="shared" si="16"/>
        <v>9.3333333333333339</v>
      </c>
      <c r="J176" s="22">
        <f t="shared" si="17"/>
        <v>99</v>
      </c>
      <c r="K176" s="23">
        <f t="shared" si="18"/>
        <v>579.08333333333326</v>
      </c>
      <c r="N176" s="25">
        <f t="shared" si="13"/>
        <v>-0.55198019801980203</v>
      </c>
      <c r="O176" s="25"/>
    </row>
    <row r="177" spans="1:15" x14ac:dyDescent="0.25">
      <c r="A177" s="15" t="s">
        <v>5</v>
      </c>
      <c r="B177" s="20">
        <v>35560</v>
      </c>
      <c r="C177" s="15">
        <v>390</v>
      </c>
      <c r="D177" s="15">
        <v>20</v>
      </c>
      <c r="E177" s="15">
        <v>91</v>
      </c>
      <c r="F177" s="21">
        <f t="shared" si="14"/>
        <v>501</v>
      </c>
      <c r="G177" s="18">
        <v>18</v>
      </c>
      <c r="H177" s="22">
        <f t="shared" si="15"/>
        <v>422</v>
      </c>
      <c r="I177" s="22">
        <f t="shared" si="16"/>
        <v>12</v>
      </c>
      <c r="J177" s="22">
        <f t="shared" si="17"/>
        <v>94.25</v>
      </c>
      <c r="K177" s="23">
        <f t="shared" si="18"/>
        <v>528.25</v>
      </c>
      <c r="N177" s="25">
        <f t="shared" si="13"/>
        <v>-0.42808219178082191</v>
      </c>
      <c r="O177" s="25"/>
    </row>
    <row r="178" spans="1:15" x14ac:dyDescent="0.25">
      <c r="A178" s="15" t="s">
        <v>5</v>
      </c>
      <c r="B178" s="20">
        <v>35567</v>
      </c>
      <c r="C178" s="15">
        <v>725</v>
      </c>
      <c r="D178" s="15">
        <v>45</v>
      </c>
      <c r="E178" s="15">
        <v>140</v>
      </c>
      <c r="F178" s="21">
        <f t="shared" si="14"/>
        <v>910</v>
      </c>
      <c r="G178" s="18">
        <v>19</v>
      </c>
      <c r="H178" s="22">
        <f t="shared" si="15"/>
        <v>448.75</v>
      </c>
      <c r="I178" s="22">
        <f t="shared" si="16"/>
        <v>22.75</v>
      </c>
      <c r="J178" s="22">
        <f t="shared" si="17"/>
        <v>96.75</v>
      </c>
      <c r="K178" s="23">
        <f t="shared" si="18"/>
        <v>568.25</v>
      </c>
      <c r="N178" s="25">
        <f t="shared" si="13"/>
        <v>0.36636636636636638</v>
      </c>
      <c r="O178" s="25"/>
    </row>
    <row r="179" spans="1:15" x14ac:dyDescent="0.25">
      <c r="A179" s="15" t="s">
        <v>5</v>
      </c>
      <c r="B179" s="20">
        <v>35574</v>
      </c>
      <c r="C179" s="15">
        <v>682</v>
      </c>
      <c r="D179" s="15">
        <v>29</v>
      </c>
      <c r="E179" s="15">
        <v>113</v>
      </c>
      <c r="F179" s="21">
        <f t="shared" si="14"/>
        <v>824</v>
      </c>
      <c r="G179" s="18">
        <v>20</v>
      </c>
      <c r="H179" s="22">
        <f t="shared" si="15"/>
        <v>521.25</v>
      </c>
      <c r="I179" s="22">
        <f t="shared" si="16"/>
        <v>25</v>
      </c>
      <c r="J179" s="22">
        <f t="shared" si="17"/>
        <v>103</v>
      </c>
      <c r="K179" s="23">
        <f t="shared" si="18"/>
        <v>649.25</v>
      </c>
      <c r="N179" s="25">
        <f t="shared" si="13"/>
        <v>-0.22629107981220659</v>
      </c>
      <c r="O179" s="25"/>
    </row>
    <row r="180" spans="1:15" x14ac:dyDescent="0.25">
      <c r="A180" s="15" t="s">
        <v>5</v>
      </c>
      <c r="B180" s="20">
        <v>35581</v>
      </c>
      <c r="C180" s="15">
        <v>456</v>
      </c>
      <c r="D180" s="15">
        <v>10</v>
      </c>
      <c r="E180" s="15">
        <v>66</v>
      </c>
      <c r="F180" s="21">
        <f t="shared" si="14"/>
        <v>532</v>
      </c>
      <c r="G180" s="18">
        <v>21</v>
      </c>
      <c r="H180" s="22">
        <f t="shared" si="15"/>
        <v>563.25</v>
      </c>
      <c r="I180" s="22">
        <f t="shared" si="16"/>
        <v>26</v>
      </c>
      <c r="J180" s="22">
        <f t="shared" si="17"/>
        <v>102.5</v>
      </c>
      <c r="K180" s="23">
        <f t="shared" si="18"/>
        <v>691.75</v>
      </c>
      <c r="N180" s="25">
        <f t="shared" ref="N180:N243" si="19">(F180-F128)/F128</f>
        <v>-0.25280898876404495</v>
      </c>
      <c r="O180" s="25"/>
    </row>
    <row r="181" spans="1:15" x14ac:dyDescent="0.25">
      <c r="A181" s="15" t="s">
        <v>30</v>
      </c>
      <c r="B181" s="20">
        <v>35588</v>
      </c>
      <c r="C181" s="15">
        <v>522</v>
      </c>
      <c r="D181" s="15">
        <v>2</v>
      </c>
      <c r="E181" s="15">
        <v>88</v>
      </c>
      <c r="F181" s="21">
        <f t="shared" si="14"/>
        <v>612</v>
      </c>
      <c r="G181" s="18">
        <v>22</v>
      </c>
      <c r="H181" s="22">
        <f t="shared" si="15"/>
        <v>596.25</v>
      </c>
      <c r="I181" s="22">
        <f t="shared" si="16"/>
        <v>21.5</v>
      </c>
      <c r="J181" s="22">
        <f t="shared" si="17"/>
        <v>101.75</v>
      </c>
      <c r="K181" s="23">
        <f t="shared" si="18"/>
        <v>719.5</v>
      </c>
      <c r="N181" s="25">
        <f t="shared" si="19"/>
        <v>-0.13559322033898305</v>
      </c>
      <c r="O181" s="25"/>
    </row>
    <row r="182" spans="1:15" x14ac:dyDescent="0.25">
      <c r="A182" s="15" t="s">
        <v>30</v>
      </c>
      <c r="B182" s="20">
        <v>35595</v>
      </c>
      <c r="C182" s="15">
        <v>724</v>
      </c>
      <c r="D182" s="15">
        <v>14</v>
      </c>
      <c r="E182" s="15">
        <v>151</v>
      </c>
      <c r="F182" s="21">
        <f t="shared" si="14"/>
        <v>889</v>
      </c>
      <c r="G182" s="18">
        <v>23</v>
      </c>
      <c r="H182" s="22">
        <f t="shared" si="15"/>
        <v>596</v>
      </c>
      <c r="I182" s="22">
        <f t="shared" si="16"/>
        <v>13.75</v>
      </c>
      <c r="J182" s="22">
        <f t="shared" si="17"/>
        <v>104.5</v>
      </c>
      <c r="K182" s="23">
        <f t="shared" si="18"/>
        <v>714.25</v>
      </c>
      <c r="N182" s="25">
        <f t="shared" si="19"/>
        <v>-0.15090735434574976</v>
      </c>
      <c r="O182" s="25"/>
    </row>
    <row r="183" spans="1:15" x14ac:dyDescent="0.25">
      <c r="A183" s="15" t="s">
        <v>30</v>
      </c>
      <c r="B183" s="20">
        <v>35602</v>
      </c>
      <c r="C183" s="15">
        <v>607</v>
      </c>
      <c r="D183" s="15">
        <v>17</v>
      </c>
      <c r="E183" s="15">
        <v>110</v>
      </c>
      <c r="F183" s="21">
        <f t="shared" si="14"/>
        <v>734</v>
      </c>
      <c r="G183" s="18">
        <v>24</v>
      </c>
      <c r="H183" s="22">
        <f t="shared" si="15"/>
        <v>577.25</v>
      </c>
      <c r="I183" s="22">
        <f t="shared" si="16"/>
        <v>10.75</v>
      </c>
      <c r="J183" s="22">
        <f t="shared" si="17"/>
        <v>103.75</v>
      </c>
      <c r="K183" s="23">
        <f t="shared" si="18"/>
        <v>691.75</v>
      </c>
      <c r="N183" s="25">
        <f t="shared" si="19"/>
        <v>-0.23382045929018788</v>
      </c>
      <c r="O183" s="25"/>
    </row>
    <row r="184" spans="1:15" x14ac:dyDescent="0.25">
      <c r="A184" s="15" t="s">
        <v>30</v>
      </c>
      <c r="B184" s="20">
        <v>35609</v>
      </c>
      <c r="C184" s="15">
        <v>721</v>
      </c>
      <c r="D184" s="15">
        <v>17</v>
      </c>
      <c r="E184" s="15">
        <v>138</v>
      </c>
      <c r="F184" s="21">
        <f t="shared" si="14"/>
        <v>876</v>
      </c>
      <c r="G184" s="18">
        <v>25</v>
      </c>
      <c r="H184" s="22">
        <f t="shared" si="15"/>
        <v>643.5</v>
      </c>
      <c r="I184" s="22">
        <f t="shared" si="16"/>
        <v>12.5</v>
      </c>
      <c r="J184" s="22">
        <f t="shared" si="17"/>
        <v>121.75</v>
      </c>
      <c r="K184" s="23">
        <f t="shared" si="18"/>
        <v>777.75</v>
      </c>
      <c r="N184" s="25">
        <f t="shared" si="19"/>
        <v>-0.30531324345757338</v>
      </c>
      <c r="O184" s="25"/>
    </row>
    <row r="185" spans="1:15" x14ac:dyDescent="0.25">
      <c r="A185" s="15" t="s">
        <v>31</v>
      </c>
      <c r="B185" s="20">
        <v>35616</v>
      </c>
      <c r="C185" s="15">
        <v>590</v>
      </c>
      <c r="D185" s="15">
        <v>26</v>
      </c>
      <c r="E185" s="15">
        <v>102</v>
      </c>
      <c r="F185" s="21">
        <f t="shared" si="14"/>
        <v>718</v>
      </c>
      <c r="G185" s="18">
        <v>26</v>
      </c>
      <c r="H185" s="22">
        <f t="shared" si="15"/>
        <v>660.5</v>
      </c>
      <c r="I185" s="22">
        <f t="shared" si="16"/>
        <v>18.5</v>
      </c>
      <c r="J185" s="22">
        <f t="shared" si="17"/>
        <v>125.25</v>
      </c>
      <c r="K185" s="23">
        <f t="shared" si="18"/>
        <v>804.25</v>
      </c>
      <c r="N185" s="25">
        <f t="shared" si="19"/>
        <v>-0.42925278219395868</v>
      </c>
      <c r="O185" s="25"/>
    </row>
    <row r="186" spans="1:15" x14ac:dyDescent="0.25">
      <c r="A186" s="15" t="s">
        <v>31</v>
      </c>
      <c r="B186" s="20">
        <v>35623</v>
      </c>
      <c r="C186" s="15">
        <v>791</v>
      </c>
      <c r="D186" s="15">
        <v>31</v>
      </c>
      <c r="E186" s="15">
        <v>132</v>
      </c>
      <c r="F186" s="21">
        <f t="shared" si="14"/>
        <v>954</v>
      </c>
      <c r="G186" s="18">
        <v>27</v>
      </c>
      <c r="H186" s="22">
        <f t="shared" si="15"/>
        <v>677.25</v>
      </c>
      <c r="I186" s="22">
        <f t="shared" si="16"/>
        <v>22.75</v>
      </c>
      <c r="J186" s="22">
        <f t="shared" si="17"/>
        <v>120.5</v>
      </c>
      <c r="K186" s="23">
        <f t="shared" si="18"/>
        <v>820.5</v>
      </c>
      <c r="N186" s="25">
        <f t="shared" si="19"/>
        <v>-4.3129388164493479E-2</v>
      </c>
      <c r="O186" s="25"/>
    </row>
    <row r="187" spans="1:15" x14ac:dyDescent="0.25">
      <c r="A187" s="15" t="s">
        <v>31</v>
      </c>
      <c r="B187" s="20">
        <v>35630</v>
      </c>
      <c r="C187" s="15">
        <v>433</v>
      </c>
      <c r="D187" s="15">
        <v>35</v>
      </c>
      <c r="E187" s="15">
        <v>118</v>
      </c>
      <c r="F187" s="21">
        <f t="shared" si="14"/>
        <v>586</v>
      </c>
      <c r="G187" s="18">
        <v>28</v>
      </c>
      <c r="H187" s="22">
        <f t="shared" si="15"/>
        <v>633.75</v>
      </c>
      <c r="I187" s="22">
        <f t="shared" si="16"/>
        <v>27.25</v>
      </c>
      <c r="J187" s="22">
        <f t="shared" si="17"/>
        <v>122.5</v>
      </c>
      <c r="K187" s="23">
        <f t="shared" si="18"/>
        <v>783.5</v>
      </c>
      <c r="N187" s="25">
        <f t="shared" si="19"/>
        <v>-0.27832512315270935</v>
      </c>
      <c r="O187" s="25"/>
    </row>
    <row r="188" spans="1:15" x14ac:dyDescent="0.25">
      <c r="A188" s="15" t="s">
        <v>31</v>
      </c>
      <c r="B188" s="20">
        <v>35637</v>
      </c>
      <c r="C188" s="15">
        <v>687</v>
      </c>
      <c r="D188" s="15">
        <v>32</v>
      </c>
      <c r="E188" s="15">
        <v>124</v>
      </c>
      <c r="F188" s="21">
        <f t="shared" si="14"/>
        <v>843</v>
      </c>
      <c r="G188" s="18">
        <v>29</v>
      </c>
      <c r="H188" s="22">
        <f t="shared" si="15"/>
        <v>625.25</v>
      </c>
      <c r="I188" s="22">
        <f t="shared" si="16"/>
        <v>31</v>
      </c>
      <c r="J188" s="22">
        <f t="shared" si="17"/>
        <v>119</v>
      </c>
      <c r="K188" s="23">
        <f t="shared" si="18"/>
        <v>775.25</v>
      </c>
      <c r="N188" s="25">
        <f t="shared" si="19"/>
        <v>-0.14416243654822336</v>
      </c>
      <c r="O188" s="25"/>
    </row>
    <row r="189" spans="1:15" x14ac:dyDescent="0.25">
      <c r="A189" s="15" t="s">
        <v>31</v>
      </c>
      <c r="B189" s="20">
        <v>35644</v>
      </c>
      <c r="C189" s="15">
        <v>566</v>
      </c>
      <c r="D189" s="15">
        <v>35</v>
      </c>
      <c r="E189" s="15">
        <v>180</v>
      </c>
      <c r="F189" s="21">
        <f t="shared" si="14"/>
        <v>781</v>
      </c>
      <c r="G189" s="18">
        <v>30</v>
      </c>
      <c r="H189" s="22">
        <f t="shared" si="15"/>
        <v>619.25</v>
      </c>
      <c r="I189" s="22">
        <f t="shared" si="16"/>
        <v>33.25</v>
      </c>
      <c r="J189" s="22">
        <f t="shared" si="17"/>
        <v>138.5</v>
      </c>
      <c r="K189" s="23">
        <f t="shared" si="18"/>
        <v>791</v>
      </c>
      <c r="N189" s="25">
        <f t="shared" si="19"/>
        <v>-0.10946408209806158</v>
      </c>
      <c r="O189" s="25"/>
    </row>
    <row r="190" spans="1:15" x14ac:dyDescent="0.25">
      <c r="A190" s="15" t="s">
        <v>19</v>
      </c>
      <c r="B190" s="20">
        <v>35651</v>
      </c>
      <c r="C190" s="15">
        <v>601</v>
      </c>
      <c r="D190" s="15">
        <v>41</v>
      </c>
      <c r="E190" s="15">
        <v>98</v>
      </c>
      <c r="F190" s="21">
        <f t="shared" si="14"/>
        <v>740</v>
      </c>
      <c r="G190" s="18">
        <v>31</v>
      </c>
      <c r="H190" s="22">
        <f t="shared" si="15"/>
        <v>571.75</v>
      </c>
      <c r="I190" s="22">
        <f t="shared" si="16"/>
        <v>35.75</v>
      </c>
      <c r="J190" s="22">
        <f t="shared" si="17"/>
        <v>130</v>
      </c>
      <c r="K190" s="23">
        <f t="shared" si="18"/>
        <v>737.5</v>
      </c>
      <c r="N190" s="25">
        <f t="shared" si="19"/>
        <v>-0.10411622276029056</v>
      </c>
      <c r="O190" s="25"/>
    </row>
    <row r="191" spans="1:15" x14ac:dyDescent="0.25">
      <c r="A191" s="15" t="s">
        <v>19</v>
      </c>
      <c r="B191" s="20">
        <v>35658</v>
      </c>
      <c r="C191" s="15">
        <v>576</v>
      </c>
      <c r="D191" s="15">
        <v>32</v>
      </c>
      <c r="E191" s="15">
        <v>98</v>
      </c>
      <c r="F191" s="21">
        <f t="shared" si="14"/>
        <v>706</v>
      </c>
      <c r="G191" s="18">
        <v>32</v>
      </c>
      <c r="H191" s="22">
        <f t="shared" si="15"/>
        <v>607.5</v>
      </c>
      <c r="I191" s="22">
        <f t="shared" si="16"/>
        <v>35</v>
      </c>
      <c r="J191" s="22">
        <f t="shared" si="17"/>
        <v>125</v>
      </c>
      <c r="K191" s="23">
        <f t="shared" si="18"/>
        <v>767.5</v>
      </c>
      <c r="N191" s="25">
        <f t="shared" si="19"/>
        <v>0.3843137254901961</v>
      </c>
      <c r="O191" s="25"/>
    </row>
    <row r="192" spans="1:15" x14ac:dyDescent="0.25">
      <c r="A192" s="15" t="s">
        <v>19</v>
      </c>
      <c r="B192" s="20">
        <v>35665</v>
      </c>
      <c r="C192" s="15">
        <v>464</v>
      </c>
      <c r="D192" s="15">
        <v>26</v>
      </c>
      <c r="E192" s="15">
        <v>91</v>
      </c>
      <c r="F192" s="21">
        <f t="shared" si="14"/>
        <v>581</v>
      </c>
      <c r="G192" s="18">
        <v>33</v>
      </c>
      <c r="H192" s="22">
        <f t="shared" si="15"/>
        <v>551.75</v>
      </c>
      <c r="I192" s="22">
        <f t="shared" si="16"/>
        <v>33.5</v>
      </c>
      <c r="J192" s="22">
        <f t="shared" si="17"/>
        <v>116.75</v>
      </c>
      <c r="K192" s="23">
        <f t="shared" si="18"/>
        <v>702</v>
      </c>
      <c r="N192" s="25">
        <f t="shared" si="19"/>
        <v>0.23354564755838642</v>
      </c>
      <c r="O192" s="25"/>
    </row>
    <row r="193" spans="1:15" x14ac:dyDescent="0.25">
      <c r="A193" s="15" t="s">
        <v>19</v>
      </c>
      <c r="B193" s="20">
        <v>35672</v>
      </c>
      <c r="C193" s="15">
        <v>473</v>
      </c>
      <c r="D193" s="15">
        <v>5</v>
      </c>
      <c r="E193" s="15">
        <v>112</v>
      </c>
      <c r="F193" s="21">
        <f t="shared" si="14"/>
        <v>590</v>
      </c>
      <c r="G193" s="18">
        <v>34</v>
      </c>
      <c r="H193" s="22">
        <f t="shared" si="15"/>
        <v>528.5</v>
      </c>
      <c r="I193" s="22">
        <f t="shared" si="16"/>
        <v>26</v>
      </c>
      <c r="J193" s="22">
        <f t="shared" si="17"/>
        <v>99.75</v>
      </c>
      <c r="K193" s="23">
        <f t="shared" si="18"/>
        <v>654.25</v>
      </c>
      <c r="N193" s="25">
        <f t="shared" si="19"/>
        <v>0.59029649595687328</v>
      </c>
      <c r="O193" s="25"/>
    </row>
    <row r="194" spans="1:15" x14ac:dyDescent="0.25">
      <c r="A194" s="15" t="s">
        <v>24</v>
      </c>
      <c r="B194" s="20">
        <v>35679</v>
      </c>
      <c r="C194" s="15">
        <v>642</v>
      </c>
      <c r="D194" s="15">
        <v>51</v>
      </c>
      <c r="E194" s="15">
        <v>104</v>
      </c>
      <c r="F194" s="21">
        <f t="shared" si="14"/>
        <v>797</v>
      </c>
      <c r="G194" s="18">
        <v>35</v>
      </c>
      <c r="H194" s="22">
        <f t="shared" si="15"/>
        <v>538.75</v>
      </c>
      <c r="I194" s="22">
        <f t="shared" si="16"/>
        <v>28.5</v>
      </c>
      <c r="J194" s="22">
        <f t="shared" si="17"/>
        <v>101.25</v>
      </c>
      <c r="K194" s="23">
        <f t="shared" si="18"/>
        <v>668.5</v>
      </c>
      <c r="N194" s="25">
        <f t="shared" si="19"/>
        <v>3.0663265306122449</v>
      </c>
      <c r="O194" s="25"/>
    </row>
    <row r="195" spans="1:15" x14ac:dyDescent="0.25">
      <c r="A195" s="15" t="s">
        <v>24</v>
      </c>
      <c r="B195" s="20">
        <v>35686</v>
      </c>
      <c r="C195" s="15">
        <v>475</v>
      </c>
      <c r="D195" s="15">
        <v>80</v>
      </c>
      <c r="E195" s="15">
        <v>95</v>
      </c>
      <c r="F195" s="21">
        <f t="shared" si="14"/>
        <v>650</v>
      </c>
      <c r="G195" s="18">
        <v>36</v>
      </c>
      <c r="H195" s="22">
        <f t="shared" si="15"/>
        <v>513.5</v>
      </c>
      <c r="I195" s="22">
        <f t="shared" si="16"/>
        <v>40.5</v>
      </c>
      <c r="J195" s="22">
        <f t="shared" si="17"/>
        <v>100.5</v>
      </c>
      <c r="K195" s="23">
        <f t="shared" si="18"/>
        <v>654.5</v>
      </c>
      <c r="N195" s="25">
        <f t="shared" si="19"/>
        <v>1.0123839009287925</v>
      </c>
      <c r="O195" s="25"/>
    </row>
    <row r="196" spans="1:15" x14ac:dyDescent="0.25">
      <c r="A196" s="15" t="s">
        <v>24</v>
      </c>
      <c r="B196" s="20">
        <v>35693</v>
      </c>
      <c r="C196" s="15">
        <v>374</v>
      </c>
      <c r="D196" s="15">
        <v>55</v>
      </c>
      <c r="E196" s="15">
        <v>50</v>
      </c>
      <c r="F196" s="21">
        <f t="shared" si="14"/>
        <v>479</v>
      </c>
      <c r="G196" s="18">
        <v>37</v>
      </c>
      <c r="H196" s="22">
        <f t="shared" si="15"/>
        <v>491</v>
      </c>
      <c r="I196" s="22">
        <f t="shared" si="16"/>
        <v>47.75</v>
      </c>
      <c r="J196" s="22">
        <f t="shared" si="17"/>
        <v>90.25</v>
      </c>
      <c r="K196" s="23">
        <f t="shared" si="18"/>
        <v>629</v>
      </c>
      <c r="N196" s="25">
        <f t="shared" si="19"/>
        <v>0.86381322957198448</v>
      </c>
      <c r="O196" s="25"/>
    </row>
    <row r="197" spans="1:15" x14ac:dyDescent="0.25">
      <c r="A197" s="15" t="s">
        <v>24</v>
      </c>
      <c r="B197" s="20">
        <v>35700</v>
      </c>
      <c r="C197" s="15">
        <v>281</v>
      </c>
      <c r="D197" s="15">
        <v>73</v>
      </c>
      <c r="E197" s="15">
        <v>62</v>
      </c>
      <c r="F197" s="21">
        <f t="shared" si="14"/>
        <v>416</v>
      </c>
      <c r="G197" s="18">
        <v>38</v>
      </c>
      <c r="H197" s="22">
        <f t="shared" si="15"/>
        <v>443</v>
      </c>
      <c r="I197" s="22">
        <f t="shared" si="16"/>
        <v>64.75</v>
      </c>
      <c r="J197" s="22">
        <f t="shared" si="17"/>
        <v>77.75</v>
      </c>
      <c r="K197" s="23">
        <f t="shared" si="18"/>
        <v>585.5</v>
      </c>
      <c r="N197" s="25">
        <f t="shared" si="19"/>
        <v>0.44444444444444442</v>
      </c>
      <c r="O197" s="25"/>
    </row>
    <row r="198" spans="1:15" x14ac:dyDescent="0.25">
      <c r="A198" s="15" t="s">
        <v>20</v>
      </c>
      <c r="B198" s="20">
        <v>35707</v>
      </c>
      <c r="C198" s="15">
        <v>344</v>
      </c>
      <c r="D198" s="15">
        <v>65</v>
      </c>
      <c r="E198" s="15">
        <v>96</v>
      </c>
      <c r="F198" s="21">
        <f t="shared" ref="F198:F261" si="20">SUM(C198:E198)</f>
        <v>505</v>
      </c>
      <c r="G198" s="18">
        <v>39</v>
      </c>
      <c r="H198" s="22">
        <f t="shared" si="15"/>
        <v>368.5</v>
      </c>
      <c r="I198" s="22">
        <f t="shared" si="16"/>
        <v>68.25</v>
      </c>
      <c r="J198" s="22">
        <f t="shared" si="17"/>
        <v>75.75</v>
      </c>
      <c r="K198" s="23">
        <f t="shared" si="18"/>
        <v>512.5</v>
      </c>
      <c r="N198" s="25">
        <f t="shared" si="19"/>
        <v>2.0981595092024539</v>
      </c>
      <c r="O198" s="25"/>
    </row>
    <row r="199" spans="1:15" x14ac:dyDescent="0.25">
      <c r="A199" s="15" t="s">
        <v>20</v>
      </c>
      <c r="B199" s="20">
        <v>35714</v>
      </c>
      <c r="C199" s="15">
        <v>419</v>
      </c>
      <c r="D199" s="15">
        <v>48</v>
      </c>
      <c r="E199" s="15">
        <v>493</v>
      </c>
      <c r="F199" s="21">
        <f t="shared" si="20"/>
        <v>960</v>
      </c>
      <c r="G199" s="18">
        <v>40</v>
      </c>
      <c r="H199" s="22">
        <f t="shared" si="15"/>
        <v>354.5</v>
      </c>
      <c r="I199" s="22">
        <f t="shared" si="16"/>
        <v>60.25</v>
      </c>
      <c r="J199" s="22">
        <f t="shared" si="17"/>
        <v>175.25</v>
      </c>
      <c r="K199" s="23">
        <f t="shared" si="18"/>
        <v>590</v>
      </c>
      <c r="N199" s="25">
        <f t="shared" si="19"/>
        <v>0.68421052631578949</v>
      </c>
      <c r="O199" s="25"/>
    </row>
    <row r="200" spans="1:15" x14ac:dyDescent="0.25">
      <c r="A200" s="15" t="s">
        <v>20</v>
      </c>
      <c r="B200" s="20">
        <v>35721</v>
      </c>
      <c r="C200" s="15">
        <v>436</v>
      </c>
      <c r="D200" s="15">
        <v>25</v>
      </c>
      <c r="E200" s="15">
        <v>716</v>
      </c>
      <c r="F200" s="21">
        <f t="shared" si="20"/>
        <v>1177</v>
      </c>
      <c r="G200" s="18">
        <v>41</v>
      </c>
      <c r="H200" s="22">
        <f t="shared" si="15"/>
        <v>370</v>
      </c>
      <c r="I200" s="22">
        <f t="shared" si="16"/>
        <v>52.75</v>
      </c>
      <c r="J200" s="22">
        <f t="shared" si="17"/>
        <v>341.75</v>
      </c>
      <c r="K200" s="23">
        <f t="shared" si="18"/>
        <v>764.5</v>
      </c>
      <c r="N200" s="25">
        <f t="shared" si="19"/>
        <v>0.15392156862745099</v>
      </c>
      <c r="O200" s="25"/>
    </row>
    <row r="201" spans="1:15" x14ac:dyDescent="0.25">
      <c r="A201" s="15" t="s">
        <v>20</v>
      </c>
      <c r="B201" s="20">
        <v>35728</v>
      </c>
      <c r="C201" s="15">
        <v>700</v>
      </c>
      <c r="D201" s="15">
        <v>17</v>
      </c>
      <c r="E201" s="15">
        <v>597</v>
      </c>
      <c r="F201" s="21">
        <f t="shared" si="20"/>
        <v>1314</v>
      </c>
      <c r="G201" s="18">
        <v>42</v>
      </c>
      <c r="H201" s="22">
        <f t="shared" si="15"/>
        <v>474.75</v>
      </c>
      <c r="I201" s="22">
        <f t="shared" si="16"/>
        <v>38.75</v>
      </c>
      <c r="J201" s="22">
        <f t="shared" si="17"/>
        <v>475.5</v>
      </c>
      <c r="K201" s="23">
        <f t="shared" si="18"/>
        <v>989</v>
      </c>
      <c r="N201" s="25">
        <f t="shared" si="19"/>
        <v>8.3264633140972794E-2</v>
      </c>
      <c r="O201" s="25"/>
    </row>
    <row r="202" spans="1:15" x14ac:dyDescent="0.25">
      <c r="A202" s="15" t="s">
        <v>20</v>
      </c>
      <c r="B202" s="20">
        <v>35735</v>
      </c>
      <c r="C202" s="15">
        <v>709</v>
      </c>
      <c r="D202" s="15">
        <v>16</v>
      </c>
      <c r="E202" s="15">
        <v>406</v>
      </c>
      <c r="F202" s="21">
        <f t="shared" si="20"/>
        <v>1131</v>
      </c>
      <c r="G202" s="18">
        <v>43</v>
      </c>
      <c r="H202" s="22">
        <f t="shared" ref="H202:H265" si="21">AVERAGE(C199:C202)</f>
        <v>566</v>
      </c>
      <c r="I202" s="22">
        <f t="shared" ref="I202:I265" si="22">AVERAGE(D199:D202)</f>
        <v>26.5</v>
      </c>
      <c r="J202" s="22">
        <f t="shared" ref="J202:J265" si="23">AVERAGE(E199:E202)</f>
        <v>553</v>
      </c>
      <c r="K202" s="23">
        <f t="shared" ref="K202:K265" si="24">SUM(H202:J202)</f>
        <v>1145.5</v>
      </c>
      <c r="N202" s="25">
        <f t="shared" si="19"/>
        <v>-2.8350515463917526E-2</v>
      </c>
      <c r="O202" s="25"/>
    </row>
    <row r="203" spans="1:15" x14ac:dyDescent="0.25">
      <c r="A203" s="15" t="s">
        <v>26</v>
      </c>
      <c r="B203" s="20">
        <v>35742</v>
      </c>
      <c r="C203" s="15">
        <v>702</v>
      </c>
      <c r="D203" s="15">
        <v>11</v>
      </c>
      <c r="E203" s="15">
        <v>147</v>
      </c>
      <c r="F203" s="21">
        <f t="shared" si="20"/>
        <v>860</v>
      </c>
      <c r="G203" s="18">
        <v>44</v>
      </c>
      <c r="H203" s="22">
        <f t="shared" si="21"/>
        <v>636.75</v>
      </c>
      <c r="I203" s="22">
        <f t="shared" si="22"/>
        <v>17.25</v>
      </c>
      <c r="J203" s="22">
        <f t="shared" si="23"/>
        <v>466.5</v>
      </c>
      <c r="K203" s="23">
        <f t="shared" si="24"/>
        <v>1120.5</v>
      </c>
      <c r="N203" s="25">
        <f t="shared" si="19"/>
        <v>-0.29738562091503268</v>
      </c>
      <c r="O203" s="25"/>
    </row>
    <row r="204" spans="1:15" x14ac:dyDescent="0.25">
      <c r="A204" s="15" t="s">
        <v>26</v>
      </c>
      <c r="B204" s="20">
        <v>35749</v>
      </c>
      <c r="C204" s="15">
        <v>830</v>
      </c>
      <c r="D204" s="15">
        <v>23</v>
      </c>
      <c r="E204" s="15">
        <v>215</v>
      </c>
      <c r="F204" s="21">
        <f t="shared" si="20"/>
        <v>1068</v>
      </c>
      <c r="G204" s="18">
        <v>45</v>
      </c>
      <c r="H204" s="22">
        <f t="shared" si="21"/>
        <v>735.25</v>
      </c>
      <c r="I204" s="22">
        <f t="shared" si="22"/>
        <v>16.75</v>
      </c>
      <c r="J204" s="22">
        <f t="shared" si="23"/>
        <v>341.25</v>
      </c>
      <c r="K204" s="23">
        <f t="shared" si="24"/>
        <v>1093.25</v>
      </c>
      <c r="N204" s="25">
        <f t="shared" si="19"/>
        <v>-0.20476545048399106</v>
      </c>
      <c r="O204" s="25"/>
    </row>
    <row r="205" spans="1:15" x14ac:dyDescent="0.25">
      <c r="A205" s="15" t="s">
        <v>26</v>
      </c>
      <c r="B205" s="20">
        <v>35756</v>
      </c>
      <c r="C205" s="15">
        <v>936</v>
      </c>
      <c r="D205" s="15">
        <v>24</v>
      </c>
      <c r="E205" s="15">
        <v>242</v>
      </c>
      <c r="F205" s="21">
        <f t="shared" si="20"/>
        <v>1202</v>
      </c>
      <c r="G205" s="18">
        <v>46</v>
      </c>
      <c r="H205" s="22">
        <f t="shared" si="21"/>
        <v>794.25</v>
      </c>
      <c r="I205" s="22">
        <f t="shared" si="22"/>
        <v>18.5</v>
      </c>
      <c r="J205" s="22">
        <f t="shared" si="23"/>
        <v>252.5</v>
      </c>
      <c r="K205" s="23">
        <f t="shared" si="24"/>
        <v>1065.25</v>
      </c>
      <c r="N205" s="25">
        <f t="shared" si="19"/>
        <v>8.5817524841915085E-2</v>
      </c>
      <c r="O205" s="25"/>
    </row>
    <row r="206" spans="1:15" x14ac:dyDescent="0.25">
      <c r="A206" s="15" t="s">
        <v>26</v>
      </c>
      <c r="B206" s="20">
        <v>35763</v>
      </c>
      <c r="C206" s="15">
        <v>981</v>
      </c>
      <c r="D206" s="15">
        <v>22</v>
      </c>
      <c r="E206" s="15">
        <v>167</v>
      </c>
      <c r="F206" s="21">
        <f t="shared" si="20"/>
        <v>1170</v>
      </c>
      <c r="G206" s="18">
        <v>47</v>
      </c>
      <c r="H206" s="22">
        <f t="shared" si="21"/>
        <v>862.25</v>
      </c>
      <c r="I206" s="22">
        <f t="shared" si="22"/>
        <v>20</v>
      </c>
      <c r="J206" s="22">
        <f t="shared" si="23"/>
        <v>192.75</v>
      </c>
      <c r="K206" s="23">
        <f t="shared" si="24"/>
        <v>1075</v>
      </c>
      <c r="N206" s="25">
        <f t="shared" si="19"/>
        <v>-6.9212410501193311E-2</v>
      </c>
      <c r="O206" s="25"/>
    </row>
    <row r="207" spans="1:15" x14ac:dyDescent="0.25">
      <c r="A207" s="15" t="s">
        <v>15</v>
      </c>
      <c r="B207" s="20">
        <v>35770</v>
      </c>
      <c r="C207" s="15">
        <v>841</v>
      </c>
      <c r="D207" s="15">
        <v>11</v>
      </c>
      <c r="E207" s="15">
        <v>211</v>
      </c>
      <c r="F207" s="21">
        <f t="shared" si="20"/>
        <v>1063</v>
      </c>
      <c r="G207" s="18">
        <v>48</v>
      </c>
      <c r="H207" s="22">
        <f t="shared" si="21"/>
        <v>897</v>
      </c>
      <c r="I207" s="22">
        <f t="shared" si="22"/>
        <v>20</v>
      </c>
      <c r="J207" s="22">
        <f t="shared" si="23"/>
        <v>208.75</v>
      </c>
      <c r="K207" s="23">
        <f t="shared" si="24"/>
        <v>1125.75</v>
      </c>
      <c r="N207" s="25">
        <f t="shared" si="19"/>
        <v>-0.18730886850152906</v>
      </c>
      <c r="O207" s="25"/>
    </row>
    <row r="208" spans="1:15" x14ac:dyDescent="0.25">
      <c r="A208" s="15" t="s">
        <v>15</v>
      </c>
      <c r="B208" s="20">
        <v>35777</v>
      </c>
      <c r="C208" s="15">
        <v>528</v>
      </c>
      <c r="D208" s="15">
        <v>67</v>
      </c>
      <c r="E208" s="15">
        <v>220</v>
      </c>
      <c r="F208" s="21">
        <f t="shared" si="20"/>
        <v>815</v>
      </c>
      <c r="G208" s="18">
        <v>49</v>
      </c>
      <c r="H208" s="22">
        <f t="shared" si="21"/>
        <v>821.5</v>
      </c>
      <c r="I208" s="22">
        <f t="shared" si="22"/>
        <v>31</v>
      </c>
      <c r="J208" s="22">
        <f t="shared" si="23"/>
        <v>210</v>
      </c>
      <c r="K208" s="23">
        <f t="shared" si="24"/>
        <v>1062.5</v>
      </c>
      <c r="N208" s="25">
        <f t="shared" si="19"/>
        <v>-0.26110607434270172</v>
      </c>
      <c r="O208" s="25"/>
    </row>
    <row r="209" spans="1:15" x14ac:dyDescent="0.25">
      <c r="A209" s="15" t="s">
        <v>15</v>
      </c>
      <c r="B209" s="20">
        <v>35784</v>
      </c>
      <c r="C209" s="15">
        <v>412</v>
      </c>
      <c r="D209" s="15">
        <v>10</v>
      </c>
      <c r="E209" s="15">
        <v>126</v>
      </c>
      <c r="F209" s="21">
        <f t="shared" si="20"/>
        <v>548</v>
      </c>
      <c r="G209" s="18">
        <v>50</v>
      </c>
      <c r="H209" s="22">
        <f t="shared" si="21"/>
        <v>690.5</v>
      </c>
      <c r="I209" s="22">
        <f t="shared" si="22"/>
        <v>27.5</v>
      </c>
      <c r="J209" s="22">
        <f t="shared" si="23"/>
        <v>181</v>
      </c>
      <c r="K209" s="23">
        <f t="shared" si="24"/>
        <v>899</v>
      </c>
      <c r="N209" s="25">
        <f t="shared" si="19"/>
        <v>-6.0034305317324184E-2</v>
      </c>
      <c r="O209" s="25"/>
    </row>
    <row r="210" spans="1:15" x14ac:dyDescent="0.25">
      <c r="A210" s="15" t="s">
        <v>15</v>
      </c>
      <c r="B210" s="20">
        <v>35791</v>
      </c>
      <c r="C210" s="15">
        <v>404</v>
      </c>
      <c r="D210" s="15">
        <v>2</v>
      </c>
      <c r="E210" s="15">
        <v>121</v>
      </c>
      <c r="F210" s="21">
        <f t="shared" si="20"/>
        <v>527</v>
      </c>
      <c r="G210" s="18">
        <v>51</v>
      </c>
      <c r="H210" s="22">
        <f t="shared" si="21"/>
        <v>546.25</v>
      </c>
      <c r="I210" s="22">
        <f t="shared" si="22"/>
        <v>22.5</v>
      </c>
      <c r="J210" s="22">
        <f t="shared" si="23"/>
        <v>169.5</v>
      </c>
      <c r="K210" s="23">
        <f t="shared" si="24"/>
        <v>738.25</v>
      </c>
      <c r="N210" s="25">
        <f t="shared" si="19"/>
        <v>0.50142450142450146</v>
      </c>
      <c r="O210" s="25"/>
    </row>
    <row r="211" spans="1:15" x14ac:dyDescent="0.25">
      <c r="A211" s="15" t="s">
        <v>15</v>
      </c>
      <c r="B211" s="20">
        <v>35798</v>
      </c>
      <c r="C211" s="15">
        <v>210</v>
      </c>
      <c r="D211" s="15">
        <v>24</v>
      </c>
      <c r="E211" s="15">
        <v>146</v>
      </c>
      <c r="F211" s="21">
        <f t="shared" si="20"/>
        <v>380</v>
      </c>
      <c r="G211" s="18">
        <v>52</v>
      </c>
      <c r="H211" s="22">
        <f t="shared" si="21"/>
        <v>388.5</v>
      </c>
      <c r="I211" s="22">
        <f t="shared" si="22"/>
        <v>25.75</v>
      </c>
      <c r="J211" s="22">
        <f t="shared" si="23"/>
        <v>153.25</v>
      </c>
      <c r="K211" s="23">
        <f t="shared" si="24"/>
        <v>567.5</v>
      </c>
      <c r="L211" s="23">
        <f t="shared" ref="L211:L262" si="25">AVERAGE(K55+K107+K159)/3</f>
        <v>662.66666666666663</v>
      </c>
      <c r="M211" s="23">
        <f>AVERAGE(F55+F107+F159)/3</f>
        <v>457.33333333333331</v>
      </c>
      <c r="N211" s="25">
        <f t="shared" si="19"/>
        <v>0.24590163934426229</v>
      </c>
      <c r="O211" s="25">
        <f t="shared" ref="O211:O265" si="26">(F211-L211)/L211</f>
        <v>-0.42655935613682089</v>
      </c>
    </row>
    <row r="212" spans="1:15" x14ac:dyDescent="0.25">
      <c r="A212" s="15" t="s">
        <v>16</v>
      </c>
      <c r="B212" s="20">
        <v>35805</v>
      </c>
      <c r="C212" s="15">
        <v>310</v>
      </c>
      <c r="D212" s="15">
        <v>0</v>
      </c>
      <c r="E212" s="15">
        <v>82</v>
      </c>
      <c r="F212" s="21">
        <f t="shared" si="20"/>
        <v>392</v>
      </c>
      <c r="G212" s="18">
        <v>1</v>
      </c>
      <c r="H212" s="22">
        <f t="shared" si="21"/>
        <v>334</v>
      </c>
      <c r="I212" s="22">
        <f t="shared" si="22"/>
        <v>9</v>
      </c>
      <c r="J212" s="22">
        <f t="shared" si="23"/>
        <v>118.75</v>
      </c>
      <c r="K212" s="23">
        <f t="shared" si="24"/>
        <v>461.75</v>
      </c>
      <c r="L212" s="23">
        <f t="shared" si="25"/>
        <v>567.8611111111112</v>
      </c>
      <c r="M212" s="23">
        <f t="shared" ref="M212:M275" si="27">AVERAGE(F56+F108+F160)/3</f>
        <v>553.33333333333337</v>
      </c>
      <c r="N212" s="25">
        <f t="shared" si="19"/>
        <v>-0.41666666666666669</v>
      </c>
      <c r="O212" s="25">
        <f t="shared" si="26"/>
        <v>-0.30969035855794169</v>
      </c>
    </row>
    <row r="213" spans="1:15" x14ac:dyDescent="0.25">
      <c r="A213" s="15" t="s">
        <v>16</v>
      </c>
      <c r="B213" s="20">
        <v>35812</v>
      </c>
      <c r="C213" s="15">
        <v>362</v>
      </c>
      <c r="D213" s="15">
        <v>5</v>
      </c>
      <c r="E213" s="15">
        <v>92</v>
      </c>
      <c r="F213" s="21">
        <f t="shared" si="20"/>
        <v>459</v>
      </c>
      <c r="G213" s="18">
        <v>2</v>
      </c>
      <c r="H213" s="22">
        <f t="shared" si="21"/>
        <v>321.5</v>
      </c>
      <c r="I213" s="22">
        <f t="shared" si="22"/>
        <v>7.75</v>
      </c>
      <c r="J213" s="22">
        <f t="shared" si="23"/>
        <v>110.25</v>
      </c>
      <c r="K213" s="23">
        <f t="shared" si="24"/>
        <v>439.5</v>
      </c>
      <c r="L213" s="23">
        <f t="shared" si="25"/>
        <v>538.8611111111112</v>
      </c>
      <c r="M213" s="23">
        <f t="shared" si="27"/>
        <v>627.66666666666663</v>
      </c>
      <c r="N213" s="25">
        <f t="shared" si="19"/>
        <v>0.27500000000000002</v>
      </c>
      <c r="O213" s="25">
        <f t="shared" si="26"/>
        <v>-0.14820351564513648</v>
      </c>
    </row>
    <row r="214" spans="1:15" x14ac:dyDescent="0.25">
      <c r="A214" s="15" t="s">
        <v>16</v>
      </c>
      <c r="B214" s="20">
        <v>35819</v>
      </c>
      <c r="C214" s="15">
        <v>431</v>
      </c>
      <c r="D214" s="15">
        <v>0</v>
      </c>
      <c r="E214" s="15">
        <v>96</v>
      </c>
      <c r="F214" s="21">
        <f t="shared" si="20"/>
        <v>527</v>
      </c>
      <c r="G214" s="18">
        <v>3</v>
      </c>
      <c r="H214" s="22">
        <f t="shared" si="21"/>
        <v>328.25</v>
      </c>
      <c r="I214" s="22">
        <f t="shared" si="22"/>
        <v>7.25</v>
      </c>
      <c r="J214" s="22">
        <f t="shared" si="23"/>
        <v>104</v>
      </c>
      <c r="K214" s="23">
        <f t="shared" si="24"/>
        <v>439.5</v>
      </c>
      <c r="L214" s="23">
        <f t="shared" si="25"/>
        <v>552.41666666666663</v>
      </c>
      <c r="M214" s="23">
        <f t="shared" si="27"/>
        <v>559</v>
      </c>
      <c r="N214" s="25">
        <f t="shared" si="19"/>
        <v>0.66246056782334384</v>
      </c>
      <c r="O214" s="25">
        <f t="shared" si="26"/>
        <v>-4.6009956252828416E-2</v>
      </c>
    </row>
    <row r="215" spans="1:15" x14ac:dyDescent="0.25">
      <c r="A215" s="15" t="s">
        <v>16</v>
      </c>
      <c r="B215" s="20">
        <v>35826</v>
      </c>
      <c r="C215" s="15">
        <v>482</v>
      </c>
      <c r="D215" s="15">
        <v>2</v>
      </c>
      <c r="E215" s="15">
        <v>113</v>
      </c>
      <c r="F215" s="21">
        <f t="shared" si="20"/>
        <v>597</v>
      </c>
      <c r="G215" s="18">
        <v>4</v>
      </c>
      <c r="H215" s="22">
        <f t="shared" si="21"/>
        <v>396.25</v>
      </c>
      <c r="I215" s="22">
        <f t="shared" si="22"/>
        <v>1.75</v>
      </c>
      <c r="J215" s="22">
        <f t="shared" si="23"/>
        <v>95.75</v>
      </c>
      <c r="K215" s="23">
        <f t="shared" si="24"/>
        <v>493.75</v>
      </c>
      <c r="L215" s="23">
        <f t="shared" si="25"/>
        <v>558.66666666666663</v>
      </c>
      <c r="M215" s="23">
        <f t="shared" si="27"/>
        <v>479.66666666666669</v>
      </c>
      <c r="N215" s="25">
        <f t="shared" si="19"/>
        <v>0.80909090909090908</v>
      </c>
      <c r="O215" s="25">
        <f t="shared" si="26"/>
        <v>6.8615751789976212E-2</v>
      </c>
    </row>
    <row r="216" spans="1:15" x14ac:dyDescent="0.25">
      <c r="A216" s="15" t="s">
        <v>23</v>
      </c>
      <c r="B216" s="20">
        <v>35833</v>
      </c>
      <c r="C216" s="15">
        <v>526</v>
      </c>
      <c r="D216" s="15">
        <v>5</v>
      </c>
      <c r="E216" s="15">
        <v>186</v>
      </c>
      <c r="F216" s="21">
        <f t="shared" si="20"/>
        <v>717</v>
      </c>
      <c r="G216" s="18">
        <v>5</v>
      </c>
      <c r="H216" s="22">
        <f t="shared" si="21"/>
        <v>450.25</v>
      </c>
      <c r="I216" s="22">
        <f t="shared" si="22"/>
        <v>3</v>
      </c>
      <c r="J216" s="22">
        <f t="shared" si="23"/>
        <v>121.75</v>
      </c>
      <c r="K216" s="23">
        <f t="shared" si="24"/>
        <v>575</v>
      </c>
      <c r="L216" s="23">
        <f t="shared" si="25"/>
        <v>523.91666666666663</v>
      </c>
      <c r="M216" s="23">
        <f t="shared" si="27"/>
        <v>413.33333333333331</v>
      </c>
      <c r="N216" s="25">
        <f t="shared" si="19"/>
        <v>0.48140495867768596</v>
      </c>
      <c r="O216" s="25">
        <f t="shared" si="26"/>
        <v>0.36853825353904895</v>
      </c>
    </row>
    <row r="217" spans="1:15" x14ac:dyDescent="0.25">
      <c r="A217" s="15" t="s">
        <v>23</v>
      </c>
      <c r="B217" s="20">
        <v>35840</v>
      </c>
      <c r="C217" s="15">
        <v>403</v>
      </c>
      <c r="D217" s="15">
        <v>6</v>
      </c>
      <c r="E217" s="15">
        <v>89</v>
      </c>
      <c r="F217" s="21">
        <f t="shared" si="20"/>
        <v>498</v>
      </c>
      <c r="G217" s="18">
        <v>6</v>
      </c>
      <c r="H217" s="22">
        <f t="shared" si="21"/>
        <v>460.5</v>
      </c>
      <c r="I217" s="22">
        <f t="shared" si="22"/>
        <v>3.25</v>
      </c>
      <c r="J217" s="22">
        <f t="shared" si="23"/>
        <v>121</v>
      </c>
      <c r="K217" s="23">
        <f t="shared" si="24"/>
        <v>584.75</v>
      </c>
      <c r="L217" s="23">
        <f t="shared" si="25"/>
        <v>474.16666666666669</v>
      </c>
      <c r="M217" s="23">
        <f t="shared" si="27"/>
        <v>434.33333333333331</v>
      </c>
      <c r="N217" s="25">
        <f t="shared" si="19"/>
        <v>0.20873786407766989</v>
      </c>
      <c r="O217" s="25">
        <f t="shared" si="26"/>
        <v>5.0263620386643192E-2</v>
      </c>
    </row>
    <row r="218" spans="1:15" x14ac:dyDescent="0.25">
      <c r="A218" s="15" t="s">
        <v>23</v>
      </c>
      <c r="B218" s="20">
        <v>35847</v>
      </c>
      <c r="C218" s="15">
        <v>334</v>
      </c>
      <c r="D218" s="15">
        <v>0</v>
      </c>
      <c r="E218" s="15">
        <v>140</v>
      </c>
      <c r="F218" s="21">
        <f t="shared" si="20"/>
        <v>474</v>
      </c>
      <c r="G218" s="18">
        <v>7</v>
      </c>
      <c r="H218" s="22">
        <f t="shared" si="21"/>
        <v>436.25</v>
      </c>
      <c r="I218" s="22">
        <f t="shared" si="22"/>
        <v>3.25</v>
      </c>
      <c r="J218" s="22">
        <f t="shared" si="23"/>
        <v>132</v>
      </c>
      <c r="K218" s="23">
        <f t="shared" si="24"/>
        <v>571.5</v>
      </c>
      <c r="L218" s="23">
        <f t="shared" si="25"/>
        <v>461.55555555555549</v>
      </c>
      <c r="M218" s="23">
        <f t="shared" si="27"/>
        <v>511</v>
      </c>
      <c r="N218" s="25">
        <f t="shared" si="19"/>
        <v>-0.28072837632776937</v>
      </c>
      <c r="O218" s="25">
        <f t="shared" si="26"/>
        <v>2.6961964371690093E-2</v>
      </c>
    </row>
    <row r="219" spans="1:15" x14ac:dyDescent="0.25">
      <c r="A219" s="15" t="s">
        <v>23</v>
      </c>
      <c r="B219" s="20">
        <v>35854</v>
      </c>
      <c r="C219" s="15">
        <v>204</v>
      </c>
      <c r="D219" s="15">
        <v>3</v>
      </c>
      <c r="E219" s="15">
        <v>86</v>
      </c>
      <c r="F219" s="21">
        <f t="shared" si="20"/>
        <v>293</v>
      </c>
      <c r="G219" s="18">
        <v>8</v>
      </c>
      <c r="H219" s="22">
        <f t="shared" si="21"/>
        <v>366.75</v>
      </c>
      <c r="I219" s="22">
        <f t="shared" si="22"/>
        <v>3.5</v>
      </c>
      <c r="J219" s="22">
        <f t="shared" si="23"/>
        <v>125.25</v>
      </c>
      <c r="K219" s="23">
        <f t="shared" si="24"/>
        <v>495.5</v>
      </c>
      <c r="L219" s="23">
        <f t="shared" si="25"/>
        <v>494.3055555555556</v>
      </c>
      <c r="M219" s="23">
        <f t="shared" si="27"/>
        <v>609.66666666666663</v>
      </c>
      <c r="N219" s="25">
        <f t="shared" si="19"/>
        <v>-0.26381909547738691</v>
      </c>
      <c r="O219" s="25">
        <f t="shared" si="26"/>
        <v>-0.40724922731104246</v>
      </c>
    </row>
    <row r="220" spans="1:15" x14ac:dyDescent="0.25">
      <c r="A220" s="15" t="s">
        <v>27</v>
      </c>
      <c r="B220" s="20">
        <v>35861</v>
      </c>
      <c r="C220" s="15">
        <v>454</v>
      </c>
      <c r="D220" s="15">
        <v>11</v>
      </c>
      <c r="E220" s="15">
        <v>164</v>
      </c>
      <c r="F220" s="21">
        <f t="shared" si="20"/>
        <v>629</v>
      </c>
      <c r="G220" s="18">
        <v>9</v>
      </c>
      <c r="H220" s="22">
        <f t="shared" si="21"/>
        <v>348.75</v>
      </c>
      <c r="I220" s="22">
        <f t="shared" si="22"/>
        <v>5</v>
      </c>
      <c r="J220" s="22">
        <f t="shared" si="23"/>
        <v>119.75</v>
      </c>
      <c r="K220" s="23">
        <f t="shared" si="24"/>
        <v>473.5</v>
      </c>
      <c r="L220" s="23">
        <f t="shared" si="25"/>
        <v>527.05555555555554</v>
      </c>
      <c r="M220" s="23">
        <f t="shared" si="27"/>
        <v>541.33333333333337</v>
      </c>
      <c r="N220" s="25">
        <f t="shared" si="19"/>
        <v>0.37636761487964987</v>
      </c>
      <c r="O220" s="25">
        <f t="shared" si="26"/>
        <v>0.19342257826499423</v>
      </c>
    </row>
    <row r="221" spans="1:15" x14ac:dyDescent="0.25">
      <c r="A221" s="15" t="s">
        <v>27</v>
      </c>
      <c r="B221" s="20">
        <v>35868</v>
      </c>
      <c r="C221" s="15">
        <v>389</v>
      </c>
      <c r="D221" s="15">
        <v>5</v>
      </c>
      <c r="E221" s="15">
        <v>119</v>
      </c>
      <c r="F221" s="21">
        <f t="shared" si="20"/>
        <v>513</v>
      </c>
      <c r="G221" s="18">
        <v>10</v>
      </c>
      <c r="H221" s="22">
        <f t="shared" si="21"/>
        <v>345.25</v>
      </c>
      <c r="I221" s="22">
        <f t="shared" si="22"/>
        <v>4.75</v>
      </c>
      <c r="J221" s="22">
        <f t="shared" si="23"/>
        <v>127.25</v>
      </c>
      <c r="K221" s="23">
        <f t="shared" si="24"/>
        <v>477.25</v>
      </c>
      <c r="L221" s="23">
        <f t="shared" si="25"/>
        <v>595.36111111111109</v>
      </c>
      <c r="M221" s="23">
        <f t="shared" si="27"/>
        <v>693</v>
      </c>
      <c r="N221" s="25">
        <f t="shared" si="19"/>
        <v>-0.42164599774520856</v>
      </c>
      <c r="O221" s="25">
        <f t="shared" si="26"/>
        <v>-0.13833807679746182</v>
      </c>
    </row>
    <row r="222" spans="1:15" x14ac:dyDescent="0.25">
      <c r="A222" s="15" t="s">
        <v>27</v>
      </c>
      <c r="B222" s="20">
        <v>35875</v>
      </c>
      <c r="C222" s="15">
        <v>501</v>
      </c>
      <c r="D222" s="15">
        <v>0</v>
      </c>
      <c r="E222" s="15">
        <v>116</v>
      </c>
      <c r="F222" s="21">
        <f t="shared" si="20"/>
        <v>617</v>
      </c>
      <c r="G222" s="18">
        <v>11</v>
      </c>
      <c r="H222" s="22">
        <f t="shared" si="21"/>
        <v>387</v>
      </c>
      <c r="I222" s="22">
        <f t="shared" si="22"/>
        <v>4.75</v>
      </c>
      <c r="J222" s="22">
        <f t="shared" si="23"/>
        <v>121.25</v>
      </c>
      <c r="K222" s="23">
        <f t="shared" si="24"/>
        <v>513</v>
      </c>
      <c r="L222" s="23">
        <f t="shared" si="25"/>
        <v>695.69444444444446</v>
      </c>
      <c r="M222" s="23">
        <f t="shared" si="27"/>
        <v>917.66666666666663</v>
      </c>
      <c r="N222" s="25">
        <f t="shared" si="19"/>
        <v>-0.40386473429951691</v>
      </c>
      <c r="O222" s="25">
        <f t="shared" si="26"/>
        <v>-0.11311639049710523</v>
      </c>
    </row>
    <row r="223" spans="1:15" x14ac:dyDescent="0.25">
      <c r="A223" s="15" t="s">
        <v>27</v>
      </c>
      <c r="B223" s="20">
        <v>35882</v>
      </c>
      <c r="C223" s="15">
        <v>678</v>
      </c>
      <c r="D223" s="15">
        <v>3</v>
      </c>
      <c r="E223" s="15">
        <v>150</v>
      </c>
      <c r="F223" s="21">
        <f t="shared" si="20"/>
        <v>831</v>
      </c>
      <c r="G223" s="18">
        <v>12</v>
      </c>
      <c r="H223" s="22">
        <f t="shared" si="21"/>
        <v>505.5</v>
      </c>
      <c r="I223" s="22">
        <f t="shared" si="22"/>
        <v>4.75</v>
      </c>
      <c r="J223" s="22">
        <f t="shared" si="23"/>
        <v>137.25</v>
      </c>
      <c r="K223" s="23">
        <f t="shared" si="24"/>
        <v>647.5</v>
      </c>
      <c r="L223" s="23">
        <f t="shared" si="25"/>
        <v>748.19444444444446</v>
      </c>
      <c r="M223" s="23">
        <f t="shared" si="27"/>
        <v>817</v>
      </c>
      <c r="N223" s="25">
        <f t="shared" si="19"/>
        <v>0.18207681365576103</v>
      </c>
      <c r="O223" s="25">
        <f t="shared" si="26"/>
        <v>0.11067384444031927</v>
      </c>
    </row>
    <row r="224" spans="1:15" x14ac:dyDescent="0.25">
      <c r="A224" s="15" t="s">
        <v>14</v>
      </c>
      <c r="B224" s="20">
        <v>35889</v>
      </c>
      <c r="C224" s="15">
        <v>579</v>
      </c>
      <c r="D224" s="15">
        <v>20</v>
      </c>
      <c r="E224" s="15">
        <v>170</v>
      </c>
      <c r="F224" s="21">
        <f t="shared" si="20"/>
        <v>769</v>
      </c>
      <c r="G224" s="18">
        <v>13</v>
      </c>
      <c r="H224" s="22">
        <f t="shared" si="21"/>
        <v>536.75</v>
      </c>
      <c r="I224" s="22">
        <f t="shared" si="22"/>
        <v>7</v>
      </c>
      <c r="J224" s="22">
        <f t="shared" si="23"/>
        <v>138.75</v>
      </c>
      <c r="K224" s="23">
        <f t="shared" si="24"/>
        <v>682.5</v>
      </c>
      <c r="L224" s="23">
        <f t="shared" si="25"/>
        <v>838.02777777777783</v>
      </c>
      <c r="M224" s="23">
        <f t="shared" si="27"/>
        <v>902.33333333333337</v>
      </c>
      <c r="N224" s="25">
        <f t="shared" si="19"/>
        <v>8.3098591549295775E-2</v>
      </c>
      <c r="O224" s="25">
        <f t="shared" si="26"/>
        <v>-8.236931950014921E-2</v>
      </c>
    </row>
    <row r="225" spans="1:15" x14ac:dyDescent="0.25">
      <c r="A225" s="15" t="s">
        <v>14</v>
      </c>
      <c r="B225" s="20">
        <v>35896</v>
      </c>
      <c r="C225" s="15">
        <v>420</v>
      </c>
      <c r="D225" s="15">
        <v>19</v>
      </c>
      <c r="E225" s="15">
        <v>91</v>
      </c>
      <c r="F225" s="21">
        <f t="shared" si="20"/>
        <v>530</v>
      </c>
      <c r="G225" s="18">
        <v>14</v>
      </c>
      <c r="H225" s="22">
        <f t="shared" si="21"/>
        <v>544.5</v>
      </c>
      <c r="I225" s="22">
        <f t="shared" si="22"/>
        <v>10.5</v>
      </c>
      <c r="J225" s="22">
        <f t="shared" si="23"/>
        <v>131.75</v>
      </c>
      <c r="K225" s="23">
        <f t="shared" si="24"/>
        <v>686.75</v>
      </c>
      <c r="L225" s="23">
        <f t="shared" si="25"/>
        <v>876</v>
      </c>
      <c r="M225" s="23">
        <f t="shared" si="27"/>
        <v>855.66666666666663</v>
      </c>
      <c r="N225" s="25">
        <f t="shared" si="19"/>
        <v>-0.23741007194244604</v>
      </c>
      <c r="O225" s="25">
        <f t="shared" si="26"/>
        <v>-0.3949771689497717</v>
      </c>
    </row>
    <row r="226" spans="1:15" x14ac:dyDescent="0.25">
      <c r="A226" s="15" t="s">
        <v>14</v>
      </c>
      <c r="B226" s="20">
        <v>35903</v>
      </c>
      <c r="C226" s="15">
        <v>227</v>
      </c>
      <c r="D226" s="15">
        <v>14</v>
      </c>
      <c r="E226" s="15">
        <v>61</v>
      </c>
      <c r="F226" s="21">
        <f t="shared" si="20"/>
        <v>302</v>
      </c>
      <c r="G226" s="18">
        <v>15</v>
      </c>
      <c r="H226" s="22">
        <f t="shared" si="21"/>
        <v>476</v>
      </c>
      <c r="I226" s="22">
        <f t="shared" si="22"/>
        <v>14</v>
      </c>
      <c r="J226" s="22">
        <f t="shared" si="23"/>
        <v>118</v>
      </c>
      <c r="K226" s="23">
        <f t="shared" si="24"/>
        <v>608</v>
      </c>
      <c r="L226" s="23">
        <f t="shared" si="25"/>
        <v>865.16666666666663</v>
      </c>
      <c r="M226" s="23">
        <f t="shared" si="27"/>
        <v>880.33333333333337</v>
      </c>
      <c r="N226" s="25">
        <f t="shared" si="19"/>
        <v>-0.59733333333333338</v>
      </c>
      <c r="O226" s="25">
        <f t="shared" si="26"/>
        <v>-0.650934309381622</v>
      </c>
    </row>
    <row r="227" spans="1:15" x14ac:dyDescent="0.25">
      <c r="A227" s="15" t="s">
        <v>14</v>
      </c>
      <c r="B227" s="20">
        <v>35910</v>
      </c>
      <c r="C227" s="15">
        <v>515</v>
      </c>
      <c r="D227" s="15">
        <v>24</v>
      </c>
      <c r="E227" s="15">
        <v>178</v>
      </c>
      <c r="F227" s="21">
        <f t="shared" si="20"/>
        <v>717</v>
      </c>
      <c r="G227" s="18">
        <v>16</v>
      </c>
      <c r="H227" s="22">
        <f t="shared" si="21"/>
        <v>435.25</v>
      </c>
      <c r="I227" s="22">
        <f t="shared" si="22"/>
        <v>19.25</v>
      </c>
      <c r="J227" s="22">
        <f t="shared" si="23"/>
        <v>125</v>
      </c>
      <c r="K227" s="23">
        <f t="shared" si="24"/>
        <v>579.5</v>
      </c>
      <c r="L227" s="23">
        <f t="shared" si="25"/>
        <v>863.25</v>
      </c>
      <c r="M227" s="23">
        <f t="shared" si="27"/>
        <v>810.66666666666663</v>
      </c>
      <c r="N227" s="25">
        <f t="shared" si="19"/>
        <v>0.434</v>
      </c>
      <c r="O227" s="25">
        <f t="shared" si="26"/>
        <v>-0.16941789748045177</v>
      </c>
    </row>
    <row r="228" spans="1:15" x14ac:dyDescent="0.25">
      <c r="A228" s="15" t="s">
        <v>5</v>
      </c>
      <c r="B228" s="20">
        <v>35917</v>
      </c>
      <c r="C228" s="15">
        <v>431</v>
      </c>
      <c r="D228" s="15">
        <v>34</v>
      </c>
      <c r="E228" s="15">
        <v>132</v>
      </c>
      <c r="F228" s="21">
        <f t="shared" si="20"/>
        <v>597</v>
      </c>
      <c r="G228" s="18">
        <v>17</v>
      </c>
      <c r="H228" s="22">
        <f t="shared" si="21"/>
        <v>398.25</v>
      </c>
      <c r="I228" s="22">
        <f t="shared" si="22"/>
        <v>22.75</v>
      </c>
      <c r="J228" s="22">
        <f t="shared" si="23"/>
        <v>115.5</v>
      </c>
      <c r="K228" s="23">
        <f t="shared" si="24"/>
        <v>536.5</v>
      </c>
      <c r="L228" s="23">
        <f t="shared" si="25"/>
        <v>818.36111111111097</v>
      </c>
      <c r="M228" s="23">
        <f t="shared" si="27"/>
        <v>723.66666666666663</v>
      </c>
      <c r="N228" s="25">
        <f t="shared" si="19"/>
        <v>0.649171270718232</v>
      </c>
      <c r="O228" s="25">
        <f t="shared" si="26"/>
        <v>-0.27049319439258668</v>
      </c>
    </row>
    <row r="229" spans="1:15" x14ac:dyDescent="0.25">
      <c r="A229" s="15" t="s">
        <v>5</v>
      </c>
      <c r="B229" s="20">
        <v>35924</v>
      </c>
      <c r="C229" s="15">
        <v>556</v>
      </c>
      <c r="D229" s="15">
        <v>44</v>
      </c>
      <c r="E229" s="15">
        <v>124</v>
      </c>
      <c r="F229" s="21">
        <f t="shared" si="20"/>
        <v>724</v>
      </c>
      <c r="G229" s="18">
        <v>18</v>
      </c>
      <c r="H229" s="22">
        <f t="shared" si="21"/>
        <v>432.25</v>
      </c>
      <c r="I229" s="22">
        <f t="shared" si="22"/>
        <v>29</v>
      </c>
      <c r="J229" s="22">
        <f t="shared" si="23"/>
        <v>123.75</v>
      </c>
      <c r="K229" s="23">
        <f t="shared" si="24"/>
        <v>585</v>
      </c>
      <c r="L229" s="23">
        <f t="shared" si="25"/>
        <v>802.41666666666663</v>
      </c>
      <c r="M229" s="23">
        <f t="shared" si="27"/>
        <v>795</v>
      </c>
      <c r="N229" s="25">
        <f t="shared" si="19"/>
        <v>0.44510978043912175</v>
      </c>
      <c r="O229" s="25">
        <f t="shared" si="26"/>
        <v>-9.7725620521341733E-2</v>
      </c>
    </row>
    <row r="230" spans="1:15" x14ac:dyDescent="0.25">
      <c r="A230" s="15" t="s">
        <v>5</v>
      </c>
      <c r="B230" s="20">
        <v>35931</v>
      </c>
      <c r="C230" s="15">
        <v>515</v>
      </c>
      <c r="D230" s="15">
        <v>78</v>
      </c>
      <c r="E230" s="15">
        <v>138</v>
      </c>
      <c r="F230" s="21">
        <f t="shared" si="20"/>
        <v>731</v>
      </c>
      <c r="G230" s="18">
        <v>19</v>
      </c>
      <c r="H230" s="22">
        <f t="shared" si="21"/>
        <v>504.25</v>
      </c>
      <c r="I230" s="22">
        <f t="shared" si="22"/>
        <v>45</v>
      </c>
      <c r="J230" s="22">
        <f t="shared" si="23"/>
        <v>143</v>
      </c>
      <c r="K230" s="23">
        <f t="shared" si="24"/>
        <v>692.25</v>
      </c>
      <c r="L230" s="23">
        <f t="shared" si="25"/>
        <v>760.41666666666663</v>
      </c>
      <c r="M230" s="23">
        <f t="shared" si="27"/>
        <v>712.33333333333337</v>
      </c>
      <c r="N230" s="25">
        <f t="shared" si="19"/>
        <v>-0.1967032967032967</v>
      </c>
      <c r="O230" s="25">
        <f t="shared" si="26"/>
        <v>-3.868493150684927E-2</v>
      </c>
    </row>
    <row r="231" spans="1:15" x14ac:dyDescent="0.25">
      <c r="A231" s="15" t="s">
        <v>5</v>
      </c>
      <c r="B231" s="20">
        <v>35938</v>
      </c>
      <c r="C231" s="15">
        <v>729</v>
      </c>
      <c r="D231" s="15">
        <v>38</v>
      </c>
      <c r="E231" s="15">
        <v>121</v>
      </c>
      <c r="F231" s="21">
        <f t="shared" si="20"/>
        <v>888</v>
      </c>
      <c r="G231" s="18">
        <v>20</v>
      </c>
      <c r="H231" s="22">
        <f t="shared" si="21"/>
        <v>557.75</v>
      </c>
      <c r="I231" s="22">
        <f t="shared" si="22"/>
        <v>48.5</v>
      </c>
      <c r="J231" s="22">
        <f t="shared" si="23"/>
        <v>128.75</v>
      </c>
      <c r="K231" s="23">
        <f t="shared" si="24"/>
        <v>735</v>
      </c>
      <c r="L231" s="23">
        <f t="shared" si="25"/>
        <v>715.16666666666663</v>
      </c>
      <c r="M231" s="23">
        <f t="shared" si="27"/>
        <v>629.66666666666663</v>
      </c>
      <c r="N231" s="25">
        <f t="shared" si="19"/>
        <v>7.7669902912621352E-2</v>
      </c>
      <c r="O231" s="25">
        <f t="shared" si="26"/>
        <v>0.24166860871591711</v>
      </c>
    </row>
    <row r="232" spans="1:15" x14ac:dyDescent="0.25">
      <c r="A232" s="15" t="s">
        <v>5</v>
      </c>
      <c r="B232" s="20">
        <v>35945</v>
      </c>
      <c r="C232" s="15">
        <v>525</v>
      </c>
      <c r="D232" s="15">
        <v>6</v>
      </c>
      <c r="E232" s="15">
        <v>67</v>
      </c>
      <c r="F232" s="21">
        <f t="shared" si="20"/>
        <v>598</v>
      </c>
      <c r="G232" s="18">
        <v>21</v>
      </c>
      <c r="H232" s="22">
        <f t="shared" si="21"/>
        <v>581.25</v>
      </c>
      <c r="I232" s="22">
        <f t="shared" si="22"/>
        <v>41.5</v>
      </c>
      <c r="J232" s="22">
        <f t="shared" si="23"/>
        <v>112.5</v>
      </c>
      <c r="K232" s="23">
        <f t="shared" si="24"/>
        <v>735.25</v>
      </c>
      <c r="L232" s="23">
        <f t="shared" si="25"/>
        <v>638.3888888888888</v>
      </c>
      <c r="M232" s="23">
        <f t="shared" si="27"/>
        <v>414.66666666666669</v>
      </c>
      <c r="N232" s="25">
        <f t="shared" si="19"/>
        <v>0.12406015037593984</v>
      </c>
      <c r="O232" s="25">
        <f t="shared" si="26"/>
        <v>-6.3266904533982982E-2</v>
      </c>
    </row>
    <row r="233" spans="1:15" x14ac:dyDescent="0.25">
      <c r="A233" s="15" t="s">
        <v>30</v>
      </c>
      <c r="B233" s="20">
        <v>35952</v>
      </c>
      <c r="C233" s="15">
        <v>584</v>
      </c>
      <c r="D233" s="15">
        <v>26</v>
      </c>
      <c r="E233" s="15">
        <v>112</v>
      </c>
      <c r="F233" s="21">
        <f t="shared" si="20"/>
        <v>722</v>
      </c>
      <c r="G233" s="18">
        <v>22</v>
      </c>
      <c r="H233" s="22">
        <f t="shared" si="21"/>
        <v>588.25</v>
      </c>
      <c r="I233" s="22">
        <f t="shared" si="22"/>
        <v>37</v>
      </c>
      <c r="J233" s="22">
        <f t="shared" si="23"/>
        <v>109.5</v>
      </c>
      <c r="K233" s="23">
        <f t="shared" si="24"/>
        <v>734.75</v>
      </c>
      <c r="L233" s="23">
        <f t="shared" si="25"/>
        <v>575.02777777777783</v>
      </c>
      <c r="M233" s="23">
        <f t="shared" si="27"/>
        <v>540.66666666666663</v>
      </c>
      <c r="N233" s="25">
        <f t="shared" si="19"/>
        <v>0.17973856209150327</v>
      </c>
      <c r="O233" s="25">
        <f t="shared" si="26"/>
        <v>0.25559151731800384</v>
      </c>
    </row>
    <row r="234" spans="1:15" x14ac:dyDescent="0.25">
      <c r="A234" s="15" t="s">
        <v>30</v>
      </c>
      <c r="B234" s="20">
        <v>35959</v>
      </c>
      <c r="C234" s="15">
        <v>568</v>
      </c>
      <c r="D234" s="15">
        <v>6</v>
      </c>
      <c r="E234" s="15">
        <v>118</v>
      </c>
      <c r="F234" s="21">
        <f t="shared" si="20"/>
        <v>692</v>
      </c>
      <c r="G234" s="18">
        <v>23</v>
      </c>
      <c r="H234" s="22">
        <f t="shared" si="21"/>
        <v>601.5</v>
      </c>
      <c r="I234" s="22">
        <f t="shared" si="22"/>
        <v>19</v>
      </c>
      <c r="J234" s="22">
        <f t="shared" si="23"/>
        <v>104.5</v>
      </c>
      <c r="K234" s="23">
        <f t="shared" si="24"/>
        <v>725</v>
      </c>
      <c r="L234" s="23">
        <f t="shared" si="25"/>
        <v>660.02777777777783</v>
      </c>
      <c r="M234" s="23">
        <f t="shared" si="27"/>
        <v>1051.3333333333333</v>
      </c>
      <c r="N234" s="25">
        <f t="shared" si="19"/>
        <v>-0.22159730033745781</v>
      </c>
      <c r="O234" s="25">
        <f t="shared" si="26"/>
        <v>4.8440722191826865E-2</v>
      </c>
    </row>
    <row r="235" spans="1:15" x14ac:dyDescent="0.25">
      <c r="A235" s="15" t="s">
        <v>30</v>
      </c>
      <c r="B235" s="20">
        <v>35966</v>
      </c>
      <c r="C235" s="15">
        <v>686</v>
      </c>
      <c r="D235" s="15">
        <v>11</v>
      </c>
      <c r="E235" s="15">
        <v>121</v>
      </c>
      <c r="F235" s="21">
        <f t="shared" si="20"/>
        <v>818</v>
      </c>
      <c r="G235" s="18">
        <v>24</v>
      </c>
      <c r="H235" s="22">
        <f t="shared" si="21"/>
        <v>590.75</v>
      </c>
      <c r="I235" s="22">
        <f t="shared" si="22"/>
        <v>12.25</v>
      </c>
      <c r="J235" s="22">
        <f t="shared" si="23"/>
        <v>104.5</v>
      </c>
      <c r="K235" s="23">
        <f t="shared" si="24"/>
        <v>707.5</v>
      </c>
      <c r="L235" s="23">
        <f t="shared" si="25"/>
        <v>711.3888888888888</v>
      </c>
      <c r="M235" s="23">
        <f t="shared" si="27"/>
        <v>834.33333333333337</v>
      </c>
      <c r="N235" s="25">
        <f t="shared" si="19"/>
        <v>0.11444141689373297</v>
      </c>
      <c r="O235" s="25">
        <f t="shared" si="26"/>
        <v>0.14986333463490839</v>
      </c>
    </row>
    <row r="236" spans="1:15" x14ac:dyDescent="0.25">
      <c r="A236" s="15" t="s">
        <v>30</v>
      </c>
      <c r="B236" s="20">
        <v>35973</v>
      </c>
      <c r="C236" s="15">
        <v>719</v>
      </c>
      <c r="D236" s="15">
        <v>48</v>
      </c>
      <c r="E236" s="15">
        <v>144</v>
      </c>
      <c r="F236" s="21">
        <f t="shared" si="20"/>
        <v>911</v>
      </c>
      <c r="G236" s="18">
        <v>25</v>
      </c>
      <c r="H236" s="22">
        <f t="shared" si="21"/>
        <v>639.25</v>
      </c>
      <c r="I236" s="22">
        <f t="shared" si="22"/>
        <v>22.75</v>
      </c>
      <c r="J236" s="22">
        <f t="shared" si="23"/>
        <v>123.75</v>
      </c>
      <c r="K236" s="23">
        <f t="shared" si="24"/>
        <v>785.75</v>
      </c>
      <c r="L236" s="23">
        <f t="shared" si="25"/>
        <v>875.75</v>
      </c>
      <c r="M236" s="23">
        <f t="shared" si="27"/>
        <v>1076.6666666666667</v>
      </c>
      <c r="N236" s="25">
        <f t="shared" si="19"/>
        <v>3.9954337899543377E-2</v>
      </c>
      <c r="O236" s="25">
        <f t="shared" si="26"/>
        <v>4.025121324578932E-2</v>
      </c>
    </row>
    <row r="237" spans="1:15" x14ac:dyDescent="0.25">
      <c r="A237" s="15" t="s">
        <v>31</v>
      </c>
      <c r="B237" s="20">
        <v>35980</v>
      </c>
      <c r="C237" s="15">
        <v>647</v>
      </c>
      <c r="D237" s="15">
        <v>35</v>
      </c>
      <c r="E237" s="15">
        <v>100</v>
      </c>
      <c r="F237" s="21">
        <f t="shared" si="20"/>
        <v>782</v>
      </c>
      <c r="G237" s="18">
        <v>26</v>
      </c>
      <c r="H237" s="22">
        <f t="shared" si="21"/>
        <v>655</v>
      </c>
      <c r="I237" s="22">
        <f t="shared" si="22"/>
        <v>25</v>
      </c>
      <c r="J237" s="22">
        <f t="shared" si="23"/>
        <v>120.75</v>
      </c>
      <c r="K237" s="23">
        <f t="shared" si="24"/>
        <v>800.75</v>
      </c>
      <c r="L237" s="23">
        <f t="shared" si="25"/>
        <v>947.25</v>
      </c>
      <c r="M237" s="23">
        <f t="shared" si="27"/>
        <v>826.66666666666663</v>
      </c>
      <c r="N237" s="25">
        <f t="shared" si="19"/>
        <v>8.9136490250696379E-2</v>
      </c>
      <c r="O237" s="25">
        <f t="shared" si="26"/>
        <v>-0.17445236210081816</v>
      </c>
    </row>
    <row r="238" spans="1:15" x14ac:dyDescent="0.25">
      <c r="A238" s="15" t="s">
        <v>31</v>
      </c>
      <c r="B238" s="20">
        <v>35987</v>
      </c>
      <c r="C238" s="15">
        <v>776</v>
      </c>
      <c r="D238" s="15">
        <v>42</v>
      </c>
      <c r="E238" s="15">
        <v>97</v>
      </c>
      <c r="F238" s="21">
        <f t="shared" si="20"/>
        <v>915</v>
      </c>
      <c r="G238" s="18">
        <v>27</v>
      </c>
      <c r="H238" s="22">
        <f t="shared" si="21"/>
        <v>707</v>
      </c>
      <c r="I238" s="22">
        <f t="shared" si="22"/>
        <v>34</v>
      </c>
      <c r="J238" s="22">
        <f t="shared" si="23"/>
        <v>115.5</v>
      </c>
      <c r="K238" s="23">
        <f t="shared" si="24"/>
        <v>856.5</v>
      </c>
      <c r="L238" s="23">
        <f t="shared" si="25"/>
        <v>951.33333333333337</v>
      </c>
      <c r="M238" s="23">
        <f t="shared" si="27"/>
        <v>1067.6666666666667</v>
      </c>
      <c r="N238" s="25">
        <f t="shared" si="19"/>
        <v>-4.0880503144654086E-2</v>
      </c>
      <c r="O238" s="25">
        <f t="shared" si="26"/>
        <v>-3.8192011212333607E-2</v>
      </c>
    </row>
    <row r="239" spans="1:15" x14ac:dyDescent="0.25">
      <c r="A239" s="15" t="s">
        <v>31</v>
      </c>
      <c r="B239" s="20">
        <v>35994</v>
      </c>
      <c r="C239" s="15">
        <v>462</v>
      </c>
      <c r="D239" s="15">
        <v>41</v>
      </c>
      <c r="E239" s="15">
        <v>140</v>
      </c>
      <c r="F239" s="21">
        <f t="shared" si="20"/>
        <v>643</v>
      </c>
      <c r="G239" s="18">
        <v>28</v>
      </c>
      <c r="H239" s="22">
        <f t="shared" si="21"/>
        <v>651</v>
      </c>
      <c r="I239" s="22">
        <f t="shared" si="22"/>
        <v>41.5</v>
      </c>
      <c r="J239" s="22">
        <f t="shared" si="23"/>
        <v>120.25</v>
      </c>
      <c r="K239" s="23">
        <f t="shared" si="24"/>
        <v>812.75</v>
      </c>
      <c r="L239" s="23">
        <f t="shared" si="25"/>
        <v>943.91666666666663</v>
      </c>
      <c r="M239" s="23">
        <f t="shared" si="27"/>
        <v>804.66666666666663</v>
      </c>
      <c r="N239" s="25">
        <f t="shared" si="19"/>
        <v>9.7269624573378843E-2</v>
      </c>
      <c r="O239" s="25">
        <f t="shared" si="26"/>
        <v>-0.3187957976516288</v>
      </c>
    </row>
    <row r="240" spans="1:15" x14ac:dyDescent="0.25">
      <c r="A240" s="15" t="s">
        <v>31</v>
      </c>
      <c r="B240" s="20">
        <v>36001</v>
      </c>
      <c r="C240" s="15">
        <v>844</v>
      </c>
      <c r="D240" s="15">
        <v>21</v>
      </c>
      <c r="E240" s="15">
        <v>133</v>
      </c>
      <c r="F240" s="21">
        <f t="shared" si="20"/>
        <v>998</v>
      </c>
      <c r="G240" s="18">
        <v>29</v>
      </c>
      <c r="H240" s="22">
        <f t="shared" si="21"/>
        <v>682.25</v>
      </c>
      <c r="I240" s="22">
        <f t="shared" si="22"/>
        <v>34.75</v>
      </c>
      <c r="J240" s="22">
        <f t="shared" si="23"/>
        <v>117.5</v>
      </c>
      <c r="K240" s="23">
        <f t="shared" si="24"/>
        <v>834.5</v>
      </c>
      <c r="L240" s="23">
        <f t="shared" si="25"/>
        <v>921.91666666666663</v>
      </c>
      <c r="M240" s="23">
        <f t="shared" si="27"/>
        <v>988.66666666666663</v>
      </c>
      <c r="N240" s="25">
        <f t="shared" si="19"/>
        <v>0.18386714116251482</v>
      </c>
      <c r="O240" s="25">
        <f t="shared" si="26"/>
        <v>8.2527343396908662E-2</v>
      </c>
    </row>
    <row r="241" spans="1:15" x14ac:dyDescent="0.25">
      <c r="A241" s="15" t="s">
        <v>31</v>
      </c>
      <c r="B241" s="20">
        <v>36008</v>
      </c>
      <c r="C241" s="15">
        <v>733</v>
      </c>
      <c r="D241" s="15">
        <v>20</v>
      </c>
      <c r="E241" s="15">
        <v>190</v>
      </c>
      <c r="F241" s="21">
        <f t="shared" si="20"/>
        <v>943</v>
      </c>
      <c r="G241" s="18">
        <v>30</v>
      </c>
      <c r="H241" s="22">
        <f t="shared" si="21"/>
        <v>703.75</v>
      </c>
      <c r="I241" s="22">
        <f t="shared" si="22"/>
        <v>31</v>
      </c>
      <c r="J241" s="22">
        <f t="shared" si="23"/>
        <v>140</v>
      </c>
      <c r="K241" s="23">
        <f t="shared" si="24"/>
        <v>874.75</v>
      </c>
      <c r="L241" s="23">
        <f t="shared" si="25"/>
        <v>956.75</v>
      </c>
      <c r="M241" s="23">
        <f t="shared" si="27"/>
        <v>966</v>
      </c>
      <c r="N241" s="25">
        <f t="shared" si="19"/>
        <v>0.20742637644046094</v>
      </c>
      <c r="O241" s="25">
        <f t="shared" si="26"/>
        <v>-1.4371570420695061E-2</v>
      </c>
    </row>
    <row r="242" spans="1:15" x14ac:dyDescent="0.25">
      <c r="A242" s="15" t="s">
        <v>19</v>
      </c>
      <c r="B242" s="20">
        <v>36015</v>
      </c>
      <c r="C242" s="15">
        <v>597</v>
      </c>
      <c r="D242" s="15">
        <v>29</v>
      </c>
      <c r="E242" s="15">
        <v>95</v>
      </c>
      <c r="F242" s="21">
        <f t="shared" si="20"/>
        <v>721</v>
      </c>
      <c r="G242" s="18">
        <v>31</v>
      </c>
      <c r="H242" s="22">
        <f t="shared" si="21"/>
        <v>659</v>
      </c>
      <c r="I242" s="22">
        <f t="shared" si="22"/>
        <v>27.75</v>
      </c>
      <c r="J242" s="22">
        <f t="shared" si="23"/>
        <v>139.5</v>
      </c>
      <c r="K242" s="23">
        <f t="shared" si="24"/>
        <v>826.25</v>
      </c>
      <c r="L242" s="23">
        <f t="shared" si="25"/>
        <v>909.91666666666663</v>
      </c>
      <c r="M242" s="23">
        <f t="shared" si="27"/>
        <v>880.33333333333337</v>
      </c>
      <c r="N242" s="25">
        <f t="shared" si="19"/>
        <v>-2.5675675675675677E-2</v>
      </c>
      <c r="O242" s="25">
        <f t="shared" si="26"/>
        <v>-0.20761974539793018</v>
      </c>
    </row>
    <row r="243" spans="1:15" x14ac:dyDescent="0.25">
      <c r="A243" s="15" t="s">
        <v>19</v>
      </c>
      <c r="B243" s="20">
        <v>36022</v>
      </c>
      <c r="C243" s="15">
        <v>784</v>
      </c>
      <c r="D243" s="15">
        <v>38</v>
      </c>
      <c r="E243" s="15">
        <v>187</v>
      </c>
      <c r="F243" s="21">
        <f t="shared" si="20"/>
        <v>1009</v>
      </c>
      <c r="G243" s="18">
        <v>32</v>
      </c>
      <c r="H243" s="22">
        <f t="shared" si="21"/>
        <v>739.5</v>
      </c>
      <c r="I243" s="22">
        <f t="shared" si="22"/>
        <v>27</v>
      </c>
      <c r="J243" s="22">
        <f t="shared" si="23"/>
        <v>151.25</v>
      </c>
      <c r="K243" s="23">
        <f t="shared" si="24"/>
        <v>917.75</v>
      </c>
      <c r="L243" s="23">
        <f t="shared" si="25"/>
        <v>907</v>
      </c>
      <c r="M243" s="23">
        <f t="shared" si="27"/>
        <v>793</v>
      </c>
      <c r="N243" s="25">
        <f t="shared" si="19"/>
        <v>0.42917847025495753</v>
      </c>
      <c r="O243" s="25">
        <f t="shared" si="26"/>
        <v>0.11245865490628446</v>
      </c>
    </row>
    <row r="244" spans="1:15" x14ac:dyDescent="0.25">
      <c r="A244" s="15" t="s">
        <v>19</v>
      </c>
      <c r="B244" s="20">
        <v>36029</v>
      </c>
      <c r="C244" s="15">
        <v>707</v>
      </c>
      <c r="D244" s="15">
        <v>16</v>
      </c>
      <c r="E244" s="15">
        <v>153</v>
      </c>
      <c r="F244" s="21">
        <f t="shared" si="20"/>
        <v>876</v>
      </c>
      <c r="G244" s="18">
        <v>33</v>
      </c>
      <c r="H244" s="22">
        <f t="shared" si="21"/>
        <v>705.25</v>
      </c>
      <c r="I244" s="22">
        <f t="shared" si="22"/>
        <v>25.75</v>
      </c>
      <c r="J244" s="22">
        <f t="shared" si="23"/>
        <v>156.25</v>
      </c>
      <c r="K244" s="23">
        <f t="shared" si="24"/>
        <v>887.25</v>
      </c>
      <c r="L244" s="23">
        <f t="shared" si="25"/>
        <v>835.25</v>
      </c>
      <c r="M244" s="23">
        <f t="shared" si="27"/>
        <v>701.66666666666663</v>
      </c>
      <c r="N244" s="25">
        <f t="shared" ref="N244:N307" si="28">(F244-F192)/F192</f>
        <v>0.50774526678141141</v>
      </c>
      <c r="O244" s="25">
        <f t="shared" si="26"/>
        <v>4.8787788087398982E-2</v>
      </c>
    </row>
    <row r="245" spans="1:15" x14ac:dyDescent="0.25">
      <c r="A245" s="15" t="s">
        <v>19</v>
      </c>
      <c r="B245" s="20">
        <v>36036</v>
      </c>
      <c r="C245" s="15">
        <v>620</v>
      </c>
      <c r="D245" s="15">
        <v>18</v>
      </c>
      <c r="E245" s="15">
        <v>128</v>
      </c>
      <c r="F245" s="21">
        <f t="shared" si="20"/>
        <v>766</v>
      </c>
      <c r="G245" s="18">
        <v>34</v>
      </c>
      <c r="H245" s="22">
        <f t="shared" si="21"/>
        <v>677</v>
      </c>
      <c r="I245" s="22">
        <f t="shared" si="22"/>
        <v>25.25</v>
      </c>
      <c r="J245" s="22">
        <f t="shared" si="23"/>
        <v>140.75</v>
      </c>
      <c r="K245" s="23">
        <f t="shared" si="24"/>
        <v>843</v>
      </c>
      <c r="L245" s="23">
        <f t="shared" si="25"/>
        <v>750.91666666666663</v>
      </c>
      <c r="M245" s="23">
        <f t="shared" si="27"/>
        <v>628.66666666666663</v>
      </c>
      <c r="N245" s="25">
        <f t="shared" si="28"/>
        <v>0.29830508474576273</v>
      </c>
      <c r="O245" s="25">
        <f t="shared" si="26"/>
        <v>2.008656087004777E-2</v>
      </c>
    </row>
    <row r="246" spans="1:15" x14ac:dyDescent="0.25">
      <c r="A246" s="15" t="s">
        <v>24</v>
      </c>
      <c r="B246" s="20">
        <v>36043</v>
      </c>
      <c r="C246" s="15">
        <v>511</v>
      </c>
      <c r="D246" s="15">
        <v>26</v>
      </c>
      <c r="E246" s="15">
        <v>86</v>
      </c>
      <c r="F246" s="21">
        <f t="shared" si="20"/>
        <v>623</v>
      </c>
      <c r="G246" s="18">
        <v>35</v>
      </c>
      <c r="H246" s="22">
        <f t="shared" si="21"/>
        <v>655.5</v>
      </c>
      <c r="I246" s="22">
        <f t="shared" si="22"/>
        <v>24.5</v>
      </c>
      <c r="J246" s="22">
        <f t="shared" si="23"/>
        <v>138.5</v>
      </c>
      <c r="K246" s="23">
        <f t="shared" si="24"/>
        <v>818.5</v>
      </c>
      <c r="L246" s="23">
        <f t="shared" si="25"/>
        <v>708.33333333333337</v>
      </c>
      <c r="M246" s="23">
        <f t="shared" si="27"/>
        <v>710</v>
      </c>
      <c r="N246" s="25">
        <f t="shared" si="28"/>
        <v>-0.21831869510664995</v>
      </c>
      <c r="O246" s="25">
        <f t="shared" si="26"/>
        <v>-0.12047058823529416</v>
      </c>
    </row>
    <row r="247" spans="1:15" x14ac:dyDescent="0.25">
      <c r="A247" s="15" t="s">
        <v>24</v>
      </c>
      <c r="B247" s="20">
        <v>36050</v>
      </c>
      <c r="C247" s="15">
        <v>538</v>
      </c>
      <c r="D247" s="15">
        <v>57</v>
      </c>
      <c r="E247" s="15">
        <v>66</v>
      </c>
      <c r="F247" s="21">
        <f t="shared" si="20"/>
        <v>661</v>
      </c>
      <c r="G247" s="18">
        <v>36</v>
      </c>
      <c r="H247" s="22">
        <f t="shared" si="21"/>
        <v>594</v>
      </c>
      <c r="I247" s="22">
        <f t="shared" si="22"/>
        <v>29.25</v>
      </c>
      <c r="J247" s="22">
        <f t="shared" si="23"/>
        <v>108.25</v>
      </c>
      <c r="K247" s="23">
        <f t="shared" si="24"/>
        <v>731.5</v>
      </c>
      <c r="L247" s="23">
        <f t="shared" si="25"/>
        <v>667.58333333333337</v>
      </c>
      <c r="M247" s="23">
        <f t="shared" si="27"/>
        <v>630</v>
      </c>
      <c r="N247" s="25">
        <f t="shared" si="28"/>
        <v>1.6923076923076923E-2</v>
      </c>
      <c r="O247" s="25">
        <f t="shared" si="26"/>
        <v>-9.8614405192860386E-3</v>
      </c>
    </row>
    <row r="248" spans="1:15" x14ac:dyDescent="0.25">
      <c r="A248" s="15" t="s">
        <v>24</v>
      </c>
      <c r="B248" s="20">
        <v>36057</v>
      </c>
      <c r="C248" s="15">
        <v>340</v>
      </c>
      <c r="D248" s="15">
        <v>45</v>
      </c>
      <c r="E248" s="15">
        <v>62</v>
      </c>
      <c r="F248" s="21">
        <f t="shared" si="20"/>
        <v>447</v>
      </c>
      <c r="G248" s="18">
        <v>37</v>
      </c>
      <c r="H248" s="22">
        <f t="shared" si="21"/>
        <v>502.25</v>
      </c>
      <c r="I248" s="22">
        <f t="shared" si="22"/>
        <v>36.5</v>
      </c>
      <c r="J248" s="22">
        <f t="shared" si="23"/>
        <v>85.5</v>
      </c>
      <c r="K248" s="23">
        <f t="shared" si="24"/>
        <v>624.25</v>
      </c>
      <c r="L248" s="23">
        <f t="shared" si="25"/>
        <v>627.83333333333337</v>
      </c>
      <c r="M248" s="23">
        <f t="shared" si="27"/>
        <v>542.66666666666663</v>
      </c>
      <c r="N248" s="25">
        <f t="shared" si="28"/>
        <v>-6.6805845511482248E-2</v>
      </c>
      <c r="O248" s="25">
        <f t="shared" si="26"/>
        <v>-0.2880276081762676</v>
      </c>
    </row>
    <row r="249" spans="1:15" x14ac:dyDescent="0.25">
      <c r="A249" s="15" t="s">
        <v>24</v>
      </c>
      <c r="B249" s="20">
        <v>36064</v>
      </c>
      <c r="C249" s="15">
        <v>408</v>
      </c>
      <c r="D249" s="15">
        <v>36</v>
      </c>
      <c r="E249" s="15">
        <v>40</v>
      </c>
      <c r="F249" s="21">
        <f t="shared" si="20"/>
        <v>484</v>
      </c>
      <c r="G249" s="18">
        <v>38</v>
      </c>
      <c r="H249" s="22">
        <f t="shared" si="21"/>
        <v>449.25</v>
      </c>
      <c r="I249" s="22">
        <f t="shared" si="22"/>
        <v>41</v>
      </c>
      <c r="J249" s="22">
        <f t="shared" si="23"/>
        <v>63.5</v>
      </c>
      <c r="K249" s="23">
        <f t="shared" si="24"/>
        <v>553.75</v>
      </c>
      <c r="L249" s="23">
        <f t="shared" si="25"/>
        <v>605.25</v>
      </c>
      <c r="M249" s="23">
        <f t="shared" si="27"/>
        <v>538.33333333333337</v>
      </c>
      <c r="N249" s="25">
        <f t="shared" si="28"/>
        <v>0.16346153846153846</v>
      </c>
      <c r="O249" s="25">
        <f t="shared" si="26"/>
        <v>-0.2003304419661297</v>
      </c>
    </row>
    <row r="250" spans="1:15" x14ac:dyDescent="0.25">
      <c r="A250" s="15" t="s">
        <v>20</v>
      </c>
      <c r="B250" s="20">
        <v>36071</v>
      </c>
      <c r="C250" s="15">
        <v>376</v>
      </c>
      <c r="D250" s="15">
        <v>20</v>
      </c>
      <c r="E250" s="15">
        <v>121</v>
      </c>
      <c r="F250" s="21">
        <f t="shared" si="20"/>
        <v>517</v>
      </c>
      <c r="G250" s="18">
        <v>39</v>
      </c>
      <c r="H250" s="22">
        <f t="shared" si="21"/>
        <v>415.5</v>
      </c>
      <c r="I250" s="22">
        <f t="shared" si="22"/>
        <v>39.5</v>
      </c>
      <c r="J250" s="22">
        <f t="shared" si="23"/>
        <v>72.25</v>
      </c>
      <c r="K250" s="23">
        <f t="shared" si="24"/>
        <v>527.25</v>
      </c>
      <c r="L250" s="23">
        <f t="shared" si="25"/>
        <v>545.33333333333337</v>
      </c>
      <c r="M250" s="23">
        <f t="shared" si="27"/>
        <v>470.33333333333331</v>
      </c>
      <c r="N250" s="25">
        <f t="shared" si="28"/>
        <v>2.3762376237623763E-2</v>
      </c>
      <c r="O250" s="25">
        <f t="shared" si="26"/>
        <v>-5.1955990220048966E-2</v>
      </c>
    </row>
    <row r="251" spans="1:15" x14ac:dyDescent="0.25">
      <c r="A251" s="15" t="s">
        <v>20</v>
      </c>
      <c r="B251" s="20">
        <v>36078</v>
      </c>
      <c r="C251" s="15">
        <v>506</v>
      </c>
      <c r="D251" s="15">
        <v>34</v>
      </c>
      <c r="E251" s="15">
        <v>205</v>
      </c>
      <c r="F251" s="21">
        <f t="shared" si="20"/>
        <v>745</v>
      </c>
      <c r="G251" s="18">
        <v>40</v>
      </c>
      <c r="H251" s="22">
        <f t="shared" si="21"/>
        <v>407.5</v>
      </c>
      <c r="I251" s="22">
        <f t="shared" si="22"/>
        <v>33.75</v>
      </c>
      <c r="J251" s="22">
        <f t="shared" si="23"/>
        <v>107</v>
      </c>
      <c r="K251" s="23">
        <f t="shared" si="24"/>
        <v>548.25</v>
      </c>
      <c r="L251" s="23">
        <f t="shared" si="25"/>
        <v>595.66666666666663</v>
      </c>
      <c r="M251" s="23">
        <f t="shared" si="27"/>
        <v>831.33333333333337</v>
      </c>
      <c r="N251" s="25">
        <f t="shared" si="28"/>
        <v>-0.22395833333333334</v>
      </c>
      <c r="O251" s="25">
        <f t="shared" si="26"/>
        <v>0.25069949636261901</v>
      </c>
    </row>
    <row r="252" spans="1:15" x14ac:dyDescent="0.25">
      <c r="A252" s="15" t="s">
        <v>20</v>
      </c>
      <c r="B252" s="20">
        <v>36085</v>
      </c>
      <c r="C252" s="15">
        <v>639</v>
      </c>
      <c r="D252" s="15">
        <v>12</v>
      </c>
      <c r="E252" s="15">
        <v>212</v>
      </c>
      <c r="F252" s="21">
        <f t="shared" si="20"/>
        <v>863</v>
      </c>
      <c r="G252" s="18">
        <v>41</v>
      </c>
      <c r="H252" s="22">
        <f t="shared" si="21"/>
        <v>482.25</v>
      </c>
      <c r="I252" s="22">
        <f t="shared" si="22"/>
        <v>25.5</v>
      </c>
      <c r="J252" s="22">
        <f t="shared" si="23"/>
        <v>144.5</v>
      </c>
      <c r="K252" s="23">
        <f t="shared" si="24"/>
        <v>652.25</v>
      </c>
      <c r="L252" s="23">
        <f t="shared" si="25"/>
        <v>720.5</v>
      </c>
      <c r="M252" s="23">
        <f t="shared" si="27"/>
        <v>1042</v>
      </c>
      <c r="N252" s="25">
        <f t="shared" si="28"/>
        <v>-0.26677994902293967</v>
      </c>
      <c r="O252" s="25">
        <f t="shared" si="26"/>
        <v>0.19777931991672448</v>
      </c>
    </row>
    <row r="253" spans="1:15" x14ac:dyDescent="0.25">
      <c r="A253" s="15" t="s">
        <v>20</v>
      </c>
      <c r="B253" s="20">
        <v>36092</v>
      </c>
      <c r="C253" s="15">
        <v>455</v>
      </c>
      <c r="D253" s="15">
        <v>2</v>
      </c>
      <c r="E253" s="15">
        <v>371</v>
      </c>
      <c r="F253" s="21">
        <f t="shared" si="20"/>
        <v>828</v>
      </c>
      <c r="G253" s="18">
        <v>42</v>
      </c>
      <c r="H253" s="22">
        <f t="shared" si="21"/>
        <v>494</v>
      </c>
      <c r="I253" s="22">
        <f t="shared" si="22"/>
        <v>17</v>
      </c>
      <c r="J253" s="22">
        <f t="shared" si="23"/>
        <v>227.25</v>
      </c>
      <c r="K253" s="23">
        <f t="shared" si="24"/>
        <v>738.25</v>
      </c>
      <c r="L253" s="23">
        <f t="shared" si="25"/>
        <v>887</v>
      </c>
      <c r="M253" s="23">
        <f t="shared" si="27"/>
        <v>1204.3333333333333</v>
      </c>
      <c r="N253" s="25">
        <f t="shared" si="28"/>
        <v>-0.36986301369863012</v>
      </c>
      <c r="O253" s="25">
        <f t="shared" si="26"/>
        <v>-6.6516347237880497E-2</v>
      </c>
    </row>
    <row r="254" spans="1:15" x14ac:dyDescent="0.25">
      <c r="A254" s="15" t="s">
        <v>20</v>
      </c>
      <c r="B254" s="20">
        <v>36099</v>
      </c>
      <c r="C254" s="15">
        <v>646</v>
      </c>
      <c r="D254" s="15">
        <v>5</v>
      </c>
      <c r="E254" s="15">
        <v>343</v>
      </c>
      <c r="F254" s="21">
        <f t="shared" si="20"/>
        <v>994</v>
      </c>
      <c r="G254" s="18">
        <v>43</v>
      </c>
      <c r="H254" s="22">
        <f t="shared" si="21"/>
        <v>561.5</v>
      </c>
      <c r="I254" s="22">
        <f t="shared" si="22"/>
        <v>13.25</v>
      </c>
      <c r="J254" s="22">
        <f t="shared" si="23"/>
        <v>282.75</v>
      </c>
      <c r="K254" s="23">
        <f t="shared" si="24"/>
        <v>857.5</v>
      </c>
      <c r="L254" s="23">
        <f t="shared" si="25"/>
        <v>1053.25</v>
      </c>
      <c r="M254" s="23">
        <f t="shared" si="27"/>
        <v>1135.3333333333333</v>
      </c>
      <c r="N254" s="25">
        <f t="shared" si="28"/>
        <v>-0.12113174182139699</v>
      </c>
      <c r="O254" s="25">
        <f t="shared" si="26"/>
        <v>-5.6254450510325182E-2</v>
      </c>
    </row>
    <row r="255" spans="1:15" x14ac:dyDescent="0.25">
      <c r="A255" s="15" t="s">
        <v>26</v>
      </c>
      <c r="B255" s="20">
        <v>36106</v>
      </c>
      <c r="C255" s="15">
        <v>579</v>
      </c>
      <c r="D255" s="15">
        <v>5</v>
      </c>
      <c r="E255" s="15">
        <v>259</v>
      </c>
      <c r="F255" s="21">
        <f t="shared" si="20"/>
        <v>843</v>
      </c>
      <c r="G255" s="18">
        <v>44</v>
      </c>
      <c r="H255" s="22">
        <f t="shared" si="21"/>
        <v>579.75</v>
      </c>
      <c r="I255" s="22">
        <f t="shared" si="22"/>
        <v>6</v>
      </c>
      <c r="J255" s="22">
        <f t="shared" si="23"/>
        <v>296.25</v>
      </c>
      <c r="K255" s="23">
        <f t="shared" si="24"/>
        <v>882</v>
      </c>
      <c r="L255" s="23">
        <f t="shared" si="25"/>
        <v>1119.5</v>
      </c>
      <c r="M255" s="23">
        <f t="shared" si="27"/>
        <v>1096.3333333333333</v>
      </c>
      <c r="N255" s="25">
        <f t="shared" si="28"/>
        <v>-1.9767441860465116E-2</v>
      </c>
      <c r="O255" s="25">
        <f t="shared" si="26"/>
        <v>-0.24698526127735596</v>
      </c>
    </row>
    <row r="256" spans="1:15" x14ac:dyDescent="0.25">
      <c r="A256" s="15" t="s">
        <v>26</v>
      </c>
      <c r="B256" s="20">
        <v>36113</v>
      </c>
      <c r="C256" s="15">
        <v>774</v>
      </c>
      <c r="D256" s="15">
        <v>0</v>
      </c>
      <c r="E256" s="15">
        <v>184</v>
      </c>
      <c r="F256" s="21">
        <f t="shared" si="20"/>
        <v>958</v>
      </c>
      <c r="G256" s="18">
        <v>45</v>
      </c>
      <c r="H256" s="22">
        <f t="shared" si="21"/>
        <v>613.5</v>
      </c>
      <c r="I256" s="22">
        <f t="shared" si="22"/>
        <v>3</v>
      </c>
      <c r="J256" s="22">
        <f t="shared" si="23"/>
        <v>289.25</v>
      </c>
      <c r="K256" s="23">
        <f t="shared" si="24"/>
        <v>905.75</v>
      </c>
      <c r="L256" s="23">
        <f t="shared" si="25"/>
        <v>1165.0833333333333</v>
      </c>
      <c r="M256" s="23">
        <f t="shared" si="27"/>
        <v>1224.3333333333333</v>
      </c>
      <c r="N256" s="25">
        <f t="shared" si="28"/>
        <v>-0.10299625468164794</v>
      </c>
      <c r="O256" s="25">
        <f t="shared" si="26"/>
        <v>-0.17774122022745148</v>
      </c>
    </row>
    <row r="257" spans="1:15" x14ac:dyDescent="0.25">
      <c r="A257" s="15" t="s">
        <v>26</v>
      </c>
      <c r="B257" s="20">
        <v>36120</v>
      </c>
      <c r="C257" s="15">
        <v>857</v>
      </c>
      <c r="D257" s="15">
        <v>6</v>
      </c>
      <c r="E257" s="15">
        <v>166</v>
      </c>
      <c r="F257" s="21">
        <f t="shared" si="20"/>
        <v>1029</v>
      </c>
      <c r="G257" s="18">
        <v>46</v>
      </c>
      <c r="H257" s="22">
        <f t="shared" si="21"/>
        <v>714</v>
      </c>
      <c r="I257" s="22">
        <f t="shared" si="22"/>
        <v>4</v>
      </c>
      <c r="J257" s="22">
        <f t="shared" si="23"/>
        <v>238</v>
      </c>
      <c r="K257" s="23">
        <f t="shared" si="24"/>
        <v>956</v>
      </c>
      <c r="L257" s="23">
        <f t="shared" si="25"/>
        <v>1187.4166666666667</v>
      </c>
      <c r="M257" s="23">
        <f t="shared" si="27"/>
        <v>1293.6666666666667</v>
      </c>
      <c r="N257" s="25">
        <f t="shared" si="28"/>
        <v>-0.14392678868552414</v>
      </c>
      <c r="O257" s="25">
        <f t="shared" si="26"/>
        <v>-0.13341287107867225</v>
      </c>
    </row>
    <row r="258" spans="1:15" x14ac:dyDescent="0.25">
      <c r="A258" s="15" t="s">
        <v>26</v>
      </c>
      <c r="B258" s="20">
        <v>36127</v>
      </c>
      <c r="C258" s="15">
        <v>1269</v>
      </c>
      <c r="D258" s="15">
        <v>28</v>
      </c>
      <c r="E258" s="15">
        <v>228</v>
      </c>
      <c r="F258" s="21">
        <f t="shared" si="20"/>
        <v>1525</v>
      </c>
      <c r="G258" s="18">
        <v>47</v>
      </c>
      <c r="H258" s="22">
        <f t="shared" si="21"/>
        <v>869.75</v>
      </c>
      <c r="I258" s="22">
        <f t="shared" si="22"/>
        <v>9.75</v>
      </c>
      <c r="J258" s="22">
        <f t="shared" si="23"/>
        <v>209.25</v>
      </c>
      <c r="K258" s="23">
        <f t="shared" si="24"/>
        <v>1088.75</v>
      </c>
      <c r="L258" s="23">
        <f t="shared" si="25"/>
        <v>1222.6666666666667</v>
      </c>
      <c r="M258" s="23">
        <f t="shared" si="27"/>
        <v>1276.3333333333333</v>
      </c>
      <c r="N258" s="25">
        <f t="shared" si="28"/>
        <v>0.3034188034188034</v>
      </c>
      <c r="O258" s="25">
        <f t="shared" si="26"/>
        <v>0.24727371864776437</v>
      </c>
    </row>
    <row r="259" spans="1:15" x14ac:dyDescent="0.25">
      <c r="A259" s="15" t="s">
        <v>15</v>
      </c>
      <c r="B259" s="20">
        <v>36134</v>
      </c>
      <c r="C259" s="15">
        <v>917</v>
      </c>
      <c r="D259" s="15">
        <v>2</v>
      </c>
      <c r="E259" s="15">
        <v>172</v>
      </c>
      <c r="F259" s="21">
        <f t="shared" si="20"/>
        <v>1091</v>
      </c>
      <c r="G259" s="18">
        <v>48</v>
      </c>
      <c r="H259" s="22">
        <f t="shared" si="21"/>
        <v>954.25</v>
      </c>
      <c r="I259" s="22">
        <f t="shared" si="22"/>
        <v>9</v>
      </c>
      <c r="J259" s="22">
        <f t="shared" si="23"/>
        <v>187.5</v>
      </c>
      <c r="K259" s="23">
        <f t="shared" si="24"/>
        <v>1150.75</v>
      </c>
      <c r="L259" s="23">
        <f t="shared" si="25"/>
        <v>1252.5277777777776</v>
      </c>
      <c r="M259" s="23">
        <f t="shared" si="27"/>
        <v>1210.3333333333333</v>
      </c>
      <c r="N259" s="25">
        <f t="shared" si="28"/>
        <v>2.634054562558796E-2</v>
      </c>
      <c r="O259" s="25">
        <f t="shared" si="26"/>
        <v>-0.12896143354549677</v>
      </c>
    </row>
    <row r="260" spans="1:15" x14ac:dyDescent="0.25">
      <c r="A260" s="15" t="s">
        <v>15</v>
      </c>
      <c r="B260" s="20">
        <v>36141</v>
      </c>
      <c r="C260" s="15">
        <v>1035</v>
      </c>
      <c r="D260" s="15">
        <v>6</v>
      </c>
      <c r="E260" s="15">
        <v>240</v>
      </c>
      <c r="F260" s="21">
        <f t="shared" si="20"/>
        <v>1281</v>
      </c>
      <c r="G260" s="18">
        <v>49</v>
      </c>
      <c r="H260" s="22">
        <f t="shared" si="21"/>
        <v>1019.5</v>
      </c>
      <c r="I260" s="22">
        <f t="shared" si="22"/>
        <v>10.5</v>
      </c>
      <c r="J260" s="22">
        <f t="shared" si="23"/>
        <v>201.5</v>
      </c>
      <c r="K260" s="23">
        <f t="shared" si="24"/>
        <v>1231.5</v>
      </c>
      <c r="L260" s="23">
        <f t="shared" si="25"/>
        <v>1171.6111111111111</v>
      </c>
      <c r="M260" s="23">
        <f t="shared" si="27"/>
        <v>902</v>
      </c>
      <c r="N260" s="25">
        <f t="shared" si="28"/>
        <v>0.57177914110429451</v>
      </c>
      <c r="O260" s="25">
        <f t="shared" si="26"/>
        <v>9.3366209872445372E-2</v>
      </c>
    </row>
    <row r="261" spans="1:15" x14ac:dyDescent="0.25">
      <c r="A261" s="15" t="s">
        <v>15</v>
      </c>
      <c r="B261" s="20">
        <v>36148</v>
      </c>
      <c r="C261" s="15">
        <v>479</v>
      </c>
      <c r="D261" s="15">
        <v>6</v>
      </c>
      <c r="E261" s="15">
        <v>156</v>
      </c>
      <c r="F261" s="21">
        <f t="shared" si="20"/>
        <v>641</v>
      </c>
      <c r="G261" s="18">
        <v>50</v>
      </c>
      <c r="H261" s="22">
        <f t="shared" si="21"/>
        <v>925</v>
      </c>
      <c r="I261" s="22">
        <f t="shared" si="22"/>
        <v>10.5</v>
      </c>
      <c r="J261" s="22">
        <f t="shared" si="23"/>
        <v>199</v>
      </c>
      <c r="K261" s="23">
        <f t="shared" si="24"/>
        <v>1134.5</v>
      </c>
      <c r="L261" s="23">
        <f t="shared" si="25"/>
        <v>1021.3055555555555</v>
      </c>
      <c r="M261" s="23">
        <f t="shared" si="27"/>
        <v>693.33333333333337</v>
      </c>
      <c r="N261" s="25">
        <f t="shared" si="28"/>
        <v>0.16970802919708028</v>
      </c>
      <c r="O261" s="25">
        <f t="shared" si="26"/>
        <v>-0.37237196398944705</v>
      </c>
    </row>
    <row r="262" spans="1:15" x14ac:dyDescent="0.25">
      <c r="A262" s="15" t="s">
        <v>15</v>
      </c>
      <c r="B262" s="20">
        <v>36155</v>
      </c>
      <c r="C262" s="15">
        <v>600</v>
      </c>
      <c r="D262" s="15">
        <v>2</v>
      </c>
      <c r="E262" s="15">
        <v>147</v>
      </c>
      <c r="F262" s="21">
        <f t="shared" ref="F262:F325" si="29">SUM(C262:E262)</f>
        <v>749</v>
      </c>
      <c r="G262" s="18">
        <v>51</v>
      </c>
      <c r="H262" s="22">
        <f t="shared" si="21"/>
        <v>757.75</v>
      </c>
      <c r="I262" s="22">
        <f t="shared" si="22"/>
        <v>4</v>
      </c>
      <c r="J262" s="22">
        <f t="shared" si="23"/>
        <v>178.75</v>
      </c>
      <c r="K262" s="23">
        <f t="shared" si="24"/>
        <v>940.5</v>
      </c>
      <c r="L262" s="23">
        <f t="shared" si="25"/>
        <v>841.72222222222217</v>
      </c>
      <c r="M262" s="23">
        <f t="shared" si="27"/>
        <v>558.66666666666663</v>
      </c>
      <c r="N262" s="25">
        <f t="shared" si="28"/>
        <v>0.42125237191650855</v>
      </c>
      <c r="O262" s="25">
        <f t="shared" si="26"/>
        <v>-0.1101577453633423</v>
      </c>
    </row>
    <row r="263" spans="1:15" x14ac:dyDescent="0.25">
      <c r="A263" s="15" t="s">
        <v>15</v>
      </c>
      <c r="B263" s="20">
        <v>36162</v>
      </c>
      <c r="C263" s="15">
        <v>385</v>
      </c>
      <c r="D263" s="15">
        <v>0</v>
      </c>
      <c r="E263" s="15">
        <v>74</v>
      </c>
      <c r="F263" s="21">
        <f t="shared" si="29"/>
        <v>459</v>
      </c>
      <c r="G263" s="18">
        <v>52</v>
      </c>
      <c r="H263" s="22">
        <f t="shared" si="21"/>
        <v>624.75</v>
      </c>
      <c r="I263" s="22">
        <f t="shared" si="22"/>
        <v>3.5</v>
      </c>
      <c r="J263" s="22">
        <f t="shared" si="23"/>
        <v>154.25</v>
      </c>
      <c r="K263" s="23">
        <f t="shared" si="24"/>
        <v>782.5</v>
      </c>
      <c r="L263" s="23">
        <f t="shared" ref="L263:L326" si="30">AVERAGE(K107+K159+K211)/3</f>
        <v>628.75</v>
      </c>
      <c r="M263" s="23">
        <f t="shared" si="27"/>
        <v>358</v>
      </c>
      <c r="N263" s="25">
        <f t="shared" si="28"/>
        <v>0.20789473684210527</v>
      </c>
      <c r="O263" s="25">
        <f t="shared" si="26"/>
        <v>-0.26998011928429422</v>
      </c>
    </row>
    <row r="264" spans="1:15" x14ac:dyDescent="0.25">
      <c r="A264" s="15" t="s">
        <v>16</v>
      </c>
      <c r="B264" s="20">
        <v>36169</v>
      </c>
      <c r="C264" s="15">
        <v>133</v>
      </c>
      <c r="D264" s="15">
        <v>2</v>
      </c>
      <c r="E264" s="15">
        <v>34</v>
      </c>
      <c r="F264" s="21">
        <f t="shared" si="29"/>
        <v>169</v>
      </c>
      <c r="G264" s="18">
        <v>1</v>
      </c>
      <c r="H264" s="22">
        <f t="shared" si="21"/>
        <v>399.25</v>
      </c>
      <c r="I264" s="22">
        <f t="shared" si="22"/>
        <v>2.5</v>
      </c>
      <c r="J264" s="22">
        <f t="shared" si="23"/>
        <v>102.75</v>
      </c>
      <c r="K264" s="23">
        <f t="shared" si="24"/>
        <v>504.5</v>
      </c>
      <c r="L264" s="23">
        <f t="shared" si="30"/>
        <v>529.6111111111112</v>
      </c>
      <c r="M264" s="23">
        <f t="shared" si="27"/>
        <v>505.33333333333331</v>
      </c>
      <c r="N264" s="25">
        <f t="shared" si="28"/>
        <v>-0.56887755102040816</v>
      </c>
      <c r="O264" s="25">
        <f t="shared" si="26"/>
        <v>-0.68089793349417815</v>
      </c>
    </row>
    <row r="265" spans="1:15" x14ac:dyDescent="0.25">
      <c r="A265" s="15" t="s">
        <v>16</v>
      </c>
      <c r="B265" s="20">
        <v>36176</v>
      </c>
      <c r="C265" s="15">
        <v>231</v>
      </c>
      <c r="D265" s="15">
        <v>3</v>
      </c>
      <c r="E265" s="15">
        <v>29</v>
      </c>
      <c r="F265" s="21">
        <f t="shared" si="29"/>
        <v>263</v>
      </c>
      <c r="G265" s="18">
        <v>2</v>
      </c>
      <c r="H265" s="22">
        <f t="shared" si="21"/>
        <v>337.25</v>
      </c>
      <c r="I265" s="22">
        <f t="shared" si="22"/>
        <v>1.75</v>
      </c>
      <c r="J265" s="22">
        <f t="shared" si="23"/>
        <v>71</v>
      </c>
      <c r="K265" s="23">
        <f t="shared" si="24"/>
        <v>410</v>
      </c>
      <c r="L265" s="23">
        <f t="shared" si="30"/>
        <v>483.52777777777783</v>
      </c>
      <c r="M265" s="23">
        <f t="shared" si="27"/>
        <v>506.33333333333331</v>
      </c>
      <c r="N265" s="25">
        <f t="shared" si="28"/>
        <v>-0.42701525054466233</v>
      </c>
      <c r="O265" s="25">
        <f t="shared" si="26"/>
        <v>-0.45608088699948302</v>
      </c>
    </row>
    <row r="266" spans="1:15" x14ac:dyDescent="0.25">
      <c r="A266" s="15" t="s">
        <v>16</v>
      </c>
      <c r="B266" s="20">
        <v>36183</v>
      </c>
      <c r="C266" s="15">
        <v>130</v>
      </c>
      <c r="D266" s="15">
        <v>0</v>
      </c>
      <c r="E266" s="15">
        <v>37</v>
      </c>
      <c r="F266" s="21">
        <f t="shared" si="29"/>
        <v>167</v>
      </c>
      <c r="G266" s="18">
        <v>3</v>
      </c>
      <c r="H266" s="22">
        <f t="shared" ref="H266:H329" si="31">AVERAGE(C263:C266)</f>
        <v>219.75</v>
      </c>
      <c r="I266" s="22">
        <f t="shared" ref="I266:I329" si="32">AVERAGE(D263:D266)</f>
        <v>1.25</v>
      </c>
      <c r="J266" s="22">
        <f t="shared" ref="J266:J329" si="33">AVERAGE(E263:E266)</f>
        <v>43.5</v>
      </c>
      <c r="K266" s="23">
        <f t="shared" ref="K266:K329" si="34">SUM(H266:J266)</f>
        <v>264.5</v>
      </c>
      <c r="L266" s="23">
        <f t="shared" si="30"/>
        <v>477.16666666666669</v>
      </c>
      <c r="M266" s="23">
        <f t="shared" si="27"/>
        <v>526.66666666666663</v>
      </c>
      <c r="N266" s="25">
        <f t="shared" si="28"/>
        <v>-0.68311195445920303</v>
      </c>
      <c r="O266" s="25">
        <f t="shared" ref="O266:O329" si="35">(F266-L266)/L266</f>
        <v>-0.65001746419839335</v>
      </c>
    </row>
    <row r="267" spans="1:15" x14ac:dyDescent="0.25">
      <c r="A267" s="15" t="s">
        <v>16</v>
      </c>
      <c r="B267" s="20">
        <v>36190</v>
      </c>
      <c r="C267" s="15">
        <v>691</v>
      </c>
      <c r="D267" s="15">
        <v>0</v>
      </c>
      <c r="E267" s="15">
        <v>107</v>
      </c>
      <c r="F267" s="21">
        <f t="shared" si="29"/>
        <v>798</v>
      </c>
      <c r="G267" s="18">
        <v>4</v>
      </c>
      <c r="H267" s="22">
        <f t="shared" si="31"/>
        <v>296.25</v>
      </c>
      <c r="I267" s="22">
        <f t="shared" si="32"/>
        <v>1.25</v>
      </c>
      <c r="J267" s="22">
        <f t="shared" si="33"/>
        <v>51.75</v>
      </c>
      <c r="K267" s="23">
        <f t="shared" si="34"/>
        <v>349.25</v>
      </c>
      <c r="L267" s="23">
        <f t="shared" si="30"/>
        <v>504.83333333333331</v>
      </c>
      <c r="M267" s="23">
        <f t="shared" si="27"/>
        <v>466</v>
      </c>
      <c r="N267" s="25">
        <f t="shared" si="28"/>
        <v>0.33668341708542715</v>
      </c>
      <c r="O267" s="25">
        <f t="shared" si="35"/>
        <v>0.58071970947507434</v>
      </c>
    </row>
    <row r="268" spans="1:15" x14ac:dyDescent="0.25">
      <c r="A268" s="15" t="s">
        <v>23</v>
      </c>
      <c r="B268" s="20">
        <v>36197</v>
      </c>
      <c r="C268" s="15">
        <v>695</v>
      </c>
      <c r="D268" s="15">
        <v>8</v>
      </c>
      <c r="E268" s="15">
        <v>155</v>
      </c>
      <c r="F268" s="21">
        <f t="shared" si="29"/>
        <v>858</v>
      </c>
      <c r="G268" s="18">
        <v>5</v>
      </c>
      <c r="H268" s="22">
        <f t="shared" si="31"/>
        <v>436.75</v>
      </c>
      <c r="I268" s="22">
        <f t="shared" si="32"/>
        <v>2.75</v>
      </c>
      <c r="J268" s="22">
        <f t="shared" si="33"/>
        <v>82</v>
      </c>
      <c r="K268" s="23">
        <f t="shared" si="34"/>
        <v>521.5</v>
      </c>
      <c r="L268" s="23">
        <f t="shared" si="30"/>
        <v>501</v>
      </c>
      <c r="M268" s="23">
        <f t="shared" si="27"/>
        <v>493</v>
      </c>
      <c r="N268" s="25">
        <f t="shared" si="28"/>
        <v>0.19665271966527198</v>
      </c>
      <c r="O268" s="25">
        <f t="shared" si="35"/>
        <v>0.71257485029940115</v>
      </c>
    </row>
    <row r="269" spans="1:15" x14ac:dyDescent="0.25">
      <c r="A269" s="15" t="s">
        <v>23</v>
      </c>
      <c r="B269" s="20">
        <v>36204</v>
      </c>
      <c r="C269" s="15">
        <v>661</v>
      </c>
      <c r="D269" s="15">
        <v>8</v>
      </c>
      <c r="E269" s="15">
        <v>171</v>
      </c>
      <c r="F269" s="21">
        <f t="shared" si="29"/>
        <v>840</v>
      </c>
      <c r="G269" s="18">
        <v>6</v>
      </c>
      <c r="H269" s="22">
        <f t="shared" si="31"/>
        <v>544.25</v>
      </c>
      <c r="I269" s="22">
        <f t="shared" si="32"/>
        <v>4</v>
      </c>
      <c r="J269" s="22">
        <f t="shared" si="33"/>
        <v>117.5</v>
      </c>
      <c r="K269" s="23">
        <f t="shared" si="34"/>
        <v>665.75</v>
      </c>
      <c r="L269" s="23">
        <f t="shared" si="30"/>
        <v>481.9444444444444</v>
      </c>
      <c r="M269" s="23">
        <f t="shared" si="27"/>
        <v>435.33333333333331</v>
      </c>
      <c r="N269" s="25">
        <f t="shared" si="28"/>
        <v>0.68674698795180722</v>
      </c>
      <c r="O269" s="25">
        <f t="shared" si="35"/>
        <v>0.74293948126801168</v>
      </c>
    </row>
    <row r="270" spans="1:15" x14ac:dyDescent="0.25">
      <c r="A270" s="15" t="s">
        <v>23</v>
      </c>
      <c r="B270" s="20">
        <v>36211</v>
      </c>
      <c r="C270" s="15">
        <v>536</v>
      </c>
      <c r="D270" s="15">
        <v>6</v>
      </c>
      <c r="E270" s="15">
        <v>107</v>
      </c>
      <c r="F270" s="21">
        <f t="shared" si="29"/>
        <v>649</v>
      </c>
      <c r="G270" s="18">
        <v>7</v>
      </c>
      <c r="H270" s="22">
        <f t="shared" si="31"/>
        <v>645.75</v>
      </c>
      <c r="I270" s="22">
        <f t="shared" si="32"/>
        <v>5.5</v>
      </c>
      <c r="J270" s="22">
        <f t="shared" si="33"/>
        <v>135</v>
      </c>
      <c r="K270" s="23">
        <f t="shared" si="34"/>
        <v>786.25</v>
      </c>
      <c r="L270" s="23">
        <f t="shared" si="30"/>
        <v>492.97222222222217</v>
      </c>
      <c r="M270" s="23">
        <f t="shared" si="27"/>
        <v>571.66666666666663</v>
      </c>
      <c r="N270" s="25">
        <f t="shared" si="28"/>
        <v>0.36919831223628691</v>
      </c>
      <c r="O270" s="25">
        <f t="shared" si="35"/>
        <v>0.3165041978926017</v>
      </c>
    </row>
    <row r="271" spans="1:15" x14ac:dyDescent="0.25">
      <c r="A271" s="15" t="s">
        <v>23</v>
      </c>
      <c r="B271" s="20">
        <v>36218</v>
      </c>
      <c r="C271" s="15">
        <v>493</v>
      </c>
      <c r="D271" s="15">
        <v>16</v>
      </c>
      <c r="E271" s="15">
        <v>614</v>
      </c>
      <c r="F271" s="21">
        <f t="shared" si="29"/>
        <v>1123</v>
      </c>
      <c r="G271" s="18">
        <v>8</v>
      </c>
      <c r="H271" s="22">
        <f t="shared" si="31"/>
        <v>596.25</v>
      </c>
      <c r="I271" s="22">
        <f t="shared" si="32"/>
        <v>9.5</v>
      </c>
      <c r="J271" s="22">
        <f t="shared" si="33"/>
        <v>261.75</v>
      </c>
      <c r="K271" s="23">
        <f t="shared" si="34"/>
        <v>867.5</v>
      </c>
      <c r="L271" s="23">
        <f t="shared" si="30"/>
        <v>503.5</v>
      </c>
      <c r="M271" s="23">
        <f t="shared" si="27"/>
        <v>509.33333333333331</v>
      </c>
      <c r="N271" s="25">
        <f t="shared" si="28"/>
        <v>2.8327645051194539</v>
      </c>
      <c r="O271" s="25">
        <f t="shared" si="35"/>
        <v>1.2303872889771599</v>
      </c>
    </row>
    <row r="272" spans="1:15" x14ac:dyDescent="0.25">
      <c r="A272" s="15" t="s">
        <v>27</v>
      </c>
      <c r="B272" s="20">
        <v>36225</v>
      </c>
      <c r="C272" s="15">
        <v>326</v>
      </c>
      <c r="D272" s="15">
        <v>2</v>
      </c>
      <c r="E272" s="15">
        <v>82</v>
      </c>
      <c r="F272" s="21">
        <f t="shared" si="29"/>
        <v>410</v>
      </c>
      <c r="G272" s="18">
        <v>9</v>
      </c>
      <c r="H272" s="22">
        <f t="shared" si="31"/>
        <v>504</v>
      </c>
      <c r="I272" s="22">
        <f t="shared" si="32"/>
        <v>8</v>
      </c>
      <c r="J272" s="22">
        <f t="shared" si="33"/>
        <v>243.5</v>
      </c>
      <c r="K272" s="23">
        <f t="shared" si="34"/>
        <v>755.5</v>
      </c>
      <c r="L272" s="23">
        <f t="shared" si="30"/>
        <v>517.33333333333337</v>
      </c>
      <c r="M272" s="23">
        <f t="shared" si="27"/>
        <v>545.33333333333337</v>
      </c>
      <c r="N272" s="25">
        <f t="shared" si="28"/>
        <v>-0.3481717011128776</v>
      </c>
      <c r="O272" s="25">
        <f t="shared" si="35"/>
        <v>-0.20747422680412378</v>
      </c>
    </row>
    <row r="273" spans="1:15" x14ac:dyDescent="0.25">
      <c r="A273" s="15" t="s">
        <v>27</v>
      </c>
      <c r="B273" s="20">
        <v>36232</v>
      </c>
      <c r="C273" s="15">
        <v>340</v>
      </c>
      <c r="D273" s="15">
        <v>2</v>
      </c>
      <c r="E273" s="15">
        <v>118</v>
      </c>
      <c r="F273" s="21">
        <f t="shared" si="29"/>
        <v>460</v>
      </c>
      <c r="G273" s="18">
        <v>10</v>
      </c>
      <c r="H273" s="22">
        <f t="shared" si="31"/>
        <v>423.75</v>
      </c>
      <c r="I273" s="22">
        <f t="shared" si="32"/>
        <v>6.5</v>
      </c>
      <c r="J273" s="22">
        <f t="shared" si="33"/>
        <v>230.25</v>
      </c>
      <c r="K273" s="23">
        <f t="shared" si="34"/>
        <v>660.5</v>
      </c>
      <c r="L273" s="23">
        <f t="shared" si="30"/>
        <v>580.58333333333337</v>
      </c>
      <c r="M273" s="23">
        <f t="shared" si="27"/>
        <v>672.66666666666663</v>
      </c>
      <c r="N273" s="25">
        <f t="shared" si="28"/>
        <v>-0.10331384015594541</v>
      </c>
      <c r="O273" s="25">
        <f t="shared" si="35"/>
        <v>-0.20769341179847858</v>
      </c>
    </row>
    <row r="274" spans="1:15" x14ac:dyDescent="0.25">
      <c r="A274" s="15" t="s">
        <v>27</v>
      </c>
      <c r="B274" s="20">
        <v>36239</v>
      </c>
      <c r="C274" s="15">
        <v>639</v>
      </c>
      <c r="D274" s="15">
        <v>13</v>
      </c>
      <c r="E274" s="15">
        <v>180</v>
      </c>
      <c r="F274" s="21">
        <f t="shared" si="29"/>
        <v>832</v>
      </c>
      <c r="G274" s="18">
        <v>11</v>
      </c>
      <c r="H274" s="22">
        <f t="shared" si="31"/>
        <v>449.5</v>
      </c>
      <c r="I274" s="22">
        <f t="shared" si="32"/>
        <v>8.25</v>
      </c>
      <c r="J274" s="22">
        <f t="shared" si="33"/>
        <v>248.5</v>
      </c>
      <c r="K274" s="23">
        <f t="shared" si="34"/>
        <v>706.25</v>
      </c>
      <c r="L274" s="23">
        <f t="shared" si="30"/>
        <v>659</v>
      </c>
      <c r="M274" s="23">
        <f t="shared" si="27"/>
        <v>892</v>
      </c>
      <c r="N274" s="25">
        <f t="shared" si="28"/>
        <v>0.34846029173419774</v>
      </c>
      <c r="O274" s="25">
        <f t="shared" si="35"/>
        <v>0.26251896813353565</v>
      </c>
    </row>
    <row r="275" spans="1:15" x14ac:dyDescent="0.25">
      <c r="A275" s="15" t="s">
        <v>27</v>
      </c>
      <c r="B275" s="20">
        <v>36246</v>
      </c>
      <c r="C275" s="15">
        <v>702</v>
      </c>
      <c r="D275" s="15">
        <v>8</v>
      </c>
      <c r="E275" s="15">
        <v>139</v>
      </c>
      <c r="F275" s="21">
        <f t="shared" si="29"/>
        <v>849</v>
      </c>
      <c r="G275" s="18">
        <v>12</v>
      </c>
      <c r="H275" s="22">
        <f t="shared" si="31"/>
        <v>501.75</v>
      </c>
      <c r="I275" s="22">
        <f t="shared" si="32"/>
        <v>6.25</v>
      </c>
      <c r="J275" s="22">
        <f t="shared" si="33"/>
        <v>129.75</v>
      </c>
      <c r="K275" s="23">
        <f t="shared" si="34"/>
        <v>637.75</v>
      </c>
      <c r="L275" s="23">
        <f t="shared" si="30"/>
        <v>739.69444444444446</v>
      </c>
      <c r="M275" s="23">
        <f t="shared" si="27"/>
        <v>831</v>
      </c>
      <c r="N275" s="25">
        <f t="shared" si="28"/>
        <v>2.1660649819494584E-2</v>
      </c>
      <c r="O275" s="25">
        <f t="shared" si="35"/>
        <v>0.14777122685793681</v>
      </c>
    </row>
    <row r="276" spans="1:15" x14ac:dyDescent="0.25">
      <c r="A276" s="15" t="s">
        <v>14</v>
      </c>
      <c r="B276" s="20">
        <v>36253</v>
      </c>
      <c r="C276" s="15">
        <v>788</v>
      </c>
      <c r="D276" s="15">
        <v>15</v>
      </c>
      <c r="E276" s="15">
        <v>103</v>
      </c>
      <c r="F276" s="21">
        <f t="shared" si="29"/>
        <v>906</v>
      </c>
      <c r="G276" s="18">
        <v>13</v>
      </c>
      <c r="H276" s="22">
        <f t="shared" si="31"/>
        <v>617.25</v>
      </c>
      <c r="I276" s="22">
        <f t="shared" si="32"/>
        <v>9.5</v>
      </c>
      <c r="J276" s="22">
        <f t="shared" si="33"/>
        <v>135</v>
      </c>
      <c r="K276" s="23">
        <f t="shared" si="34"/>
        <v>761.75</v>
      </c>
      <c r="L276" s="23">
        <f t="shared" si="30"/>
        <v>822.52777777777783</v>
      </c>
      <c r="M276" s="23">
        <f t="shared" ref="M276:M339" si="36">AVERAGE(F120+F172+F224)/3</f>
        <v>872.33333333333337</v>
      </c>
      <c r="N276" s="25">
        <f t="shared" si="28"/>
        <v>0.17815344603381014</v>
      </c>
      <c r="O276" s="25">
        <f t="shared" si="35"/>
        <v>0.1014825571578129</v>
      </c>
    </row>
    <row r="277" spans="1:15" x14ac:dyDescent="0.25">
      <c r="A277" s="15" t="s">
        <v>14</v>
      </c>
      <c r="B277" s="20">
        <v>36260</v>
      </c>
      <c r="C277" s="15">
        <v>713</v>
      </c>
      <c r="D277" s="15">
        <v>5</v>
      </c>
      <c r="E277" s="15">
        <v>94</v>
      </c>
      <c r="F277" s="21">
        <f t="shared" si="29"/>
        <v>812</v>
      </c>
      <c r="G277" s="18">
        <v>14</v>
      </c>
      <c r="H277" s="22">
        <f t="shared" si="31"/>
        <v>710.5</v>
      </c>
      <c r="I277" s="22">
        <f t="shared" si="32"/>
        <v>10.25</v>
      </c>
      <c r="J277" s="22">
        <f t="shared" si="33"/>
        <v>129</v>
      </c>
      <c r="K277" s="23">
        <f t="shared" si="34"/>
        <v>849.75</v>
      </c>
      <c r="L277" s="23">
        <f t="shared" si="30"/>
        <v>832.83333333333337</v>
      </c>
      <c r="M277" s="23">
        <f t="shared" si="36"/>
        <v>724.66666666666663</v>
      </c>
      <c r="N277" s="25">
        <f t="shared" si="28"/>
        <v>0.5320754716981132</v>
      </c>
      <c r="O277" s="25">
        <f t="shared" si="35"/>
        <v>-2.5015009005403287E-2</v>
      </c>
    </row>
    <row r="278" spans="1:15" x14ac:dyDescent="0.25">
      <c r="A278" s="15" t="s">
        <v>14</v>
      </c>
      <c r="B278" s="20">
        <v>36267</v>
      </c>
      <c r="C278" s="15">
        <v>941</v>
      </c>
      <c r="D278" s="15">
        <v>20</v>
      </c>
      <c r="E278" s="15">
        <v>130</v>
      </c>
      <c r="F278" s="21">
        <f t="shared" si="29"/>
        <v>1091</v>
      </c>
      <c r="G278" s="18">
        <v>15</v>
      </c>
      <c r="H278" s="22">
        <f t="shared" si="31"/>
        <v>786</v>
      </c>
      <c r="I278" s="22">
        <f t="shared" si="32"/>
        <v>12</v>
      </c>
      <c r="J278" s="22">
        <f t="shared" si="33"/>
        <v>116.5</v>
      </c>
      <c r="K278" s="23">
        <f t="shared" si="34"/>
        <v>914.5</v>
      </c>
      <c r="L278" s="23">
        <f t="shared" si="30"/>
        <v>791.41666666666663</v>
      </c>
      <c r="M278" s="23">
        <f t="shared" si="36"/>
        <v>732.33333333333337</v>
      </c>
      <c r="N278" s="25">
        <f t="shared" si="28"/>
        <v>2.6125827814569536</v>
      </c>
      <c r="O278" s="25">
        <f t="shared" si="35"/>
        <v>0.37854059176582083</v>
      </c>
    </row>
    <row r="279" spans="1:15" x14ac:dyDescent="0.25">
      <c r="A279" s="15" t="s">
        <v>14</v>
      </c>
      <c r="B279" s="20">
        <v>36274</v>
      </c>
      <c r="C279" s="15">
        <v>721</v>
      </c>
      <c r="D279" s="15">
        <v>14</v>
      </c>
      <c r="E279" s="15">
        <v>139</v>
      </c>
      <c r="F279" s="21">
        <f t="shared" si="29"/>
        <v>874</v>
      </c>
      <c r="G279" s="18">
        <v>16</v>
      </c>
      <c r="H279" s="22">
        <f t="shared" si="31"/>
        <v>790.75</v>
      </c>
      <c r="I279" s="22">
        <f t="shared" si="32"/>
        <v>13.5</v>
      </c>
      <c r="J279" s="22">
        <f t="shared" si="33"/>
        <v>116.5</v>
      </c>
      <c r="K279" s="23">
        <f t="shared" si="34"/>
        <v>920.75</v>
      </c>
      <c r="L279" s="23">
        <f t="shared" si="30"/>
        <v>767.66666666666663</v>
      </c>
      <c r="M279" s="23">
        <f t="shared" si="36"/>
        <v>737.33333333333337</v>
      </c>
      <c r="N279" s="25">
        <f t="shared" si="28"/>
        <v>0.21896792189679218</v>
      </c>
      <c r="O279" s="25">
        <f t="shared" si="35"/>
        <v>0.13851498046026928</v>
      </c>
    </row>
    <row r="280" spans="1:15" x14ac:dyDescent="0.25">
      <c r="A280" s="15" t="s">
        <v>32</v>
      </c>
      <c r="B280" s="20">
        <v>36281</v>
      </c>
      <c r="C280" s="15">
        <v>757</v>
      </c>
      <c r="D280" s="15">
        <v>30</v>
      </c>
      <c r="E280" s="15">
        <v>138</v>
      </c>
      <c r="F280" s="21">
        <f t="shared" si="29"/>
        <v>925</v>
      </c>
      <c r="G280" s="18">
        <v>17</v>
      </c>
      <c r="H280" s="22">
        <f t="shared" si="31"/>
        <v>783</v>
      </c>
      <c r="I280" s="22">
        <f t="shared" si="32"/>
        <v>17.25</v>
      </c>
      <c r="J280" s="22">
        <f t="shared" si="33"/>
        <v>125.25</v>
      </c>
      <c r="K280" s="23">
        <f t="shared" si="34"/>
        <v>925.5</v>
      </c>
      <c r="L280" s="23">
        <f t="shared" si="30"/>
        <v>696.61111111111097</v>
      </c>
      <c r="M280" s="23">
        <f t="shared" si="36"/>
        <v>589</v>
      </c>
      <c r="N280" s="25">
        <f t="shared" si="28"/>
        <v>0.54941373534338356</v>
      </c>
      <c r="O280" s="25">
        <f t="shared" si="35"/>
        <v>0.32785708589201717</v>
      </c>
    </row>
    <row r="281" spans="1:15" x14ac:dyDescent="0.25">
      <c r="A281" s="15" t="s">
        <v>5</v>
      </c>
      <c r="B281" s="20">
        <v>36288</v>
      </c>
      <c r="C281" s="15">
        <v>851</v>
      </c>
      <c r="D281" s="15">
        <v>25</v>
      </c>
      <c r="E281" s="15">
        <v>183</v>
      </c>
      <c r="F281" s="21">
        <f t="shared" si="29"/>
        <v>1059</v>
      </c>
      <c r="G281" s="18">
        <v>18</v>
      </c>
      <c r="H281" s="22">
        <f t="shared" si="31"/>
        <v>817.5</v>
      </c>
      <c r="I281" s="22">
        <f t="shared" si="32"/>
        <v>22.25</v>
      </c>
      <c r="J281" s="22">
        <f t="shared" si="33"/>
        <v>147.5</v>
      </c>
      <c r="K281" s="23">
        <f t="shared" si="34"/>
        <v>987.25</v>
      </c>
      <c r="L281" s="23">
        <f t="shared" si="30"/>
        <v>689.75</v>
      </c>
      <c r="M281" s="23">
        <f t="shared" si="36"/>
        <v>700.33333333333337</v>
      </c>
      <c r="N281" s="25">
        <f t="shared" si="28"/>
        <v>0.462707182320442</v>
      </c>
      <c r="O281" s="25">
        <f t="shared" si="35"/>
        <v>0.53533889090250086</v>
      </c>
    </row>
    <row r="282" spans="1:15" x14ac:dyDescent="0.25">
      <c r="A282" s="15" t="s">
        <v>5</v>
      </c>
      <c r="B282" s="20">
        <v>36295</v>
      </c>
      <c r="C282" s="15">
        <v>813</v>
      </c>
      <c r="D282" s="15">
        <v>20</v>
      </c>
      <c r="E282" s="15">
        <v>86</v>
      </c>
      <c r="F282" s="21">
        <f t="shared" si="29"/>
        <v>919</v>
      </c>
      <c r="G282" s="18">
        <v>19</v>
      </c>
      <c r="H282" s="22">
        <f t="shared" si="31"/>
        <v>785.5</v>
      </c>
      <c r="I282" s="22">
        <f t="shared" si="32"/>
        <v>22.25</v>
      </c>
      <c r="J282" s="22">
        <f t="shared" si="33"/>
        <v>136.5</v>
      </c>
      <c r="K282" s="23">
        <f t="shared" si="34"/>
        <v>944.25</v>
      </c>
      <c r="L282" s="23">
        <f t="shared" si="30"/>
        <v>698.91666666666663</v>
      </c>
      <c r="M282" s="23">
        <f t="shared" si="36"/>
        <v>769</v>
      </c>
      <c r="N282" s="25">
        <f t="shared" si="28"/>
        <v>0.25718194254445964</v>
      </c>
      <c r="O282" s="25">
        <f t="shared" si="35"/>
        <v>0.3148920949087875</v>
      </c>
    </row>
    <row r="283" spans="1:15" x14ac:dyDescent="0.25">
      <c r="A283" s="15" t="s">
        <v>5</v>
      </c>
      <c r="B283" s="20">
        <v>36302</v>
      </c>
      <c r="C283" s="15">
        <v>833</v>
      </c>
      <c r="D283" s="15">
        <v>14</v>
      </c>
      <c r="E283" s="15">
        <v>83</v>
      </c>
      <c r="F283" s="21">
        <f t="shared" si="29"/>
        <v>930</v>
      </c>
      <c r="G283" s="18">
        <v>20</v>
      </c>
      <c r="H283" s="22">
        <f t="shared" si="31"/>
        <v>813.5</v>
      </c>
      <c r="I283" s="22">
        <f t="shared" si="32"/>
        <v>22.25</v>
      </c>
      <c r="J283" s="22">
        <f t="shared" si="33"/>
        <v>122.5</v>
      </c>
      <c r="K283" s="23">
        <f t="shared" si="34"/>
        <v>958.25</v>
      </c>
      <c r="L283" s="23">
        <f t="shared" si="30"/>
        <v>746</v>
      </c>
      <c r="M283" s="23">
        <f t="shared" si="36"/>
        <v>925.66666666666663</v>
      </c>
      <c r="N283" s="25">
        <f t="shared" si="28"/>
        <v>4.72972972972973E-2</v>
      </c>
      <c r="O283" s="25">
        <f t="shared" si="35"/>
        <v>0.24664879356568364</v>
      </c>
    </row>
    <row r="284" spans="1:15" x14ac:dyDescent="0.25">
      <c r="A284" s="15" t="s">
        <v>5</v>
      </c>
      <c r="B284" s="20">
        <v>36309</v>
      </c>
      <c r="C284" s="15">
        <v>570</v>
      </c>
      <c r="D284" s="15">
        <v>8</v>
      </c>
      <c r="E284" s="15">
        <v>107</v>
      </c>
      <c r="F284" s="21">
        <f t="shared" si="29"/>
        <v>685</v>
      </c>
      <c r="G284" s="18">
        <v>21</v>
      </c>
      <c r="H284" s="22">
        <f t="shared" si="31"/>
        <v>766.75</v>
      </c>
      <c r="I284" s="22">
        <f t="shared" si="32"/>
        <v>16.75</v>
      </c>
      <c r="J284" s="22">
        <f t="shared" si="33"/>
        <v>114.75</v>
      </c>
      <c r="K284" s="23">
        <f t="shared" si="34"/>
        <v>898.25</v>
      </c>
      <c r="L284" s="23">
        <f t="shared" si="30"/>
        <v>752.72222222222217</v>
      </c>
      <c r="M284" s="23">
        <f t="shared" si="36"/>
        <v>614</v>
      </c>
      <c r="N284" s="25">
        <f t="shared" si="28"/>
        <v>0.14548494983277591</v>
      </c>
      <c r="O284" s="25">
        <f t="shared" si="35"/>
        <v>-8.9969739464167031E-2</v>
      </c>
    </row>
    <row r="285" spans="1:15" x14ac:dyDescent="0.25">
      <c r="A285" s="15" t="s">
        <v>30</v>
      </c>
      <c r="B285" s="20">
        <v>36316</v>
      </c>
      <c r="C285" s="15">
        <v>815</v>
      </c>
      <c r="D285" s="15">
        <v>29</v>
      </c>
      <c r="E285" s="15">
        <v>120</v>
      </c>
      <c r="F285" s="21">
        <f t="shared" si="29"/>
        <v>964</v>
      </c>
      <c r="G285" s="18">
        <v>22</v>
      </c>
      <c r="H285" s="22">
        <f t="shared" si="31"/>
        <v>757.75</v>
      </c>
      <c r="I285" s="22">
        <f t="shared" si="32"/>
        <v>17.75</v>
      </c>
      <c r="J285" s="22">
        <f t="shared" si="33"/>
        <v>99</v>
      </c>
      <c r="K285" s="23">
        <f t="shared" si="34"/>
        <v>874.5</v>
      </c>
      <c r="L285" s="23">
        <f t="shared" si="30"/>
        <v>748.02777777777783</v>
      </c>
      <c r="M285" s="23">
        <f t="shared" si="36"/>
        <v>680.66666666666663</v>
      </c>
      <c r="N285" s="25">
        <f t="shared" si="28"/>
        <v>0.33518005540166207</v>
      </c>
      <c r="O285" s="25">
        <f t="shared" si="35"/>
        <v>0.28872219540272559</v>
      </c>
    </row>
    <row r="286" spans="1:15" x14ac:dyDescent="0.25">
      <c r="A286" s="15" t="s">
        <v>30</v>
      </c>
      <c r="B286" s="20">
        <v>36323</v>
      </c>
      <c r="C286" s="15">
        <v>885</v>
      </c>
      <c r="D286" s="15">
        <v>5</v>
      </c>
      <c r="E286" s="15">
        <v>118</v>
      </c>
      <c r="F286" s="21">
        <f t="shared" si="29"/>
        <v>1008</v>
      </c>
      <c r="G286" s="18">
        <v>23</v>
      </c>
      <c r="H286" s="22">
        <f t="shared" si="31"/>
        <v>775.75</v>
      </c>
      <c r="I286" s="22">
        <f t="shared" si="32"/>
        <v>14</v>
      </c>
      <c r="J286" s="22">
        <f t="shared" si="33"/>
        <v>107</v>
      </c>
      <c r="K286" s="23">
        <f t="shared" si="34"/>
        <v>896.75</v>
      </c>
      <c r="L286" s="23">
        <f t="shared" si="30"/>
        <v>775.02777777777783</v>
      </c>
      <c r="M286" s="23">
        <f t="shared" si="36"/>
        <v>876</v>
      </c>
      <c r="N286" s="25">
        <f t="shared" si="28"/>
        <v>0.45664739884393063</v>
      </c>
      <c r="O286" s="25">
        <f t="shared" si="35"/>
        <v>0.30059854485502302</v>
      </c>
    </row>
    <row r="287" spans="1:15" x14ac:dyDescent="0.25">
      <c r="A287" s="15" t="s">
        <v>30</v>
      </c>
      <c r="B287" s="20">
        <v>36330</v>
      </c>
      <c r="C287" s="15">
        <v>956</v>
      </c>
      <c r="D287" s="15">
        <v>15</v>
      </c>
      <c r="E287" s="15">
        <v>199</v>
      </c>
      <c r="F287" s="21">
        <f t="shared" si="29"/>
        <v>1170</v>
      </c>
      <c r="G287" s="18">
        <v>24</v>
      </c>
      <c r="H287" s="22">
        <f t="shared" si="31"/>
        <v>806.5</v>
      </c>
      <c r="I287" s="22">
        <f t="shared" si="32"/>
        <v>14.25</v>
      </c>
      <c r="J287" s="22">
        <f t="shared" si="33"/>
        <v>136</v>
      </c>
      <c r="K287" s="23">
        <f t="shared" si="34"/>
        <v>956.75</v>
      </c>
      <c r="L287" s="23">
        <f t="shared" si="30"/>
        <v>752.97222222222217</v>
      </c>
      <c r="M287" s="23">
        <f t="shared" si="36"/>
        <v>836.66666666666663</v>
      </c>
      <c r="N287" s="25">
        <f t="shared" si="28"/>
        <v>0.43031784841075793</v>
      </c>
      <c r="O287" s="25">
        <f t="shared" si="35"/>
        <v>0.55384218098646121</v>
      </c>
    </row>
    <row r="288" spans="1:15" x14ac:dyDescent="0.25">
      <c r="A288" s="15" t="s">
        <v>30</v>
      </c>
      <c r="B288" s="20">
        <v>36337</v>
      </c>
      <c r="C288" s="15">
        <v>975</v>
      </c>
      <c r="D288" s="15">
        <v>12</v>
      </c>
      <c r="E288" s="15">
        <v>194</v>
      </c>
      <c r="F288" s="21">
        <f t="shared" si="29"/>
        <v>1181</v>
      </c>
      <c r="G288" s="18">
        <v>25</v>
      </c>
      <c r="H288" s="22">
        <f t="shared" si="31"/>
        <v>907.75</v>
      </c>
      <c r="I288" s="22">
        <f t="shared" si="32"/>
        <v>15.25</v>
      </c>
      <c r="J288" s="22">
        <f t="shared" si="33"/>
        <v>157.75</v>
      </c>
      <c r="K288" s="23">
        <f t="shared" si="34"/>
        <v>1080.75</v>
      </c>
      <c r="L288" s="23">
        <f t="shared" si="30"/>
        <v>852.33333333333337</v>
      </c>
      <c r="M288" s="23">
        <f t="shared" si="36"/>
        <v>1016</v>
      </c>
      <c r="N288" s="25">
        <f t="shared" si="28"/>
        <v>0.29637760702524696</v>
      </c>
      <c r="O288" s="25">
        <f t="shared" si="35"/>
        <v>0.38560813453265541</v>
      </c>
    </row>
    <row r="289" spans="1:15" x14ac:dyDescent="0.25">
      <c r="A289" s="15" t="s">
        <v>31</v>
      </c>
      <c r="B289" s="20">
        <v>36344</v>
      </c>
      <c r="C289" s="15">
        <v>811</v>
      </c>
      <c r="D289" s="15">
        <v>20</v>
      </c>
      <c r="E289" s="15">
        <v>152</v>
      </c>
      <c r="F289" s="21">
        <f t="shared" si="29"/>
        <v>983</v>
      </c>
      <c r="G289" s="18">
        <v>26</v>
      </c>
      <c r="H289" s="22">
        <f t="shared" si="31"/>
        <v>906.75</v>
      </c>
      <c r="I289" s="22">
        <f t="shared" si="32"/>
        <v>13</v>
      </c>
      <c r="J289" s="22">
        <f t="shared" si="33"/>
        <v>165.75</v>
      </c>
      <c r="K289" s="23">
        <f t="shared" si="34"/>
        <v>1085.5</v>
      </c>
      <c r="L289" s="23">
        <f t="shared" si="30"/>
        <v>912</v>
      </c>
      <c r="M289" s="23">
        <f t="shared" si="36"/>
        <v>919.33333333333337</v>
      </c>
      <c r="N289" s="25">
        <f t="shared" si="28"/>
        <v>0.25703324808184141</v>
      </c>
      <c r="O289" s="25">
        <f t="shared" si="35"/>
        <v>7.7850877192982462E-2</v>
      </c>
    </row>
    <row r="290" spans="1:15" x14ac:dyDescent="0.25">
      <c r="A290" s="15" t="s">
        <v>31</v>
      </c>
      <c r="B290" s="20">
        <v>36351</v>
      </c>
      <c r="C290" s="15">
        <v>979</v>
      </c>
      <c r="D290" s="15">
        <v>65</v>
      </c>
      <c r="E290" s="15">
        <v>109</v>
      </c>
      <c r="F290" s="21">
        <f t="shared" si="29"/>
        <v>1153</v>
      </c>
      <c r="G290" s="18">
        <v>27</v>
      </c>
      <c r="H290" s="22">
        <f t="shared" si="31"/>
        <v>930.25</v>
      </c>
      <c r="I290" s="22">
        <f t="shared" si="32"/>
        <v>28</v>
      </c>
      <c r="J290" s="22">
        <f t="shared" si="33"/>
        <v>163.5</v>
      </c>
      <c r="K290" s="23">
        <f t="shared" si="34"/>
        <v>1121.75</v>
      </c>
      <c r="L290" s="23">
        <f t="shared" si="30"/>
        <v>931.83333333333337</v>
      </c>
      <c r="M290" s="23">
        <f t="shared" si="36"/>
        <v>955.33333333333337</v>
      </c>
      <c r="N290" s="25">
        <f t="shared" si="28"/>
        <v>0.26010928961748636</v>
      </c>
      <c r="O290" s="25">
        <f t="shared" si="35"/>
        <v>0.23734573421570376</v>
      </c>
    </row>
    <row r="291" spans="1:15" x14ac:dyDescent="0.25">
      <c r="A291" s="15" t="s">
        <v>31</v>
      </c>
      <c r="B291" s="20">
        <v>36358</v>
      </c>
      <c r="C291" s="15">
        <v>529</v>
      </c>
      <c r="D291" s="15">
        <v>49</v>
      </c>
      <c r="E291" s="15">
        <v>119</v>
      </c>
      <c r="F291" s="21">
        <f t="shared" si="29"/>
        <v>697</v>
      </c>
      <c r="G291" s="18">
        <v>28</v>
      </c>
      <c r="H291" s="22">
        <f t="shared" si="31"/>
        <v>823.5</v>
      </c>
      <c r="I291" s="22">
        <f t="shared" si="32"/>
        <v>36.5</v>
      </c>
      <c r="J291" s="22">
        <f t="shared" si="33"/>
        <v>143.5</v>
      </c>
      <c r="K291" s="23">
        <f t="shared" si="34"/>
        <v>1003.5</v>
      </c>
      <c r="L291" s="23">
        <f t="shared" si="30"/>
        <v>892.75</v>
      </c>
      <c r="M291" s="23">
        <f t="shared" si="36"/>
        <v>680.33333333333337</v>
      </c>
      <c r="N291" s="25">
        <f t="shared" si="28"/>
        <v>8.3981337480559873E-2</v>
      </c>
      <c r="O291" s="25">
        <f t="shared" si="35"/>
        <v>-0.2192663119574349</v>
      </c>
    </row>
    <row r="292" spans="1:15" x14ac:dyDescent="0.25">
      <c r="A292" s="15" t="s">
        <v>31</v>
      </c>
      <c r="B292" s="20">
        <v>36365</v>
      </c>
      <c r="C292" s="15">
        <v>1088</v>
      </c>
      <c r="D292" s="15">
        <v>40</v>
      </c>
      <c r="E292" s="15">
        <v>122</v>
      </c>
      <c r="F292" s="21">
        <f t="shared" si="29"/>
        <v>1250</v>
      </c>
      <c r="G292" s="18">
        <v>29</v>
      </c>
      <c r="H292" s="22">
        <f t="shared" si="31"/>
        <v>851.75</v>
      </c>
      <c r="I292" s="22">
        <f t="shared" si="32"/>
        <v>43.5</v>
      </c>
      <c r="J292" s="22">
        <f t="shared" si="33"/>
        <v>125.5</v>
      </c>
      <c r="K292" s="23">
        <f t="shared" si="34"/>
        <v>1020.75</v>
      </c>
      <c r="L292" s="23">
        <f t="shared" si="30"/>
        <v>874.25</v>
      </c>
      <c r="M292" s="23">
        <f t="shared" si="36"/>
        <v>942</v>
      </c>
      <c r="N292" s="25">
        <f t="shared" si="28"/>
        <v>0.25250501002004005</v>
      </c>
      <c r="O292" s="25">
        <f t="shared" si="35"/>
        <v>0.42979696883042606</v>
      </c>
    </row>
    <row r="293" spans="1:15" x14ac:dyDescent="0.25">
      <c r="A293" s="15" t="s">
        <v>31</v>
      </c>
      <c r="B293" s="20">
        <v>36372</v>
      </c>
      <c r="C293" s="15">
        <v>752</v>
      </c>
      <c r="D293" s="15">
        <v>29</v>
      </c>
      <c r="E293" s="15">
        <v>149</v>
      </c>
      <c r="F293" s="21">
        <f t="shared" si="29"/>
        <v>930</v>
      </c>
      <c r="G293" s="18">
        <v>30</v>
      </c>
      <c r="H293" s="22">
        <f t="shared" si="31"/>
        <v>837</v>
      </c>
      <c r="I293" s="22">
        <f t="shared" si="32"/>
        <v>45.75</v>
      </c>
      <c r="J293" s="22">
        <f t="shared" si="33"/>
        <v>124.75</v>
      </c>
      <c r="K293" s="23">
        <f t="shared" si="34"/>
        <v>1007.5</v>
      </c>
      <c r="L293" s="23">
        <f t="shared" si="30"/>
        <v>861.16666666666663</v>
      </c>
      <c r="M293" s="23">
        <f t="shared" si="36"/>
        <v>867</v>
      </c>
      <c r="N293" s="25">
        <f t="shared" si="28"/>
        <v>-1.3785790031813362E-2</v>
      </c>
      <c r="O293" s="25">
        <f t="shared" si="35"/>
        <v>7.9930327075672589E-2</v>
      </c>
    </row>
    <row r="294" spans="1:15" x14ac:dyDescent="0.25">
      <c r="A294" s="15" t="s">
        <v>19</v>
      </c>
      <c r="B294" s="20">
        <v>36379</v>
      </c>
      <c r="C294" s="15">
        <v>819</v>
      </c>
      <c r="D294" s="15">
        <v>26</v>
      </c>
      <c r="E294" s="15">
        <v>243</v>
      </c>
      <c r="F294" s="21">
        <f t="shared" si="29"/>
        <v>1088</v>
      </c>
      <c r="G294" s="18">
        <v>31</v>
      </c>
      <c r="H294" s="22">
        <f t="shared" si="31"/>
        <v>797</v>
      </c>
      <c r="I294" s="22">
        <f t="shared" si="32"/>
        <v>36</v>
      </c>
      <c r="J294" s="22">
        <f t="shared" si="33"/>
        <v>158.25</v>
      </c>
      <c r="K294" s="23">
        <f t="shared" si="34"/>
        <v>991.25</v>
      </c>
      <c r="L294" s="23">
        <f t="shared" si="30"/>
        <v>812.91666666666663</v>
      </c>
      <c r="M294" s="23">
        <f t="shared" si="36"/>
        <v>762.33333333333337</v>
      </c>
      <c r="N294" s="25">
        <f t="shared" si="28"/>
        <v>0.50901525658807212</v>
      </c>
      <c r="O294" s="25">
        <f t="shared" si="35"/>
        <v>0.33839056893900571</v>
      </c>
    </row>
    <row r="295" spans="1:15" x14ac:dyDescent="0.25">
      <c r="A295" s="15" t="s">
        <v>19</v>
      </c>
      <c r="B295" s="20">
        <v>36386</v>
      </c>
      <c r="C295" s="15">
        <v>762</v>
      </c>
      <c r="D295" s="15">
        <v>20</v>
      </c>
      <c r="E295" s="15">
        <v>173</v>
      </c>
      <c r="F295" s="21">
        <f t="shared" si="29"/>
        <v>955</v>
      </c>
      <c r="G295" s="18">
        <v>32</v>
      </c>
      <c r="H295" s="22">
        <f t="shared" si="31"/>
        <v>855.25</v>
      </c>
      <c r="I295" s="22">
        <f t="shared" si="32"/>
        <v>28.75</v>
      </c>
      <c r="J295" s="22">
        <f t="shared" si="33"/>
        <v>171.75</v>
      </c>
      <c r="K295" s="23">
        <f t="shared" si="34"/>
        <v>1055.75</v>
      </c>
      <c r="L295" s="23">
        <f t="shared" si="30"/>
        <v>828.25</v>
      </c>
      <c r="M295" s="23">
        <f t="shared" si="36"/>
        <v>741.66666666666663</v>
      </c>
      <c r="N295" s="25">
        <f t="shared" si="28"/>
        <v>-5.3518334985133795E-2</v>
      </c>
      <c r="O295" s="25">
        <f t="shared" si="35"/>
        <v>0.15303350437669785</v>
      </c>
    </row>
    <row r="296" spans="1:15" x14ac:dyDescent="0.25">
      <c r="A296" s="15" t="s">
        <v>19</v>
      </c>
      <c r="B296" s="20">
        <v>36393</v>
      </c>
      <c r="C296" s="15">
        <v>819</v>
      </c>
      <c r="D296" s="15">
        <v>32</v>
      </c>
      <c r="E296" s="15">
        <v>106</v>
      </c>
      <c r="F296" s="21">
        <f t="shared" si="29"/>
        <v>957</v>
      </c>
      <c r="G296" s="18">
        <v>33</v>
      </c>
      <c r="H296" s="22">
        <f t="shared" si="31"/>
        <v>788</v>
      </c>
      <c r="I296" s="22">
        <f t="shared" si="32"/>
        <v>26.75</v>
      </c>
      <c r="J296" s="22">
        <f t="shared" si="33"/>
        <v>167.75</v>
      </c>
      <c r="K296" s="23">
        <f t="shared" si="34"/>
        <v>982.5</v>
      </c>
      <c r="L296" s="23">
        <f t="shared" si="30"/>
        <v>753.41666666666663</v>
      </c>
      <c r="M296" s="23">
        <f t="shared" si="36"/>
        <v>642.66666666666663</v>
      </c>
      <c r="N296" s="25">
        <f t="shared" si="28"/>
        <v>9.2465753424657529E-2</v>
      </c>
      <c r="O296" s="25">
        <f t="shared" si="35"/>
        <v>0.27021347196106632</v>
      </c>
    </row>
    <row r="297" spans="1:15" x14ac:dyDescent="0.25">
      <c r="A297" s="15" t="s">
        <v>19</v>
      </c>
      <c r="B297" s="20">
        <v>36400</v>
      </c>
      <c r="C297" s="15">
        <v>854</v>
      </c>
      <c r="D297" s="15">
        <v>12</v>
      </c>
      <c r="E297" s="15">
        <v>188</v>
      </c>
      <c r="F297" s="21">
        <f t="shared" si="29"/>
        <v>1054</v>
      </c>
      <c r="G297" s="18">
        <v>34</v>
      </c>
      <c r="H297" s="22">
        <f t="shared" si="31"/>
        <v>813.5</v>
      </c>
      <c r="I297" s="22">
        <f t="shared" si="32"/>
        <v>22.5</v>
      </c>
      <c r="J297" s="22">
        <f t="shared" si="33"/>
        <v>177.5</v>
      </c>
      <c r="K297" s="23">
        <f t="shared" si="34"/>
        <v>1013.5</v>
      </c>
      <c r="L297" s="23">
        <f t="shared" si="30"/>
        <v>680.58333333333337</v>
      </c>
      <c r="M297" s="23">
        <f t="shared" si="36"/>
        <v>575.66666666666663</v>
      </c>
      <c r="N297" s="25">
        <f t="shared" si="28"/>
        <v>0.37597911227154046</v>
      </c>
      <c r="O297" s="25">
        <f t="shared" si="35"/>
        <v>0.54867148279662048</v>
      </c>
    </row>
    <row r="298" spans="1:15" x14ac:dyDescent="0.25">
      <c r="A298" s="15" t="s">
        <v>24</v>
      </c>
      <c r="B298" s="20">
        <v>36407</v>
      </c>
      <c r="C298" s="15">
        <v>491</v>
      </c>
      <c r="D298" s="15">
        <v>41</v>
      </c>
      <c r="E298" s="15">
        <v>187</v>
      </c>
      <c r="F298" s="21">
        <f t="shared" si="29"/>
        <v>719</v>
      </c>
      <c r="G298" s="18">
        <v>35</v>
      </c>
      <c r="H298" s="22">
        <f t="shared" si="31"/>
        <v>731.5</v>
      </c>
      <c r="I298" s="22">
        <f t="shared" si="32"/>
        <v>26.25</v>
      </c>
      <c r="J298" s="22">
        <f t="shared" si="33"/>
        <v>163.5</v>
      </c>
      <c r="K298" s="23">
        <f t="shared" si="34"/>
        <v>921.25</v>
      </c>
      <c r="L298" s="23">
        <f t="shared" si="30"/>
        <v>624.66666666666663</v>
      </c>
      <c r="M298" s="23">
        <f t="shared" si="36"/>
        <v>538.66666666666663</v>
      </c>
      <c r="N298" s="25">
        <f t="shared" si="28"/>
        <v>0.15409309791332262</v>
      </c>
      <c r="O298" s="25">
        <f t="shared" si="35"/>
        <v>0.1510138740661687</v>
      </c>
    </row>
    <row r="299" spans="1:15" x14ac:dyDescent="0.25">
      <c r="A299" s="15" t="s">
        <v>24</v>
      </c>
      <c r="B299" s="20">
        <v>36414</v>
      </c>
      <c r="C299" s="15">
        <v>637</v>
      </c>
      <c r="D299" s="15">
        <v>11</v>
      </c>
      <c r="E299" s="15">
        <v>232</v>
      </c>
      <c r="F299" s="21">
        <f t="shared" si="29"/>
        <v>880</v>
      </c>
      <c r="G299" s="18">
        <v>36</v>
      </c>
      <c r="H299" s="22">
        <f t="shared" si="31"/>
        <v>700.25</v>
      </c>
      <c r="I299" s="22">
        <f t="shared" si="32"/>
        <v>24</v>
      </c>
      <c r="J299" s="22">
        <f t="shared" si="33"/>
        <v>178.25</v>
      </c>
      <c r="K299" s="23">
        <f t="shared" si="34"/>
        <v>902.5</v>
      </c>
      <c r="L299" s="23">
        <f t="shared" si="30"/>
        <v>575.41666666666663</v>
      </c>
      <c r="M299" s="23">
        <f t="shared" si="36"/>
        <v>544.66666666666663</v>
      </c>
      <c r="N299" s="25">
        <f t="shared" si="28"/>
        <v>0.33131618759455372</v>
      </c>
      <c r="O299" s="25">
        <f t="shared" si="35"/>
        <v>0.52932657494569157</v>
      </c>
    </row>
    <row r="300" spans="1:15" x14ac:dyDescent="0.25">
      <c r="A300" s="15" t="s">
        <v>24</v>
      </c>
      <c r="B300" s="20">
        <v>36421</v>
      </c>
      <c r="C300" s="15">
        <v>483</v>
      </c>
      <c r="D300" s="15">
        <v>8</v>
      </c>
      <c r="E300" s="15">
        <v>162</v>
      </c>
      <c r="F300" s="21">
        <f t="shared" si="29"/>
        <v>653</v>
      </c>
      <c r="G300" s="18">
        <v>37</v>
      </c>
      <c r="H300" s="22">
        <f t="shared" si="31"/>
        <v>616.25</v>
      </c>
      <c r="I300" s="22">
        <f t="shared" si="32"/>
        <v>18</v>
      </c>
      <c r="J300" s="22">
        <f t="shared" si="33"/>
        <v>192.25</v>
      </c>
      <c r="K300" s="23">
        <f t="shared" si="34"/>
        <v>826.5</v>
      </c>
      <c r="L300" s="23">
        <f t="shared" si="30"/>
        <v>513.33333333333337</v>
      </c>
      <c r="M300" s="23">
        <f t="shared" si="36"/>
        <v>394.33333333333331</v>
      </c>
      <c r="N300" s="25">
        <f t="shared" si="28"/>
        <v>0.46085011185682329</v>
      </c>
      <c r="O300" s="25">
        <f t="shared" si="35"/>
        <v>0.27207792207792197</v>
      </c>
    </row>
    <row r="301" spans="1:15" x14ac:dyDescent="0.25">
      <c r="A301" s="15" t="s">
        <v>24</v>
      </c>
      <c r="B301" s="20">
        <v>36428</v>
      </c>
      <c r="C301" s="15">
        <v>377</v>
      </c>
      <c r="D301" s="15">
        <v>14</v>
      </c>
      <c r="E301" s="15">
        <v>167</v>
      </c>
      <c r="F301" s="21">
        <f t="shared" si="29"/>
        <v>558</v>
      </c>
      <c r="G301" s="18">
        <v>38</v>
      </c>
      <c r="H301" s="22">
        <f t="shared" si="31"/>
        <v>497</v>
      </c>
      <c r="I301" s="22">
        <f t="shared" si="32"/>
        <v>18.5</v>
      </c>
      <c r="J301" s="22">
        <f t="shared" si="33"/>
        <v>187</v>
      </c>
      <c r="K301" s="23">
        <f t="shared" si="34"/>
        <v>702.5</v>
      </c>
      <c r="L301" s="23">
        <f t="shared" si="30"/>
        <v>468.41666666666669</v>
      </c>
      <c r="M301" s="23">
        <f t="shared" si="36"/>
        <v>396</v>
      </c>
      <c r="N301" s="25">
        <f t="shared" si="28"/>
        <v>0.15289256198347106</v>
      </c>
      <c r="O301" s="25">
        <f t="shared" si="35"/>
        <v>0.19124710905532818</v>
      </c>
    </row>
    <row r="302" spans="1:15" x14ac:dyDescent="0.25">
      <c r="A302" s="15" t="s">
        <v>20</v>
      </c>
      <c r="B302" s="20">
        <v>36435</v>
      </c>
      <c r="C302" s="15">
        <v>634</v>
      </c>
      <c r="D302" s="15">
        <v>19</v>
      </c>
      <c r="E302" s="15">
        <v>286</v>
      </c>
      <c r="F302" s="21">
        <f t="shared" si="29"/>
        <v>939</v>
      </c>
      <c r="G302" s="18">
        <v>39</v>
      </c>
      <c r="H302" s="22">
        <f t="shared" si="31"/>
        <v>532.75</v>
      </c>
      <c r="I302" s="22">
        <f t="shared" si="32"/>
        <v>13</v>
      </c>
      <c r="J302" s="22">
        <f t="shared" si="33"/>
        <v>211.75</v>
      </c>
      <c r="K302" s="23">
        <f t="shared" si="34"/>
        <v>757.5</v>
      </c>
      <c r="L302" s="23">
        <f t="shared" si="30"/>
        <v>432.5</v>
      </c>
      <c r="M302" s="23">
        <f t="shared" si="36"/>
        <v>395</v>
      </c>
      <c r="N302" s="25">
        <f t="shared" si="28"/>
        <v>0.81624758220502902</v>
      </c>
      <c r="O302" s="25">
        <f t="shared" si="35"/>
        <v>1.1710982658959537</v>
      </c>
    </row>
    <row r="303" spans="1:15" x14ac:dyDescent="0.25">
      <c r="A303" s="15" t="s">
        <v>20</v>
      </c>
      <c r="B303" s="20">
        <v>36442</v>
      </c>
      <c r="C303" s="15">
        <v>659</v>
      </c>
      <c r="D303" s="15">
        <v>45</v>
      </c>
      <c r="E303" s="15">
        <v>121</v>
      </c>
      <c r="F303" s="21">
        <f t="shared" si="29"/>
        <v>825</v>
      </c>
      <c r="G303" s="18">
        <v>40</v>
      </c>
      <c r="H303" s="22">
        <f t="shared" si="31"/>
        <v>538.25</v>
      </c>
      <c r="I303" s="22">
        <f t="shared" si="32"/>
        <v>21.5</v>
      </c>
      <c r="J303" s="22">
        <f t="shared" si="33"/>
        <v>184</v>
      </c>
      <c r="K303" s="23">
        <f t="shared" si="34"/>
        <v>743.75</v>
      </c>
      <c r="L303" s="23">
        <f t="shared" si="30"/>
        <v>485.91666666666669</v>
      </c>
      <c r="M303" s="23">
        <f t="shared" si="36"/>
        <v>758.33333333333337</v>
      </c>
      <c r="N303" s="25">
        <f t="shared" si="28"/>
        <v>0.10738255033557047</v>
      </c>
      <c r="O303" s="25">
        <f t="shared" si="35"/>
        <v>0.69782198593723199</v>
      </c>
    </row>
    <row r="304" spans="1:15" x14ac:dyDescent="0.25">
      <c r="A304" s="15" t="s">
        <v>20</v>
      </c>
      <c r="B304" s="20">
        <v>36449</v>
      </c>
      <c r="C304" s="15">
        <v>609</v>
      </c>
      <c r="D304" s="15">
        <v>69</v>
      </c>
      <c r="E304" s="15">
        <v>187</v>
      </c>
      <c r="F304" s="21">
        <f t="shared" si="29"/>
        <v>865</v>
      </c>
      <c r="G304" s="18">
        <v>41</v>
      </c>
      <c r="H304" s="22">
        <f t="shared" si="31"/>
        <v>569.75</v>
      </c>
      <c r="I304" s="22">
        <f t="shared" si="32"/>
        <v>36.75</v>
      </c>
      <c r="J304" s="22">
        <f t="shared" si="33"/>
        <v>190.25</v>
      </c>
      <c r="K304" s="23">
        <f t="shared" si="34"/>
        <v>796.75</v>
      </c>
      <c r="L304" s="23">
        <f t="shared" si="30"/>
        <v>642.33333333333337</v>
      </c>
      <c r="M304" s="23">
        <f t="shared" si="36"/>
        <v>1020</v>
      </c>
      <c r="N304" s="25">
        <f t="shared" si="28"/>
        <v>2.3174971031286211E-3</v>
      </c>
      <c r="O304" s="25">
        <f t="shared" si="35"/>
        <v>0.34665282823040988</v>
      </c>
    </row>
    <row r="305" spans="1:15" x14ac:dyDescent="0.25">
      <c r="A305" s="15" t="s">
        <v>20</v>
      </c>
      <c r="B305" s="20">
        <v>36456</v>
      </c>
      <c r="C305" s="15">
        <v>475</v>
      </c>
      <c r="D305" s="15">
        <v>5</v>
      </c>
      <c r="E305" s="15">
        <v>384</v>
      </c>
      <c r="F305" s="21">
        <f t="shared" si="29"/>
        <v>864</v>
      </c>
      <c r="G305" s="18">
        <v>42</v>
      </c>
      <c r="H305" s="22">
        <f t="shared" si="31"/>
        <v>594.25</v>
      </c>
      <c r="I305" s="22">
        <f t="shared" si="32"/>
        <v>34.5</v>
      </c>
      <c r="J305" s="22">
        <f t="shared" si="33"/>
        <v>244.5</v>
      </c>
      <c r="K305" s="23">
        <f t="shared" si="34"/>
        <v>873.25</v>
      </c>
      <c r="L305" s="23">
        <f t="shared" si="30"/>
        <v>822.91666666666663</v>
      </c>
      <c r="M305" s="23">
        <f t="shared" si="36"/>
        <v>1118.3333333333333</v>
      </c>
      <c r="N305" s="25">
        <f t="shared" si="28"/>
        <v>4.3478260869565216E-2</v>
      </c>
      <c r="O305" s="25">
        <f t="shared" si="35"/>
        <v>4.9924050632911443E-2</v>
      </c>
    </row>
    <row r="306" spans="1:15" x14ac:dyDescent="0.25">
      <c r="A306" s="15" t="s">
        <v>20</v>
      </c>
      <c r="B306" s="20">
        <v>36463</v>
      </c>
      <c r="C306" s="15">
        <v>777</v>
      </c>
      <c r="D306" s="15">
        <v>46</v>
      </c>
      <c r="E306" s="15">
        <v>336</v>
      </c>
      <c r="F306" s="21">
        <f t="shared" si="29"/>
        <v>1159</v>
      </c>
      <c r="G306" s="18">
        <v>43</v>
      </c>
      <c r="H306" s="22">
        <f t="shared" si="31"/>
        <v>630</v>
      </c>
      <c r="I306" s="22">
        <f t="shared" si="32"/>
        <v>41.25</v>
      </c>
      <c r="J306" s="22">
        <f t="shared" si="33"/>
        <v>257</v>
      </c>
      <c r="K306" s="23">
        <f t="shared" si="34"/>
        <v>928.25</v>
      </c>
      <c r="L306" s="23">
        <f t="shared" si="30"/>
        <v>998.25</v>
      </c>
      <c r="M306" s="23">
        <f t="shared" si="36"/>
        <v>1096.3333333333333</v>
      </c>
      <c r="N306" s="25">
        <f t="shared" si="28"/>
        <v>0.16599597585513079</v>
      </c>
      <c r="O306" s="25">
        <f t="shared" si="35"/>
        <v>0.16103180565990483</v>
      </c>
    </row>
    <row r="307" spans="1:15" x14ac:dyDescent="0.25">
      <c r="A307" s="15" t="s">
        <v>26</v>
      </c>
      <c r="B307" s="20">
        <v>36470</v>
      </c>
      <c r="C307" s="15">
        <v>675</v>
      </c>
      <c r="D307" s="15">
        <v>6</v>
      </c>
      <c r="E307" s="15">
        <v>258</v>
      </c>
      <c r="F307" s="21">
        <f t="shared" si="29"/>
        <v>939</v>
      </c>
      <c r="G307" s="18">
        <v>44</v>
      </c>
      <c r="H307" s="22">
        <f t="shared" si="31"/>
        <v>634</v>
      </c>
      <c r="I307" s="22">
        <f t="shared" si="32"/>
        <v>31.5</v>
      </c>
      <c r="J307" s="22">
        <f t="shared" si="33"/>
        <v>291.25</v>
      </c>
      <c r="K307" s="23">
        <f t="shared" si="34"/>
        <v>956.75</v>
      </c>
      <c r="L307" s="23">
        <f t="shared" si="30"/>
        <v>1052.5833333333333</v>
      </c>
      <c r="M307" s="23">
        <f t="shared" si="36"/>
        <v>975.66666666666663</v>
      </c>
      <c r="N307" s="25">
        <f t="shared" si="28"/>
        <v>0.11387900355871886</v>
      </c>
      <c r="O307" s="25">
        <f t="shared" si="35"/>
        <v>-0.10790911250098957</v>
      </c>
    </row>
    <row r="308" spans="1:15" x14ac:dyDescent="0.25">
      <c r="A308" s="15" t="s">
        <v>26</v>
      </c>
      <c r="B308" s="20">
        <v>36477</v>
      </c>
      <c r="C308" s="15">
        <v>907</v>
      </c>
      <c r="D308" s="15">
        <v>6</v>
      </c>
      <c r="E308" s="15">
        <v>268</v>
      </c>
      <c r="F308" s="21">
        <f t="shared" si="29"/>
        <v>1181</v>
      </c>
      <c r="G308" s="18">
        <v>45</v>
      </c>
      <c r="H308" s="22">
        <f t="shared" si="31"/>
        <v>708.5</v>
      </c>
      <c r="I308" s="22">
        <f t="shared" si="32"/>
        <v>15.75</v>
      </c>
      <c r="J308" s="22">
        <f t="shared" si="33"/>
        <v>311.5</v>
      </c>
      <c r="K308" s="23">
        <f t="shared" si="34"/>
        <v>1035.75</v>
      </c>
      <c r="L308" s="23">
        <f t="shared" si="30"/>
        <v>1078.3333333333333</v>
      </c>
      <c r="M308" s="23">
        <f t="shared" si="36"/>
        <v>1123</v>
      </c>
      <c r="N308" s="25">
        <f t="shared" ref="N308:N371" si="37">(F308-F256)/F256</f>
        <v>0.23277661795407098</v>
      </c>
      <c r="O308" s="25">
        <f t="shared" si="35"/>
        <v>9.5208655332303008E-2</v>
      </c>
    </row>
    <row r="309" spans="1:15" x14ac:dyDescent="0.25">
      <c r="A309" s="15" t="s">
        <v>26</v>
      </c>
      <c r="B309" s="20">
        <v>36484</v>
      </c>
      <c r="C309" s="15">
        <v>742</v>
      </c>
      <c r="D309" s="15">
        <v>3</v>
      </c>
      <c r="E309" s="15">
        <v>155</v>
      </c>
      <c r="F309" s="21">
        <f t="shared" si="29"/>
        <v>900</v>
      </c>
      <c r="G309" s="18">
        <v>46</v>
      </c>
      <c r="H309" s="22">
        <f t="shared" si="31"/>
        <v>775.25</v>
      </c>
      <c r="I309" s="22">
        <f t="shared" si="32"/>
        <v>15.25</v>
      </c>
      <c r="J309" s="22">
        <f t="shared" si="33"/>
        <v>254.25</v>
      </c>
      <c r="K309" s="23">
        <f t="shared" si="34"/>
        <v>1044.75</v>
      </c>
      <c r="L309" s="23">
        <f t="shared" si="30"/>
        <v>1076.9166666666667</v>
      </c>
      <c r="M309" s="23">
        <f t="shared" si="36"/>
        <v>1112.6666666666667</v>
      </c>
      <c r="N309" s="25">
        <f t="shared" si="37"/>
        <v>-0.12536443148688048</v>
      </c>
      <c r="O309" s="25">
        <f t="shared" si="35"/>
        <v>-0.16428073976630819</v>
      </c>
    </row>
    <row r="310" spans="1:15" x14ac:dyDescent="0.25">
      <c r="A310" s="15" t="s">
        <v>26</v>
      </c>
      <c r="B310" s="20">
        <v>36491</v>
      </c>
      <c r="C310" s="15">
        <v>482</v>
      </c>
      <c r="D310" s="15">
        <v>11</v>
      </c>
      <c r="E310" s="15">
        <v>111</v>
      </c>
      <c r="F310" s="21">
        <f t="shared" si="29"/>
        <v>604</v>
      </c>
      <c r="G310" s="18">
        <v>47</v>
      </c>
      <c r="H310" s="22">
        <f t="shared" si="31"/>
        <v>701.5</v>
      </c>
      <c r="I310" s="22">
        <f t="shared" si="32"/>
        <v>6.5</v>
      </c>
      <c r="J310" s="22">
        <f t="shared" si="33"/>
        <v>198</v>
      </c>
      <c r="K310" s="23">
        <f t="shared" si="34"/>
        <v>906</v>
      </c>
      <c r="L310" s="23">
        <f t="shared" si="30"/>
        <v>1132.1666666666667</v>
      </c>
      <c r="M310" s="23">
        <f t="shared" si="36"/>
        <v>1317.3333333333333</v>
      </c>
      <c r="N310" s="25">
        <f t="shared" si="37"/>
        <v>-0.60393442622950821</v>
      </c>
      <c r="O310" s="25">
        <f t="shared" si="35"/>
        <v>-0.46650964227881647</v>
      </c>
    </row>
    <row r="311" spans="1:15" x14ac:dyDescent="0.25">
      <c r="A311" s="15" t="s">
        <v>15</v>
      </c>
      <c r="B311" s="20">
        <v>36498</v>
      </c>
      <c r="C311" s="15">
        <v>767</v>
      </c>
      <c r="D311" s="15">
        <v>25</v>
      </c>
      <c r="E311" s="15">
        <v>211</v>
      </c>
      <c r="F311" s="21">
        <f t="shared" si="29"/>
        <v>1003</v>
      </c>
      <c r="G311" s="18">
        <v>48</v>
      </c>
      <c r="H311" s="22">
        <f t="shared" si="31"/>
        <v>724.5</v>
      </c>
      <c r="I311" s="22">
        <f t="shared" si="32"/>
        <v>11.25</v>
      </c>
      <c r="J311" s="22">
        <f t="shared" si="33"/>
        <v>186.25</v>
      </c>
      <c r="K311" s="23">
        <f t="shared" si="34"/>
        <v>922</v>
      </c>
      <c r="L311" s="23">
        <f t="shared" si="30"/>
        <v>1178.1111111111111</v>
      </c>
      <c r="M311" s="23">
        <f t="shared" si="36"/>
        <v>1154</v>
      </c>
      <c r="N311" s="25">
        <f t="shared" si="37"/>
        <v>-8.0659945004582956E-2</v>
      </c>
      <c r="O311" s="25">
        <f t="shared" si="35"/>
        <v>-0.14863717815712532</v>
      </c>
    </row>
    <row r="312" spans="1:15" x14ac:dyDescent="0.25">
      <c r="A312" s="15" t="s">
        <v>15</v>
      </c>
      <c r="B312" s="20">
        <v>36505</v>
      </c>
      <c r="C312" s="15">
        <v>841</v>
      </c>
      <c r="D312" s="15">
        <v>31</v>
      </c>
      <c r="E312" s="15">
        <v>386</v>
      </c>
      <c r="F312" s="21">
        <f t="shared" si="29"/>
        <v>1258</v>
      </c>
      <c r="G312" s="18">
        <v>49</v>
      </c>
      <c r="H312" s="22">
        <f t="shared" si="31"/>
        <v>708</v>
      </c>
      <c r="I312" s="22">
        <f t="shared" si="32"/>
        <v>17.5</v>
      </c>
      <c r="J312" s="22">
        <f t="shared" si="33"/>
        <v>215.75</v>
      </c>
      <c r="K312" s="23">
        <f t="shared" si="34"/>
        <v>941.25</v>
      </c>
      <c r="L312" s="23">
        <f t="shared" si="30"/>
        <v>1163.6111111111111</v>
      </c>
      <c r="M312" s="23">
        <f t="shared" si="36"/>
        <v>1066.3333333333333</v>
      </c>
      <c r="N312" s="25">
        <f t="shared" si="37"/>
        <v>-1.7954722872755659E-2</v>
      </c>
      <c r="O312" s="25">
        <f t="shared" si="35"/>
        <v>8.1117211745046575E-2</v>
      </c>
    </row>
    <row r="313" spans="1:15" x14ac:dyDescent="0.25">
      <c r="A313" s="15" t="s">
        <v>15</v>
      </c>
      <c r="B313" s="20">
        <v>36512</v>
      </c>
      <c r="C313" s="15">
        <v>618</v>
      </c>
      <c r="D313" s="15">
        <v>14</v>
      </c>
      <c r="E313" s="15">
        <v>211</v>
      </c>
      <c r="F313" s="21">
        <f t="shared" si="29"/>
        <v>843</v>
      </c>
      <c r="G313" s="18">
        <v>50</v>
      </c>
      <c r="H313" s="22">
        <f t="shared" si="31"/>
        <v>677</v>
      </c>
      <c r="I313" s="22">
        <f t="shared" si="32"/>
        <v>20.25</v>
      </c>
      <c r="J313" s="22">
        <f t="shared" si="33"/>
        <v>229.75</v>
      </c>
      <c r="K313" s="23">
        <f t="shared" si="34"/>
        <v>927</v>
      </c>
      <c r="L313" s="23">
        <f t="shared" si="30"/>
        <v>1032.8888888888889</v>
      </c>
      <c r="M313" s="23">
        <f t="shared" si="36"/>
        <v>590.66666666666663</v>
      </c>
      <c r="N313" s="25">
        <f t="shared" si="37"/>
        <v>0.31513260530421217</v>
      </c>
      <c r="O313" s="25">
        <f t="shared" si="35"/>
        <v>-0.18384251290877798</v>
      </c>
    </row>
    <row r="314" spans="1:15" x14ac:dyDescent="0.25">
      <c r="A314" s="15" t="s">
        <v>15</v>
      </c>
      <c r="B314" s="20">
        <v>36519</v>
      </c>
      <c r="C314" s="15">
        <v>558</v>
      </c>
      <c r="D314" s="15">
        <v>32</v>
      </c>
      <c r="E314" s="15">
        <v>195</v>
      </c>
      <c r="F314" s="21">
        <f t="shared" si="29"/>
        <v>785</v>
      </c>
      <c r="G314" s="18">
        <v>51</v>
      </c>
      <c r="H314" s="22">
        <f t="shared" si="31"/>
        <v>696</v>
      </c>
      <c r="I314" s="22">
        <f t="shared" si="32"/>
        <v>25.5</v>
      </c>
      <c r="J314" s="22">
        <f t="shared" si="33"/>
        <v>250.75</v>
      </c>
      <c r="K314" s="23">
        <f t="shared" si="34"/>
        <v>972.25</v>
      </c>
      <c r="L314" s="23">
        <f t="shared" si="30"/>
        <v>838.97222222222217</v>
      </c>
      <c r="M314" s="23">
        <f t="shared" si="36"/>
        <v>542.33333333333337</v>
      </c>
      <c r="N314" s="25">
        <f t="shared" si="37"/>
        <v>4.8064085447263018E-2</v>
      </c>
      <c r="O314" s="25">
        <f t="shared" si="35"/>
        <v>-6.4331357812137807E-2</v>
      </c>
    </row>
    <row r="315" spans="1:15" x14ac:dyDescent="0.25">
      <c r="A315" s="15" t="s">
        <v>15</v>
      </c>
      <c r="B315" s="20">
        <v>36526</v>
      </c>
      <c r="C315" s="15">
        <v>470</v>
      </c>
      <c r="D315" s="15">
        <v>3</v>
      </c>
      <c r="E315" s="15">
        <v>162</v>
      </c>
      <c r="F315" s="21">
        <f t="shared" si="29"/>
        <v>635</v>
      </c>
      <c r="G315" s="18">
        <v>52</v>
      </c>
      <c r="H315" s="22">
        <f t="shared" si="31"/>
        <v>621.75</v>
      </c>
      <c r="I315" s="22">
        <f t="shared" si="32"/>
        <v>20</v>
      </c>
      <c r="J315" s="22">
        <f t="shared" si="33"/>
        <v>238.5</v>
      </c>
      <c r="K315" s="23">
        <f t="shared" si="34"/>
        <v>880.25</v>
      </c>
      <c r="L315" s="23">
        <f t="shared" si="30"/>
        <v>645.16666666666663</v>
      </c>
      <c r="M315" s="23">
        <f t="shared" si="36"/>
        <v>381.33333333333331</v>
      </c>
      <c r="N315" s="25">
        <f t="shared" si="37"/>
        <v>0.38344226579520696</v>
      </c>
      <c r="O315" s="25">
        <f t="shared" si="35"/>
        <v>-1.5758202014983149E-2</v>
      </c>
    </row>
    <row r="316" spans="1:15" x14ac:dyDescent="0.25">
      <c r="A316" s="15" t="s">
        <v>16</v>
      </c>
      <c r="B316" s="20">
        <v>36533</v>
      </c>
      <c r="C316" s="15">
        <v>508</v>
      </c>
      <c r="D316" s="15">
        <v>3</v>
      </c>
      <c r="E316" s="15">
        <v>89</v>
      </c>
      <c r="F316" s="21">
        <f t="shared" si="29"/>
        <v>600</v>
      </c>
      <c r="G316" s="18">
        <v>1</v>
      </c>
      <c r="H316" s="22">
        <f t="shared" si="31"/>
        <v>538.5</v>
      </c>
      <c r="I316" s="22">
        <f t="shared" si="32"/>
        <v>13</v>
      </c>
      <c r="J316" s="22">
        <f t="shared" si="33"/>
        <v>164.25</v>
      </c>
      <c r="K316" s="23">
        <f t="shared" si="34"/>
        <v>715.75</v>
      </c>
      <c r="L316" s="23">
        <f t="shared" si="30"/>
        <v>481.33333333333331</v>
      </c>
      <c r="M316" s="23">
        <f t="shared" si="36"/>
        <v>411</v>
      </c>
      <c r="N316" s="25">
        <f t="shared" si="37"/>
        <v>2.5502958579881656</v>
      </c>
      <c r="O316" s="25">
        <f t="shared" si="35"/>
        <v>0.24653739612188372</v>
      </c>
    </row>
    <row r="317" spans="1:15" x14ac:dyDescent="0.25">
      <c r="A317" s="15" t="s">
        <v>16</v>
      </c>
      <c r="B317" s="20">
        <v>36540</v>
      </c>
      <c r="C317" s="15">
        <v>487</v>
      </c>
      <c r="D317" s="15">
        <v>9</v>
      </c>
      <c r="E317" s="15">
        <v>185</v>
      </c>
      <c r="F317" s="21">
        <f t="shared" si="29"/>
        <v>681</v>
      </c>
      <c r="G317" s="18">
        <v>2</v>
      </c>
      <c r="H317" s="22">
        <f t="shared" si="31"/>
        <v>505.75</v>
      </c>
      <c r="I317" s="22">
        <f t="shared" si="32"/>
        <v>11.75</v>
      </c>
      <c r="J317" s="22">
        <f t="shared" si="33"/>
        <v>157.75</v>
      </c>
      <c r="K317" s="23">
        <f t="shared" si="34"/>
        <v>675.25</v>
      </c>
      <c r="L317" s="23">
        <f t="shared" si="30"/>
        <v>424.72222222222223</v>
      </c>
      <c r="M317" s="23">
        <f t="shared" si="36"/>
        <v>360.66666666666669</v>
      </c>
      <c r="N317" s="25">
        <f t="shared" si="37"/>
        <v>1.5893536121673004</v>
      </c>
      <c r="O317" s="25">
        <f t="shared" si="35"/>
        <v>0.60340091563113141</v>
      </c>
    </row>
    <row r="318" spans="1:15" x14ac:dyDescent="0.25">
      <c r="A318" s="15" t="s">
        <v>16</v>
      </c>
      <c r="B318" s="20">
        <v>36547</v>
      </c>
      <c r="C318" s="15">
        <v>524</v>
      </c>
      <c r="D318" s="15">
        <v>3</v>
      </c>
      <c r="E318" s="15">
        <v>141</v>
      </c>
      <c r="F318" s="21">
        <f t="shared" si="29"/>
        <v>668</v>
      </c>
      <c r="G318" s="18">
        <v>3</v>
      </c>
      <c r="H318" s="22">
        <f t="shared" si="31"/>
        <v>497.25</v>
      </c>
      <c r="I318" s="22">
        <f t="shared" si="32"/>
        <v>4.5</v>
      </c>
      <c r="J318" s="22">
        <f t="shared" si="33"/>
        <v>144.25</v>
      </c>
      <c r="K318" s="23">
        <f t="shared" si="34"/>
        <v>646</v>
      </c>
      <c r="L318" s="23">
        <f t="shared" si="30"/>
        <v>374.41666666666669</v>
      </c>
      <c r="M318" s="23">
        <f t="shared" si="36"/>
        <v>337</v>
      </c>
      <c r="N318" s="25">
        <f t="shared" si="37"/>
        <v>3</v>
      </c>
      <c r="O318" s="25">
        <f t="shared" si="35"/>
        <v>0.78410861339862004</v>
      </c>
    </row>
    <row r="319" spans="1:15" x14ac:dyDescent="0.25">
      <c r="A319" s="15" t="s">
        <v>16</v>
      </c>
      <c r="B319" s="20">
        <v>36554</v>
      </c>
      <c r="C319" s="15">
        <v>276</v>
      </c>
      <c r="D319" s="15">
        <v>0</v>
      </c>
      <c r="E319" s="15">
        <v>82</v>
      </c>
      <c r="F319" s="21">
        <f t="shared" si="29"/>
        <v>358</v>
      </c>
      <c r="G319" s="18">
        <v>4</v>
      </c>
      <c r="H319" s="22">
        <f t="shared" si="31"/>
        <v>448.75</v>
      </c>
      <c r="I319" s="22">
        <f t="shared" si="32"/>
        <v>3.75</v>
      </c>
      <c r="J319" s="22">
        <f t="shared" si="33"/>
        <v>124.25</v>
      </c>
      <c r="K319" s="23">
        <f t="shared" si="34"/>
        <v>576.75</v>
      </c>
      <c r="L319" s="23">
        <f t="shared" si="30"/>
        <v>423.5</v>
      </c>
      <c r="M319" s="23">
        <f t="shared" si="36"/>
        <v>575</v>
      </c>
      <c r="N319" s="25">
        <f t="shared" si="37"/>
        <v>-0.55137844611528819</v>
      </c>
      <c r="O319" s="25">
        <f t="shared" si="35"/>
        <v>-0.15466351829988192</v>
      </c>
    </row>
    <row r="320" spans="1:15" x14ac:dyDescent="0.25">
      <c r="A320" s="15" t="s">
        <v>23</v>
      </c>
      <c r="B320" s="20">
        <v>36561</v>
      </c>
      <c r="C320" s="15">
        <v>455</v>
      </c>
      <c r="D320" s="15">
        <v>8</v>
      </c>
      <c r="E320" s="15">
        <v>90</v>
      </c>
      <c r="F320" s="21">
        <f t="shared" si="29"/>
        <v>553</v>
      </c>
      <c r="G320" s="18">
        <v>5</v>
      </c>
      <c r="H320" s="22">
        <f t="shared" si="31"/>
        <v>435.5</v>
      </c>
      <c r="I320" s="22">
        <f t="shared" si="32"/>
        <v>5</v>
      </c>
      <c r="J320" s="22">
        <f t="shared" si="33"/>
        <v>124.5</v>
      </c>
      <c r="K320" s="23">
        <f t="shared" si="34"/>
        <v>565</v>
      </c>
      <c r="L320" s="23">
        <f t="shared" si="30"/>
        <v>491.83333333333331</v>
      </c>
      <c r="M320" s="23">
        <f t="shared" si="36"/>
        <v>686.33333333333337</v>
      </c>
      <c r="N320" s="25">
        <f t="shared" si="37"/>
        <v>-0.35547785547785549</v>
      </c>
      <c r="O320" s="25">
        <f t="shared" si="35"/>
        <v>0.12436462216197904</v>
      </c>
    </row>
    <row r="321" spans="1:15" x14ac:dyDescent="0.25">
      <c r="A321" s="15" t="s">
        <v>23</v>
      </c>
      <c r="B321" s="20">
        <v>36568</v>
      </c>
      <c r="C321" s="15">
        <v>280</v>
      </c>
      <c r="D321" s="15">
        <v>2</v>
      </c>
      <c r="E321" s="15">
        <v>129</v>
      </c>
      <c r="F321" s="21">
        <f t="shared" si="29"/>
        <v>411</v>
      </c>
      <c r="G321" s="18">
        <v>6</v>
      </c>
      <c r="H321" s="22">
        <f t="shared" si="31"/>
        <v>383.75</v>
      </c>
      <c r="I321" s="22">
        <f t="shared" si="32"/>
        <v>3.25</v>
      </c>
      <c r="J321" s="22">
        <f t="shared" si="33"/>
        <v>110.5</v>
      </c>
      <c r="K321" s="23">
        <f t="shared" si="34"/>
        <v>497.5</v>
      </c>
      <c r="L321" s="23">
        <f t="shared" si="30"/>
        <v>546.19444444444446</v>
      </c>
      <c r="M321" s="23">
        <f t="shared" si="36"/>
        <v>583.33333333333337</v>
      </c>
      <c r="N321" s="25">
        <f t="shared" si="37"/>
        <v>-0.51071428571428568</v>
      </c>
      <c r="O321" s="25">
        <f t="shared" si="35"/>
        <v>-0.24752072420281748</v>
      </c>
    </row>
    <row r="322" spans="1:15" x14ac:dyDescent="0.25">
      <c r="A322" s="15" t="s">
        <v>23</v>
      </c>
      <c r="B322" s="20">
        <v>36575</v>
      </c>
      <c r="C322" s="15">
        <v>403</v>
      </c>
      <c r="D322" s="15">
        <v>27</v>
      </c>
      <c r="E322" s="15">
        <v>170</v>
      </c>
      <c r="F322" s="21">
        <f t="shared" si="29"/>
        <v>600</v>
      </c>
      <c r="G322" s="18">
        <v>7</v>
      </c>
      <c r="H322" s="22">
        <f t="shared" si="31"/>
        <v>353.5</v>
      </c>
      <c r="I322" s="22">
        <f t="shared" si="32"/>
        <v>9.25</v>
      </c>
      <c r="J322" s="22">
        <f t="shared" si="33"/>
        <v>117.75</v>
      </c>
      <c r="K322" s="23">
        <f t="shared" si="34"/>
        <v>480.5</v>
      </c>
      <c r="L322" s="23">
        <f t="shared" si="30"/>
        <v>610.44444444444446</v>
      </c>
      <c r="M322" s="23">
        <f t="shared" si="36"/>
        <v>594</v>
      </c>
      <c r="N322" s="25">
        <f t="shared" si="37"/>
        <v>-7.5500770416024654E-2</v>
      </c>
      <c r="O322" s="25">
        <f t="shared" si="35"/>
        <v>-1.7109574080815454E-2</v>
      </c>
    </row>
    <row r="323" spans="1:15" x14ac:dyDescent="0.25">
      <c r="A323" s="15" t="s">
        <v>23</v>
      </c>
      <c r="B323" s="20">
        <v>36582</v>
      </c>
      <c r="C323" s="15">
        <v>445</v>
      </c>
      <c r="D323" s="15">
        <v>3</v>
      </c>
      <c r="E323" s="15">
        <v>102</v>
      </c>
      <c r="F323" s="21">
        <f t="shared" si="29"/>
        <v>550</v>
      </c>
      <c r="G323" s="18">
        <v>8</v>
      </c>
      <c r="H323" s="22">
        <f t="shared" si="31"/>
        <v>395.75</v>
      </c>
      <c r="I323" s="22">
        <f t="shared" si="32"/>
        <v>10</v>
      </c>
      <c r="J323" s="22">
        <f t="shared" si="33"/>
        <v>122.75</v>
      </c>
      <c r="K323" s="23">
        <f t="shared" si="34"/>
        <v>528.5</v>
      </c>
      <c r="L323" s="23">
        <f t="shared" si="30"/>
        <v>618.25</v>
      </c>
      <c r="M323" s="23">
        <f t="shared" si="36"/>
        <v>604.66666666666663</v>
      </c>
      <c r="N323" s="25">
        <f t="shared" si="37"/>
        <v>-0.51024042742653608</v>
      </c>
      <c r="O323" s="25">
        <f t="shared" si="35"/>
        <v>-0.11039223615042458</v>
      </c>
    </row>
    <row r="324" spans="1:15" x14ac:dyDescent="0.25">
      <c r="A324" s="15" t="s">
        <v>27</v>
      </c>
      <c r="B324" s="20">
        <v>36589</v>
      </c>
      <c r="C324" s="15">
        <v>418</v>
      </c>
      <c r="D324" s="15">
        <v>2</v>
      </c>
      <c r="E324" s="15">
        <v>125</v>
      </c>
      <c r="F324" s="21">
        <f t="shared" si="29"/>
        <v>545</v>
      </c>
      <c r="G324" s="18">
        <v>9</v>
      </c>
      <c r="H324" s="22">
        <f t="shared" si="31"/>
        <v>386.5</v>
      </c>
      <c r="I324" s="22">
        <f t="shared" si="32"/>
        <v>8.5</v>
      </c>
      <c r="J324" s="22">
        <f t="shared" si="33"/>
        <v>131.5</v>
      </c>
      <c r="K324" s="23">
        <f t="shared" si="34"/>
        <v>526.5</v>
      </c>
      <c r="L324" s="23">
        <f t="shared" si="30"/>
        <v>572.08333333333337</v>
      </c>
      <c r="M324" s="23">
        <f t="shared" si="36"/>
        <v>498.66666666666669</v>
      </c>
      <c r="N324" s="25">
        <f t="shared" si="37"/>
        <v>0.32926829268292684</v>
      </c>
      <c r="O324" s="25">
        <f t="shared" si="35"/>
        <v>-4.7341587764020455E-2</v>
      </c>
    </row>
    <row r="325" spans="1:15" x14ac:dyDescent="0.25">
      <c r="A325" s="15" t="s">
        <v>27</v>
      </c>
      <c r="B325" s="20">
        <v>36596</v>
      </c>
      <c r="C325" s="15">
        <v>410</v>
      </c>
      <c r="D325" s="15">
        <v>5</v>
      </c>
      <c r="E325" s="15">
        <v>261</v>
      </c>
      <c r="F325" s="21">
        <f t="shared" si="29"/>
        <v>676</v>
      </c>
      <c r="G325" s="18">
        <v>10</v>
      </c>
      <c r="H325" s="22">
        <f t="shared" si="31"/>
        <v>419</v>
      </c>
      <c r="I325" s="22">
        <f t="shared" si="32"/>
        <v>9.25</v>
      </c>
      <c r="J325" s="22">
        <f t="shared" si="33"/>
        <v>164.5</v>
      </c>
      <c r="K325" s="23">
        <f t="shared" si="34"/>
        <v>592.75</v>
      </c>
      <c r="L325" s="23">
        <f t="shared" si="30"/>
        <v>584.33333333333337</v>
      </c>
      <c r="M325" s="23">
        <f t="shared" si="36"/>
        <v>620</v>
      </c>
      <c r="N325" s="25">
        <f t="shared" si="37"/>
        <v>0.46956521739130436</v>
      </c>
      <c r="O325" s="25">
        <f t="shared" si="35"/>
        <v>0.1568739304050199</v>
      </c>
    </row>
    <row r="326" spans="1:15" x14ac:dyDescent="0.25">
      <c r="A326" s="15" t="s">
        <v>27</v>
      </c>
      <c r="B326" s="20">
        <v>36603</v>
      </c>
      <c r="C326" s="15">
        <v>654</v>
      </c>
      <c r="D326" s="15">
        <v>3</v>
      </c>
      <c r="E326" s="15">
        <v>216</v>
      </c>
      <c r="F326" s="21">
        <f t="shared" ref="F326:F389" si="38">SUM(C326:E326)</f>
        <v>873</v>
      </c>
      <c r="G326" s="18">
        <v>11</v>
      </c>
      <c r="H326" s="22">
        <f t="shared" si="31"/>
        <v>481.75</v>
      </c>
      <c r="I326" s="22">
        <f t="shared" si="32"/>
        <v>3.25</v>
      </c>
      <c r="J326" s="22">
        <f t="shared" si="33"/>
        <v>176</v>
      </c>
      <c r="K326" s="23">
        <f t="shared" si="34"/>
        <v>661</v>
      </c>
      <c r="L326" s="23">
        <f t="shared" si="30"/>
        <v>641.16666666666663</v>
      </c>
      <c r="M326" s="23">
        <f t="shared" si="36"/>
        <v>828</v>
      </c>
      <c r="N326" s="25">
        <f t="shared" si="37"/>
        <v>4.9278846153846152E-2</v>
      </c>
      <c r="O326" s="25">
        <f t="shared" si="35"/>
        <v>0.36158045230049396</v>
      </c>
    </row>
    <row r="327" spans="1:15" x14ac:dyDescent="0.25">
      <c r="A327" s="15" t="s">
        <v>27</v>
      </c>
      <c r="B327" s="20">
        <v>36610</v>
      </c>
      <c r="C327" s="15">
        <v>653</v>
      </c>
      <c r="D327" s="15">
        <v>6</v>
      </c>
      <c r="E327" s="15">
        <v>160</v>
      </c>
      <c r="F327" s="21">
        <f t="shared" si="38"/>
        <v>819</v>
      </c>
      <c r="G327" s="18">
        <v>12</v>
      </c>
      <c r="H327" s="22">
        <f t="shared" si="31"/>
        <v>533.75</v>
      </c>
      <c r="I327" s="22">
        <f t="shared" si="32"/>
        <v>4</v>
      </c>
      <c r="J327" s="22">
        <f t="shared" si="33"/>
        <v>190.5</v>
      </c>
      <c r="K327" s="23">
        <f t="shared" si="34"/>
        <v>728.25</v>
      </c>
      <c r="L327" s="23">
        <f t="shared" ref="L327:L367" si="39">AVERAGE(K171+K223+K275)/3</f>
        <v>688.58333333333337</v>
      </c>
      <c r="M327" s="23">
        <f t="shared" si="36"/>
        <v>794.33333333333337</v>
      </c>
      <c r="N327" s="25">
        <f t="shared" si="37"/>
        <v>-3.5335689045936397E-2</v>
      </c>
      <c r="O327" s="25">
        <f t="shared" si="35"/>
        <v>0.18939852353866629</v>
      </c>
    </row>
    <row r="328" spans="1:15" x14ac:dyDescent="0.25">
      <c r="A328" s="15" t="s">
        <v>27</v>
      </c>
      <c r="B328" s="20">
        <v>36617</v>
      </c>
      <c r="C328" s="15">
        <v>477</v>
      </c>
      <c r="D328" s="15">
        <v>20</v>
      </c>
      <c r="E328" s="15">
        <v>141</v>
      </c>
      <c r="F328" s="21">
        <f t="shared" si="38"/>
        <v>638</v>
      </c>
      <c r="G328" s="18">
        <v>13</v>
      </c>
      <c r="H328" s="22">
        <f t="shared" si="31"/>
        <v>548.5</v>
      </c>
      <c r="I328" s="22">
        <f t="shared" si="32"/>
        <v>8.5</v>
      </c>
      <c r="J328" s="22">
        <f t="shared" si="33"/>
        <v>194.5</v>
      </c>
      <c r="K328" s="23">
        <f t="shared" si="34"/>
        <v>751.5</v>
      </c>
      <c r="L328" s="23">
        <f t="shared" si="39"/>
        <v>762.16666666666663</v>
      </c>
      <c r="M328" s="23">
        <f t="shared" si="36"/>
        <v>795</v>
      </c>
      <c r="N328" s="25">
        <f t="shared" si="37"/>
        <v>-0.2958057395143488</v>
      </c>
      <c r="O328" s="25">
        <f t="shared" si="35"/>
        <v>-0.16291274874261968</v>
      </c>
    </row>
    <row r="329" spans="1:15" x14ac:dyDescent="0.25">
      <c r="A329" s="15" t="s">
        <v>14</v>
      </c>
      <c r="B329" s="20">
        <v>36624</v>
      </c>
      <c r="C329" s="15">
        <v>554</v>
      </c>
      <c r="D329" s="15">
        <v>22</v>
      </c>
      <c r="E329" s="15">
        <v>120</v>
      </c>
      <c r="F329" s="21">
        <f t="shared" si="38"/>
        <v>696</v>
      </c>
      <c r="G329" s="18">
        <v>14</v>
      </c>
      <c r="H329" s="22">
        <f t="shared" si="31"/>
        <v>584.5</v>
      </c>
      <c r="I329" s="22">
        <f t="shared" si="32"/>
        <v>12.75</v>
      </c>
      <c r="J329" s="22">
        <f t="shared" si="33"/>
        <v>159.25</v>
      </c>
      <c r="K329" s="23">
        <f t="shared" si="34"/>
        <v>756.5</v>
      </c>
      <c r="L329" s="23">
        <f t="shared" si="39"/>
        <v>776.91666666666663</v>
      </c>
      <c r="M329" s="23">
        <f t="shared" si="36"/>
        <v>679</v>
      </c>
      <c r="N329" s="25">
        <f t="shared" si="37"/>
        <v>-0.14285714285714285</v>
      </c>
      <c r="O329" s="25">
        <f t="shared" si="35"/>
        <v>-0.10415102434838566</v>
      </c>
    </row>
    <row r="330" spans="1:15" x14ac:dyDescent="0.25">
      <c r="A330" s="15" t="s">
        <v>14</v>
      </c>
      <c r="B330" s="20">
        <v>36631</v>
      </c>
      <c r="C330" s="15">
        <v>664</v>
      </c>
      <c r="D330" s="15">
        <v>13</v>
      </c>
      <c r="E330" s="15">
        <v>858</v>
      </c>
      <c r="F330" s="21">
        <f t="shared" si="38"/>
        <v>1535</v>
      </c>
      <c r="G330" s="18">
        <v>15</v>
      </c>
      <c r="H330" s="22">
        <f t="shared" ref="H330:H393" si="40">AVERAGE(C327:C330)</f>
        <v>587</v>
      </c>
      <c r="I330" s="22">
        <f t="shared" ref="I330:I393" si="41">AVERAGE(D327:D330)</f>
        <v>15.25</v>
      </c>
      <c r="J330" s="22">
        <f t="shared" ref="J330:J393" si="42">AVERAGE(E327:E330)</f>
        <v>319.75</v>
      </c>
      <c r="K330" s="23">
        <f t="shared" ref="K330:K393" si="43">SUM(H330:J330)</f>
        <v>922</v>
      </c>
      <c r="L330" s="23">
        <f t="shared" si="39"/>
        <v>747</v>
      </c>
      <c r="M330" s="23">
        <f t="shared" si="36"/>
        <v>714.33333333333337</v>
      </c>
      <c r="N330" s="25">
        <f t="shared" si="37"/>
        <v>0.40696608615948671</v>
      </c>
      <c r="O330" s="25">
        <f t="shared" ref="O330:O393" si="44">(F330-L330)/L330</f>
        <v>1.0548862115127176</v>
      </c>
    </row>
    <row r="331" spans="1:15" x14ac:dyDescent="0.25">
      <c r="A331" s="15" t="s">
        <v>14</v>
      </c>
      <c r="B331" s="20">
        <v>36638</v>
      </c>
      <c r="C331" s="15">
        <v>858</v>
      </c>
      <c r="D331" s="15">
        <v>15</v>
      </c>
      <c r="E331" s="15">
        <v>109</v>
      </c>
      <c r="F331" s="21">
        <f t="shared" si="38"/>
        <v>982</v>
      </c>
      <c r="G331" s="18">
        <v>16</v>
      </c>
      <c r="H331" s="22">
        <f t="shared" si="40"/>
        <v>638.25</v>
      </c>
      <c r="I331" s="22">
        <f t="shared" si="41"/>
        <v>17.5</v>
      </c>
      <c r="J331" s="22">
        <f t="shared" si="42"/>
        <v>307</v>
      </c>
      <c r="K331" s="23">
        <f t="shared" si="43"/>
        <v>962.75</v>
      </c>
      <c r="L331" s="23">
        <f t="shared" si="39"/>
        <v>722.33333333333337</v>
      </c>
      <c r="M331" s="23">
        <f t="shared" si="36"/>
        <v>697</v>
      </c>
      <c r="N331" s="25">
        <f t="shared" si="37"/>
        <v>0.12356979405034325</v>
      </c>
      <c r="O331" s="25">
        <f t="shared" si="44"/>
        <v>0.35948315643747109</v>
      </c>
    </row>
    <row r="332" spans="1:15" x14ac:dyDescent="0.25">
      <c r="A332" s="15" t="s">
        <v>14</v>
      </c>
      <c r="B332" s="20">
        <v>36645</v>
      </c>
      <c r="C332" s="15">
        <v>722</v>
      </c>
      <c r="D332" s="15">
        <v>27</v>
      </c>
      <c r="E332" s="15">
        <v>82</v>
      </c>
      <c r="F332" s="21">
        <f t="shared" si="38"/>
        <v>831</v>
      </c>
      <c r="G332" s="18">
        <v>17</v>
      </c>
      <c r="H332" s="22">
        <f t="shared" si="40"/>
        <v>699.5</v>
      </c>
      <c r="I332" s="22">
        <f t="shared" si="41"/>
        <v>19.25</v>
      </c>
      <c r="J332" s="22">
        <f t="shared" si="42"/>
        <v>292.25</v>
      </c>
      <c r="K332" s="23">
        <f t="shared" si="43"/>
        <v>1011</v>
      </c>
      <c r="L332" s="23">
        <f t="shared" si="39"/>
        <v>680.36111111111109</v>
      </c>
      <c r="M332" s="23">
        <f t="shared" si="36"/>
        <v>628</v>
      </c>
      <c r="N332" s="25">
        <f t="shared" si="37"/>
        <v>-0.10162162162162162</v>
      </c>
      <c r="O332" s="25">
        <f t="shared" si="44"/>
        <v>0.22141019883231949</v>
      </c>
    </row>
    <row r="333" spans="1:15" x14ac:dyDescent="0.25">
      <c r="A333" s="15" t="s">
        <v>5</v>
      </c>
      <c r="B333" s="20">
        <v>36652</v>
      </c>
      <c r="C333" s="15">
        <v>721</v>
      </c>
      <c r="D333" s="15">
        <v>21</v>
      </c>
      <c r="E333" s="15">
        <v>74</v>
      </c>
      <c r="F333" s="21">
        <f t="shared" si="38"/>
        <v>816</v>
      </c>
      <c r="G333" s="18">
        <v>18</v>
      </c>
      <c r="H333" s="22">
        <f t="shared" si="40"/>
        <v>741.25</v>
      </c>
      <c r="I333" s="22">
        <f t="shared" si="41"/>
        <v>19</v>
      </c>
      <c r="J333" s="22">
        <f t="shared" si="42"/>
        <v>280.75</v>
      </c>
      <c r="K333" s="23">
        <f t="shared" si="43"/>
        <v>1041</v>
      </c>
      <c r="L333" s="23">
        <f t="shared" si="39"/>
        <v>700.16666666666663</v>
      </c>
      <c r="M333" s="23">
        <f t="shared" si="36"/>
        <v>761.33333333333337</v>
      </c>
      <c r="N333" s="25">
        <f t="shared" si="37"/>
        <v>-0.22946175637393768</v>
      </c>
      <c r="O333" s="25">
        <f t="shared" si="44"/>
        <v>0.16543680076172346</v>
      </c>
    </row>
    <row r="334" spans="1:15" x14ac:dyDescent="0.25">
      <c r="A334" s="15" t="s">
        <v>5</v>
      </c>
      <c r="B334" s="20">
        <v>36659</v>
      </c>
      <c r="C334" s="15">
        <v>697</v>
      </c>
      <c r="D334" s="15">
        <v>31</v>
      </c>
      <c r="E334" s="15">
        <v>131</v>
      </c>
      <c r="F334" s="21">
        <f t="shared" si="38"/>
        <v>859</v>
      </c>
      <c r="G334" s="18">
        <v>19</v>
      </c>
      <c r="H334" s="22">
        <f t="shared" si="40"/>
        <v>749.5</v>
      </c>
      <c r="I334" s="22">
        <f t="shared" si="41"/>
        <v>23.5</v>
      </c>
      <c r="J334" s="22">
        <f t="shared" si="42"/>
        <v>99</v>
      </c>
      <c r="K334" s="23">
        <f t="shared" si="43"/>
        <v>872</v>
      </c>
      <c r="L334" s="23">
        <f t="shared" si="39"/>
        <v>734.91666666666663</v>
      </c>
      <c r="M334" s="23">
        <f t="shared" si="36"/>
        <v>853.33333333333337</v>
      </c>
      <c r="N334" s="25">
        <f t="shared" si="37"/>
        <v>-6.5288356909684445E-2</v>
      </c>
      <c r="O334" s="25">
        <f t="shared" si="44"/>
        <v>0.1688400045356617</v>
      </c>
    </row>
    <row r="335" spans="1:15" x14ac:dyDescent="0.25">
      <c r="A335" s="15" t="s">
        <v>5</v>
      </c>
      <c r="B335" s="20">
        <v>36666</v>
      </c>
      <c r="C335" s="15">
        <v>706</v>
      </c>
      <c r="D335" s="15">
        <v>20</v>
      </c>
      <c r="E335" s="15">
        <v>110</v>
      </c>
      <c r="F335" s="21">
        <f t="shared" si="38"/>
        <v>836</v>
      </c>
      <c r="G335" s="18">
        <v>20</v>
      </c>
      <c r="H335" s="22">
        <f t="shared" si="40"/>
        <v>711.5</v>
      </c>
      <c r="I335" s="22">
        <f t="shared" si="41"/>
        <v>24.75</v>
      </c>
      <c r="J335" s="22">
        <f t="shared" si="42"/>
        <v>99.25</v>
      </c>
      <c r="K335" s="23">
        <f t="shared" si="43"/>
        <v>835.5</v>
      </c>
      <c r="L335" s="23">
        <f t="shared" si="39"/>
        <v>780.83333333333337</v>
      </c>
      <c r="M335" s="23">
        <f t="shared" si="36"/>
        <v>880.66666666666663</v>
      </c>
      <c r="N335" s="25">
        <f t="shared" si="37"/>
        <v>-0.1010752688172043</v>
      </c>
      <c r="O335" s="25">
        <f t="shared" si="44"/>
        <v>7.065101387406611E-2</v>
      </c>
    </row>
    <row r="336" spans="1:15" x14ac:dyDescent="0.25">
      <c r="A336" s="15" t="s">
        <v>5</v>
      </c>
      <c r="B336" s="20">
        <v>36673</v>
      </c>
      <c r="C336" s="15">
        <v>739</v>
      </c>
      <c r="D336" s="15">
        <v>14</v>
      </c>
      <c r="E336" s="15">
        <v>171</v>
      </c>
      <c r="F336" s="21">
        <f t="shared" si="38"/>
        <v>924</v>
      </c>
      <c r="G336" s="18">
        <v>21</v>
      </c>
      <c r="H336" s="22">
        <f t="shared" si="40"/>
        <v>715.75</v>
      </c>
      <c r="I336" s="22">
        <f t="shared" si="41"/>
        <v>21.5</v>
      </c>
      <c r="J336" s="22">
        <f t="shared" si="42"/>
        <v>121.5</v>
      </c>
      <c r="K336" s="23">
        <f t="shared" si="43"/>
        <v>858.75</v>
      </c>
      <c r="L336" s="23">
        <f t="shared" si="39"/>
        <v>775.08333333333337</v>
      </c>
      <c r="M336" s="23">
        <f t="shared" si="36"/>
        <v>605</v>
      </c>
      <c r="N336" s="25">
        <f t="shared" si="37"/>
        <v>0.34890510948905107</v>
      </c>
      <c r="O336" s="25">
        <f t="shared" si="44"/>
        <v>0.19212987850768729</v>
      </c>
    </row>
    <row r="337" spans="1:15" x14ac:dyDescent="0.25">
      <c r="A337" s="15" t="s">
        <v>30</v>
      </c>
      <c r="B337" s="20">
        <v>36680</v>
      </c>
      <c r="C337" s="15">
        <v>427</v>
      </c>
      <c r="D337" s="15">
        <v>19</v>
      </c>
      <c r="E337" s="15">
        <v>68</v>
      </c>
      <c r="F337" s="21">
        <f t="shared" si="38"/>
        <v>514</v>
      </c>
      <c r="G337" s="18">
        <v>22</v>
      </c>
      <c r="H337" s="22">
        <f t="shared" si="40"/>
        <v>642.25</v>
      </c>
      <c r="I337" s="22">
        <f t="shared" si="41"/>
        <v>21</v>
      </c>
      <c r="J337" s="22">
        <f t="shared" si="42"/>
        <v>120</v>
      </c>
      <c r="K337" s="23">
        <f t="shared" si="43"/>
        <v>783.25</v>
      </c>
      <c r="L337" s="23">
        <f t="shared" si="39"/>
        <v>776.25</v>
      </c>
      <c r="M337" s="23">
        <f t="shared" si="36"/>
        <v>766</v>
      </c>
      <c r="N337" s="25">
        <f t="shared" si="37"/>
        <v>-0.46680497925311204</v>
      </c>
      <c r="O337" s="25">
        <f t="shared" si="44"/>
        <v>-0.33784219001610305</v>
      </c>
    </row>
    <row r="338" spans="1:15" x14ac:dyDescent="0.25">
      <c r="A338" s="15" t="s">
        <v>30</v>
      </c>
      <c r="B338" s="20">
        <v>36687</v>
      </c>
      <c r="C338" s="15">
        <v>809</v>
      </c>
      <c r="D338" s="15">
        <v>20</v>
      </c>
      <c r="E338" s="15">
        <v>184</v>
      </c>
      <c r="F338" s="21">
        <f t="shared" si="38"/>
        <v>1013</v>
      </c>
      <c r="G338" s="18">
        <v>23</v>
      </c>
      <c r="H338" s="22">
        <f t="shared" si="40"/>
        <v>670.25</v>
      </c>
      <c r="I338" s="22">
        <f t="shared" si="41"/>
        <v>18.25</v>
      </c>
      <c r="J338" s="22">
        <f t="shared" si="42"/>
        <v>133.25</v>
      </c>
      <c r="K338" s="23">
        <f t="shared" si="43"/>
        <v>821.75</v>
      </c>
      <c r="L338" s="23">
        <f t="shared" si="39"/>
        <v>778.66666666666663</v>
      </c>
      <c r="M338" s="23">
        <f t="shared" si="36"/>
        <v>863</v>
      </c>
      <c r="N338" s="25">
        <f t="shared" si="37"/>
        <v>4.96031746031746E-3</v>
      </c>
      <c r="O338" s="25">
        <f t="shared" si="44"/>
        <v>0.30094178082191786</v>
      </c>
    </row>
    <row r="339" spans="1:15" x14ac:dyDescent="0.25">
      <c r="A339" s="15" t="s">
        <v>30</v>
      </c>
      <c r="B339" s="20">
        <v>36694</v>
      </c>
      <c r="C339" s="15">
        <v>747</v>
      </c>
      <c r="D339" s="15">
        <v>24</v>
      </c>
      <c r="E339" s="15">
        <v>151</v>
      </c>
      <c r="F339" s="21">
        <f t="shared" si="38"/>
        <v>922</v>
      </c>
      <c r="G339" s="18">
        <v>24</v>
      </c>
      <c r="H339" s="22">
        <f t="shared" si="40"/>
        <v>680.5</v>
      </c>
      <c r="I339" s="22">
        <f t="shared" si="41"/>
        <v>19.25</v>
      </c>
      <c r="J339" s="22">
        <f t="shared" si="42"/>
        <v>143.5</v>
      </c>
      <c r="K339" s="23">
        <f t="shared" si="43"/>
        <v>843.25</v>
      </c>
      <c r="L339" s="23">
        <f t="shared" si="39"/>
        <v>785.33333333333337</v>
      </c>
      <c r="M339" s="23">
        <f t="shared" si="36"/>
        <v>907.33333333333337</v>
      </c>
      <c r="N339" s="25">
        <f t="shared" si="37"/>
        <v>-0.21196581196581196</v>
      </c>
      <c r="O339" s="25">
        <f t="shared" si="44"/>
        <v>0.17402376910016973</v>
      </c>
    </row>
    <row r="340" spans="1:15" x14ac:dyDescent="0.25">
      <c r="A340" s="15" t="s">
        <v>30</v>
      </c>
      <c r="B340" s="20">
        <v>36701</v>
      </c>
      <c r="C340" s="15">
        <v>733</v>
      </c>
      <c r="D340" s="15">
        <v>8</v>
      </c>
      <c r="E340" s="15">
        <v>116</v>
      </c>
      <c r="F340" s="21">
        <f t="shared" si="38"/>
        <v>857</v>
      </c>
      <c r="G340" s="18">
        <v>25</v>
      </c>
      <c r="H340" s="22">
        <f t="shared" si="40"/>
        <v>679</v>
      </c>
      <c r="I340" s="22">
        <f t="shared" si="41"/>
        <v>17.75</v>
      </c>
      <c r="J340" s="22">
        <f t="shared" si="42"/>
        <v>129.75</v>
      </c>
      <c r="K340" s="23">
        <f t="shared" si="43"/>
        <v>826.5</v>
      </c>
      <c r="L340" s="23">
        <f t="shared" si="39"/>
        <v>881.41666666666663</v>
      </c>
      <c r="M340" s="23">
        <f t="shared" ref="M340:M403" si="45">AVERAGE(F184+F236+F288)/3</f>
        <v>989.33333333333337</v>
      </c>
      <c r="N340" s="25">
        <f t="shared" si="37"/>
        <v>-0.27434377646062658</v>
      </c>
      <c r="O340" s="25">
        <f t="shared" si="44"/>
        <v>-2.7701616715514753E-2</v>
      </c>
    </row>
    <row r="341" spans="1:15" x14ac:dyDescent="0.25">
      <c r="A341" s="15" t="s">
        <v>30</v>
      </c>
      <c r="B341" s="20">
        <v>36708</v>
      </c>
      <c r="C341" s="15">
        <v>614</v>
      </c>
      <c r="D341" s="15">
        <v>5</v>
      </c>
      <c r="E341" s="15">
        <v>241</v>
      </c>
      <c r="F341" s="21">
        <f t="shared" si="38"/>
        <v>860</v>
      </c>
      <c r="G341" s="18">
        <v>26</v>
      </c>
      <c r="H341" s="22">
        <f t="shared" si="40"/>
        <v>725.75</v>
      </c>
      <c r="I341" s="22">
        <f t="shared" si="41"/>
        <v>14.25</v>
      </c>
      <c r="J341" s="22">
        <f t="shared" si="42"/>
        <v>173</v>
      </c>
      <c r="K341" s="23">
        <f t="shared" si="43"/>
        <v>913</v>
      </c>
      <c r="L341" s="23">
        <f t="shared" si="39"/>
        <v>896.83333333333337</v>
      </c>
      <c r="M341" s="23">
        <f t="shared" si="45"/>
        <v>827.66666666666663</v>
      </c>
      <c r="N341" s="25">
        <f t="shared" si="37"/>
        <v>-0.12512716174974567</v>
      </c>
      <c r="O341" s="25">
        <f t="shared" si="44"/>
        <v>-4.1070433005017698E-2</v>
      </c>
    </row>
    <row r="342" spans="1:15" x14ac:dyDescent="0.25">
      <c r="A342" s="15" t="s">
        <v>31</v>
      </c>
      <c r="B342" s="20">
        <v>36715</v>
      </c>
      <c r="C342" s="15">
        <v>666</v>
      </c>
      <c r="D342" s="15">
        <v>55</v>
      </c>
      <c r="E342" s="15">
        <v>258</v>
      </c>
      <c r="F342" s="21">
        <f t="shared" si="38"/>
        <v>979</v>
      </c>
      <c r="G342" s="18">
        <v>27</v>
      </c>
      <c r="H342" s="22">
        <f t="shared" si="40"/>
        <v>690</v>
      </c>
      <c r="I342" s="22">
        <f t="shared" si="41"/>
        <v>23</v>
      </c>
      <c r="J342" s="22">
        <f t="shared" si="42"/>
        <v>191.5</v>
      </c>
      <c r="K342" s="23">
        <f t="shared" si="43"/>
        <v>904.5</v>
      </c>
      <c r="L342" s="23">
        <f t="shared" si="39"/>
        <v>932.91666666666663</v>
      </c>
      <c r="M342" s="23">
        <f t="shared" si="45"/>
        <v>1007.3333333333334</v>
      </c>
      <c r="N342" s="25">
        <f t="shared" si="37"/>
        <v>-0.15091066782307025</v>
      </c>
      <c r="O342" s="25">
        <f t="shared" si="44"/>
        <v>4.9397052255471238E-2</v>
      </c>
    </row>
    <row r="343" spans="1:15" x14ac:dyDescent="0.25">
      <c r="A343" s="15" t="s">
        <v>31</v>
      </c>
      <c r="B343" s="20">
        <v>36722</v>
      </c>
      <c r="C343" s="15">
        <v>758</v>
      </c>
      <c r="D343" s="15">
        <v>23</v>
      </c>
      <c r="E343" s="15">
        <v>128</v>
      </c>
      <c r="F343" s="21">
        <f t="shared" si="38"/>
        <v>909</v>
      </c>
      <c r="G343" s="18">
        <v>28</v>
      </c>
      <c r="H343" s="22">
        <f t="shared" si="40"/>
        <v>692.75</v>
      </c>
      <c r="I343" s="22">
        <f t="shared" si="41"/>
        <v>22.75</v>
      </c>
      <c r="J343" s="22">
        <f t="shared" si="42"/>
        <v>185.75</v>
      </c>
      <c r="K343" s="23">
        <f t="shared" si="43"/>
        <v>901.25</v>
      </c>
      <c r="L343" s="23">
        <f t="shared" si="39"/>
        <v>866.58333333333337</v>
      </c>
      <c r="M343" s="23">
        <f t="shared" si="45"/>
        <v>642</v>
      </c>
      <c r="N343" s="25">
        <f t="shared" si="37"/>
        <v>0.30416068866571017</v>
      </c>
      <c r="O343" s="25">
        <f t="shared" si="44"/>
        <v>4.8947014135974569E-2</v>
      </c>
    </row>
    <row r="344" spans="1:15" x14ac:dyDescent="0.25">
      <c r="A344" s="15" t="s">
        <v>31</v>
      </c>
      <c r="B344" s="20">
        <v>36729</v>
      </c>
      <c r="C344" s="15">
        <v>822</v>
      </c>
      <c r="D344" s="15">
        <v>28</v>
      </c>
      <c r="E344" s="15">
        <v>202</v>
      </c>
      <c r="F344" s="21">
        <f t="shared" si="38"/>
        <v>1052</v>
      </c>
      <c r="G344" s="18">
        <v>29</v>
      </c>
      <c r="H344" s="22">
        <f t="shared" si="40"/>
        <v>715</v>
      </c>
      <c r="I344" s="22">
        <f t="shared" si="41"/>
        <v>27.75</v>
      </c>
      <c r="J344" s="22">
        <f t="shared" si="42"/>
        <v>207.25</v>
      </c>
      <c r="K344" s="23">
        <f t="shared" si="43"/>
        <v>950</v>
      </c>
      <c r="L344" s="23">
        <f t="shared" si="39"/>
        <v>876.83333333333337</v>
      </c>
      <c r="M344" s="23">
        <f t="shared" si="45"/>
        <v>1030.3333333333333</v>
      </c>
      <c r="N344" s="25">
        <f t="shared" si="37"/>
        <v>-0.15840000000000001</v>
      </c>
      <c r="O344" s="25">
        <f t="shared" si="44"/>
        <v>0.19977190648165744</v>
      </c>
    </row>
    <row r="345" spans="1:15" x14ac:dyDescent="0.25">
      <c r="A345" s="15" t="s">
        <v>31</v>
      </c>
      <c r="B345" s="20">
        <v>36736</v>
      </c>
      <c r="C345" s="15">
        <v>794</v>
      </c>
      <c r="D345" s="15">
        <v>34</v>
      </c>
      <c r="E345" s="15">
        <v>126</v>
      </c>
      <c r="F345" s="21">
        <f t="shared" si="38"/>
        <v>954</v>
      </c>
      <c r="G345" s="18">
        <v>30</v>
      </c>
      <c r="H345" s="22">
        <f t="shared" si="40"/>
        <v>760</v>
      </c>
      <c r="I345" s="22">
        <f t="shared" si="41"/>
        <v>35</v>
      </c>
      <c r="J345" s="22">
        <f t="shared" si="42"/>
        <v>178.5</v>
      </c>
      <c r="K345" s="23">
        <f t="shared" si="43"/>
        <v>973.5</v>
      </c>
      <c r="L345" s="23">
        <f t="shared" si="39"/>
        <v>891.08333333333337</v>
      </c>
      <c r="M345" s="23">
        <f t="shared" si="45"/>
        <v>884.66666666666663</v>
      </c>
      <c r="N345" s="25">
        <f t="shared" si="37"/>
        <v>2.5806451612903226E-2</v>
      </c>
      <c r="O345" s="25">
        <f t="shared" si="44"/>
        <v>7.0606939119049805E-2</v>
      </c>
    </row>
    <row r="346" spans="1:15" x14ac:dyDescent="0.25">
      <c r="A346" s="15" t="s">
        <v>19</v>
      </c>
      <c r="B346" s="20">
        <v>36743</v>
      </c>
      <c r="C346" s="15">
        <v>860</v>
      </c>
      <c r="D346" s="15">
        <v>16</v>
      </c>
      <c r="E346" s="15">
        <v>234</v>
      </c>
      <c r="F346" s="21">
        <f t="shared" si="38"/>
        <v>1110</v>
      </c>
      <c r="G346" s="18">
        <v>31</v>
      </c>
      <c r="H346" s="22">
        <f t="shared" si="40"/>
        <v>808.5</v>
      </c>
      <c r="I346" s="22">
        <f t="shared" si="41"/>
        <v>25.25</v>
      </c>
      <c r="J346" s="22">
        <f t="shared" si="42"/>
        <v>172.5</v>
      </c>
      <c r="K346" s="23">
        <f t="shared" si="43"/>
        <v>1006.25</v>
      </c>
      <c r="L346" s="23">
        <f t="shared" si="39"/>
        <v>851.66666666666663</v>
      </c>
      <c r="M346" s="23">
        <f t="shared" si="45"/>
        <v>849.66666666666663</v>
      </c>
      <c r="N346" s="25">
        <f t="shared" si="37"/>
        <v>2.0220588235294119E-2</v>
      </c>
      <c r="O346" s="25">
        <f t="shared" si="44"/>
        <v>0.30332681017612528</v>
      </c>
    </row>
    <row r="347" spans="1:15" x14ac:dyDescent="0.25">
      <c r="A347" s="15" t="s">
        <v>19</v>
      </c>
      <c r="B347" s="20">
        <v>36750</v>
      </c>
      <c r="C347" s="15">
        <v>476</v>
      </c>
      <c r="D347" s="15">
        <v>19</v>
      </c>
      <c r="E347" s="15">
        <v>208</v>
      </c>
      <c r="F347" s="21">
        <f t="shared" si="38"/>
        <v>703</v>
      </c>
      <c r="G347" s="18">
        <v>32</v>
      </c>
      <c r="H347" s="22">
        <f t="shared" si="40"/>
        <v>738</v>
      </c>
      <c r="I347" s="22">
        <f t="shared" si="41"/>
        <v>24.25</v>
      </c>
      <c r="J347" s="22">
        <f t="shared" si="42"/>
        <v>192.5</v>
      </c>
      <c r="K347" s="23">
        <f t="shared" si="43"/>
        <v>954.75</v>
      </c>
      <c r="L347" s="23">
        <f t="shared" si="39"/>
        <v>913.66666666666663</v>
      </c>
      <c r="M347" s="23">
        <f t="shared" si="45"/>
        <v>890</v>
      </c>
      <c r="N347" s="25">
        <f t="shared" si="37"/>
        <v>-0.26387434554973821</v>
      </c>
      <c r="O347" s="25">
        <f t="shared" si="44"/>
        <v>-0.23057278365560011</v>
      </c>
    </row>
    <row r="348" spans="1:15" x14ac:dyDescent="0.25">
      <c r="A348" s="15" t="s">
        <v>19</v>
      </c>
      <c r="B348" s="20">
        <v>36757</v>
      </c>
      <c r="C348" s="15">
        <v>439</v>
      </c>
      <c r="D348" s="15">
        <v>12</v>
      </c>
      <c r="E348" s="15">
        <v>117</v>
      </c>
      <c r="F348" s="21">
        <f t="shared" si="38"/>
        <v>568</v>
      </c>
      <c r="G348" s="18">
        <v>33</v>
      </c>
      <c r="H348" s="22">
        <f t="shared" si="40"/>
        <v>642.25</v>
      </c>
      <c r="I348" s="22">
        <f t="shared" si="41"/>
        <v>20.25</v>
      </c>
      <c r="J348" s="22">
        <f t="shared" si="42"/>
        <v>171.25</v>
      </c>
      <c r="K348" s="23">
        <f t="shared" si="43"/>
        <v>833.75</v>
      </c>
      <c r="L348" s="23">
        <f t="shared" si="39"/>
        <v>857.25</v>
      </c>
      <c r="M348" s="23">
        <f t="shared" si="45"/>
        <v>804.66666666666663</v>
      </c>
      <c r="N348" s="25">
        <f t="shared" si="37"/>
        <v>-0.40647857889237199</v>
      </c>
      <c r="O348" s="25">
        <f t="shared" si="44"/>
        <v>-0.33741615631379412</v>
      </c>
    </row>
    <row r="349" spans="1:15" x14ac:dyDescent="0.25">
      <c r="A349" s="15" t="s">
        <v>19</v>
      </c>
      <c r="B349" s="20">
        <v>36764</v>
      </c>
      <c r="C349" s="15">
        <v>523</v>
      </c>
      <c r="D349" s="15">
        <v>11</v>
      </c>
      <c r="E349" s="15">
        <v>145</v>
      </c>
      <c r="F349" s="21">
        <f t="shared" si="38"/>
        <v>679</v>
      </c>
      <c r="G349" s="18">
        <v>34</v>
      </c>
      <c r="H349" s="22">
        <f t="shared" si="40"/>
        <v>574.5</v>
      </c>
      <c r="I349" s="22">
        <f t="shared" si="41"/>
        <v>14.5</v>
      </c>
      <c r="J349" s="22">
        <f t="shared" si="42"/>
        <v>176</v>
      </c>
      <c r="K349" s="23">
        <f t="shared" si="43"/>
        <v>765</v>
      </c>
      <c r="L349" s="23">
        <f t="shared" si="39"/>
        <v>836.91666666666663</v>
      </c>
      <c r="M349" s="23">
        <f t="shared" si="45"/>
        <v>803.33333333333337</v>
      </c>
      <c r="N349" s="25">
        <f t="shared" si="37"/>
        <v>-0.3557874762808349</v>
      </c>
      <c r="O349" s="25">
        <f t="shared" si="44"/>
        <v>-0.18868863885293236</v>
      </c>
    </row>
    <row r="350" spans="1:15" x14ac:dyDescent="0.25">
      <c r="A350" s="15" t="s">
        <v>24</v>
      </c>
      <c r="B350" s="20">
        <v>36771</v>
      </c>
      <c r="C350" s="15">
        <v>587</v>
      </c>
      <c r="D350" s="15">
        <v>21</v>
      </c>
      <c r="E350" s="15">
        <v>179</v>
      </c>
      <c r="F350" s="21">
        <f t="shared" si="38"/>
        <v>787</v>
      </c>
      <c r="G350" s="18">
        <v>35</v>
      </c>
      <c r="H350" s="22">
        <f t="shared" si="40"/>
        <v>506.25</v>
      </c>
      <c r="I350" s="22">
        <f t="shared" si="41"/>
        <v>15.75</v>
      </c>
      <c r="J350" s="22">
        <f t="shared" si="42"/>
        <v>162.25</v>
      </c>
      <c r="K350" s="23">
        <f t="shared" si="43"/>
        <v>684.25</v>
      </c>
      <c r="L350" s="23">
        <f t="shared" si="39"/>
        <v>802.75</v>
      </c>
      <c r="M350" s="23">
        <f t="shared" si="45"/>
        <v>713</v>
      </c>
      <c r="N350" s="25">
        <f t="shared" si="37"/>
        <v>9.4575799721835885E-2</v>
      </c>
      <c r="O350" s="25">
        <f t="shared" si="44"/>
        <v>-1.962005605730302E-2</v>
      </c>
    </row>
    <row r="351" spans="1:15" x14ac:dyDescent="0.25">
      <c r="A351" s="15" t="s">
        <v>24</v>
      </c>
      <c r="B351" s="20">
        <v>36778</v>
      </c>
      <c r="C351" s="15">
        <v>785</v>
      </c>
      <c r="D351" s="15">
        <v>44</v>
      </c>
      <c r="E351" s="15">
        <v>125</v>
      </c>
      <c r="F351" s="21">
        <f t="shared" si="38"/>
        <v>954</v>
      </c>
      <c r="G351" s="18">
        <v>36</v>
      </c>
      <c r="H351" s="22">
        <f t="shared" si="40"/>
        <v>583.5</v>
      </c>
      <c r="I351" s="22">
        <f t="shared" si="41"/>
        <v>22</v>
      </c>
      <c r="J351" s="22">
        <f t="shared" si="42"/>
        <v>141.5</v>
      </c>
      <c r="K351" s="23">
        <f t="shared" si="43"/>
        <v>747</v>
      </c>
      <c r="L351" s="23">
        <f t="shared" si="39"/>
        <v>762.83333333333337</v>
      </c>
      <c r="M351" s="23">
        <f t="shared" si="45"/>
        <v>730.33333333333337</v>
      </c>
      <c r="N351" s="25">
        <f t="shared" si="37"/>
        <v>8.4090909090909091E-2</v>
      </c>
      <c r="O351" s="25">
        <f t="shared" si="44"/>
        <v>0.25060083023814722</v>
      </c>
    </row>
    <row r="352" spans="1:15" x14ac:dyDescent="0.25">
      <c r="A352" s="15" t="s">
        <v>24</v>
      </c>
      <c r="B352" s="20">
        <v>36785</v>
      </c>
      <c r="C352" s="15">
        <v>608</v>
      </c>
      <c r="D352" s="15">
        <v>11</v>
      </c>
      <c r="E352" s="15">
        <v>125</v>
      </c>
      <c r="F352" s="21">
        <f t="shared" si="38"/>
        <v>744</v>
      </c>
      <c r="G352" s="18">
        <v>37</v>
      </c>
      <c r="H352" s="22">
        <f t="shared" si="40"/>
        <v>625.75</v>
      </c>
      <c r="I352" s="22">
        <f t="shared" si="41"/>
        <v>21.75</v>
      </c>
      <c r="J352" s="22">
        <f t="shared" si="42"/>
        <v>143.5</v>
      </c>
      <c r="K352" s="23">
        <f t="shared" si="43"/>
        <v>791</v>
      </c>
      <c r="L352" s="23">
        <f t="shared" si="39"/>
        <v>693.25</v>
      </c>
      <c r="M352" s="23">
        <f t="shared" si="45"/>
        <v>526.33333333333337</v>
      </c>
      <c r="N352" s="25">
        <f t="shared" si="37"/>
        <v>0.13935681470137826</v>
      </c>
      <c r="O352" s="25">
        <f t="shared" si="44"/>
        <v>7.3205914172376485E-2</v>
      </c>
    </row>
    <row r="353" spans="1:15" x14ac:dyDescent="0.25">
      <c r="A353" s="15" t="s">
        <v>24</v>
      </c>
      <c r="B353" s="20">
        <v>36792</v>
      </c>
      <c r="C353" s="15">
        <v>637</v>
      </c>
      <c r="D353" s="15">
        <v>9</v>
      </c>
      <c r="E353" s="15">
        <v>148</v>
      </c>
      <c r="F353" s="21">
        <f t="shared" si="38"/>
        <v>794</v>
      </c>
      <c r="G353" s="18">
        <v>38</v>
      </c>
      <c r="H353" s="22">
        <f t="shared" si="40"/>
        <v>654.25</v>
      </c>
      <c r="I353" s="22">
        <f t="shared" si="41"/>
        <v>21.25</v>
      </c>
      <c r="J353" s="22">
        <f t="shared" si="42"/>
        <v>144.25</v>
      </c>
      <c r="K353" s="23">
        <f t="shared" si="43"/>
        <v>819.75</v>
      </c>
      <c r="L353" s="23">
        <f t="shared" si="39"/>
        <v>613.91666666666663</v>
      </c>
      <c r="M353" s="23">
        <f t="shared" si="45"/>
        <v>486</v>
      </c>
      <c r="N353" s="25">
        <f t="shared" si="37"/>
        <v>0.42293906810035842</v>
      </c>
      <c r="O353" s="25">
        <f t="shared" si="44"/>
        <v>0.29333514320618986</v>
      </c>
    </row>
    <row r="354" spans="1:15" x14ac:dyDescent="0.25">
      <c r="A354" s="15" t="s">
        <v>24</v>
      </c>
      <c r="B354" s="20">
        <v>36799</v>
      </c>
      <c r="C354" s="15">
        <v>444</v>
      </c>
      <c r="D354" s="15">
        <v>34</v>
      </c>
      <c r="E354" s="15">
        <v>100</v>
      </c>
      <c r="F354" s="21">
        <f t="shared" si="38"/>
        <v>578</v>
      </c>
      <c r="G354" s="18">
        <v>39</v>
      </c>
      <c r="H354" s="22">
        <f t="shared" si="40"/>
        <v>618.5</v>
      </c>
      <c r="I354" s="22">
        <f t="shared" si="41"/>
        <v>24.5</v>
      </c>
      <c r="J354" s="22">
        <f t="shared" si="42"/>
        <v>124.5</v>
      </c>
      <c r="K354" s="23">
        <f t="shared" si="43"/>
        <v>767.5</v>
      </c>
      <c r="L354" s="23">
        <f t="shared" si="39"/>
        <v>599.08333333333337</v>
      </c>
      <c r="M354" s="23">
        <f t="shared" si="45"/>
        <v>653.66666666666663</v>
      </c>
      <c r="N354" s="25">
        <f t="shared" si="37"/>
        <v>-0.38445154419595312</v>
      </c>
      <c r="O354" s="25">
        <f t="shared" si="44"/>
        <v>-3.5192655445820065E-2</v>
      </c>
    </row>
    <row r="355" spans="1:15" x14ac:dyDescent="0.25">
      <c r="A355" s="15" t="s">
        <v>20</v>
      </c>
      <c r="B355" s="20">
        <v>36806</v>
      </c>
      <c r="C355" s="15">
        <v>512</v>
      </c>
      <c r="D355" s="15">
        <v>11</v>
      </c>
      <c r="E355" s="15">
        <v>181</v>
      </c>
      <c r="F355" s="21">
        <f t="shared" si="38"/>
        <v>704</v>
      </c>
      <c r="G355" s="18">
        <v>40</v>
      </c>
      <c r="H355" s="22">
        <f t="shared" si="40"/>
        <v>550.25</v>
      </c>
      <c r="I355" s="22">
        <f t="shared" si="41"/>
        <v>16.25</v>
      </c>
      <c r="J355" s="22">
        <f t="shared" si="42"/>
        <v>138.5</v>
      </c>
      <c r="K355" s="23">
        <f t="shared" si="43"/>
        <v>705</v>
      </c>
      <c r="L355" s="23">
        <f t="shared" si="39"/>
        <v>627.33333333333337</v>
      </c>
      <c r="M355" s="23">
        <f t="shared" si="45"/>
        <v>843.33333333333337</v>
      </c>
      <c r="N355" s="25">
        <f t="shared" si="37"/>
        <v>-0.14666666666666667</v>
      </c>
      <c r="O355" s="25">
        <f t="shared" si="44"/>
        <v>0.12221041445270982</v>
      </c>
    </row>
    <row r="356" spans="1:15" x14ac:dyDescent="0.25">
      <c r="A356" s="15" t="s">
        <v>20</v>
      </c>
      <c r="B356" s="20">
        <v>36813</v>
      </c>
      <c r="C356" s="15">
        <v>406</v>
      </c>
      <c r="D356" s="15">
        <v>8</v>
      </c>
      <c r="E356" s="15">
        <v>297</v>
      </c>
      <c r="F356" s="21">
        <f t="shared" si="38"/>
        <v>711</v>
      </c>
      <c r="G356" s="18">
        <v>41</v>
      </c>
      <c r="H356" s="22">
        <f t="shared" si="40"/>
        <v>499.75</v>
      </c>
      <c r="I356" s="22">
        <f t="shared" si="41"/>
        <v>15.5</v>
      </c>
      <c r="J356" s="22">
        <f t="shared" si="42"/>
        <v>181.5</v>
      </c>
      <c r="K356" s="23">
        <f t="shared" si="43"/>
        <v>696.75</v>
      </c>
      <c r="L356" s="23">
        <f t="shared" si="39"/>
        <v>737.83333333333337</v>
      </c>
      <c r="M356" s="23">
        <f t="shared" si="45"/>
        <v>968.33333333333337</v>
      </c>
      <c r="N356" s="25">
        <f t="shared" si="37"/>
        <v>-0.17803468208092485</v>
      </c>
      <c r="O356" s="25">
        <f t="shared" si="44"/>
        <v>-3.6367743392816856E-2</v>
      </c>
    </row>
    <row r="357" spans="1:15" x14ac:dyDescent="0.25">
      <c r="A357" s="15" t="s">
        <v>20</v>
      </c>
      <c r="B357" s="20">
        <v>36820</v>
      </c>
      <c r="C357" s="15">
        <v>462</v>
      </c>
      <c r="D357" s="15">
        <v>14</v>
      </c>
      <c r="E357" s="15">
        <v>265</v>
      </c>
      <c r="F357" s="21">
        <f t="shared" si="38"/>
        <v>741</v>
      </c>
      <c r="G357" s="18">
        <v>42</v>
      </c>
      <c r="H357" s="22">
        <f t="shared" si="40"/>
        <v>456</v>
      </c>
      <c r="I357" s="22">
        <f t="shared" si="41"/>
        <v>16.75</v>
      </c>
      <c r="J357" s="22">
        <f t="shared" si="42"/>
        <v>210.75</v>
      </c>
      <c r="K357" s="23">
        <f t="shared" si="43"/>
        <v>683.5</v>
      </c>
      <c r="L357" s="23">
        <f t="shared" si="39"/>
        <v>866.83333333333337</v>
      </c>
      <c r="M357" s="23">
        <f t="shared" si="45"/>
        <v>1002</v>
      </c>
      <c r="N357" s="25">
        <f t="shared" si="37"/>
        <v>-0.1423611111111111</v>
      </c>
      <c r="O357" s="25">
        <f t="shared" si="44"/>
        <v>-0.14516439146318019</v>
      </c>
    </row>
    <row r="358" spans="1:15" x14ac:dyDescent="0.25">
      <c r="A358" s="15" t="s">
        <v>20</v>
      </c>
      <c r="B358" s="20">
        <v>36827</v>
      </c>
      <c r="C358" s="15">
        <v>490</v>
      </c>
      <c r="D358" s="15">
        <v>23</v>
      </c>
      <c r="E358" s="15">
        <v>287</v>
      </c>
      <c r="F358" s="21">
        <f t="shared" si="38"/>
        <v>800</v>
      </c>
      <c r="G358" s="18">
        <v>43</v>
      </c>
      <c r="H358" s="22">
        <f t="shared" si="40"/>
        <v>467.5</v>
      </c>
      <c r="I358" s="22">
        <f t="shared" si="41"/>
        <v>14</v>
      </c>
      <c r="J358" s="22">
        <f t="shared" si="42"/>
        <v>257.5</v>
      </c>
      <c r="K358" s="23">
        <f t="shared" si="43"/>
        <v>739</v>
      </c>
      <c r="L358" s="23">
        <f t="shared" si="39"/>
        <v>977.08333333333337</v>
      </c>
      <c r="M358" s="23">
        <f t="shared" si="45"/>
        <v>1094.6666666666667</v>
      </c>
      <c r="N358" s="25">
        <f t="shared" si="37"/>
        <v>-0.30974978429680761</v>
      </c>
      <c r="O358" s="25">
        <f t="shared" si="44"/>
        <v>-0.18123667377398725</v>
      </c>
    </row>
    <row r="359" spans="1:15" x14ac:dyDescent="0.25">
      <c r="A359" s="15" t="s">
        <v>26</v>
      </c>
      <c r="B359" s="20">
        <v>36834</v>
      </c>
      <c r="C359" s="15">
        <v>738</v>
      </c>
      <c r="D359" s="15">
        <v>20</v>
      </c>
      <c r="E359" s="15">
        <v>259</v>
      </c>
      <c r="F359" s="21">
        <f t="shared" si="38"/>
        <v>1017</v>
      </c>
      <c r="G359" s="18">
        <v>44</v>
      </c>
      <c r="H359" s="22">
        <f t="shared" si="40"/>
        <v>524</v>
      </c>
      <c r="I359" s="22">
        <f t="shared" si="41"/>
        <v>16.25</v>
      </c>
      <c r="J359" s="22">
        <f t="shared" si="42"/>
        <v>277</v>
      </c>
      <c r="K359" s="23">
        <f t="shared" si="43"/>
        <v>817.25</v>
      </c>
      <c r="L359" s="23">
        <f t="shared" si="39"/>
        <v>986.41666666666663</v>
      </c>
      <c r="M359" s="23">
        <f t="shared" si="45"/>
        <v>880.66666666666663</v>
      </c>
      <c r="N359" s="25">
        <f t="shared" si="37"/>
        <v>8.3067092651757185E-2</v>
      </c>
      <c r="O359" s="25">
        <f t="shared" si="44"/>
        <v>3.1004477485849495E-2</v>
      </c>
    </row>
    <row r="360" spans="1:15" x14ac:dyDescent="0.25">
      <c r="A360" s="15" t="s">
        <v>26</v>
      </c>
      <c r="B360" s="20">
        <v>36841</v>
      </c>
      <c r="C360" s="15">
        <v>726</v>
      </c>
      <c r="D360" s="15">
        <v>16</v>
      </c>
      <c r="E360" s="15">
        <v>245</v>
      </c>
      <c r="F360" s="21">
        <f t="shared" si="38"/>
        <v>987</v>
      </c>
      <c r="G360" s="18">
        <v>45</v>
      </c>
      <c r="H360" s="22">
        <f t="shared" si="40"/>
        <v>604</v>
      </c>
      <c r="I360" s="22">
        <f t="shared" si="41"/>
        <v>18.25</v>
      </c>
      <c r="J360" s="22">
        <f t="shared" si="42"/>
        <v>264</v>
      </c>
      <c r="K360" s="23">
        <f t="shared" si="43"/>
        <v>886.25</v>
      </c>
      <c r="L360" s="23">
        <f t="shared" si="39"/>
        <v>1011.5833333333334</v>
      </c>
      <c r="M360" s="23">
        <f t="shared" si="45"/>
        <v>1069</v>
      </c>
      <c r="N360" s="25">
        <f t="shared" si="37"/>
        <v>-0.1642675698560542</v>
      </c>
      <c r="O360" s="25">
        <f t="shared" si="44"/>
        <v>-2.4301837054123112E-2</v>
      </c>
    </row>
    <row r="361" spans="1:15" x14ac:dyDescent="0.25">
      <c r="A361" s="15" t="s">
        <v>26</v>
      </c>
      <c r="B361" s="20">
        <v>36848</v>
      </c>
      <c r="C361" s="15">
        <v>619</v>
      </c>
      <c r="D361" s="15">
        <v>11</v>
      </c>
      <c r="E361" s="15">
        <v>157</v>
      </c>
      <c r="F361" s="21">
        <f t="shared" si="38"/>
        <v>787</v>
      </c>
      <c r="G361" s="18">
        <v>46</v>
      </c>
      <c r="H361" s="22">
        <f t="shared" si="40"/>
        <v>643.25</v>
      </c>
      <c r="I361" s="22">
        <f t="shared" si="41"/>
        <v>17.5</v>
      </c>
      <c r="J361" s="22">
        <f t="shared" si="42"/>
        <v>237</v>
      </c>
      <c r="K361" s="23">
        <f t="shared" si="43"/>
        <v>897.75</v>
      </c>
      <c r="L361" s="23">
        <f t="shared" si="39"/>
        <v>1022</v>
      </c>
      <c r="M361" s="23">
        <f t="shared" si="45"/>
        <v>1043.6666666666667</v>
      </c>
      <c r="N361" s="25">
        <f t="shared" si="37"/>
        <v>-0.12555555555555556</v>
      </c>
      <c r="O361" s="25">
        <f t="shared" si="44"/>
        <v>-0.22994129158512719</v>
      </c>
    </row>
    <row r="362" spans="1:15" x14ac:dyDescent="0.25">
      <c r="A362" s="15" t="s">
        <v>26</v>
      </c>
      <c r="B362" s="20">
        <v>36855</v>
      </c>
      <c r="C362" s="15">
        <v>653</v>
      </c>
      <c r="D362" s="15">
        <v>32</v>
      </c>
      <c r="E362" s="15">
        <v>173</v>
      </c>
      <c r="F362" s="21">
        <f t="shared" si="38"/>
        <v>858</v>
      </c>
      <c r="G362" s="18">
        <v>47</v>
      </c>
      <c r="H362" s="22">
        <f t="shared" si="40"/>
        <v>684</v>
      </c>
      <c r="I362" s="22">
        <f t="shared" si="41"/>
        <v>19.75</v>
      </c>
      <c r="J362" s="22">
        <f t="shared" si="42"/>
        <v>208.5</v>
      </c>
      <c r="K362" s="23">
        <f t="shared" si="43"/>
        <v>912.25</v>
      </c>
      <c r="L362" s="23">
        <f t="shared" si="39"/>
        <v>1023.25</v>
      </c>
      <c r="M362" s="23">
        <f t="shared" si="45"/>
        <v>1099.6666666666667</v>
      </c>
      <c r="N362" s="25">
        <f t="shared" si="37"/>
        <v>0.42052980132450329</v>
      </c>
      <c r="O362" s="25">
        <f t="shared" si="44"/>
        <v>-0.16149523576838504</v>
      </c>
    </row>
    <row r="363" spans="1:15" x14ac:dyDescent="0.25">
      <c r="A363" s="15" t="s">
        <v>26</v>
      </c>
      <c r="B363" s="20">
        <v>36862</v>
      </c>
      <c r="C363" s="15">
        <v>828</v>
      </c>
      <c r="D363" s="15">
        <v>36</v>
      </c>
      <c r="E363" s="15">
        <v>246</v>
      </c>
      <c r="F363" s="21">
        <f t="shared" si="38"/>
        <v>1110</v>
      </c>
      <c r="G363" s="18">
        <v>48</v>
      </c>
      <c r="H363" s="22">
        <f t="shared" si="40"/>
        <v>706.5</v>
      </c>
      <c r="I363" s="22">
        <f t="shared" si="41"/>
        <v>23.75</v>
      </c>
      <c r="J363" s="22">
        <f t="shared" si="42"/>
        <v>205.25</v>
      </c>
      <c r="K363" s="23">
        <f t="shared" si="43"/>
        <v>935.5</v>
      </c>
      <c r="L363" s="23">
        <f t="shared" si="39"/>
        <v>1066.1666666666667</v>
      </c>
      <c r="M363" s="23">
        <f t="shared" si="45"/>
        <v>1052.3333333333333</v>
      </c>
      <c r="N363" s="25">
        <f t="shared" si="37"/>
        <v>0.10667996011964108</v>
      </c>
      <c r="O363" s="25">
        <f t="shared" si="44"/>
        <v>4.1113021728935363E-2</v>
      </c>
    </row>
    <row r="364" spans="1:15" x14ac:dyDescent="0.25">
      <c r="A364" s="15" t="s">
        <v>15</v>
      </c>
      <c r="B364" s="20">
        <v>36869</v>
      </c>
      <c r="C364" s="15">
        <v>683</v>
      </c>
      <c r="D364" s="15">
        <v>20</v>
      </c>
      <c r="E364" s="15">
        <v>244</v>
      </c>
      <c r="F364" s="21">
        <f t="shared" si="38"/>
        <v>947</v>
      </c>
      <c r="G364" s="18">
        <v>49</v>
      </c>
      <c r="H364" s="22">
        <f t="shared" si="40"/>
        <v>695.75</v>
      </c>
      <c r="I364" s="22">
        <f t="shared" si="41"/>
        <v>24.75</v>
      </c>
      <c r="J364" s="22">
        <f t="shared" si="42"/>
        <v>205</v>
      </c>
      <c r="K364" s="23">
        <f t="shared" si="43"/>
        <v>925.5</v>
      </c>
      <c r="L364" s="23">
        <f t="shared" si="39"/>
        <v>1078.4166666666667</v>
      </c>
      <c r="M364" s="23">
        <f t="shared" si="45"/>
        <v>1118</v>
      </c>
      <c r="N364" s="25">
        <f t="shared" si="37"/>
        <v>-0.24721780604133545</v>
      </c>
      <c r="O364" s="25">
        <f t="shared" si="44"/>
        <v>-0.12186075264662706</v>
      </c>
    </row>
    <row r="365" spans="1:15" x14ac:dyDescent="0.25">
      <c r="A365" s="15" t="s">
        <v>15</v>
      </c>
      <c r="B365" s="20">
        <v>36876</v>
      </c>
      <c r="C365" s="15">
        <v>390</v>
      </c>
      <c r="D365" s="15">
        <v>6</v>
      </c>
      <c r="E365" s="15">
        <v>155</v>
      </c>
      <c r="F365" s="21">
        <f t="shared" si="38"/>
        <v>551</v>
      </c>
      <c r="G365" s="18">
        <v>50</v>
      </c>
      <c r="H365" s="22">
        <f t="shared" si="40"/>
        <v>638.5</v>
      </c>
      <c r="I365" s="22">
        <f t="shared" si="41"/>
        <v>23.5</v>
      </c>
      <c r="J365" s="22">
        <f t="shared" si="42"/>
        <v>204.5</v>
      </c>
      <c r="K365" s="23">
        <f t="shared" si="43"/>
        <v>866.5</v>
      </c>
      <c r="L365" s="23">
        <f t="shared" si="39"/>
        <v>986.83333333333337</v>
      </c>
      <c r="M365" s="23">
        <f t="shared" si="45"/>
        <v>677.33333333333337</v>
      </c>
      <c r="N365" s="25">
        <f t="shared" si="37"/>
        <v>-0.34638196915776986</v>
      </c>
      <c r="O365" s="25">
        <f t="shared" si="44"/>
        <v>-0.44164837020773517</v>
      </c>
    </row>
    <row r="366" spans="1:15" x14ac:dyDescent="0.25">
      <c r="A366" s="15" t="s">
        <v>15</v>
      </c>
      <c r="B366" s="20">
        <v>36883</v>
      </c>
      <c r="C366" s="15">
        <v>269</v>
      </c>
      <c r="D366" s="15">
        <v>9</v>
      </c>
      <c r="E366" s="15">
        <v>43</v>
      </c>
      <c r="F366" s="21">
        <f t="shared" si="38"/>
        <v>321</v>
      </c>
      <c r="G366" s="18">
        <v>51</v>
      </c>
      <c r="H366" s="22">
        <f t="shared" si="40"/>
        <v>542.5</v>
      </c>
      <c r="I366" s="22">
        <f t="shared" si="41"/>
        <v>17.75</v>
      </c>
      <c r="J366" s="22">
        <f t="shared" si="42"/>
        <v>172</v>
      </c>
      <c r="K366" s="23">
        <f t="shared" si="43"/>
        <v>732.25</v>
      </c>
      <c r="L366" s="23">
        <f t="shared" si="39"/>
        <v>883.66666666666663</v>
      </c>
      <c r="M366" s="23">
        <f t="shared" si="45"/>
        <v>687</v>
      </c>
      <c r="N366" s="25">
        <f t="shared" si="37"/>
        <v>-0.59108280254777068</v>
      </c>
      <c r="O366" s="25">
        <f t="shared" si="44"/>
        <v>-0.63674085250848733</v>
      </c>
    </row>
    <row r="367" spans="1:15" x14ac:dyDescent="0.25">
      <c r="A367" s="15" t="s">
        <v>15</v>
      </c>
      <c r="B367" s="20">
        <v>36890</v>
      </c>
      <c r="C367" s="15">
        <v>197</v>
      </c>
      <c r="D367" s="15">
        <v>24</v>
      </c>
      <c r="E367" s="15">
        <v>31</v>
      </c>
      <c r="F367" s="21">
        <f t="shared" si="38"/>
        <v>252</v>
      </c>
      <c r="G367" s="18">
        <v>52</v>
      </c>
      <c r="H367" s="22">
        <f t="shared" si="40"/>
        <v>384.75</v>
      </c>
      <c r="I367" s="22">
        <f t="shared" si="41"/>
        <v>14.75</v>
      </c>
      <c r="J367" s="22">
        <f t="shared" si="42"/>
        <v>118.25</v>
      </c>
      <c r="K367" s="23">
        <f t="shared" si="43"/>
        <v>517.75</v>
      </c>
      <c r="L367" s="23">
        <f t="shared" si="39"/>
        <v>743.41666666666663</v>
      </c>
      <c r="M367" s="23">
        <f t="shared" si="45"/>
        <v>491.33333333333331</v>
      </c>
      <c r="N367" s="25">
        <f t="shared" si="37"/>
        <v>-0.60314960629921255</v>
      </c>
      <c r="O367" s="25">
        <f t="shared" si="44"/>
        <v>-0.66102454881739714</v>
      </c>
    </row>
    <row r="368" spans="1:15" x14ac:dyDescent="0.25">
      <c r="A368" s="15" t="s">
        <v>16</v>
      </c>
      <c r="B368" s="20">
        <v>36897</v>
      </c>
      <c r="C368" s="15">
        <v>136</v>
      </c>
      <c r="D368" s="15">
        <v>14</v>
      </c>
      <c r="E368" s="15">
        <v>17</v>
      </c>
      <c r="F368" s="21">
        <f t="shared" si="38"/>
        <v>167</v>
      </c>
      <c r="G368" s="18">
        <v>1</v>
      </c>
      <c r="H368" s="22">
        <f t="shared" si="40"/>
        <v>248</v>
      </c>
      <c r="I368" s="22">
        <f t="shared" si="41"/>
        <v>13.25</v>
      </c>
      <c r="J368" s="22">
        <f t="shared" si="42"/>
        <v>61.5</v>
      </c>
      <c r="K368" s="23">
        <f t="shared" si="43"/>
        <v>322.75</v>
      </c>
      <c r="L368" s="23">
        <f t="shared" ref="L368:L431" si="46">AVERAGE(K212+K264+K316)/3</f>
        <v>560.66666666666663</v>
      </c>
      <c r="M368" s="23">
        <f t="shared" si="45"/>
        <v>387</v>
      </c>
      <c r="N368" s="25">
        <f t="shared" si="37"/>
        <v>-0.72166666666666668</v>
      </c>
      <c r="O368" s="25">
        <f t="shared" si="44"/>
        <v>-0.70214030915576697</v>
      </c>
    </row>
    <row r="369" spans="1:15" x14ac:dyDescent="0.25">
      <c r="A369" s="15" t="s">
        <v>16</v>
      </c>
      <c r="B369" s="20">
        <v>36904</v>
      </c>
      <c r="C369" s="15">
        <v>155</v>
      </c>
      <c r="D369" s="15">
        <v>10</v>
      </c>
      <c r="E369" s="15">
        <v>54</v>
      </c>
      <c r="F369" s="21">
        <f t="shared" si="38"/>
        <v>219</v>
      </c>
      <c r="G369" s="18">
        <v>2</v>
      </c>
      <c r="H369" s="22">
        <f t="shared" si="40"/>
        <v>189.25</v>
      </c>
      <c r="I369" s="22">
        <f t="shared" si="41"/>
        <v>14.25</v>
      </c>
      <c r="J369" s="22">
        <f t="shared" si="42"/>
        <v>36.25</v>
      </c>
      <c r="K369" s="23">
        <f t="shared" si="43"/>
        <v>239.75</v>
      </c>
      <c r="L369" s="23">
        <f t="shared" si="46"/>
        <v>508.25</v>
      </c>
      <c r="M369" s="23">
        <f t="shared" si="45"/>
        <v>467.66666666666669</v>
      </c>
      <c r="N369" s="25">
        <f t="shared" si="37"/>
        <v>-0.67841409691629961</v>
      </c>
      <c r="O369" s="25">
        <f t="shared" si="44"/>
        <v>-0.56910969011313328</v>
      </c>
    </row>
    <row r="370" spans="1:15" x14ac:dyDescent="0.25">
      <c r="A370" s="15" t="s">
        <v>16</v>
      </c>
      <c r="B370" s="20">
        <v>36911</v>
      </c>
      <c r="C370" s="15">
        <v>178</v>
      </c>
      <c r="D370" s="15">
        <v>0</v>
      </c>
      <c r="E370" s="15">
        <v>77</v>
      </c>
      <c r="F370" s="21">
        <f t="shared" si="38"/>
        <v>255</v>
      </c>
      <c r="G370" s="18">
        <v>3</v>
      </c>
      <c r="H370" s="22">
        <f t="shared" si="40"/>
        <v>166.5</v>
      </c>
      <c r="I370" s="22">
        <f t="shared" si="41"/>
        <v>12</v>
      </c>
      <c r="J370" s="22">
        <f t="shared" si="42"/>
        <v>44.75</v>
      </c>
      <c r="K370" s="23">
        <f t="shared" si="43"/>
        <v>223.25</v>
      </c>
      <c r="L370" s="23">
        <f t="shared" si="46"/>
        <v>450</v>
      </c>
      <c r="M370" s="23">
        <f t="shared" si="45"/>
        <v>454</v>
      </c>
      <c r="N370" s="25">
        <f t="shared" si="37"/>
        <v>-0.61826347305389218</v>
      </c>
      <c r="O370" s="25">
        <f t="shared" si="44"/>
        <v>-0.43333333333333335</v>
      </c>
    </row>
    <row r="371" spans="1:15" x14ac:dyDescent="0.25">
      <c r="A371" s="15" t="s">
        <v>16</v>
      </c>
      <c r="B371" s="20">
        <v>36918</v>
      </c>
      <c r="C371" s="15">
        <v>268</v>
      </c>
      <c r="D371" s="15">
        <v>13</v>
      </c>
      <c r="E371" s="15">
        <v>130</v>
      </c>
      <c r="F371" s="21">
        <f t="shared" si="38"/>
        <v>411</v>
      </c>
      <c r="G371" s="18">
        <v>4</v>
      </c>
      <c r="H371" s="22">
        <f t="shared" si="40"/>
        <v>184.25</v>
      </c>
      <c r="I371" s="22">
        <f t="shared" si="41"/>
        <v>9.25</v>
      </c>
      <c r="J371" s="22">
        <f t="shared" si="42"/>
        <v>69.5</v>
      </c>
      <c r="K371" s="23">
        <f t="shared" si="43"/>
        <v>263</v>
      </c>
      <c r="L371" s="23">
        <f t="shared" si="46"/>
        <v>473.25</v>
      </c>
      <c r="M371" s="23">
        <f t="shared" si="45"/>
        <v>584.33333333333337</v>
      </c>
      <c r="N371" s="25">
        <f t="shared" si="37"/>
        <v>0.14804469273743018</v>
      </c>
      <c r="O371" s="25">
        <f t="shared" si="44"/>
        <v>-0.13153724247226625</v>
      </c>
    </row>
    <row r="372" spans="1:15" x14ac:dyDescent="0.25">
      <c r="A372" s="15" t="s">
        <v>23</v>
      </c>
      <c r="B372" s="20">
        <v>36925</v>
      </c>
      <c r="C372" s="15">
        <v>301</v>
      </c>
      <c r="D372" s="15">
        <v>14</v>
      </c>
      <c r="E372" s="15">
        <v>282</v>
      </c>
      <c r="F372" s="21">
        <f t="shared" si="38"/>
        <v>597</v>
      </c>
      <c r="G372" s="18">
        <v>5</v>
      </c>
      <c r="H372" s="22">
        <f t="shared" si="40"/>
        <v>225.5</v>
      </c>
      <c r="I372" s="22">
        <f t="shared" si="41"/>
        <v>9.25</v>
      </c>
      <c r="J372" s="22">
        <f t="shared" si="42"/>
        <v>135.75</v>
      </c>
      <c r="K372" s="23">
        <f t="shared" si="43"/>
        <v>370.5</v>
      </c>
      <c r="L372" s="23">
        <f t="shared" si="46"/>
        <v>553.83333333333337</v>
      </c>
      <c r="M372" s="23">
        <f t="shared" si="45"/>
        <v>709.33333333333337</v>
      </c>
      <c r="N372" s="25">
        <f t="shared" ref="N372:N435" si="47">(F372-F320)/F320</f>
        <v>7.956600361663653E-2</v>
      </c>
      <c r="O372" s="25">
        <f t="shared" si="44"/>
        <v>7.7941619018958699E-2</v>
      </c>
    </row>
    <row r="373" spans="1:15" x14ac:dyDescent="0.25">
      <c r="A373" s="15" t="s">
        <v>23</v>
      </c>
      <c r="B373" s="20">
        <v>36932</v>
      </c>
      <c r="C373" s="15">
        <v>404</v>
      </c>
      <c r="D373" s="15">
        <v>5</v>
      </c>
      <c r="E373" s="15">
        <v>200</v>
      </c>
      <c r="F373" s="21">
        <f t="shared" si="38"/>
        <v>609</v>
      </c>
      <c r="G373" s="18">
        <v>6</v>
      </c>
      <c r="H373" s="22">
        <f t="shared" si="40"/>
        <v>287.75</v>
      </c>
      <c r="I373" s="22">
        <f t="shared" si="41"/>
        <v>8</v>
      </c>
      <c r="J373" s="22">
        <f t="shared" si="42"/>
        <v>172.25</v>
      </c>
      <c r="K373" s="23">
        <f t="shared" si="43"/>
        <v>468</v>
      </c>
      <c r="L373" s="23">
        <f t="shared" si="46"/>
        <v>582.66666666666663</v>
      </c>
      <c r="M373" s="23">
        <f t="shared" si="45"/>
        <v>583</v>
      </c>
      <c r="N373" s="25">
        <f t="shared" si="47"/>
        <v>0.48175182481751827</v>
      </c>
      <c r="O373" s="25">
        <f t="shared" si="44"/>
        <v>4.5194508009153388E-2</v>
      </c>
    </row>
    <row r="374" spans="1:15" x14ac:dyDescent="0.25">
      <c r="A374" s="15" t="s">
        <v>23</v>
      </c>
      <c r="B374" s="20">
        <v>36939</v>
      </c>
      <c r="C374" s="15">
        <v>411</v>
      </c>
      <c r="D374" s="15">
        <v>5</v>
      </c>
      <c r="E374" s="15">
        <v>164</v>
      </c>
      <c r="F374" s="21">
        <f t="shared" si="38"/>
        <v>580</v>
      </c>
      <c r="G374" s="18">
        <v>7</v>
      </c>
      <c r="H374" s="22">
        <f t="shared" si="40"/>
        <v>346</v>
      </c>
      <c r="I374" s="22">
        <f t="shared" si="41"/>
        <v>9.25</v>
      </c>
      <c r="J374" s="22">
        <f t="shared" si="42"/>
        <v>194</v>
      </c>
      <c r="K374" s="23">
        <f t="shared" si="43"/>
        <v>549.25</v>
      </c>
      <c r="L374" s="23">
        <f t="shared" si="46"/>
        <v>612.75</v>
      </c>
      <c r="M374" s="23">
        <f t="shared" si="45"/>
        <v>574.33333333333337</v>
      </c>
      <c r="N374" s="25">
        <f t="shared" si="47"/>
        <v>-3.3333333333333333E-2</v>
      </c>
      <c r="O374" s="25">
        <f t="shared" si="44"/>
        <v>-5.3447572419420643E-2</v>
      </c>
    </row>
    <row r="375" spans="1:15" x14ac:dyDescent="0.25">
      <c r="A375" s="15" t="s">
        <v>23</v>
      </c>
      <c r="B375" s="20">
        <v>36946</v>
      </c>
      <c r="C375" s="15">
        <v>412</v>
      </c>
      <c r="D375" s="15">
        <v>5</v>
      </c>
      <c r="E375" s="15">
        <v>171</v>
      </c>
      <c r="F375" s="21">
        <f t="shared" si="38"/>
        <v>588</v>
      </c>
      <c r="G375" s="18">
        <v>8</v>
      </c>
      <c r="H375" s="22">
        <f t="shared" si="40"/>
        <v>382</v>
      </c>
      <c r="I375" s="22">
        <f t="shared" si="41"/>
        <v>7.25</v>
      </c>
      <c r="J375" s="22">
        <f t="shared" si="42"/>
        <v>204.25</v>
      </c>
      <c r="K375" s="23">
        <f t="shared" si="43"/>
        <v>593.5</v>
      </c>
      <c r="L375" s="23">
        <f t="shared" si="46"/>
        <v>630.5</v>
      </c>
      <c r="M375" s="23">
        <f t="shared" si="45"/>
        <v>655.33333333333337</v>
      </c>
      <c r="N375" s="25">
        <f t="shared" si="47"/>
        <v>6.9090909090909092E-2</v>
      </c>
      <c r="O375" s="25">
        <f t="shared" si="44"/>
        <v>-6.7406819984139568E-2</v>
      </c>
    </row>
    <row r="376" spans="1:15" x14ac:dyDescent="0.25">
      <c r="A376" s="15" t="s">
        <v>27</v>
      </c>
      <c r="B376" s="20">
        <v>36953</v>
      </c>
      <c r="C376" s="15">
        <v>318</v>
      </c>
      <c r="D376" s="15">
        <v>0</v>
      </c>
      <c r="E376" s="15">
        <v>285</v>
      </c>
      <c r="F376" s="21">
        <f t="shared" si="38"/>
        <v>603</v>
      </c>
      <c r="G376" s="18">
        <v>9</v>
      </c>
      <c r="H376" s="22">
        <f t="shared" si="40"/>
        <v>386.25</v>
      </c>
      <c r="I376" s="22">
        <f t="shared" si="41"/>
        <v>3.75</v>
      </c>
      <c r="J376" s="22">
        <f t="shared" si="42"/>
        <v>205</v>
      </c>
      <c r="K376" s="23">
        <f t="shared" si="43"/>
        <v>595</v>
      </c>
      <c r="L376" s="23">
        <f t="shared" si="46"/>
        <v>585.16666666666663</v>
      </c>
      <c r="M376" s="23">
        <f t="shared" si="45"/>
        <v>528</v>
      </c>
      <c r="N376" s="25">
        <f t="shared" si="47"/>
        <v>0.10642201834862386</v>
      </c>
      <c r="O376" s="25">
        <f t="shared" si="44"/>
        <v>3.0475647963543216E-2</v>
      </c>
    </row>
    <row r="377" spans="1:15" x14ac:dyDescent="0.25">
      <c r="A377" s="15" t="s">
        <v>27</v>
      </c>
      <c r="B377" s="20">
        <v>36960</v>
      </c>
      <c r="C377" s="15">
        <v>419</v>
      </c>
      <c r="D377" s="15">
        <v>3</v>
      </c>
      <c r="E377" s="15">
        <v>268</v>
      </c>
      <c r="F377" s="21">
        <f t="shared" si="38"/>
        <v>690</v>
      </c>
      <c r="G377" s="18">
        <v>10</v>
      </c>
      <c r="H377" s="22">
        <f t="shared" si="40"/>
        <v>390</v>
      </c>
      <c r="I377" s="22">
        <f t="shared" si="41"/>
        <v>3.25</v>
      </c>
      <c r="J377" s="22">
        <f t="shared" si="42"/>
        <v>222</v>
      </c>
      <c r="K377" s="23">
        <f t="shared" si="43"/>
        <v>615.25</v>
      </c>
      <c r="L377" s="23">
        <f t="shared" si="46"/>
        <v>576.83333333333337</v>
      </c>
      <c r="M377" s="23">
        <f t="shared" si="45"/>
        <v>549.66666666666663</v>
      </c>
      <c r="N377" s="25">
        <f t="shared" si="47"/>
        <v>2.0710059171597635E-2</v>
      </c>
      <c r="O377" s="25">
        <f t="shared" si="44"/>
        <v>0.1961860733891938</v>
      </c>
    </row>
    <row r="378" spans="1:15" x14ac:dyDescent="0.25">
      <c r="A378" s="15" t="s">
        <v>27</v>
      </c>
      <c r="B378" s="20">
        <v>36967</v>
      </c>
      <c r="C378" s="15">
        <v>416</v>
      </c>
      <c r="D378" s="15">
        <v>1</v>
      </c>
      <c r="E378" s="15">
        <v>218</v>
      </c>
      <c r="F378" s="21">
        <f t="shared" si="38"/>
        <v>635</v>
      </c>
      <c r="G378" s="18">
        <v>11</v>
      </c>
      <c r="H378" s="22">
        <f t="shared" si="40"/>
        <v>391.25</v>
      </c>
      <c r="I378" s="22">
        <f t="shared" si="41"/>
        <v>2.25</v>
      </c>
      <c r="J378" s="22">
        <f t="shared" si="42"/>
        <v>235.5</v>
      </c>
      <c r="K378" s="23">
        <f t="shared" si="43"/>
        <v>629</v>
      </c>
      <c r="L378" s="23">
        <f t="shared" si="46"/>
        <v>626.75</v>
      </c>
      <c r="M378" s="23">
        <f t="shared" si="45"/>
        <v>774</v>
      </c>
      <c r="N378" s="25">
        <f t="shared" si="47"/>
        <v>-0.27262313860252002</v>
      </c>
      <c r="O378" s="25">
        <f t="shared" si="44"/>
        <v>1.316314319904268E-2</v>
      </c>
    </row>
    <row r="379" spans="1:15" x14ac:dyDescent="0.25">
      <c r="A379" s="15" t="s">
        <v>27</v>
      </c>
      <c r="B379" s="20">
        <v>36974</v>
      </c>
      <c r="C379" s="15">
        <v>432</v>
      </c>
      <c r="D379" s="15">
        <v>9</v>
      </c>
      <c r="E379" s="15">
        <v>143</v>
      </c>
      <c r="F379" s="21">
        <f t="shared" si="38"/>
        <v>584</v>
      </c>
      <c r="G379" s="18">
        <v>12</v>
      </c>
      <c r="H379" s="22">
        <f t="shared" si="40"/>
        <v>396.25</v>
      </c>
      <c r="I379" s="22">
        <f t="shared" si="41"/>
        <v>3.25</v>
      </c>
      <c r="J379" s="22">
        <f t="shared" si="42"/>
        <v>228.5</v>
      </c>
      <c r="K379" s="23">
        <f t="shared" si="43"/>
        <v>628</v>
      </c>
      <c r="L379" s="23">
        <f t="shared" si="46"/>
        <v>671.16666666666663</v>
      </c>
      <c r="M379" s="23">
        <f t="shared" si="45"/>
        <v>833</v>
      </c>
      <c r="N379" s="25">
        <f t="shared" si="47"/>
        <v>-0.28693528693528692</v>
      </c>
      <c r="O379" s="25">
        <f t="shared" si="44"/>
        <v>-0.12987335485473053</v>
      </c>
    </row>
    <row r="380" spans="1:15" x14ac:dyDescent="0.25">
      <c r="A380" s="15" t="s">
        <v>27</v>
      </c>
      <c r="B380" s="20">
        <v>36981</v>
      </c>
      <c r="C380" s="15">
        <v>399</v>
      </c>
      <c r="D380" s="15">
        <v>5</v>
      </c>
      <c r="E380" s="15">
        <v>96</v>
      </c>
      <c r="F380" s="21">
        <f t="shared" si="38"/>
        <v>500</v>
      </c>
      <c r="G380" s="18">
        <v>13</v>
      </c>
      <c r="H380" s="22">
        <f t="shared" si="40"/>
        <v>416.5</v>
      </c>
      <c r="I380" s="22">
        <f t="shared" si="41"/>
        <v>4.5</v>
      </c>
      <c r="J380" s="22">
        <f t="shared" si="42"/>
        <v>181.25</v>
      </c>
      <c r="K380" s="23">
        <f t="shared" si="43"/>
        <v>602.25</v>
      </c>
      <c r="L380" s="23">
        <f t="shared" si="46"/>
        <v>731.91666666666663</v>
      </c>
      <c r="M380" s="23">
        <f t="shared" si="45"/>
        <v>771</v>
      </c>
      <c r="N380" s="25">
        <f t="shared" si="47"/>
        <v>-0.21630094043887146</v>
      </c>
      <c r="O380" s="25">
        <f t="shared" si="44"/>
        <v>-0.31686212000455422</v>
      </c>
    </row>
    <row r="381" spans="1:15" x14ac:dyDescent="0.25">
      <c r="A381" s="15" t="s">
        <v>14</v>
      </c>
      <c r="B381" s="20">
        <v>36988</v>
      </c>
      <c r="C381" s="15">
        <v>574</v>
      </c>
      <c r="D381" s="15">
        <v>9</v>
      </c>
      <c r="E381" s="15">
        <v>170</v>
      </c>
      <c r="F381" s="21">
        <f t="shared" si="38"/>
        <v>753</v>
      </c>
      <c r="G381" s="18">
        <v>14</v>
      </c>
      <c r="H381" s="22">
        <f t="shared" si="40"/>
        <v>455.25</v>
      </c>
      <c r="I381" s="22">
        <f t="shared" si="41"/>
        <v>6</v>
      </c>
      <c r="J381" s="22">
        <f t="shared" si="42"/>
        <v>156.75</v>
      </c>
      <c r="K381" s="23">
        <f t="shared" si="43"/>
        <v>618</v>
      </c>
      <c r="L381" s="23">
        <f t="shared" si="46"/>
        <v>764.33333333333337</v>
      </c>
      <c r="M381" s="23">
        <f t="shared" si="45"/>
        <v>679.33333333333337</v>
      </c>
      <c r="N381" s="25">
        <f t="shared" si="47"/>
        <v>8.1896551724137928E-2</v>
      </c>
      <c r="O381" s="25">
        <f t="shared" si="44"/>
        <v>-1.4827736589620633E-2</v>
      </c>
    </row>
    <row r="382" spans="1:15" x14ac:dyDescent="0.25">
      <c r="A382" s="15" t="s">
        <v>14</v>
      </c>
      <c r="B382" s="20">
        <v>36995</v>
      </c>
      <c r="C382" s="15">
        <v>695</v>
      </c>
      <c r="D382" s="15">
        <v>17</v>
      </c>
      <c r="E382" s="15">
        <v>157</v>
      </c>
      <c r="F382" s="21">
        <f t="shared" si="38"/>
        <v>869</v>
      </c>
      <c r="G382" s="18">
        <v>15</v>
      </c>
      <c r="H382" s="22">
        <f t="shared" si="40"/>
        <v>525</v>
      </c>
      <c r="I382" s="22">
        <f t="shared" si="41"/>
        <v>10</v>
      </c>
      <c r="J382" s="22">
        <f t="shared" si="42"/>
        <v>141.5</v>
      </c>
      <c r="K382" s="23">
        <f t="shared" si="43"/>
        <v>676.5</v>
      </c>
      <c r="L382" s="23">
        <f t="shared" si="46"/>
        <v>814.83333333333337</v>
      </c>
      <c r="M382" s="23">
        <f t="shared" si="45"/>
        <v>976</v>
      </c>
      <c r="N382" s="25">
        <f t="shared" si="47"/>
        <v>-0.43387622149837135</v>
      </c>
      <c r="O382" s="25">
        <f t="shared" si="44"/>
        <v>6.6475761914501899E-2</v>
      </c>
    </row>
    <row r="383" spans="1:15" x14ac:dyDescent="0.25">
      <c r="A383" s="15" t="s">
        <v>14</v>
      </c>
      <c r="B383" s="20">
        <v>37002</v>
      </c>
      <c r="C383" s="15">
        <v>563</v>
      </c>
      <c r="D383" s="15">
        <v>9</v>
      </c>
      <c r="E383" s="15">
        <v>124</v>
      </c>
      <c r="F383" s="21">
        <f t="shared" si="38"/>
        <v>696</v>
      </c>
      <c r="G383" s="18">
        <v>16</v>
      </c>
      <c r="H383" s="22">
        <f t="shared" si="40"/>
        <v>557.75</v>
      </c>
      <c r="I383" s="22">
        <f t="shared" si="41"/>
        <v>10</v>
      </c>
      <c r="J383" s="22">
        <f t="shared" si="42"/>
        <v>136.75</v>
      </c>
      <c r="K383" s="23">
        <f t="shared" si="43"/>
        <v>704.5</v>
      </c>
      <c r="L383" s="23">
        <f t="shared" si="46"/>
        <v>821</v>
      </c>
      <c r="M383" s="23">
        <f t="shared" si="45"/>
        <v>857.66666666666663</v>
      </c>
      <c r="N383" s="25">
        <f t="shared" si="47"/>
        <v>-0.29124236252545826</v>
      </c>
      <c r="O383" s="25">
        <f t="shared" si="44"/>
        <v>-0.15225334957369063</v>
      </c>
    </row>
    <row r="384" spans="1:15" x14ac:dyDescent="0.25">
      <c r="A384" s="15" t="s">
        <v>14</v>
      </c>
      <c r="B384" s="20">
        <v>37009</v>
      </c>
      <c r="C384" s="15">
        <v>360</v>
      </c>
      <c r="D384" s="15">
        <v>15</v>
      </c>
      <c r="E384" s="15">
        <v>37</v>
      </c>
      <c r="F384" s="21">
        <f t="shared" si="38"/>
        <v>412</v>
      </c>
      <c r="G384" s="18">
        <v>17</v>
      </c>
      <c r="H384" s="22">
        <f t="shared" si="40"/>
        <v>548</v>
      </c>
      <c r="I384" s="22">
        <f t="shared" si="41"/>
        <v>12.5</v>
      </c>
      <c r="J384" s="22">
        <f t="shared" si="42"/>
        <v>122</v>
      </c>
      <c r="K384" s="23">
        <f t="shared" si="43"/>
        <v>682.5</v>
      </c>
      <c r="L384" s="23">
        <f t="shared" si="46"/>
        <v>824.33333333333337</v>
      </c>
      <c r="M384" s="23">
        <f t="shared" si="45"/>
        <v>784.33333333333337</v>
      </c>
      <c r="N384" s="25">
        <f t="shared" si="47"/>
        <v>-0.50421179302045727</v>
      </c>
      <c r="O384" s="25">
        <f t="shared" si="44"/>
        <v>-0.50020218358269308</v>
      </c>
    </row>
    <row r="385" spans="1:15" x14ac:dyDescent="0.25">
      <c r="A385" s="15" t="s">
        <v>5</v>
      </c>
      <c r="B385" s="20">
        <v>37016</v>
      </c>
      <c r="C385" s="15">
        <v>437</v>
      </c>
      <c r="D385" s="15">
        <v>1</v>
      </c>
      <c r="E385" s="15">
        <v>57</v>
      </c>
      <c r="F385" s="21">
        <f t="shared" si="38"/>
        <v>495</v>
      </c>
      <c r="G385" s="18">
        <v>18</v>
      </c>
      <c r="H385" s="22">
        <f t="shared" si="40"/>
        <v>513.75</v>
      </c>
      <c r="I385" s="22">
        <f t="shared" si="41"/>
        <v>10.5</v>
      </c>
      <c r="J385" s="22">
        <f t="shared" si="42"/>
        <v>93.75</v>
      </c>
      <c r="K385" s="23">
        <f t="shared" si="43"/>
        <v>618</v>
      </c>
      <c r="L385" s="23">
        <f t="shared" si="46"/>
        <v>871.08333333333337</v>
      </c>
      <c r="M385" s="23">
        <f t="shared" si="45"/>
        <v>866.33333333333337</v>
      </c>
      <c r="N385" s="25">
        <f t="shared" si="47"/>
        <v>-0.39338235294117646</v>
      </c>
      <c r="O385" s="25">
        <f t="shared" si="44"/>
        <v>-0.43174208361236011</v>
      </c>
    </row>
    <row r="386" spans="1:15" x14ac:dyDescent="0.25">
      <c r="A386" s="15" t="s">
        <v>5</v>
      </c>
      <c r="B386" s="20">
        <v>37023</v>
      </c>
      <c r="C386" s="15">
        <v>355</v>
      </c>
      <c r="D386" s="15">
        <v>3</v>
      </c>
      <c r="E386" s="15">
        <v>25</v>
      </c>
      <c r="F386" s="21">
        <f t="shared" si="38"/>
        <v>383</v>
      </c>
      <c r="G386" s="18">
        <v>19</v>
      </c>
      <c r="H386" s="22">
        <f t="shared" si="40"/>
        <v>428.75</v>
      </c>
      <c r="I386" s="22">
        <f t="shared" si="41"/>
        <v>7</v>
      </c>
      <c r="J386" s="22">
        <f t="shared" si="42"/>
        <v>60.75</v>
      </c>
      <c r="K386" s="23">
        <f t="shared" si="43"/>
        <v>496.5</v>
      </c>
      <c r="L386" s="23">
        <f t="shared" si="46"/>
        <v>836.16666666666663</v>
      </c>
      <c r="M386" s="23">
        <f t="shared" si="45"/>
        <v>836.33333333333337</v>
      </c>
      <c r="N386" s="25">
        <f t="shared" si="47"/>
        <v>-0.55413271245634454</v>
      </c>
      <c r="O386" s="25">
        <f t="shared" si="44"/>
        <v>-0.54195734502690851</v>
      </c>
    </row>
    <row r="387" spans="1:15" x14ac:dyDescent="0.25">
      <c r="A387" s="15" t="s">
        <v>5</v>
      </c>
      <c r="B387" s="20">
        <v>37030</v>
      </c>
      <c r="C387" s="15">
        <v>341</v>
      </c>
      <c r="D387" s="15">
        <v>0</v>
      </c>
      <c r="E387" s="15">
        <v>96</v>
      </c>
      <c r="F387" s="21">
        <f t="shared" si="38"/>
        <v>437</v>
      </c>
      <c r="G387" s="18">
        <v>20</v>
      </c>
      <c r="H387" s="22">
        <f t="shared" si="40"/>
        <v>373.25</v>
      </c>
      <c r="I387" s="22">
        <f t="shared" si="41"/>
        <v>4.75</v>
      </c>
      <c r="J387" s="22">
        <f t="shared" si="42"/>
        <v>53.75</v>
      </c>
      <c r="K387" s="23">
        <f t="shared" si="43"/>
        <v>431.75</v>
      </c>
      <c r="L387" s="23">
        <f t="shared" si="46"/>
        <v>842.91666666666663</v>
      </c>
      <c r="M387" s="23">
        <f t="shared" si="45"/>
        <v>884.66666666666663</v>
      </c>
      <c r="N387" s="25">
        <f t="shared" si="47"/>
        <v>-0.47727272727272729</v>
      </c>
      <c r="O387" s="25">
        <f t="shared" si="44"/>
        <v>-0.4815620365793376</v>
      </c>
    </row>
    <row r="388" spans="1:15" x14ac:dyDescent="0.25">
      <c r="A388" s="15" t="s">
        <v>5</v>
      </c>
      <c r="B388" s="20">
        <v>37037</v>
      </c>
      <c r="C388" s="15">
        <v>375</v>
      </c>
      <c r="D388" s="15">
        <v>17</v>
      </c>
      <c r="E388" s="15">
        <v>112</v>
      </c>
      <c r="F388" s="21">
        <f t="shared" si="38"/>
        <v>504</v>
      </c>
      <c r="G388" s="18">
        <v>21</v>
      </c>
      <c r="H388" s="22">
        <f t="shared" si="40"/>
        <v>377</v>
      </c>
      <c r="I388" s="22">
        <f t="shared" si="41"/>
        <v>5.25</v>
      </c>
      <c r="J388" s="22">
        <f t="shared" si="42"/>
        <v>72.5</v>
      </c>
      <c r="K388" s="23">
        <f t="shared" si="43"/>
        <v>454.75</v>
      </c>
      <c r="L388" s="23">
        <f t="shared" si="46"/>
        <v>830.75</v>
      </c>
      <c r="M388" s="23">
        <f t="shared" si="45"/>
        <v>735.66666666666663</v>
      </c>
      <c r="N388" s="25">
        <f t="shared" si="47"/>
        <v>-0.45454545454545453</v>
      </c>
      <c r="O388" s="25">
        <f t="shared" si="44"/>
        <v>-0.39331928979837494</v>
      </c>
    </row>
    <row r="389" spans="1:15" x14ac:dyDescent="0.25">
      <c r="A389" s="15" t="s">
        <v>30</v>
      </c>
      <c r="B389" s="20">
        <v>37044</v>
      </c>
      <c r="C389" s="15">
        <v>572</v>
      </c>
      <c r="D389" s="15">
        <v>12</v>
      </c>
      <c r="E389" s="15">
        <v>181</v>
      </c>
      <c r="F389" s="21">
        <f t="shared" si="38"/>
        <v>765</v>
      </c>
      <c r="G389" s="18">
        <v>22</v>
      </c>
      <c r="H389" s="22">
        <f t="shared" si="40"/>
        <v>410.75</v>
      </c>
      <c r="I389" s="22">
        <f t="shared" si="41"/>
        <v>8</v>
      </c>
      <c r="J389" s="22">
        <f t="shared" si="42"/>
        <v>103.5</v>
      </c>
      <c r="K389" s="23">
        <f t="shared" si="43"/>
        <v>522.25</v>
      </c>
      <c r="L389" s="23">
        <f t="shared" si="46"/>
        <v>797.5</v>
      </c>
      <c r="M389" s="23">
        <f t="shared" si="45"/>
        <v>733.33333333333337</v>
      </c>
      <c r="N389" s="25">
        <f t="shared" si="47"/>
        <v>0.48832684824902722</v>
      </c>
      <c r="O389" s="25">
        <f t="shared" si="44"/>
        <v>-4.0752351097178681E-2</v>
      </c>
    </row>
    <row r="390" spans="1:15" x14ac:dyDescent="0.25">
      <c r="A390" s="15" t="s">
        <v>30</v>
      </c>
      <c r="B390" s="20">
        <v>37051</v>
      </c>
      <c r="C390" s="15">
        <v>624</v>
      </c>
      <c r="D390" s="15">
        <v>17</v>
      </c>
      <c r="E390" s="15">
        <v>147</v>
      </c>
      <c r="F390" s="21">
        <f t="shared" ref="F390:F453" si="48">SUM(C390:E390)</f>
        <v>788</v>
      </c>
      <c r="G390" s="18">
        <v>23</v>
      </c>
      <c r="H390" s="22">
        <f t="shared" si="40"/>
        <v>478</v>
      </c>
      <c r="I390" s="22">
        <f t="shared" si="41"/>
        <v>11.5</v>
      </c>
      <c r="J390" s="22">
        <f t="shared" si="42"/>
        <v>134</v>
      </c>
      <c r="K390" s="23">
        <f t="shared" si="43"/>
        <v>623.5</v>
      </c>
      <c r="L390" s="23">
        <f t="shared" si="46"/>
        <v>814.5</v>
      </c>
      <c r="M390" s="23">
        <f t="shared" si="45"/>
        <v>904.33333333333337</v>
      </c>
      <c r="N390" s="25">
        <f t="shared" si="47"/>
        <v>-0.22211253701875616</v>
      </c>
      <c r="O390" s="25">
        <f t="shared" si="44"/>
        <v>-3.2535297728667895E-2</v>
      </c>
    </row>
    <row r="391" spans="1:15" x14ac:dyDescent="0.25">
      <c r="A391" s="15" t="s">
        <v>30</v>
      </c>
      <c r="B391" s="20">
        <v>37058</v>
      </c>
      <c r="C391" s="15">
        <v>897</v>
      </c>
      <c r="D391" s="15">
        <v>42</v>
      </c>
      <c r="E391" s="15">
        <v>205</v>
      </c>
      <c r="F391" s="21">
        <f t="shared" si="48"/>
        <v>1144</v>
      </c>
      <c r="G391" s="18">
        <v>24</v>
      </c>
      <c r="H391" s="22">
        <f t="shared" si="40"/>
        <v>617</v>
      </c>
      <c r="I391" s="22">
        <f t="shared" si="41"/>
        <v>22</v>
      </c>
      <c r="J391" s="22">
        <f t="shared" si="42"/>
        <v>161.25</v>
      </c>
      <c r="K391" s="23">
        <f t="shared" si="43"/>
        <v>800.25</v>
      </c>
      <c r="L391" s="23">
        <f t="shared" si="46"/>
        <v>835.83333333333337</v>
      </c>
      <c r="M391" s="23">
        <f t="shared" si="45"/>
        <v>970</v>
      </c>
      <c r="N391" s="25">
        <f t="shared" si="47"/>
        <v>0.24078091106290672</v>
      </c>
      <c r="O391" s="25">
        <f t="shared" si="44"/>
        <v>0.36869391824526415</v>
      </c>
    </row>
    <row r="392" spans="1:15" x14ac:dyDescent="0.25">
      <c r="A392" s="15" t="s">
        <v>30</v>
      </c>
      <c r="B392" s="20">
        <v>37065</v>
      </c>
      <c r="C392" s="15">
        <v>818</v>
      </c>
      <c r="D392" s="15">
        <v>13</v>
      </c>
      <c r="E392" s="15">
        <v>162</v>
      </c>
      <c r="F392" s="21">
        <f t="shared" si="48"/>
        <v>993</v>
      </c>
      <c r="G392" s="18">
        <v>25</v>
      </c>
      <c r="H392" s="22">
        <f t="shared" si="40"/>
        <v>727.75</v>
      </c>
      <c r="I392" s="22">
        <f t="shared" si="41"/>
        <v>21</v>
      </c>
      <c r="J392" s="22">
        <f t="shared" si="42"/>
        <v>173.75</v>
      </c>
      <c r="K392" s="23">
        <f t="shared" si="43"/>
        <v>922.5</v>
      </c>
      <c r="L392" s="23">
        <f t="shared" si="46"/>
        <v>897.66666666666663</v>
      </c>
      <c r="M392" s="23">
        <f t="shared" si="45"/>
        <v>983</v>
      </c>
      <c r="N392" s="25">
        <f t="shared" si="47"/>
        <v>0.15869311551925322</v>
      </c>
      <c r="O392" s="25">
        <f t="shared" si="44"/>
        <v>0.10620126253249169</v>
      </c>
    </row>
    <row r="393" spans="1:15" x14ac:dyDescent="0.25">
      <c r="A393" s="15" t="s">
        <v>30</v>
      </c>
      <c r="B393" s="20">
        <v>37072</v>
      </c>
      <c r="C393" s="15">
        <v>853</v>
      </c>
      <c r="D393" s="15">
        <v>36</v>
      </c>
      <c r="E393" s="15">
        <v>159</v>
      </c>
      <c r="F393" s="21">
        <f t="shared" si="48"/>
        <v>1048</v>
      </c>
      <c r="G393" s="18">
        <v>26</v>
      </c>
      <c r="H393" s="22">
        <f t="shared" si="40"/>
        <v>798</v>
      </c>
      <c r="I393" s="22">
        <f t="shared" si="41"/>
        <v>27</v>
      </c>
      <c r="J393" s="22">
        <f t="shared" si="42"/>
        <v>168.25</v>
      </c>
      <c r="K393" s="23">
        <f t="shared" si="43"/>
        <v>993.25</v>
      </c>
      <c r="L393" s="23">
        <f t="shared" si="46"/>
        <v>933.08333333333337</v>
      </c>
      <c r="M393" s="23">
        <f t="shared" si="45"/>
        <v>875</v>
      </c>
      <c r="N393" s="25">
        <f t="shared" si="47"/>
        <v>0.21860465116279071</v>
      </c>
      <c r="O393" s="25">
        <f t="shared" si="44"/>
        <v>0.12315798874698576</v>
      </c>
    </row>
    <row r="394" spans="1:15" x14ac:dyDescent="0.25">
      <c r="A394" s="15" t="s">
        <v>31</v>
      </c>
      <c r="B394" s="20">
        <v>37079</v>
      </c>
      <c r="C394" s="15">
        <v>968</v>
      </c>
      <c r="D394" s="15">
        <v>8</v>
      </c>
      <c r="E394" s="15">
        <v>92</v>
      </c>
      <c r="F394" s="21">
        <f t="shared" si="48"/>
        <v>1068</v>
      </c>
      <c r="G394" s="18">
        <v>27</v>
      </c>
      <c r="H394" s="22">
        <f t="shared" ref="H394:H457" si="49">AVERAGE(C391:C394)</f>
        <v>884</v>
      </c>
      <c r="I394" s="22">
        <f t="shared" ref="I394:I457" si="50">AVERAGE(D391:D394)</f>
        <v>24.75</v>
      </c>
      <c r="J394" s="22">
        <f t="shared" ref="J394:J457" si="51">AVERAGE(E391:E394)</f>
        <v>154.5</v>
      </c>
      <c r="K394" s="23">
        <f t="shared" ref="K394:K457" si="52">SUM(H394:J394)</f>
        <v>1063.25</v>
      </c>
      <c r="L394" s="23">
        <f t="shared" si="46"/>
        <v>960.91666666666663</v>
      </c>
      <c r="M394" s="23">
        <f t="shared" si="45"/>
        <v>1015.6666666666666</v>
      </c>
      <c r="N394" s="25">
        <f t="shared" si="47"/>
        <v>9.0909090909090912E-2</v>
      </c>
      <c r="O394" s="25">
        <f t="shared" ref="O394:O457" si="53">(F394-L394)/L394</f>
        <v>0.11143873037897845</v>
      </c>
    </row>
    <row r="395" spans="1:15" x14ac:dyDescent="0.25">
      <c r="A395" s="15" t="s">
        <v>31</v>
      </c>
      <c r="B395" s="20">
        <v>37086</v>
      </c>
      <c r="C395" s="15">
        <v>817</v>
      </c>
      <c r="D395" s="15">
        <v>41</v>
      </c>
      <c r="E395" s="15">
        <v>130</v>
      </c>
      <c r="F395" s="21">
        <f t="shared" si="48"/>
        <v>988</v>
      </c>
      <c r="G395" s="18">
        <v>28</v>
      </c>
      <c r="H395" s="22">
        <f t="shared" si="49"/>
        <v>864</v>
      </c>
      <c r="I395" s="22">
        <f t="shared" si="50"/>
        <v>24.5</v>
      </c>
      <c r="J395" s="22">
        <f t="shared" si="51"/>
        <v>135.75</v>
      </c>
      <c r="K395" s="23">
        <f t="shared" si="52"/>
        <v>1024.25</v>
      </c>
      <c r="L395" s="23">
        <f t="shared" si="46"/>
        <v>905.83333333333337</v>
      </c>
      <c r="M395" s="23">
        <f t="shared" si="45"/>
        <v>749.66666666666663</v>
      </c>
      <c r="N395" s="25">
        <f t="shared" si="47"/>
        <v>8.690869086908691E-2</v>
      </c>
      <c r="O395" s="25">
        <f t="shared" si="53"/>
        <v>9.0708371665133347E-2</v>
      </c>
    </row>
    <row r="396" spans="1:15" x14ac:dyDescent="0.25">
      <c r="A396" s="15" t="s">
        <v>31</v>
      </c>
      <c r="B396" s="20">
        <v>37093</v>
      </c>
      <c r="C396" s="15">
        <v>499</v>
      </c>
      <c r="D396" s="15">
        <v>20</v>
      </c>
      <c r="E396" s="15">
        <v>123</v>
      </c>
      <c r="F396" s="21">
        <f t="shared" si="48"/>
        <v>642</v>
      </c>
      <c r="G396" s="18">
        <v>29</v>
      </c>
      <c r="H396" s="22">
        <f t="shared" si="49"/>
        <v>784.25</v>
      </c>
      <c r="I396" s="22">
        <f t="shared" si="50"/>
        <v>26.25</v>
      </c>
      <c r="J396" s="22">
        <f t="shared" si="51"/>
        <v>126</v>
      </c>
      <c r="K396" s="23">
        <f t="shared" si="52"/>
        <v>936.5</v>
      </c>
      <c r="L396" s="23">
        <f t="shared" si="46"/>
        <v>935.08333333333337</v>
      </c>
      <c r="M396" s="23">
        <f t="shared" si="45"/>
        <v>1100</v>
      </c>
      <c r="N396" s="25">
        <f t="shared" si="47"/>
        <v>-0.38973384030418251</v>
      </c>
      <c r="O396" s="25">
        <f t="shared" si="53"/>
        <v>-0.31343017556367531</v>
      </c>
    </row>
    <row r="397" spans="1:15" x14ac:dyDescent="0.25">
      <c r="A397" s="15" t="s">
        <v>31</v>
      </c>
      <c r="B397" s="20">
        <v>37100</v>
      </c>
      <c r="C397" s="15">
        <v>821</v>
      </c>
      <c r="D397" s="15">
        <v>17</v>
      </c>
      <c r="E397" s="15">
        <v>123</v>
      </c>
      <c r="F397" s="21">
        <f t="shared" si="48"/>
        <v>961</v>
      </c>
      <c r="G397" s="18">
        <v>30</v>
      </c>
      <c r="H397" s="22">
        <f t="shared" si="49"/>
        <v>776.25</v>
      </c>
      <c r="I397" s="22">
        <f t="shared" si="50"/>
        <v>21.5</v>
      </c>
      <c r="J397" s="22">
        <f t="shared" si="51"/>
        <v>117</v>
      </c>
      <c r="K397" s="23">
        <f t="shared" si="52"/>
        <v>914.75</v>
      </c>
      <c r="L397" s="23">
        <f t="shared" si="46"/>
        <v>951.91666666666663</v>
      </c>
      <c r="M397" s="23">
        <f t="shared" si="45"/>
        <v>942.33333333333337</v>
      </c>
      <c r="N397" s="25">
        <f t="shared" si="47"/>
        <v>7.3375262054507341E-3</v>
      </c>
      <c r="O397" s="25">
        <f t="shared" si="53"/>
        <v>9.5421517990020542E-3</v>
      </c>
    </row>
    <row r="398" spans="1:15" x14ac:dyDescent="0.25">
      <c r="A398" s="15" t="s">
        <v>19</v>
      </c>
      <c r="B398" s="20">
        <v>37107</v>
      </c>
      <c r="C398" s="15">
        <v>914</v>
      </c>
      <c r="D398" s="15">
        <v>25</v>
      </c>
      <c r="E398" s="15">
        <v>123</v>
      </c>
      <c r="F398" s="21">
        <f t="shared" si="48"/>
        <v>1062</v>
      </c>
      <c r="G398" s="18">
        <v>31</v>
      </c>
      <c r="H398" s="22">
        <f t="shared" si="49"/>
        <v>762.75</v>
      </c>
      <c r="I398" s="22">
        <f t="shared" si="50"/>
        <v>25.75</v>
      </c>
      <c r="J398" s="22">
        <f t="shared" si="51"/>
        <v>124.75</v>
      </c>
      <c r="K398" s="23">
        <f t="shared" si="52"/>
        <v>913.25</v>
      </c>
      <c r="L398" s="23">
        <f t="shared" si="46"/>
        <v>941.25</v>
      </c>
      <c r="M398" s="23">
        <f t="shared" si="45"/>
        <v>973</v>
      </c>
      <c r="N398" s="25">
        <f t="shared" si="47"/>
        <v>-4.3243243243243246E-2</v>
      </c>
      <c r="O398" s="25">
        <f t="shared" si="53"/>
        <v>0.12828685258964143</v>
      </c>
    </row>
    <row r="399" spans="1:15" x14ac:dyDescent="0.25">
      <c r="A399" s="15" t="s">
        <v>19</v>
      </c>
      <c r="B399" s="20">
        <v>37114</v>
      </c>
      <c r="C399" s="15">
        <v>899</v>
      </c>
      <c r="D399" s="15">
        <v>37</v>
      </c>
      <c r="E399" s="15">
        <v>118</v>
      </c>
      <c r="F399" s="21">
        <f t="shared" si="48"/>
        <v>1054</v>
      </c>
      <c r="G399" s="18">
        <v>32</v>
      </c>
      <c r="H399" s="22">
        <f t="shared" si="49"/>
        <v>783.25</v>
      </c>
      <c r="I399" s="22">
        <f t="shared" si="50"/>
        <v>24.75</v>
      </c>
      <c r="J399" s="22">
        <f t="shared" si="51"/>
        <v>121.75</v>
      </c>
      <c r="K399" s="23">
        <f t="shared" si="52"/>
        <v>929.75</v>
      </c>
      <c r="L399" s="23">
        <f t="shared" si="46"/>
        <v>976.08333333333337</v>
      </c>
      <c r="M399" s="23">
        <f t="shared" si="45"/>
        <v>889</v>
      </c>
      <c r="N399" s="25">
        <f t="shared" si="47"/>
        <v>0.49928876244665721</v>
      </c>
      <c r="O399" s="25">
        <f t="shared" si="53"/>
        <v>7.9825834542815638E-2</v>
      </c>
    </row>
    <row r="400" spans="1:15" x14ac:dyDescent="0.25">
      <c r="A400" s="15" t="s">
        <v>19</v>
      </c>
      <c r="B400" s="20">
        <v>37121</v>
      </c>
      <c r="C400" s="15">
        <v>690</v>
      </c>
      <c r="D400" s="15">
        <v>20</v>
      </c>
      <c r="E400" s="15">
        <v>90</v>
      </c>
      <c r="F400" s="21">
        <f t="shared" si="48"/>
        <v>800</v>
      </c>
      <c r="G400" s="18">
        <v>33</v>
      </c>
      <c r="H400" s="22">
        <f t="shared" si="49"/>
        <v>831</v>
      </c>
      <c r="I400" s="22">
        <f t="shared" si="50"/>
        <v>24.75</v>
      </c>
      <c r="J400" s="22">
        <f t="shared" si="51"/>
        <v>113.5</v>
      </c>
      <c r="K400" s="23">
        <f t="shared" si="52"/>
        <v>969.25</v>
      </c>
      <c r="L400" s="23">
        <f t="shared" si="46"/>
        <v>901.16666666666663</v>
      </c>
      <c r="M400" s="23">
        <f t="shared" si="45"/>
        <v>800.33333333333337</v>
      </c>
      <c r="N400" s="25">
        <f t="shared" si="47"/>
        <v>0.40845070422535212</v>
      </c>
      <c r="O400" s="25">
        <f t="shared" si="53"/>
        <v>-0.11226188274459031</v>
      </c>
    </row>
    <row r="401" spans="1:15" x14ac:dyDescent="0.25">
      <c r="A401" s="15" t="s">
        <v>19</v>
      </c>
      <c r="B401" s="20">
        <v>37128</v>
      </c>
      <c r="C401" s="15">
        <v>980</v>
      </c>
      <c r="D401" s="15">
        <v>8</v>
      </c>
      <c r="E401" s="15">
        <v>70</v>
      </c>
      <c r="F401" s="21">
        <f t="shared" si="48"/>
        <v>1058</v>
      </c>
      <c r="G401" s="18">
        <v>34</v>
      </c>
      <c r="H401" s="22">
        <f t="shared" si="49"/>
        <v>870.75</v>
      </c>
      <c r="I401" s="22">
        <f t="shared" si="50"/>
        <v>22.5</v>
      </c>
      <c r="J401" s="22">
        <f t="shared" si="51"/>
        <v>100.25</v>
      </c>
      <c r="K401" s="23">
        <f t="shared" si="52"/>
        <v>993.5</v>
      </c>
      <c r="L401" s="23">
        <f t="shared" si="46"/>
        <v>873.83333333333337</v>
      </c>
      <c r="M401" s="23">
        <f t="shared" si="45"/>
        <v>833</v>
      </c>
      <c r="N401" s="25">
        <f t="shared" si="47"/>
        <v>0.5581737849779087</v>
      </c>
      <c r="O401" s="25">
        <f t="shared" si="53"/>
        <v>0.21075720007629214</v>
      </c>
    </row>
    <row r="402" spans="1:15" x14ac:dyDescent="0.25">
      <c r="A402" s="15" t="s">
        <v>19</v>
      </c>
      <c r="B402" s="20">
        <v>37135</v>
      </c>
      <c r="C402" s="15">
        <v>734</v>
      </c>
      <c r="D402" s="15">
        <v>31</v>
      </c>
      <c r="E402" s="15">
        <v>75</v>
      </c>
      <c r="F402" s="21">
        <f t="shared" si="48"/>
        <v>840</v>
      </c>
      <c r="G402" s="18">
        <v>35</v>
      </c>
      <c r="H402" s="22">
        <f t="shared" si="49"/>
        <v>825.75</v>
      </c>
      <c r="I402" s="22">
        <f t="shared" si="50"/>
        <v>24</v>
      </c>
      <c r="J402" s="22">
        <f t="shared" si="51"/>
        <v>88.25</v>
      </c>
      <c r="K402" s="23">
        <f t="shared" si="52"/>
        <v>938</v>
      </c>
      <c r="L402" s="23">
        <f t="shared" si="46"/>
        <v>808</v>
      </c>
      <c r="M402" s="23">
        <f t="shared" si="45"/>
        <v>709.66666666666663</v>
      </c>
      <c r="N402" s="25">
        <f t="shared" si="47"/>
        <v>6.734434561626429E-2</v>
      </c>
      <c r="O402" s="25">
        <f t="shared" si="53"/>
        <v>3.9603960396039604E-2</v>
      </c>
    </row>
    <row r="403" spans="1:15" x14ac:dyDescent="0.25">
      <c r="A403" s="15" t="s">
        <v>24</v>
      </c>
      <c r="B403" s="20">
        <v>37142</v>
      </c>
      <c r="C403" s="15">
        <v>809</v>
      </c>
      <c r="D403" s="15">
        <v>32</v>
      </c>
      <c r="E403" s="15">
        <v>75</v>
      </c>
      <c r="F403" s="21">
        <f t="shared" si="48"/>
        <v>916</v>
      </c>
      <c r="G403" s="18">
        <v>36</v>
      </c>
      <c r="H403" s="22">
        <f t="shared" si="49"/>
        <v>803.25</v>
      </c>
      <c r="I403" s="22">
        <f t="shared" si="50"/>
        <v>22.75</v>
      </c>
      <c r="J403" s="22">
        <f t="shared" si="51"/>
        <v>77.5</v>
      </c>
      <c r="K403" s="23">
        <f t="shared" si="52"/>
        <v>903.5</v>
      </c>
      <c r="L403" s="23">
        <f t="shared" si="46"/>
        <v>793.66666666666663</v>
      </c>
      <c r="M403" s="23">
        <f t="shared" si="45"/>
        <v>831.66666666666663</v>
      </c>
      <c r="N403" s="25">
        <f t="shared" si="47"/>
        <v>-3.9832285115303984E-2</v>
      </c>
      <c r="O403" s="25">
        <f t="shared" si="53"/>
        <v>0.15413691726165482</v>
      </c>
    </row>
    <row r="404" spans="1:15" x14ac:dyDescent="0.25">
      <c r="A404" s="15" t="s">
        <v>24</v>
      </c>
      <c r="B404" s="20">
        <v>37149</v>
      </c>
      <c r="C404" s="15">
        <v>496</v>
      </c>
      <c r="D404" s="15">
        <v>37</v>
      </c>
      <c r="E404" s="15">
        <v>67</v>
      </c>
      <c r="F404" s="21">
        <f t="shared" si="48"/>
        <v>600</v>
      </c>
      <c r="G404" s="18">
        <v>37</v>
      </c>
      <c r="H404" s="22">
        <f t="shared" si="49"/>
        <v>754.75</v>
      </c>
      <c r="I404" s="22">
        <f t="shared" si="50"/>
        <v>27</v>
      </c>
      <c r="J404" s="22">
        <f t="shared" si="51"/>
        <v>71.75</v>
      </c>
      <c r="K404" s="23">
        <f t="shared" si="52"/>
        <v>853.5</v>
      </c>
      <c r="L404" s="23">
        <f t="shared" si="46"/>
        <v>747.25</v>
      </c>
      <c r="M404" s="23">
        <f t="shared" ref="M404:M467" si="54">AVERAGE(F248+F300+F352)/3</f>
        <v>614.66666666666663</v>
      </c>
      <c r="N404" s="25">
        <f t="shared" si="47"/>
        <v>-0.19354838709677419</v>
      </c>
      <c r="O404" s="25">
        <f t="shared" si="53"/>
        <v>-0.19705587152893944</v>
      </c>
    </row>
    <row r="405" spans="1:15" x14ac:dyDescent="0.25">
      <c r="A405" s="15" t="s">
        <v>24</v>
      </c>
      <c r="B405" s="20">
        <v>37156</v>
      </c>
      <c r="C405" s="15">
        <v>441</v>
      </c>
      <c r="D405" s="15">
        <v>25</v>
      </c>
      <c r="E405" s="15">
        <v>77</v>
      </c>
      <c r="F405" s="21">
        <f t="shared" si="48"/>
        <v>543</v>
      </c>
      <c r="G405" s="18">
        <v>38</v>
      </c>
      <c r="H405" s="22">
        <f t="shared" si="49"/>
        <v>620</v>
      </c>
      <c r="I405" s="22">
        <f t="shared" si="50"/>
        <v>31.25</v>
      </c>
      <c r="J405" s="22">
        <f t="shared" si="51"/>
        <v>73.5</v>
      </c>
      <c r="K405" s="23">
        <f t="shared" si="52"/>
        <v>724.75</v>
      </c>
      <c r="L405" s="23">
        <f t="shared" si="46"/>
        <v>692</v>
      </c>
      <c r="M405" s="23">
        <f t="shared" si="54"/>
        <v>612</v>
      </c>
      <c r="N405" s="25">
        <f t="shared" si="47"/>
        <v>-0.31612090680100757</v>
      </c>
      <c r="O405" s="25">
        <f t="shared" si="53"/>
        <v>-0.2153179190751445</v>
      </c>
    </row>
    <row r="406" spans="1:15" x14ac:dyDescent="0.25">
      <c r="A406" s="15" t="s">
        <v>24</v>
      </c>
      <c r="B406" s="20">
        <v>37163</v>
      </c>
      <c r="C406" s="15">
        <v>355</v>
      </c>
      <c r="D406" s="15">
        <v>30</v>
      </c>
      <c r="E406" s="15">
        <v>57</v>
      </c>
      <c r="F406" s="21">
        <f t="shared" si="48"/>
        <v>442</v>
      </c>
      <c r="G406" s="18">
        <v>39</v>
      </c>
      <c r="H406" s="22">
        <f t="shared" si="49"/>
        <v>525.25</v>
      </c>
      <c r="I406" s="22">
        <f t="shared" si="50"/>
        <v>31</v>
      </c>
      <c r="J406" s="22">
        <f t="shared" si="51"/>
        <v>69</v>
      </c>
      <c r="K406" s="23">
        <f t="shared" si="52"/>
        <v>625.25</v>
      </c>
      <c r="L406" s="23">
        <f t="shared" si="46"/>
        <v>684.08333333333337</v>
      </c>
      <c r="M406" s="23">
        <f t="shared" si="54"/>
        <v>678</v>
      </c>
      <c r="N406" s="25">
        <f t="shared" si="47"/>
        <v>-0.23529411764705882</v>
      </c>
      <c r="O406" s="25">
        <f t="shared" si="53"/>
        <v>-0.35387988792788405</v>
      </c>
    </row>
    <row r="407" spans="1:15" x14ac:dyDescent="0.25">
      <c r="A407" s="15" t="s">
        <v>20</v>
      </c>
      <c r="B407" s="20">
        <v>37170</v>
      </c>
      <c r="C407" s="15">
        <v>410</v>
      </c>
      <c r="D407" s="15">
        <v>44</v>
      </c>
      <c r="E407" s="15">
        <v>123</v>
      </c>
      <c r="F407" s="21">
        <f t="shared" si="48"/>
        <v>577</v>
      </c>
      <c r="G407" s="18">
        <v>40</v>
      </c>
      <c r="H407" s="22">
        <f t="shared" si="49"/>
        <v>425.5</v>
      </c>
      <c r="I407" s="22">
        <f t="shared" si="50"/>
        <v>34</v>
      </c>
      <c r="J407" s="22">
        <f t="shared" si="51"/>
        <v>81</v>
      </c>
      <c r="K407" s="23">
        <f t="shared" si="52"/>
        <v>540.5</v>
      </c>
      <c r="L407" s="23">
        <f t="shared" si="46"/>
        <v>665.66666666666663</v>
      </c>
      <c r="M407" s="23">
        <f t="shared" si="54"/>
        <v>758</v>
      </c>
      <c r="N407" s="25">
        <f t="shared" si="47"/>
        <v>-0.18039772727272727</v>
      </c>
      <c r="O407" s="25">
        <f t="shared" si="53"/>
        <v>-0.13319979969954929</v>
      </c>
    </row>
    <row r="408" spans="1:15" x14ac:dyDescent="0.25">
      <c r="A408" s="15" t="s">
        <v>20</v>
      </c>
      <c r="B408" s="20">
        <v>37177</v>
      </c>
      <c r="C408" s="15">
        <v>364</v>
      </c>
      <c r="D408" s="15">
        <v>27</v>
      </c>
      <c r="E408" s="15">
        <v>195</v>
      </c>
      <c r="F408" s="21">
        <f t="shared" si="48"/>
        <v>586</v>
      </c>
      <c r="G408" s="18">
        <v>41</v>
      </c>
      <c r="H408" s="22">
        <f t="shared" si="49"/>
        <v>392.5</v>
      </c>
      <c r="I408" s="22">
        <f t="shared" si="50"/>
        <v>31.5</v>
      </c>
      <c r="J408" s="22">
        <f t="shared" si="51"/>
        <v>113</v>
      </c>
      <c r="K408" s="23">
        <f t="shared" si="52"/>
        <v>537</v>
      </c>
      <c r="L408" s="23">
        <f t="shared" si="46"/>
        <v>715.25</v>
      </c>
      <c r="M408" s="23">
        <f t="shared" si="54"/>
        <v>813</v>
      </c>
      <c r="N408" s="25">
        <f t="shared" si="47"/>
        <v>-0.17580872011251758</v>
      </c>
      <c r="O408" s="25">
        <f t="shared" si="53"/>
        <v>-0.18070604683677036</v>
      </c>
    </row>
    <row r="409" spans="1:15" x14ac:dyDescent="0.25">
      <c r="A409" s="15" t="s">
        <v>20</v>
      </c>
      <c r="B409" s="20">
        <v>37184</v>
      </c>
      <c r="C409" s="15">
        <v>355</v>
      </c>
      <c r="D409" s="15">
        <v>12</v>
      </c>
      <c r="E409" s="15">
        <v>364</v>
      </c>
      <c r="F409" s="21">
        <f t="shared" si="48"/>
        <v>731</v>
      </c>
      <c r="G409" s="18">
        <v>42</v>
      </c>
      <c r="H409" s="22">
        <f t="shared" si="49"/>
        <v>371</v>
      </c>
      <c r="I409" s="22">
        <f t="shared" si="50"/>
        <v>28.25</v>
      </c>
      <c r="J409" s="22">
        <f t="shared" si="51"/>
        <v>184.75</v>
      </c>
      <c r="K409" s="23">
        <f t="shared" si="52"/>
        <v>584</v>
      </c>
      <c r="L409" s="23">
        <f t="shared" si="46"/>
        <v>765</v>
      </c>
      <c r="M409" s="23">
        <f t="shared" si="54"/>
        <v>811</v>
      </c>
      <c r="N409" s="25">
        <f t="shared" si="47"/>
        <v>-1.3495276653171391E-2</v>
      </c>
      <c r="O409" s="25">
        <f t="shared" si="53"/>
        <v>-4.4444444444444446E-2</v>
      </c>
    </row>
    <row r="410" spans="1:15" x14ac:dyDescent="0.25">
      <c r="A410" s="15" t="s">
        <v>20</v>
      </c>
      <c r="B410" s="20">
        <v>37191</v>
      </c>
      <c r="C410" s="15">
        <v>448</v>
      </c>
      <c r="D410" s="15">
        <v>18</v>
      </c>
      <c r="E410" s="15">
        <v>246</v>
      </c>
      <c r="F410" s="21">
        <f t="shared" si="48"/>
        <v>712</v>
      </c>
      <c r="G410" s="18">
        <v>43</v>
      </c>
      <c r="H410" s="22">
        <f t="shared" si="49"/>
        <v>394.25</v>
      </c>
      <c r="I410" s="22">
        <f t="shared" si="50"/>
        <v>25.25</v>
      </c>
      <c r="J410" s="22">
        <f t="shared" si="51"/>
        <v>232</v>
      </c>
      <c r="K410" s="23">
        <f t="shared" si="52"/>
        <v>651.5</v>
      </c>
      <c r="L410" s="23">
        <f t="shared" si="46"/>
        <v>841.58333333333337</v>
      </c>
      <c r="M410" s="23">
        <f t="shared" si="54"/>
        <v>984.33333333333337</v>
      </c>
      <c r="N410" s="25">
        <f t="shared" si="47"/>
        <v>-0.11</v>
      </c>
      <c r="O410" s="25">
        <f t="shared" si="53"/>
        <v>-0.15397564115258941</v>
      </c>
    </row>
    <row r="411" spans="1:15" x14ac:dyDescent="0.25">
      <c r="A411" s="15" t="s">
        <v>26</v>
      </c>
      <c r="B411" s="20">
        <v>37198</v>
      </c>
      <c r="C411" s="15">
        <v>493</v>
      </c>
      <c r="D411" s="15">
        <v>16</v>
      </c>
      <c r="E411" s="15">
        <v>228</v>
      </c>
      <c r="F411" s="21">
        <f t="shared" si="48"/>
        <v>737</v>
      </c>
      <c r="G411" s="18">
        <v>44</v>
      </c>
      <c r="H411" s="22">
        <f t="shared" si="49"/>
        <v>415</v>
      </c>
      <c r="I411" s="22">
        <f t="shared" si="50"/>
        <v>18.25</v>
      </c>
      <c r="J411" s="22">
        <f t="shared" si="51"/>
        <v>258.25</v>
      </c>
      <c r="K411" s="23">
        <f t="shared" si="52"/>
        <v>691.5</v>
      </c>
      <c r="L411" s="23">
        <f t="shared" si="46"/>
        <v>885.33333333333337</v>
      </c>
      <c r="M411" s="23">
        <f t="shared" si="54"/>
        <v>933</v>
      </c>
      <c r="N411" s="25">
        <f t="shared" si="47"/>
        <v>-0.2753195673549656</v>
      </c>
      <c r="O411" s="25">
        <f t="shared" si="53"/>
        <v>-0.1675451807228916</v>
      </c>
    </row>
    <row r="412" spans="1:15" x14ac:dyDescent="0.25">
      <c r="A412" s="15" t="s">
        <v>26</v>
      </c>
      <c r="B412" s="20">
        <v>37205</v>
      </c>
      <c r="C412" s="15">
        <v>364</v>
      </c>
      <c r="D412" s="15">
        <v>25</v>
      </c>
      <c r="E412" s="15">
        <v>399</v>
      </c>
      <c r="F412" s="21">
        <f t="shared" si="48"/>
        <v>788</v>
      </c>
      <c r="G412" s="18">
        <v>45</v>
      </c>
      <c r="H412" s="22">
        <f t="shared" si="49"/>
        <v>415</v>
      </c>
      <c r="I412" s="22">
        <f t="shared" si="50"/>
        <v>17.75</v>
      </c>
      <c r="J412" s="22">
        <f t="shared" si="51"/>
        <v>309.25</v>
      </c>
      <c r="K412" s="23">
        <f t="shared" si="52"/>
        <v>742</v>
      </c>
      <c r="L412" s="23">
        <f t="shared" si="46"/>
        <v>942.58333333333337</v>
      </c>
      <c r="M412" s="23">
        <f t="shared" si="54"/>
        <v>1042</v>
      </c>
      <c r="N412" s="25">
        <f t="shared" si="47"/>
        <v>-0.2016210739614995</v>
      </c>
      <c r="O412" s="25">
        <f t="shared" si="53"/>
        <v>-0.16399964636194858</v>
      </c>
    </row>
    <row r="413" spans="1:15" x14ac:dyDescent="0.25">
      <c r="A413" s="15" t="s">
        <v>26</v>
      </c>
      <c r="B413" s="20">
        <v>37212</v>
      </c>
      <c r="C413" s="15">
        <v>570</v>
      </c>
      <c r="D413" s="15">
        <v>15</v>
      </c>
      <c r="E413" s="15">
        <v>150</v>
      </c>
      <c r="F413" s="21">
        <f t="shared" si="48"/>
        <v>735</v>
      </c>
      <c r="G413" s="18">
        <v>46</v>
      </c>
      <c r="H413" s="22">
        <f t="shared" si="49"/>
        <v>468.75</v>
      </c>
      <c r="I413" s="22">
        <f t="shared" si="50"/>
        <v>18.5</v>
      </c>
      <c r="J413" s="22">
        <f t="shared" si="51"/>
        <v>255.75</v>
      </c>
      <c r="K413" s="23">
        <f t="shared" si="52"/>
        <v>743</v>
      </c>
      <c r="L413" s="23">
        <f t="shared" si="46"/>
        <v>966.16666666666663</v>
      </c>
      <c r="M413" s="23">
        <f t="shared" si="54"/>
        <v>905.33333333333337</v>
      </c>
      <c r="N413" s="25">
        <f t="shared" si="47"/>
        <v>-6.607369758576874E-2</v>
      </c>
      <c r="O413" s="25">
        <f t="shared" si="53"/>
        <v>-0.23926168707952386</v>
      </c>
    </row>
    <row r="414" spans="1:15" x14ac:dyDescent="0.25">
      <c r="A414" s="15" t="s">
        <v>26</v>
      </c>
      <c r="B414" s="20">
        <v>37219</v>
      </c>
      <c r="C414" s="15">
        <v>731</v>
      </c>
      <c r="D414" s="15">
        <v>31</v>
      </c>
      <c r="E414" s="15">
        <v>163</v>
      </c>
      <c r="F414" s="21">
        <f t="shared" si="48"/>
        <v>925</v>
      </c>
      <c r="G414" s="18">
        <v>47</v>
      </c>
      <c r="H414" s="22">
        <f t="shared" si="49"/>
        <v>539.5</v>
      </c>
      <c r="I414" s="22">
        <f t="shared" si="50"/>
        <v>21.75</v>
      </c>
      <c r="J414" s="22">
        <f t="shared" si="51"/>
        <v>235</v>
      </c>
      <c r="K414" s="23">
        <f t="shared" si="52"/>
        <v>796.25</v>
      </c>
      <c r="L414" s="23">
        <f t="shared" si="46"/>
        <v>969</v>
      </c>
      <c r="M414" s="23">
        <f t="shared" si="54"/>
        <v>995.66666666666663</v>
      </c>
      <c r="N414" s="25">
        <f t="shared" si="47"/>
        <v>7.8088578088578095E-2</v>
      </c>
      <c r="O414" s="25">
        <f t="shared" si="53"/>
        <v>-4.540763673890609E-2</v>
      </c>
    </row>
    <row r="415" spans="1:15" x14ac:dyDescent="0.25">
      <c r="A415" s="15" t="s">
        <v>26</v>
      </c>
      <c r="B415" s="20">
        <v>37226</v>
      </c>
      <c r="C415" s="15">
        <v>769</v>
      </c>
      <c r="D415" s="15">
        <v>28</v>
      </c>
      <c r="E415" s="15">
        <v>305</v>
      </c>
      <c r="F415" s="21">
        <f t="shared" si="48"/>
        <v>1102</v>
      </c>
      <c r="G415" s="18">
        <v>48</v>
      </c>
      <c r="H415" s="22">
        <f t="shared" si="49"/>
        <v>608.5</v>
      </c>
      <c r="I415" s="22">
        <f t="shared" si="50"/>
        <v>24.75</v>
      </c>
      <c r="J415" s="22">
        <f t="shared" si="51"/>
        <v>254.25</v>
      </c>
      <c r="K415" s="23">
        <f t="shared" si="52"/>
        <v>887.5</v>
      </c>
      <c r="L415" s="23">
        <f t="shared" si="46"/>
        <v>1002.75</v>
      </c>
      <c r="M415" s="23">
        <f t="shared" si="54"/>
        <v>1068</v>
      </c>
      <c r="N415" s="25">
        <f t="shared" si="47"/>
        <v>-7.2072072072072073E-3</v>
      </c>
      <c r="O415" s="25">
        <f t="shared" si="53"/>
        <v>9.8977811019695841E-2</v>
      </c>
    </row>
    <row r="416" spans="1:15" x14ac:dyDescent="0.25">
      <c r="A416" s="15" t="s">
        <v>15</v>
      </c>
      <c r="B416" s="20">
        <v>37233</v>
      </c>
      <c r="C416" s="15">
        <v>644</v>
      </c>
      <c r="D416" s="15">
        <v>22</v>
      </c>
      <c r="E416" s="15">
        <v>359</v>
      </c>
      <c r="F416" s="21">
        <f t="shared" si="48"/>
        <v>1025</v>
      </c>
      <c r="G416" s="18">
        <v>49</v>
      </c>
      <c r="H416" s="22">
        <f t="shared" si="49"/>
        <v>678.5</v>
      </c>
      <c r="I416" s="22">
        <f t="shared" si="50"/>
        <v>24</v>
      </c>
      <c r="J416" s="22">
        <f t="shared" si="51"/>
        <v>244.25</v>
      </c>
      <c r="K416" s="23">
        <f t="shared" si="52"/>
        <v>946.75</v>
      </c>
      <c r="L416" s="23">
        <f t="shared" si="46"/>
        <v>1032.75</v>
      </c>
      <c r="M416" s="23">
        <f t="shared" si="54"/>
        <v>1162</v>
      </c>
      <c r="N416" s="25">
        <f t="shared" si="47"/>
        <v>8.236536430834214E-2</v>
      </c>
      <c r="O416" s="25">
        <f t="shared" si="53"/>
        <v>-7.5042362624061967E-3</v>
      </c>
    </row>
    <row r="417" spans="1:15" x14ac:dyDescent="0.25">
      <c r="A417" s="15" t="s">
        <v>15</v>
      </c>
      <c r="B417" s="20">
        <v>37240</v>
      </c>
      <c r="C417" s="15">
        <v>554</v>
      </c>
      <c r="D417" s="15">
        <v>15</v>
      </c>
      <c r="E417" s="15">
        <v>352</v>
      </c>
      <c r="F417" s="21">
        <f t="shared" si="48"/>
        <v>921</v>
      </c>
      <c r="G417" s="18">
        <v>50</v>
      </c>
      <c r="H417" s="22">
        <f t="shared" si="49"/>
        <v>674.5</v>
      </c>
      <c r="I417" s="22">
        <f t="shared" si="50"/>
        <v>24</v>
      </c>
      <c r="J417" s="22">
        <f t="shared" si="51"/>
        <v>294.75</v>
      </c>
      <c r="K417" s="23">
        <f t="shared" si="52"/>
        <v>993.25</v>
      </c>
      <c r="L417" s="23">
        <f t="shared" si="46"/>
        <v>976</v>
      </c>
      <c r="M417" s="23">
        <f t="shared" si="54"/>
        <v>678.33333333333337</v>
      </c>
      <c r="N417" s="25">
        <f t="shared" si="47"/>
        <v>0.67150635208711429</v>
      </c>
      <c r="O417" s="25">
        <f t="shared" si="53"/>
        <v>-5.6352459016393443E-2</v>
      </c>
    </row>
    <row r="418" spans="1:15" x14ac:dyDescent="0.25">
      <c r="A418" s="15" t="s">
        <v>15</v>
      </c>
      <c r="B418" s="20">
        <v>37247</v>
      </c>
      <c r="C418" s="15">
        <v>682</v>
      </c>
      <c r="D418" s="15">
        <v>26</v>
      </c>
      <c r="E418" s="15">
        <v>246</v>
      </c>
      <c r="F418" s="21">
        <f t="shared" si="48"/>
        <v>954</v>
      </c>
      <c r="G418" s="18">
        <v>51</v>
      </c>
      <c r="H418" s="22">
        <f t="shared" si="49"/>
        <v>662.25</v>
      </c>
      <c r="I418" s="22">
        <f t="shared" si="50"/>
        <v>22.75</v>
      </c>
      <c r="J418" s="22">
        <f t="shared" si="51"/>
        <v>315.5</v>
      </c>
      <c r="K418" s="23">
        <f t="shared" si="52"/>
        <v>1000.5</v>
      </c>
      <c r="L418" s="23">
        <f t="shared" si="46"/>
        <v>881.66666666666663</v>
      </c>
      <c r="M418" s="23">
        <f t="shared" si="54"/>
        <v>618.33333333333337</v>
      </c>
      <c r="N418" s="25">
        <f t="shared" si="47"/>
        <v>1.97196261682243</v>
      </c>
      <c r="O418" s="25">
        <f t="shared" si="53"/>
        <v>8.2041587901701366E-2</v>
      </c>
    </row>
    <row r="419" spans="1:15" x14ac:dyDescent="0.25">
      <c r="A419" s="15" t="s">
        <v>15</v>
      </c>
      <c r="B419" s="20">
        <v>37254</v>
      </c>
      <c r="C419" s="15">
        <v>361</v>
      </c>
      <c r="D419" s="15">
        <v>14</v>
      </c>
      <c r="E419" s="15">
        <v>290</v>
      </c>
      <c r="F419" s="21">
        <f t="shared" si="48"/>
        <v>665</v>
      </c>
      <c r="G419" s="18">
        <v>52</v>
      </c>
      <c r="H419" s="22">
        <f t="shared" si="49"/>
        <v>560.25</v>
      </c>
      <c r="I419" s="22">
        <f t="shared" si="50"/>
        <v>19.25</v>
      </c>
      <c r="J419" s="22">
        <f t="shared" si="51"/>
        <v>311.75</v>
      </c>
      <c r="K419" s="23">
        <f t="shared" si="52"/>
        <v>891.25</v>
      </c>
      <c r="L419" s="23">
        <f t="shared" si="46"/>
        <v>726.83333333333337</v>
      </c>
      <c r="M419" s="23">
        <f t="shared" si="54"/>
        <v>448.66666666666669</v>
      </c>
      <c r="N419" s="25">
        <f t="shared" si="47"/>
        <v>1.6388888888888888</v>
      </c>
      <c r="O419" s="25">
        <f t="shared" si="53"/>
        <v>-8.5072231139646917E-2</v>
      </c>
    </row>
    <row r="420" spans="1:15" x14ac:dyDescent="0.25">
      <c r="A420" s="15" t="s">
        <v>16</v>
      </c>
      <c r="B420" s="20">
        <v>37261</v>
      </c>
      <c r="C420" s="15">
        <v>245</v>
      </c>
      <c r="D420" s="15">
        <v>5</v>
      </c>
      <c r="E420" s="15">
        <v>168</v>
      </c>
      <c r="F420" s="21">
        <f t="shared" si="48"/>
        <v>418</v>
      </c>
      <c r="G420" s="18">
        <v>1</v>
      </c>
      <c r="H420" s="22">
        <f t="shared" si="49"/>
        <v>460.5</v>
      </c>
      <c r="I420" s="22">
        <f t="shared" si="50"/>
        <v>15</v>
      </c>
      <c r="J420" s="22">
        <f t="shared" si="51"/>
        <v>264</v>
      </c>
      <c r="K420" s="23">
        <f t="shared" si="52"/>
        <v>739.5</v>
      </c>
      <c r="L420" s="23">
        <f t="shared" si="46"/>
        <v>514.33333333333337</v>
      </c>
      <c r="M420" s="23">
        <f t="shared" si="54"/>
        <v>312</v>
      </c>
      <c r="N420" s="25">
        <f t="shared" si="47"/>
        <v>1.5029940119760479</v>
      </c>
      <c r="O420" s="25">
        <f t="shared" si="53"/>
        <v>-0.18729747245625411</v>
      </c>
    </row>
    <row r="421" spans="1:15" x14ac:dyDescent="0.25">
      <c r="A421" s="15" t="s">
        <v>16</v>
      </c>
      <c r="B421" s="20">
        <v>37268</v>
      </c>
      <c r="C421" s="15">
        <v>384</v>
      </c>
      <c r="D421" s="15">
        <v>11</v>
      </c>
      <c r="E421" s="15">
        <v>154</v>
      </c>
      <c r="F421" s="21">
        <f t="shared" si="48"/>
        <v>549</v>
      </c>
      <c r="G421" s="18">
        <v>2</v>
      </c>
      <c r="H421" s="22">
        <f t="shared" si="49"/>
        <v>418</v>
      </c>
      <c r="I421" s="22">
        <f t="shared" si="50"/>
        <v>14</v>
      </c>
      <c r="J421" s="22">
        <f t="shared" si="51"/>
        <v>214.5</v>
      </c>
      <c r="K421" s="23">
        <f t="shared" si="52"/>
        <v>646.5</v>
      </c>
      <c r="L421" s="23">
        <f t="shared" si="46"/>
        <v>441.66666666666669</v>
      </c>
      <c r="M421" s="23">
        <f t="shared" si="54"/>
        <v>387.66666666666669</v>
      </c>
      <c r="N421" s="25">
        <f t="shared" si="47"/>
        <v>1.5068493150684932</v>
      </c>
      <c r="O421" s="25">
        <f t="shared" si="53"/>
        <v>0.24301886792452826</v>
      </c>
    </row>
    <row r="422" spans="1:15" x14ac:dyDescent="0.25">
      <c r="A422" s="15" t="s">
        <v>16</v>
      </c>
      <c r="B422" s="20">
        <v>37275</v>
      </c>
      <c r="C422" s="15">
        <v>435</v>
      </c>
      <c r="D422" s="15">
        <v>15</v>
      </c>
      <c r="E422" s="15">
        <v>143</v>
      </c>
      <c r="F422" s="21">
        <f t="shared" si="48"/>
        <v>593</v>
      </c>
      <c r="G422" s="18">
        <v>3</v>
      </c>
      <c r="H422" s="22">
        <f t="shared" si="49"/>
        <v>356.25</v>
      </c>
      <c r="I422" s="22">
        <f t="shared" si="50"/>
        <v>11.25</v>
      </c>
      <c r="J422" s="22">
        <f t="shared" si="51"/>
        <v>188.75</v>
      </c>
      <c r="K422" s="23">
        <f t="shared" si="52"/>
        <v>556.25</v>
      </c>
      <c r="L422" s="23">
        <f t="shared" si="46"/>
        <v>377.91666666666669</v>
      </c>
      <c r="M422" s="23">
        <f t="shared" si="54"/>
        <v>363.33333333333331</v>
      </c>
      <c r="N422" s="25">
        <f t="shared" si="47"/>
        <v>1.3254901960784313</v>
      </c>
      <c r="O422" s="25">
        <f t="shared" si="53"/>
        <v>0.56912899669239247</v>
      </c>
    </row>
    <row r="423" spans="1:15" x14ac:dyDescent="0.25">
      <c r="A423" s="15" t="s">
        <v>16</v>
      </c>
      <c r="B423" s="20">
        <v>37282</v>
      </c>
      <c r="C423" s="15">
        <v>433</v>
      </c>
      <c r="D423" s="15">
        <v>6</v>
      </c>
      <c r="E423" s="15">
        <v>216</v>
      </c>
      <c r="F423" s="21">
        <f t="shared" si="48"/>
        <v>655</v>
      </c>
      <c r="G423" s="18">
        <v>4</v>
      </c>
      <c r="H423" s="22">
        <f t="shared" si="49"/>
        <v>374.25</v>
      </c>
      <c r="I423" s="22">
        <f t="shared" si="50"/>
        <v>9.25</v>
      </c>
      <c r="J423" s="22">
        <f t="shared" si="51"/>
        <v>170.25</v>
      </c>
      <c r="K423" s="23">
        <f t="shared" si="52"/>
        <v>553.75</v>
      </c>
      <c r="L423" s="23">
        <f t="shared" si="46"/>
        <v>396.33333333333331</v>
      </c>
      <c r="M423" s="23">
        <f t="shared" si="54"/>
        <v>522.33333333333337</v>
      </c>
      <c r="N423" s="25">
        <f t="shared" si="47"/>
        <v>0.59367396593673971</v>
      </c>
      <c r="O423" s="25">
        <f t="shared" si="53"/>
        <v>0.65264928511354092</v>
      </c>
    </row>
    <row r="424" spans="1:15" x14ac:dyDescent="0.25">
      <c r="A424" s="15" t="s">
        <v>23</v>
      </c>
      <c r="B424" s="20">
        <v>37289</v>
      </c>
      <c r="C424" s="15">
        <v>315</v>
      </c>
      <c r="D424" s="15">
        <v>2</v>
      </c>
      <c r="E424" s="15">
        <v>154</v>
      </c>
      <c r="F424" s="21">
        <f t="shared" si="48"/>
        <v>471</v>
      </c>
      <c r="G424" s="18">
        <v>5</v>
      </c>
      <c r="H424" s="22">
        <f t="shared" si="49"/>
        <v>391.75</v>
      </c>
      <c r="I424" s="22">
        <f t="shared" si="50"/>
        <v>8.5</v>
      </c>
      <c r="J424" s="22">
        <f t="shared" si="51"/>
        <v>166.75</v>
      </c>
      <c r="K424" s="23">
        <f t="shared" si="52"/>
        <v>567</v>
      </c>
      <c r="L424" s="23">
        <f t="shared" si="46"/>
        <v>485.66666666666669</v>
      </c>
      <c r="M424" s="23">
        <f t="shared" si="54"/>
        <v>669.33333333333337</v>
      </c>
      <c r="N424" s="25">
        <f t="shared" si="47"/>
        <v>-0.21105527638190955</v>
      </c>
      <c r="O424" s="25">
        <f t="shared" si="53"/>
        <v>-3.0199039121482536E-2</v>
      </c>
    </row>
    <row r="425" spans="1:15" x14ac:dyDescent="0.25">
      <c r="A425" s="15" t="s">
        <v>23</v>
      </c>
      <c r="B425" s="20">
        <v>37296</v>
      </c>
      <c r="C425" s="15">
        <v>449</v>
      </c>
      <c r="D425" s="15">
        <v>3</v>
      </c>
      <c r="E425" s="15">
        <v>144</v>
      </c>
      <c r="F425" s="21">
        <f t="shared" si="48"/>
        <v>596</v>
      </c>
      <c r="G425" s="18">
        <v>6</v>
      </c>
      <c r="H425" s="22">
        <f t="shared" si="49"/>
        <v>408</v>
      </c>
      <c r="I425" s="22">
        <f t="shared" si="50"/>
        <v>6.5</v>
      </c>
      <c r="J425" s="22">
        <f t="shared" si="51"/>
        <v>164.25</v>
      </c>
      <c r="K425" s="23">
        <f t="shared" si="52"/>
        <v>578.75</v>
      </c>
      <c r="L425" s="23">
        <f t="shared" si="46"/>
        <v>543.75</v>
      </c>
      <c r="M425" s="23">
        <f t="shared" si="54"/>
        <v>620</v>
      </c>
      <c r="N425" s="25">
        <f t="shared" si="47"/>
        <v>-2.1346469622331693E-2</v>
      </c>
      <c r="O425" s="25">
        <f t="shared" si="53"/>
        <v>9.6091954022988507E-2</v>
      </c>
    </row>
    <row r="426" spans="1:15" x14ac:dyDescent="0.25">
      <c r="A426" s="15" t="s">
        <v>23</v>
      </c>
      <c r="B426" s="20">
        <v>37303</v>
      </c>
      <c r="C426" s="15">
        <v>470</v>
      </c>
      <c r="D426" s="15">
        <v>3</v>
      </c>
      <c r="E426" s="15">
        <v>142</v>
      </c>
      <c r="F426" s="21">
        <f t="shared" si="48"/>
        <v>615</v>
      </c>
      <c r="G426" s="18">
        <v>7</v>
      </c>
      <c r="H426" s="22">
        <f t="shared" si="49"/>
        <v>416.75</v>
      </c>
      <c r="I426" s="22">
        <f t="shared" si="50"/>
        <v>3.5</v>
      </c>
      <c r="J426" s="22">
        <f t="shared" si="51"/>
        <v>164</v>
      </c>
      <c r="K426" s="23">
        <f t="shared" si="52"/>
        <v>584.25</v>
      </c>
      <c r="L426" s="23">
        <f t="shared" si="46"/>
        <v>605.33333333333337</v>
      </c>
      <c r="M426" s="23">
        <f t="shared" si="54"/>
        <v>609.66666666666663</v>
      </c>
      <c r="N426" s="25">
        <f t="shared" si="47"/>
        <v>6.0344827586206899E-2</v>
      </c>
      <c r="O426" s="25">
        <f t="shared" si="53"/>
        <v>1.596916299559465E-2</v>
      </c>
    </row>
    <row r="427" spans="1:15" x14ac:dyDescent="0.25">
      <c r="A427" s="15" t="s">
        <v>23</v>
      </c>
      <c r="B427" s="20">
        <v>37310</v>
      </c>
      <c r="C427" s="15">
        <v>451</v>
      </c>
      <c r="D427" s="15">
        <v>6</v>
      </c>
      <c r="E427" s="15">
        <v>90</v>
      </c>
      <c r="F427" s="21">
        <f t="shared" si="48"/>
        <v>547</v>
      </c>
      <c r="G427" s="18">
        <v>8</v>
      </c>
      <c r="H427" s="22">
        <f t="shared" si="49"/>
        <v>421.25</v>
      </c>
      <c r="I427" s="22">
        <f t="shared" si="50"/>
        <v>3.5</v>
      </c>
      <c r="J427" s="22">
        <f t="shared" si="51"/>
        <v>132.5</v>
      </c>
      <c r="K427" s="23">
        <f t="shared" si="52"/>
        <v>557.25</v>
      </c>
      <c r="L427" s="23">
        <f t="shared" si="46"/>
        <v>663.16666666666663</v>
      </c>
      <c r="M427" s="23">
        <f t="shared" si="54"/>
        <v>753.66666666666663</v>
      </c>
      <c r="N427" s="25">
        <f t="shared" si="47"/>
        <v>-6.9727891156462579E-2</v>
      </c>
      <c r="O427" s="25">
        <f t="shared" si="53"/>
        <v>-0.17516964061321935</v>
      </c>
    </row>
    <row r="428" spans="1:15" x14ac:dyDescent="0.25">
      <c r="A428" s="15" t="s">
        <v>27</v>
      </c>
      <c r="B428" s="20">
        <v>37317</v>
      </c>
      <c r="C428" s="15">
        <v>501</v>
      </c>
      <c r="D428" s="15">
        <v>3</v>
      </c>
      <c r="E428" s="15">
        <v>67</v>
      </c>
      <c r="F428" s="21">
        <f t="shared" si="48"/>
        <v>571</v>
      </c>
      <c r="G428" s="18">
        <v>9</v>
      </c>
      <c r="H428" s="22">
        <f t="shared" si="49"/>
        <v>467.75</v>
      </c>
      <c r="I428" s="22">
        <f t="shared" si="50"/>
        <v>3.75</v>
      </c>
      <c r="J428" s="22">
        <f t="shared" si="51"/>
        <v>110.75</v>
      </c>
      <c r="K428" s="23">
        <f t="shared" si="52"/>
        <v>582.25</v>
      </c>
      <c r="L428" s="23">
        <f t="shared" si="46"/>
        <v>625.66666666666663</v>
      </c>
      <c r="M428" s="23">
        <f t="shared" si="54"/>
        <v>519.33333333333337</v>
      </c>
      <c r="N428" s="25">
        <f t="shared" si="47"/>
        <v>-5.306799336650083E-2</v>
      </c>
      <c r="O428" s="25">
        <f t="shared" si="53"/>
        <v>-8.7373468300479429E-2</v>
      </c>
    </row>
    <row r="429" spans="1:15" x14ac:dyDescent="0.25">
      <c r="A429" s="15" t="s">
        <v>27</v>
      </c>
      <c r="B429" s="20">
        <v>37324</v>
      </c>
      <c r="C429" s="15">
        <v>414</v>
      </c>
      <c r="D429" s="15">
        <v>6</v>
      </c>
      <c r="E429" s="15">
        <v>84</v>
      </c>
      <c r="F429" s="21">
        <f t="shared" si="48"/>
        <v>504</v>
      </c>
      <c r="G429" s="18">
        <v>10</v>
      </c>
      <c r="H429" s="22">
        <f t="shared" si="49"/>
        <v>459</v>
      </c>
      <c r="I429" s="22">
        <f t="shared" si="50"/>
        <v>4.5</v>
      </c>
      <c r="J429" s="22">
        <f t="shared" si="51"/>
        <v>95.75</v>
      </c>
      <c r="K429" s="23">
        <f t="shared" si="52"/>
        <v>559.25</v>
      </c>
      <c r="L429" s="23">
        <f t="shared" si="46"/>
        <v>622.83333333333337</v>
      </c>
      <c r="M429" s="23">
        <f t="shared" si="54"/>
        <v>608.66666666666663</v>
      </c>
      <c r="N429" s="25">
        <f t="shared" si="47"/>
        <v>-0.26956521739130435</v>
      </c>
      <c r="O429" s="25">
        <f t="shared" si="53"/>
        <v>-0.19079475515119085</v>
      </c>
    </row>
    <row r="430" spans="1:15" x14ac:dyDescent="0.25">
      <c r="A430" s="15" t="s">
        <v>27</v>
      </c>
      <c r="B430" s="20">
        <v>37331</v>
      </c>
      <c r="C430" s="15">
        <v>409</v>
      </c>
      <c r="D430" s="15">
        <v>9</v>
      </c>
      <c r="E430" s="15">
        <v>162</v>
      </c>
      <c r="F430" s="21">
        <f t="shared" si="48"/>
        <v>580</v>
      </c>
      <c r="G430" s="18">
        <v>11</v>
      </c>
      <c r="H430" s="22">
        <f t="shared" si="49"/>
        <v>443.75</v>
      </c>
      <c r="I430" s="22">
        <f t="shared" si="50"/>
        <v>6</v>
      </c>
      <c r="J430" s="22">
        <f t="shared" si="51"/>
        <v>100.75</v>
      </c>
      <c r="K430" s="23">
        <f t="shared" si="52"/>
        <v>550.5</v>
      </c>
      <c r="L430" s="23">
        <f t="shared" si="46"/>
        <v>665.41666666666663</v>
      </c>
      <c r="M430" s="23">
        <f t="shared" si="54"/>
        <v>780</v>
      </c>
      <c r="N430" s="25">
        <f t="shared" si="47"/>
        <v>-8.6614173228346455E-2</v>
      </c>
      <c r="O430" s="25">
        <f t="shared" si="53"/>
        <v>-0.1283656856606136</v>
      </c>
    </row>
    <row r="431" spans="1:15" x14ac:dyDescent="0.25">
      <c r="A431" s="15" t="s">
        <v>27</v>
      </c>
      <c r="B431" s="20">
        <v>37338</v>
      </c>
      <c r="C431" s="15">
        <v>615</v>
      </c>
      <c r="D431" s="15">
        <v>5</v>
      </c>
      <c r="E431" s="15">
        <v>166</v>
      </c>
      <c r="F431" s="21">
        <f t="shared" si="48"/>
        <v>786</v>
      </c>
      <c r="G431" s="18">
        <v>12</v>
      </c>
      <c r="H431" s="22">
        <f t="shared" si="49"/>
        <v>484.75</v>
      </c>
      <c r="I431" s="22">
        <f t="shared" si="50"/>
        <v>5.75</v>
      </c>
      <c r="J431" s="22">
        <f t="shared" si="51"/>
        <v>119.75</v>
      </c>
      <c r="K431" s="23">
        <f t="shared" si="52"/>
        <v>610.25</v>
      </c>
      <c r="L431" s="23">
        <f t="shared" si="46"/>
        <v>664.66666666666663</v>
      </c>
      <c r="M431" s="23">
        <f t="shared" si="54"/>
        <v>750.66666666666663</v>
      </c>
      <c r="N431" s="25">
        <f t="shared" si="47"/>
        <v>0.3458904109589041</v>
      </c>
      <c r="O431" s="25">
        <f t="shared" si="53"/>
        <v>0.18254764292878642</v>
      </c>
    </row>
    <row r="432" spans="1:15" x14ac:dyDescent="0.25">
      <c r="A432" s="15" t="s">
        <v>27</v>
      </c>
      <c r="B432" s="20">
        <v>37345</v>
      </c>
      <c r="C432" s="15">
        <v>747</v>
      </c>
      <c r="D432" s="15">
        <v>17</v>
      </c>
      <c r="E432" s="15">
        <v>206</v>
      </c>
      <c r="F432" s="21">
        <f t="shared" si="48"/>
        <v>970</v>
      </c>
      <c r="G432" s="18">
        <v>13</v>
      </c>
      <c r="H432" s="22">
        <f t="shared" si="49"/>
        <v>546.25</v>
      </c>
      <c r="I432" s="22">
        <f t="shared" si="50"/>
        <v>9.25</v>
      </c>
      <c r="J432" s="22">
        <f t="shared" si="51"/>
        <v>154.5</v>
      </c>
      <c r="K432" s="23">
        <f t="shared" si="52"/>
        <v>710</v>
      </c>
      <c r="L432" s="23">
        <f t="shared" ref="L432:L495" si="55">AVERAGE(K276+K328+K380)/3</f>
        <v>705.16666666666663</v>
      </c>
      <c r="M432" s="23">
        <f t="shared" si="54"/>
        <v>681.33333333333337</v>
      </c>
      <c r="N432" s="25">
        <f t="shared" si="47"/>
        <v>0.94</v>
      </c>
      <c r="O432" s="25">
        <f t="shared" si="53"/>
        <v>0.37556133301819911</v>
      </c>
    </row>
    <row r="433" spans="1:15" x14ac:dyDescent="0.25">
      <c r="A433" s="15" t="s">
        <v>14</v>
      </c>
      <c r="B433" s="20">
        <v>37352</v>
      </c>
      <c r="C433" s="15">
        <v>695</v>
      </c>
      <c r="D433" s="15">
        <v>42</v>
      </c>
      <c r="E433" s="15">
        <v>120</v>
      </c>
      <c r="F433" s="21">
        <f t="shared" si="48"/>
        <v>857</v>
      </c>
      <c r="G433" s="18">
        <v>14</v>
      </c>
      <c r="H433" s="22">
        <f t="shared" si="49"/>
        <v>616.5</v>
      </c>
      <c r="I433" s="22">
        <f t="shared" si="50"/>
        <v>18.25</v>
      </c>
      <c r="J433" s="22">
        <f t="shared" si="51"/>
        <v>163.5</v>
      </c>
      <c r="K433" s="23">
        <f t="shared" si="52"/>
        <v>798.25</v>
      </c>
      <c r="L433" s="23">
        <f t="shared" si="55"/>
        <v>741.41666666666663</v>
      </c>
      <c r="M433" s="23">
        <f t="shared" si="54"/>
        <v>753.66666666666663</v>
      </c>
      <c r="N433" s="25">
        <f t="shared" si="47"/>
        <v>0.13811420982735723</v>
      </c>
      <c r="O433" s="25">
        <f t="shared" si="53"/>
        <v>0.15589524558840065</v>
      </c>
    </row>
    <row r="434" spans="1:15" x14ac:dyDescent="0.25">
      <c r="A434" s="15" t="s">
        <v>14</v>
      </c>
      <c r="B434" s="20">
        <v>37359</v>
      </c>
      <c r="C434" s="15">
        <v>758</v>
      </c>
      <c r="D434" s="15">
        <v>33</v>
      </c>
      <c r="E434" s="15">
        <v>188</v>
      </c>
      <c r="F434" s="21">
        <f t="shared" si="48"/>
        <v>979</v>
      </c>
      <c r="G434" s="18">
        <v>15</v>
      </c>
      <c r="H434" s="22">
        <f t="shared" si="49"/>
        <v>703.75</v>
      </c>
      <c r="I434" s="22">
        <f t="shared" si="50"/>
        <v>24.25</v>
      </c>
      <c r="J434" s="22">
        <f t="shared" si="51"/>
        <v>170</v>
      </c>
      <c r="K434" s="23">
        <f t="shared" si="52"/>
        <v>898</v>
      </c>
      <c r="L434" s="23">
        <f t="shared" si="55"/>
        <v>837.66666666666663</v>
      </c>
      <c r="M434" s="23">
        <f t="shared" si="54"/>
        <v>1165</v>
      </c>
      <c r="N434" s="25">
        <f t="shared" si="47"/>
        <v>0.12658227848101267</v>
      </c>
      <c r="O434" s="25">
        <f t="shared" si="53"/>
        <v>0.16872264226024677</v>
      </c>
    </row>
    <row r="435" spans="1:15" x14ac:dyDescent="0.25">
      <c r="A435" s="15" t="s">
        <v>14</v>
      </c>
      <c r="B435" s="20">
        <v>37366</v>
      </c>
      <c r="C435" s="15">
        <v>800</v>
      </c>
      <c r="D435" s="15">
        <v>13</v>
      </c>
      <c r="E435" s="15">
        <v>204</v>
      </c>
      <c r="F435" s="21">
        <f t="shared" si="48"/>
        <v>1017</v>
      </c>
      <c r="G435" s="18">
        <v>16</v>
      </c>
      <c r="H435" s="22">
        <f t="shared" si="49"/>
        <v>750</v>
      </c>
      <c r="I435" s="22">
        <f t="shared" si="50"/>
        <v>26.25</v>
      </c>
      <c r="J435" s="22">
        <f t="shared" si="51"/>
        <v>179.5</v>
      </c>
      <c r="K435" s="23">
        <f t="shared" si="52"/>
        <v>955.75</v>
      </c>
      <c r="L435" s="23">
        <f t="shared" si="55"/>
        <v>862.66666666666663</v>
      </c>
      <c r="M435" s="23">
        <f t="shared" si="54"/>
        <v>850.66666666666663</v>
      </c>
      <c r="N435" s="25">
        <f t="shared" si="47"/>
        <v>0.46120689655172414</v>
      </c>
      <c r="O435" s="25">
        <f t="shared" si="53"/>
        <v>0.17890262751159203</v>
      </c>
    </row>
    <row r="436" spans="1:15" x14ac:dyDescent="0.25">
      <c r="A436" s="15" t="s">
        <v>14</v>
      </c>
      <c r="B436" s="20">
        <v>37373</v>
      </c>
      <c r="C436" s="15">
        <v>544</v>
      </c>
      <c r="D436" s="15">
        <v>20</v>
      </c>
      <c r="E436" s="15">
        <v>161</v>
      </c>
      <c r="F436" s="21">
        <f t="shared" si="48"/>
        <v>725</v>
      </c>
      <c r="G436" s="18">
        <v>17</v>
      </c>
      <c r="H436" s="22">
        <f t="shared" si="49"/>
        <v>699.25</v>
      </c>
      <c r="I436" s="22">
        <f t="shared" si="50"/>
        <v>27</v>
      </c>
      <c r="J436" s="22">
        <f t="shared" si="51"/>
        <v>168.25</v>
      </c>
      <c r="K436" s="23">
        <f t="shared" si="52"/>
        <v>894.5</v>
      </c>
      <c r="L436" s="23">
        <f t="shared" si="55"/>
        <v>873</v>
      </c>
      <c r="M436" s="23">
        <f t="shared" si="54"/>
        <v>722.66666666666663</v>
      </c>
      <c r="N436" s="25">
        <f t="shared" ref="N436:N499" si="56">(F436-F384)/F384</f>
        <v>0.75970873786407767</v>
      </c>
      <c r="O436" s="25">
        <f t="shared" si="53"/>
        <v>-0.16953035509736541</v>
      </c>
    </row>
    <row r="437" spans="1:15" x14ac:dyDescent="0.25">
      <c r="A437" s="15" t="s">
        <v>5</v>
      </c>
      <c r="B437" s="20">
        <v>37380</v>
      </c>
      <c r="C437" s="15">
        <v>558</v>
      </c>
      <c r="D437" s="15">
        <v>35</v>
      </c>
      <c r="E437" s="15">
        <v>118</v>
      </c>
      <c r="F437" s="21">
        <f t="shared" si="48"/>
        <v>711</v>
      </c>
      <c r="G437" s="18">
        <v>18</v>
      </c>
      <c r="H437" s="22">
        <f t="shared" si="49"/>
        <v>665</v>
      </c>
      <c r="I437" s="22">
        <f t="shared" si="50"/>
        <v>25.25</v>
      </c>
      <c r="J437" s="22">
        <f t="shared" si="51"/>
        <v>167.75</v>
      </c>
      <c r="K437" s="23">
        <f t="shared" si="52"/>
        <v>858</v>
      </c>
      <c r="L437" s="23">
        <f t="shared" si="55"/>
        <v>882.08333333333337</v>
      </c>
      <c r="M437" s="23">
        <f t="shared" si="54"/>
        <v>790</v>
      </c>
      <c r="N437" s="25">
        <f t="shared" si="56"/>
        <v>0.43636363636363634</v>
      </c>
      <c r="O437" s="25">
        <f t="shared" si="53"/>
        <v>-0.19395370807746815</v>
      </c>
    </row>
    <row r="438" spans="1:15" x14ac:dyDescent="0.25">
      <c r="A438" s="15" t="s">
        <v>5</v>
      </c>
      <c r="B438" s="20">
        <v>37387</v>
      </c>
      <c r="C438" s="15">
        <v>778</v>
      </c>
      <c r="D438" s="15">
        <v>36</v>
      </c>
      <c r="E438" s="15">
        <v>170</v>
      </c>
      <c r="F438" s="21">
        <f t="shared" si="48"/>
        <v>984</v>
      </c>
      <c r="G438" s="18">
        <v>19</v>
      </c>
      <c r="H438" s="22">
        <f t="shared" si="49"/>
        <v>670</v>
      </c>
      <c r="I438" s="22">
        <f t="shared" si="50"/>
        <v>26</v>
      </c>
      <c r="J438" s="22">
        <f t="shared" si="51"/>
        <v>163.25</v>
      </c>
      <c r="K438" s="23">
        <f t="shared" si="52"/>
        <v>859.25</v>
      </c>
      <c r="L438" s="23">
        <f t="shared" si="55"/>
        <v>770.91666666666663</v>
      </c>
      <c r="M438" s="23">
        <f t="shared" si="54"/>
        <v>720.33333333333337</v>
      </c>
      <c r="N438" s="25">
        <f t="shared" si="56"/>
        <v>1.5691906005221932</v>
      </c>
      <c r="O438" s="25">
        <f t="shared" si="53"/>
        <v>0.27640255107555944</v>
      </c>
    </row>
    <row r="439" spans="1:15" x14ac:dyDescent="0.25">
      <c r="A439" s="15" t="s">
        <v>5</v>
      </c>
      <c r="B439" s="20">
        <v>37394</v>
      </c>
      <c r="C439" s="15">
        <v>465</v>
      </c>
      <c r="D439" s="15">
        <v>11</v>
      </c>
      <c r="E439" s="15">
        <v>85</v>
      </c>
      <c r="F439" s="21">
        <f t="shared" si="48"/>
        <v>561</v>
      </c>
      <c r="G439" s="18">
        <v>20</v>
      </c>
      <c r="H439" s="22">
        <f t="shared" si="49"/>
        <v>586.25</v>
      </c>
      <c r="I439" s="22">
        <f t="shared" si="50"/>
        <v>25.5</v>
      </c>
      <c r="J439" s="22">
        <f t="shared" si="51"/>
        <v>133.5</v>
      </c>
      <c r="K439" s="23">
        <f t="shared" si="52"/>
        <v>745.25</v>
      </c>
      <c r="L439" s="23">
        <f t="shared" si="55"/>
        <v>741.83333333333337</v>
      </c>
      <c r="M439" s="23">
        <f t="shared" si="54"/>
        <v>734.33333333333337</v>
      </c>
      <c r="N439" s="25">
        <f t="shared" si="56"/>
        <v>0.28375286041189929</v>
      </c>
      <c r="O439" s="25">
        <f t="shared" si="53"/>
        <v>-0.24376544596719843</v>
      </c>
    </row>
    <row r="440" spans="1:15" x14ac:dyDescent="0.25">
      <c r="A440" s="15" t="s">
        <v>5</v>
      </c>
      <c r="B440" s="20">
        <v>37401</v>
      </c>
      <c r="C440" s="15">
        <v>542</v>
      </c>
      <c r="D440" s="15">
        <v>30</v>
      </c>
      <c r="E440" s="15">
        <v>118</v>
      </c>
      <c r="F440" s="21">
        <f t="shared" si="48"/>
        <v>690</v>
      </c>
      <c r="G440" s="18">
        <v>21</v>
      </c>
      <c r="H440" s="22">
        <f t="shared" si="49"/>
        <v>585.75</v>
      </c>
      <c r="I440" s="22">
        <f t="shared" si="50"/>
        <v>28</v>
      </c>
      <c r="J440" s="22">
        <f t="shared" si="51"/>
        <v>122.75</v>
      </c>
      <c r="K440" s="23">
        <f t="shared" si="52"/>
        <v>736.5</v>
      </c>
      <c r="L440" s="23">
        <f t="shared" si="55"/>
        <v>737.25</v>
      </c>
      <c r="M440" s="23">
        <f t="shared" si="54"/>
        <v>704.33333333333337</v>
      </c>
      <c r="N440" s="25">
        <f t="shared" si="56"/>
        <v>0.36904761904761907</v>
      </c>
      <c r="O440" s="25">
        <f t="shared" si="53"/>
        <v>-6.4089521871820959E-2</v>
      </c>
    </row>
    <row r="441" spans="1:15" x14ac:dyDescent="0.25">
      <c r="A441" s="15" t="s">
        <v>5</v>
      </c>
      <c r="B441" s="20">
        <v>37408</v>
      </c>
      <c r="C441" s="15">
        <v>807</v>
      </c>
      <c r="D441" s="15">
        <v>22</v>
      </c>
      <c r="E441" s="15">
        <v>203</v>
      </c>
      <c r="F441" s="21">
        <f t="shared" si="48"/>
        <v>1032</v>
      </c>
      <c r="G441" s="18">
        <v>22</v>
      </c>
      <c r="H441" s="22">
        <f t="shared" si="49"/>
        <v>648</v>
      </c>
      <c r="I441" s="22">
        <f t="shared" si="50"/>
        <v>24.75</v>
      </c>
      <c r="J441" s="22">
        <f t="shared" si="51"/>
        <v>144</v>
      </c>
      <c r="K441" s="23">
        <f t="shared" si="52"/>
        <v>816.75</v>
      </c>
      <c r="L441" s="23">
        <f t="shared" si="55"/>
        <v>726.66666666666663</v>
      </c>
      <c r="M441" s="23">
        <f t="shared" si="54"/>
        <v>747.66666666666663</v>
      </c>
      <c r="N441" s="25">
        <f t="shared" si="56"/>
        <v>0.34901960784313724</v>
      </c>
      <c r="O441" s="25">
        <f t="shared" si="53"/>
        <v>0.42018348623853219</v>
      </c>
    </row>
    <row r="442" spans="1:15" x14ac:dyDescent="0.25">
      <c r="A442" s="15" t="s">
        <v>30</v>
      </c>
      <c r="B442" s="20">
        <v>37415</v>
      </c>
      <c r="C442" s="15">
        <v>771</v>
      </c>
      <c r="D442" s="15">
        <v>9</v>
      </c>
      <c r="E442" s="15">
        <v>270</v>
      </c>
      <c r="F442" s="21">
        <f t="shared" si="48"/>
        <v>1050</v>
      </c>
      <c r="G442" s="18">
        <v>23</v>
      </c>
      <c r="H442" s="22">
        <f t="shared" si="49"/>
        <v>646.25</v>
      </c>
      <c r="I442" s="22">
        <f t="shared" si="50"/>
        <v>18</v>
      </c>
      <c r="J442" s="22">
        <f t="shared" si="51"/>
        <v>169</v>
      </c>
      <c r="K442" s="23">
        <f t="shared" si="52"/>
        <v>833.25</v>
      </c>
      <c r="L442" s="23">
        <f t="shared" si="55"/>
        <v>780.66666666666663</v>
      </c>
      <c r="M442" s="23">
        <f t="shared" si="54"/>
        <v>936.33333333333337</v>
      </c>
      <c r="N442" s="25">
        <f t="shared" si="56"/>
        <v>0.33248730964467005</v>
      </c>
      <c r="O442" s="25">
        <f t="shared" si="53"/>
        <v>0.34500426985482502</v>
      </c>
    </row>
    <row r="443" spans="1:15" x14ac:dyDescent="0.25">
      <c r="A443" s="15" t="s">
        <v>30</v>
      </c>
      <c r="B443" s="20">
        <v>37422</v>
      </c>
      <c r="C443" s="15">
        <v>718</v>
      </c>
      <c r="D443" s="15">
        <v>12</v>
      </c>
      <c r="E443" s="15">
        <v>168</v>
      </c>
      <c r="F443" s="21">
        <f t="shared" si="48"/>
        <v>898</v>
      </c>
      <c r="G443" s="18">
        <v>24</v>
      </c>
      <c r="H443" s="22">
        <f t="shared" si="49"/>
        <v>709.5</v>
      </c>
      <c r="I443" s="22">
        <f t="shared" si="50"/>
        <v>18.25</v>
      </c>
      <c r="J443" s="22">
        <f t="shared" si="51"/>
        <v>189.75</v>
      </c>
      <c r="K443" s="23">
        <f t="shared" si="52"/>
        <v>917.5</v>
      </c>
      <c r="L443" s="23">
        <f t="shared" si="55"/>
        <v>866.75</v>
      </c>
      <c r="M443" s="23">
        <f t="shared" si="54"/>
        <v>1078.6666666666667</v>
      </c>
      <c r="N443" s="25">
        <f t="shared" si="56"/>
        <v>-0.21503496503496503</v>
      </c>
      <c r="O443" s="25">
        <f t="shared" si="53"/>
        <v>3.6054225555235075E-2</v>
      </c>
    </row>
    <row r="444" spans="1:15" x14ac:dyDescent="0.25">
      <c r="A444" s="15" t="s">
        <v>30</v>
      </c>
      <c r="B444" s="20">
        <v>37429</v>
      </c>
      <c r="C444" s="15">
        <v>1020</v>
      </c>
      <c r="D444" s="15">
        <v>18</v>
      </c>
      <c r="E444" s="15">
        <v>194</v>
      </c>
      <c r="F444" s="21">
        <f t="shared" si="48"/>
        <v>1232</v>
      </c>
      <c r="G444" s="18">
        <v>25</v>
      </c>
      <c r="H444" s="22">
        <f t="shared" si="49"/>
        <v>829</v>
      </c>
      <c r="I444" s="22">
        <f t="shared" si="50"/>
        <v>15.25</v>
      </c>
      <c r="J444" s="22">
        <f t="shared" si="51"/>
        <v>208.75</v>
      </c>
      <c r="K444" s="23">
        <f t="shared" si="52"/>
        <v>1053</v>
      </c>
      <c r="L444" s="23">
        <f t="shared" si="55"/>
        <v>943.25</v>
      </c>
      <c r="M444" s="23">
        <f t="shared" si="54"/>
        <v>1010.3333333333334</v>
      </c>
      <c r="N444" s="25">
        <f t="shared" si="56"/>
        <v>0.2406847935548842</v>
      </c>
      <c r="O444" s="25">
        <f t="shared" si="53"/>
        <v>0.30612244897959184</v>
      </c>
    </row>
    <row r="445" spans="1:15" x14ac:dyDescent="0.25">
      <c r="A445" s="15" t="s">
        <v>30</v>
      </c>
      <c r="B445" s="20">
        <v>37436</v>
      </c>
      <c r="C445" s="15">
        <v>658</v>
      </c>
      <c r="D445" s="15">
        <v>12</v>
      </c>
      <c r="E445" s="15">
        <v>163</v>
      </c>
      <c r="F445" s="21">
        <f t="shared" si="48"/>
        <v>833</v>
      </c>
      <c r="G445" s="18">
        <v>26</v>
      </c>
      <c r="H445" s="22">
        <f t="shared" si="49"/>
        <v>791.75</v>
      </c>
      <c r="I445" s="22">
        <f t="shared" si="50"/>
        <v>12.75</v>
      </c>
      <c r="J445" s="22">
        <f t="shared" si="51"/>
        <v>198.75</v>
      </c>
      <c r="K445" s="23">
        <f t="shared" si="52"/>
        <v>1003.25</v>
      </c>
      <c r="L445" s="23">
        <f t="shared" si="55"/>
        <v>997.25</v>
      </c>
      <c r="M445" s="23">
        <f t="shared" si="54"/>
        <v>963.66666666666663</v>
      </c>
      <c r="N445" s="25">
        <f t="shared" si="56"/>
        <v>-0.20515267175572519</v>
      </c>
      <c r="O445" s="25">
        <f t="shared" si="53"/>
        <v>-0.16470293306593131</v>
      </c>
    </row>
    <row r="446" spans="1:15" x14ac:dyDescent="0.25">
      <c r="A446" s="15" t="s">
        <v>31</v>
      </c>
      <c r="B446" s="20">
        <v>37443</v>
      </c>
      <c r="C446" s="15">
        <v>847</v>
      </c>
      <c r="D446" s="15">
        <v>23</v>
      </c>
      <c r="E446" s="15">
        <v>185</v>
      </c>
      <c r="F446" s="21">
        <f t="shared" si="48"/>
        <v>1055</v>
      </c>
      <c r="G446" s="18">
        <v>27</v>
      </c>
      <c r="H446" s="22">
        <f t="shared" si="49"/>
        <v>810.75</v>
      </c>
      <c r="I446" s="22">
        <f t="shared" si="50"/>
        <v>16.25</v>
      </c>
      <c r="J446" s="22">
        <f t="shared" si="51"/>
        <v>177.5</v>
      </c>
      <c r="K446" s="23">
        <f t="shared" si="52"/>
        <v>1004.5</v>
      </c>
      <c r="L446" s="23">
        <f t="shared" si="55"/>
        <v>1029.8333333333333</v>
      </c>
      <c r="M446" s="23">
        <f t="shared" si="54"/>
        <v>1066.6666666666667</v>
      </c>
      <c r="N446" s="25">
        <f t="shared" si="56"/>
        <v>-1.2172284644194757E-2</v>
      </c>
      <c r="O446" s="25">
        <f t="shared" si="53"/>
        <v>2.4437611263958645E-2</v>
      </c>
    </row>
    <row r="447" spans="1:15" x14ac:dyDescent="0.25">
      <c r="A447" s="15" t="s">
        <v>31</v>
      </c>
      <c r="B447" s="20">
        <v>37450</v>
      </c>
      <c r="C447" s="15">
        <v>910</v>
      </c>
      <c r="D447" s="15">
        <v>14</v>
      </c>
      <c r="E447" s="15">
        <v>174</v>
      </c>
      <c r="F447" s="21">
        <f t="shared" si="48"/>
        <v>1098</v>
      </c>
      <c r="G447" s="18">
        <v>28</v>
      </c>
      <c r="H447" s="22">
        <f t="shared" si="49"/>
        <v>858.75</v>
      </c>
      <c r="I447" s="22">
        <f t="shared" si="50"/>
        <v>16.75</v>
      </c>
      <c r="J447" s="22">
        <f t="shared" si="51"/>
        <v>179</v>
      </c>
      <c r="K447" s="23">
        <f t="shared" si="52"/>
        <v>1054.5</v>
      </c>
      <c r="L447" s="23">
        <f t="shared" si="55"/>
        <v>976.33333333333337</v>
      </c>
      <c r="M447" s="23">
        <f t="shared" si="54"/>
        <v>864.66666666666663</v>
      </c>
      <c r="N447" s="25">
        <f t="shared" si="56"/>
        <v>0.11133603238866396</v>
      </c>
      <c r="O447" s="25">
        <f t="shared" si="53"/>
        <v>0.12461590986684871</v>
      </c>
    </row>
    <row r="448" spans="1:15" x14ac:dyDescent="0.25">
      <c r="A448" s="15" t="s">
        <v>31</v>
      </c>
      <c r="B448" s="20">
        <v>37457</v>
      </c>
      <c r="C448" s="15">
        <v>828</v>
      </c>
      <c r="D448" s="15">
        <v>35</v>
      </c>
      <c r="E448" s="15">
        <v>180</v>
      </c>
      <c r="F448" s="21">
        <f t="shared" si="48"/>
        <v>1043</v>
      </c>
      <c r="G448" s="18">
        <v>29</v>
      </c>
      <c r="H448" s="22">
        <f t="shared" si="49"/>
        <v>810.75</v>
      </c>
      <c r="I448" s="22">
        <f t="shared" si="50"/>
        <v>21</v>
      </c>
      <c r="J448" s="22">
        <f t="shared" si="51"/>
        <v>175.5</v>
      </c>
      <c r="K448" s="23">
        <f t="shared" si="52"/>
        <v>1007.25</v>
      </c>
      <c r="L448" s="23">
        <f t="shared" si="55"/>
        <v>969.08333333333337</v>
      </c>
      <c r="M448" s="23">
        <f t="shared" si="54"/>
        <v>981.33333333333337</v>
      </c>
      <c r="N448" s="25">
        <f t="shared" si="56"/>
        <v>0.62461059190031154</v>
      </c>
      <c r="O448" s="25">
        <f t="shared" si="53"/>
        <v>7.6274830165964355E-2</v>
      </c>
    </row>
    <row r="449" spans="1:15" x14ac:dyDescent="0.25">
      <c r="A449" s="15" t="s">
        <v>31</v>
      </c>
      <c r="B449" s="20">
        <v>37464</v>
      </c>
      <c r="C449" s="15">
        <v>732</v>
      </c>
      <c r="D449" s="15">
        <v>19</v>
      </c>
      <c r="E449" s="15">
        <v>177</v>
      </c>
      <c r="F449" s="21">
        <f t="shared" si="48"/>
        <v>928</v>
      </c>
      <c r="G449" s="18">
        <v>30</v>
      </c>
      <c r="H449" s="22">
        <f t="shared" si="49"/>
        <v>829.25</v>
      </c>
      <c r="I449" s="22">
        <f t="shared" si="50"/>
        <v>22.75</v>
      </c>
      <c r="J449" s="22">
        <f t="shared" si="51"/>
        <v>179</v>
      </c>
      <c r="K449" s="23">
        <f t="shared" si="52"/>
        <v>1031</v>
      </c>
      <c r="L449" s="23">
        <f t="shared" si="55"/>
        <v>965.25</v>
      </c>
      <c r="M449" s="23">
        <f t="shared" si="54"/>
        <v>948.33333333333337</v>
      </c>
      <c r="N449" s="25">
        <f t="shared" si="56"/>
        <v>-3.4339229968782518E-2</v>
      </c>
      <c r="O449" s="25">
        <f t="shared" si="53"/>
        <v>-3.8591038591038594E-2</v>
      </c>
    </row>
    <row r="450" spans="1:15" x14ac:dyDescent="0.25">
      <c r="A450" s="15" t="s">
        <v>19</v>
      </c>
      <c r="B450" s="20">
        <v>37471</v>
      </c>
      <c r="C450" s="15">
        <v>630</v>
      </c>
      <c r="D450" s="15">
        <v>20</v>
      </c>
      <c r="E450" s="15">
        <v>177</v>
      </c>
      <c r="F450" s="21">
        <f t="shared" si="48"/>
        <v>827</v>
      </c>
      <c r="G450" s="18">
        <v>31</v>
      </c>
      <c r="H450" s="22">
        <f t="shared" si="49"/>
        <v>775</v>
      </c>
      <c r="I450" s="22">
        <f t="shared" si="50"/>
        <v>22</v>
      </c>
      <c r="J450" s="22">
        <f t="shared" si="51"/>
        <v>177</v>
      </c>
      <c r="K450" s="23">
        <f t="shared" si="52"/>
        <v>974</v>
      </c>
      <c r="L450" s="23">
        <f t="shared" si="55"/>
        <v>970.25</v>
      </c>
      <c r="M450" s="23">
        <f t="shared" si="54"/>
        <v>1086.6666666666667</v>
      </c>
      <c r="N450" s="25">
        <f t="shared" si="56"/>
        <v>-0.22128060263653485</v>
      </c>
      <c r="O450" s="25">
        <f t="shared" si="53"/>
        <v>-0.14764236021643906</v>
      </c>
    </row>
    <row r="451" spans="1:15" x14ac:dyDescent="0.25">
      <c r="A451" s="15" t="s">
        <v>19</v>
      </c>
      <c r="B451" s="20">
        <v>37478</v>
      </c>
      <c r="C451" s="15">
        <v>832</v>
      </c>
      <c r="D451" s="15">
        <v>25</v>
      </c>
      <c r="E451" s="15">
        <v>181</v>
      </c>
      <c r="F451" s="21">
        <f t="shared" si="48"/>
        <v>1038</v>
      </c>
      <c r="G451" s="18">
        <v>32</v>
      </c>
      <c r="H451" s="22">
        <f t="shared" si="49"/>
        <v>755.5</v>
      </c>
      <c r="I451" s="22">
        <f t="shared" si="50"/>
        <v>24.75</v>
      </c>
      <c r="J451" s="22">
        <f t="shared" si="51"/>
        <v>178.75</v>
      </c>
      <c r="K451" s="23">
        <f t="shared" si="52"/>
        <v>959</v>
      </c>
      <c r="L451" s="23">
        <f t="shared" si="55"/>
        <v>980.08333333333337</v>
      </c>
      <c r="M451" s="23">
        <f t="shared" si="54"/>
        <v>904</v>
      </c>
      <c r="N451" s="25">
        <f t="shared" si="56"/>
        <v>-1.5180265654648957E-2</v>
      </c>
      <c r="O451" s="25">
        <f t="shared" si="53"/>
        <v>5.9093614488563859E-2</v>
      </c>
    </row>
    <row r="452" spans="1:15" x14ac:dyDescent="0.25">
      <c r="A452" s="15" t="s">
        <v>19</v>
      </c>
      <c r="B452" s="20">
        <v>37485</v>
      </c>
      <c r="C452" s="15">
        <v>760</v>
      </c>
      <c r="D452" s="15">
        <v>37</v>
      </c>
      <c r="E452" s="15">
        <v>124</v>
      </c>
      <c r="F452" s="21">
        <f t="shared" si="48"/>
        <v>921</v>
      </c>
      <c r="G452" s="18">
        <v>33</v>
      </c>
      <c r="H452" s="22">
        <f t="shared" si="49"/>
        <v>738.5</v>
      </c>
      <c r="I452" s="22">
        <f t="shared" si="50"/>
        <v>25.25</v>
      </c>
      <c r="J452" s="22">
        <f t="shared" si="51"/>
        <v>164.75</v>
      </c>
      <c r="K452" s="23">
        <f t="shared" si="52"/>
        <v>928.5</v>
      </c>
      <c r="L452" s="23">
        <f t="shared" si="55"/>
        <v>928.5</v>
      </c>
      <c r="M452" s="23">
        <f t="shared" si="54"/>
        <v>775</v>
      </c>
      <c r="N452" s="25">
        <f t="shared" si="56"/>
        <v>0.15125</v>
      </c>
      <c r="O452" s="25">
        <f t="shared" si="53"/>
        <v>-8.0775444264943458E-3</v>
      </c>
    </row>
    <row r="453" spans="1:15" x14ac:dyDescent="0.25">
      <c r="A453" s="15" t="s">
        <v>19</v>
      </c>
      <c r="B453" s="20">
        <v>37492</v>
      </c>
      <c r="C453" s="15">
        <v>713</v>
      </c>
      <c r="D453" s="15">
        <v>32</v>
      </c>
      <c r="E453" s="15">
        <v>129</v>
      </c>
      <c r="F453" s="21">
        <f t="shared" si="48"/>
        <v>874</v>
      </c>
      <c r="G453" s="18">
        <v>34</v>
      </c>
      <c r="H453" s="22">
        <f t="shared" si="49"/>
        <v>733.75</v>
      </c>
      <c r="I453" s="22">
        <f t="shared" si="50"/>
        <v>28.5</v>
      </c>
      <c r="J453" s="22">
        <f t="shared" si="51"/>
        <v>152.75</v>
      </c>
      <c r="K453" s="23">
        <f t="shared" si="52"/>
        <v>915</v>
      </c>
      <c r="L453" s="23">
        <f t="shared" si="55"/>
        <v>924</v>
      </c>
      <c r="M453" s="23">
        <f t="shared" si="54"/>
        <v>930.33333333333337</v>
      </c>
      <c r="N453" s="25">
        <f t="shared" si="56"/>
        <v>-0.17391304347826086</v>
      </c>
      <c r="O453" s="25">
        <f t="shared" si="53"/>
        <v>-5.4112554112554112E-2</v>
      </c>
    </row>
    <row r="454" spans="1:15" x14ac:dyDescent="0.25">
      <c r="A454" s="15" t="s">
        <v>19</v>
      </c>
      <c r="B454" s="20">
        <v>37499</v>
      </c>
      <c r="C454" s="15">
        <v>501</v>
      </c>
      <c r="D454" s="15">
        <v>22</v>
      </c>
      <c r="E454" s="15">
        <v>95</v>
      </c>
      <c r="F454" s="21">
        <f t="shared" ref="F454:F517" si="57">SUM(C454:E454)</f>
        <v>618</v>
      </c>
      <c r="G454" s="18">
        <v>35</v>
      </c>
      <c r="H454" s="22">
        <f t="shared" si="49"/>
        <v>701.5</v>
      </c>
      <c r="I454" s="22">
        <f t="shared" si="50"/>
        <v>29</v>
      </c>
      <c r="J454" s="22">
        <f t="shared" si="51"/>
        <v>132.25</v>
      </c>
      <c r="K454" s="23">
        <f t="shared" si="52"/>
        <v>862.75</v>
      </c>
      <c r="L454" s="23">
        <f t="shared" si="55"/>
        <v>847.83333333333337</v>
      </c>
      <c r="M454" s="23">
        <f t="shared" si="54"/>
        <v>782</v>
      </c>
      <c r="N454" s="25">
        <f t="shared" si="56"/>
        <v>-0.26428571428571429</v>
      </c>
      <c r="O454" s="25">
        <f t="shared" si="53"/>
        <v>-0.27108315313544334</v>
      </c>
    </row>
    <row r="455" spans="1:15" x14ac:dyDescent="0.25">
      <c r="A455" s="15" t="s">
        <v>24</v>
      </c>
      <c r="B455" s="20">
        <v>37506</v>
      </c>
      <c r="C455" s="15">
        <v>388</v>
      </c>
      <c r="D455" s="15">
        <v>17</v>
      </c>
      <c r="E455" s="15">
        <v>82</v>
      </c>
      <c r="F455" s="21">
        <f t="shared" si="57"/>
        <v>487</v>
      </c>
      <c r="G455" s="18">
        <v>36</v>
      </c>
      <c r="H455" s="22">
        <f t="shared" si="49"/>
        <v>590.5</v>
      </c>
      <c r="I455" s="22">
        <f t="shared" si="50"/>
        <v>27</v>
      </c>
      <c r="J455" s="22">
        <f t="shared" si="51"/>
        <v>107.5</v>
      </c>
      <c r="K455" s="23">
        <f t="shared" si="52"/>
        <v>725</v>
      </c>
      <c r="L455" s="23">
        <f t="shared" si="55"/>
        <v>851</v>
      </c>
      <c r="M455" s="23">
        <f t="shared" si="54"/>
        <v>916.66666666666663</v>
      </c>
      <c r="N455" s="25">
        <f t="shared" si="56"/>
        <v>-0.4683406113537118</v>
      </c>
      <c r="O455" s="25">
        <f t="shared" si="53"/>
        <v>-0.42773207990599293</v>
      </c>
    </row>
    <row r="456" spans="1:15" x14ac:dyDescent="0.25">
      <c r="A456" s="15" t="s">
        <v>24</v>
      </c>
      <c r="B456" s="20">
        <v>37513</v>
      </c>
      <c r="C456" s="15">
        <v>432</v>
      </c>
      <c r="D456" s="15">
        <v>34</v>
      </c>
      <c r="E456" s="15">
        <v>73</v>
      </c>
      <c r="F456" s="21">
        <f t="shared" si="57"/>
        <v>539</v>
      </c>
      <c r="G456" s="18">
        <v>37</v>
      </c>
      <c r="H456" s="22">
        <f t="shared" si="49"/>
        <v>508.5</v>
      </c>
      <c r="I456" s="22">
        <f t="shared" si="50"/>
        <v>26.25</v>
      </c>
      <c r="J456" s="22">
        <f t="shared" si="51"/>
        <v>94.75</v>
      </c>
      <c r="K456" s="23">
        <f t="shared" si="52"/>
        <v>629.5</v>
      </c>
      <c r="L456" s="23">
        <f t="shared" si="55"/>
        <v>823.66666666666663</v>
      </c>
      <c r="M456" s="23">
        <f t="shared" si="54"/>
        <v>665.66666666666663</v>
      </c>
      <c r="N456" s="25">
        <f t="shared" si="56"/>
        <v>-0.10166666666666667</v>
      </c>
      <c r="O456" s="25">
        <f t="shared" si="53"/>
        <v>-0.34560906515580736</v>
      </c>
    </row>
    <row r="457" spans="1:15" x14ac:dyDescent="0.25">
      <c r="A457" s="15" t="s">
        <v>24</v>
      </c>
      <c r="B457" s="20">
        <v>37520</v>
      </c>
      <c r="C457" s="15">
        <v>362</v>
      </c>
      <c r="D457" s="15">
        <v>5</v>
      </c>
      <c r="E457" s="15">
        <v>80</v>
      </c>
      <c r="F457" s="21">
        <f t="shared" si="57"/>
        <v>447</v>
      </c>
      <c r="G457" s="18">
        <v>38</v>
      </c>
      <c r="H457" s="22">
        <f t="shared" si="49"/>
        <v>420.75</v>
      </c>
      <c r="I457" s="22">
        <f t="shared" si="50"/>
        <v>19.5</v>
      </c>
      <c r="J457" s="22">
        <f t="shared" si="51"/>
        <v>82.5</v>
      </c>
      <c r="K457" s="23">
        <f t="shared" si="52"/>
        <v>522.75</v>
      </c>
      <c r="L457" s="23">
        <f t="shared" si="55"/>
        <v>749</v>
      </c>
      <c r="M457" s="23">
        <f t="shared" si="54"/>
        <v>631.66666666666663</v>
      </c>
      <c r="N457" s="25">
        <f t="shared" si="56"/>
        <v>-0.17679558011049723</v>
      </c>
      <c r="O457" s="25">
        <f t="shared" si="53"/>
        <v>-0.40320427236315087</v>
      </c>
    </row>
    <row r="458" spans="1:15" x14ac:dyDescent="0.25">
      <c r="A458" s="15" t="s">
        <v>24</v>
      </c>
      <c r="B458" s="20">
        <v>37527</v>
      </c>
      <c r="C458" s="15">
        <v>465</v>
      </c>
      <c r="D458" s="15">
        <v>25</v>
      </c>
      <c r="E458" s="15">
        <v>61</v>
      </c>
      <c r="F458" s="21">
        <f t="shared" si="57"/>
        <v>551</v>
      </c>
      <c r="G458" s="18">
        <v>39</v>
      </c>
      <c r="H458" s="22">
        <f t="shared" ref="H458:H521" si="58">AVERAGE(C455:C458)</f>
        <v>411.75</v>
      </c>
      <c r="I458" s="22">
        <f t="shared" ref="I458:I521" si="59">AVERAGE(D455:D458)</f>
        <v>20.25</v>
      </c>
      <c r="J458" s="22">
        <f t="shared" ref="J458:J521" si="60">AVERAGE(E455:E458)</f>
        <v>74</v>
      </c>
      <c r="K458" s="23">
        <f t="shared" ref="K458:K514" si="61">SUM(H458:J458)</f>
        <v>506</v>
      </c>
      <c r="L458" s="23">
        <f t="shared" si="55"/>
        <v>716.75</v>
      </c>
      <c r="M458" s="23">
        <f t="shared" si="54"/>
        <v>653</v>
      </c>
      <c r="N458" s="25">
        <f t="shared" si="56"/>
        <v>0.24660633484162897</v>
      </c>
      <c r="O458" s="25">
        <f t="shared" ref="O458:O521" si="62">(F458-L458)/L458</f>
        <v>-0.23125217997907221</v>
      </c>
    </row>
    <row r="459" spans="1:15" x14ac:dyDescent="0.25">
      <c r="A459" s="15" t="s">
        <v>20</v>
      </c>
      <c r="B459" s="20">
        <v>37534</v>
      </c>
      <c r="C459" s="15">
        <v>486</v>
      </c>
      <c r="D459" s="15">
        <v>35</v>
      </c>
      <c r="E459" s="15">
        <v>193</v>
      </c>
      <c r="F459" s="21">
        <f t="shared" si="57"/>
        <v>714</v>
      </c>
      <c r="G459" s="18">
        <v>40</v>
      </c>
      <c r="H459" s="22">
        <f t="shared" si="58"/>
        <v>436.25</v>
      </c>
      <c r="I459" s="22">
        <f t="shared" si="59"/>
        <v>24.75</v>
      </c>
      <c r="J459" s="22">
        <f t="shared" si="60"/>
        <v>101.75</v>
      </c>
      <c r="K459" s="23">
        <f t="shared" si="61"/>
        <v>562.75</v>
      </c>
      <c r="L459" s="23">
        <f t="shared" si="55"/>
        <v>663.08333333333337</v>
      </c>
      <c r="M459" s="23">
        <f t="shared" si="54"/>
        <v>702</v>
      </c>
      <c r="N459" s="25">
        <f t="shared" si="56"/>
        <v>0.23743500866551126</v>
      </c>
      <c r="O459" s="25">
        <f t="shared" si="62"/>
        <v>7.6787734070629568E-2</v>
      </c>
    </row>
    <row r="460" spans="1:15" x14ac:dyDescent="0.25">
      <c r="A460" s="15" t="s">
        <v>20</v>
      </c>
      <c r="B460" s="20">
        <v>37541</v>
      </c>
      <c r="C460" s="15">
        <v>475</v>
      </c>
      <c r="D460" s="15">
        <v>35</v>
      </c>
      <c r="E460" s="15">
        <v>389</v>
      </c>
      <c r="F460" s="21">
        <f t="shared" si="57"/>
        <v>899</v>
      </c>
      <c r="G460" s="18">
        <v>41</v>
      </c>
      <c r="H460" s="22">
        <f t="shared" si="58"/>
        <v>447</v>
      </c>
      <c r="I460" s="22">
        <f t="shared" si="59"/>
        <v>25</v>
      </c>
      <c r="J460" s="22">
        <f t="shared" si="60"/>
        <v>180.75</v>
      </c>
      <c r="K460" s="23">
        <f t="shared" si="61"/>
        <v>652.75</v>
      </c>
      <c r="L460" s="23">
        <f t="shared" si="55"/>
        <v>676.83333333333337</v>
      </c>
      <c r="M460" s="23">
        <f t="shared" si="54"/>
        <v>720.66666666666663</v>
      </c>
      <c r="N460" s="25">
        <f t="shared" si="56"/>
        <v>0.53412969283276446</v>
      </c>
      <c r="O460" s="25">
        <f t="shared" si="62"/>
        <v>0.32824427480916024</v>
      </c>
    </row>
    <row r="461" spans="1:15" x14ac:dyDescent="0.25">
      <c r="A461" s="15" t="s">
        <v>20</v>
      </c>
      <c r="B461" s="20">
        <v>37548</v>
      </c>
      <c r="C461" s="15">
        <v>366</v>
      </c>
      <c r="D461" s="15">
        <v>11</v>
      </c>
      <c r="E461" s="15">
        <v>410</v>
      </c>
      <c r="F461" s="21">
        <f t="shared" si="57"/>
        <v>787</v>
      </c>
      <c r="G461" s="18">
        <v>42</v>
      </c>
      <c r="H461" s="22">
        <f t="shared" si="58"/>
        <v>448</v>
      </c>
      <c r="I461" s="22">
        <f t="shared" si="59"/>
        <v>26.5</v>
      </c>
      <c r="J461" s="22">
        <f t="shared" si="60"/>
        <v>263.25</v>
      </c>
      <c r="K461" s="23">
        <f t="shared" si="61"/>
        <v>737.75</v>
      </c>
      <c r="L461" s="23">
        <f t="shared" si="55"/>
        <v>713.58333333333337</v>
      </c>
      <c r="M461" s="23">
        <f t="shared" si="54"/>
        <v>778.66666666666663</v>
      </c>
      <c r="N461" s="25">
        <f t="shared" si="56"/>
        <v>7.6607387140902872E-2</v>
      </c>
      <c r="O461" s="25">
        <f t="shared" si="62"/>
        <v>0.10288450309470974</v>
      </c>
    </row>
    <row r="462" spans="1:15" x14ac:dyDescent="0.25">
      <c r="A462" s="15" t="s">
        <v>20</v>
      </c>
      <c r="B462" s="20">
        <v>37555</v>
      </c>
      <c r="C462" s="15">
        <v>437</v>
      </c>
      <c r="D462" s="15">
        <v>17</v>
      </c>
      <c r="E462" s="15">
        <v>463</v>
      </c>
      <c r="F462" s="21">
        <f t="shared" si="57"/>
        <v>917</v>
      </c>
      <c r="G462" s="18">
        <v>43</v>
      </c>
      <c r="H462" s="22">
        <f t="shared" si="58"/>
        <v>441</v>
      </c>
      <c r="I462" s="22">
        <f t="shared" si="59"/>
        <v>24.5</v>
      </c>
      <c r="J462" s="22">
        <f t="shared" si="60"/>
        <v>363.75</v>
      </c>
      <c r="K462" s="23">
        <f t="shared" si="61"/>
        <v>829.25</v>
      </c>
      <c r="L462" s="23">
        <f t="shared" si="55"/>
        <v>772.91666666666663</v>
      </c>
      <c r="M462" s="23">
        <f t="shared" si="54"/>
        <v>890.33333333333337</v>
      </c>
      <c r="N462" s="25">
        <f t="shared" si="56"/>
        <v>0.28792134831460675</v>
      </c>
      <c r="O462" s="25">
        <f t="shared" si="62"/>
        <v>0.18641509433962269</v>
      </c>
    </row>
    <row r="463" spans="1:15" x14ac:dyDescent="0.25">
      <c r="A463" s="15" t="s">
        <v>26</v>
      </c>
      <c r="B463" s="20">
        <v>37562</v>
      </c>
      <c r="C463" s="15">
        <v>569</v>
      </c>
      <c r="D463" s="15">
        <v>9</v>
      </c>
      <c r="E463" s="15">
        <v>391</v>
      </c>
      <c r="F463" s="21">
        <f t="shared" si="57"/>
        <v>969</v>
      </c>
      <c r="G463" s="18">
        <v>44</v>
      </c>
      <c r="H463" s="22">
        <f t="shared" si="58"/>
        <v>461.75</v>
      </c>
      <c r="I463" s="22">
        <f t="shared" si="59"/>
        <v>18</v>
      </c>
      <c r="J463" s="22">
        <f t="shared" si="60"/>
        <v>413.25</v>
      </c>
      <c r="K463" s="23">
        <f t="shared" si="61"/>
        <v>893</v>
      </c>
      <c r="L463" s="23">
        <f t="shared" si="55"/>
        <v>821.83333333333337</v>
      </c>
      <c r="M463" s="23">
        <f t="shared" si="54"/>
        <v>897.66666666666663</v>
      </c>
      <c r="N463" s="25">
        <f t="shared" si="56"/>
        <v>0.31478968792401629</v>
      </c>
      <c r="O463" s="25">
        <f t="shared" si="62"/>
        <v>0.1790711823159602</v>
      </c>
    </row>
    <row r="464" spans="1:15" x14ac:dyDescent="0.25">
      <c r="A464" s="15" t="s">
        <v>26</v>
      </c>
      <c r="B464" s="20">
        <v>37569</v>
      </c>
      <c r="C464" s="15">
        <v>742</v>
      </c>
      <c r="D464" s="15">
        <v>23</v>
      </c>
      <c r="E464" s="15">
        <v>278</v>
      </c>
      <c r="F464" s="21">
        <f t="shared" si="57"/>
        <v>1043</v>
      </c>
      <c r="G464" s="18">
        <v>45</v>
      </c>
      <c r="H464" s="22">
        <f t="shared" si="58"/>
        <v>528.5</v>
      </c>
      <c r="I464" s="22">
        <f t="shared" si="59"/>
        <v>15</v>
      </c>
      <c r="J464" s="22">
        <f t="shared" si="60"/>
        <v>385.5</v>
      </c>
      <c r="K464" s="23">
        <f t="shared" si="61"/>
        <v>929</v>
      </c>
      <c r="L464" s="23">
        <f t="shared" si="55"/>
        <v>888</v>
      </c>
      <c r="M464" s="23">
        <f t="shared" si="54"/>
        <v>985.33333333333337</v>
      </c>
      <c r="N464" s="25">
        <f t="shared" si="56"/>
        <v>0.32360406091370558</v>
      </c>
      <c r="O464" s="25">
        <f t="shared" si="62"/>
        <v>0.17454954954954954</v>
      </c>
    </row>
    <row r="465" spans="1:15" x14ac:dyDescent="0.25">
      <c r="A465" s="15" t="s">
        <v>26</v>
      </c>
      <c r="B465" s="20">
        <v>37576</v>
      </c>
      <c r="C465" s="15">
        <v>792</v>
      </c>
      <c r="D465" s="15">
        <v>21</v>
      </c>
      <c r="E465" s="15">
        <v>200</v>
      </c>
      <c r="F465" s="21">
        <f t="shared" si="57"/>
        <v>1013</v>
      </c>
      <c r="G465" s="18">
        <v>46</v>
      </c>
      <c r="H465" s="22">
        <f t="shared" si="58"/>
        <v>635</v>
      </c>
      <c r="I465" s="22">
        <f t="shared" si="59"/>
        <v>17.5</v>
      </c>
      <c r="J465" s="22">
        <f t="shared" si="60"/>
        <v>333</v>
      </c>
      <c r="K465" s="23">
        <f t="shared" si="61"/>
        <v>985.5</v>
      </c>
      <c r="L465" s="23">
        <f t="shared" si="55"/>
        <v>895.16666666666663</v>
      </c>
      <c r="M465" s="23">
        <f t="shared" si="54"/>
        <v>807.33333333333337</v>
      </c>
      <c r="N465" s="25">
        <f t="shared" si="56"/>
        <v>0.37823129251700682</v>
      </c>
      <c r="O465" s="25">
        <f t="shared" si="62"/>
        <v>0.13163284304598777</v>
      </c>
    </row>
    <row r="466" spans="1:15" x14ac:dyDescent="0.25">
      <c r="A466" s="15" t="s">
        <v>26</v>
      </c>
      <c r="B466" s="20">
        <v>37583</v>
      </c>
      <c r="C466" s="15">
        <v>1088</v>
      </c>
      <c r="D466" s="15">
        <v>11</v>
      </c>
      <c r="E466" s="15">
        <v>289</v>
      </c>
      <c r="F466" s="21">
        <f t="shared" si="57"/>
        <v>1388</v>
      </c>
      <c r="G466" s="18">
        <v>47</v>
      </c>
      <c r="H466" s="22">
        <f t="shared" si="58"/>
        <v>797.75</v>
      </c>
      <c r="I466" s="22">
        <f t="shared" si="59"/>
        <v>16</v>
      </c>
      <c r="J466" s="22">
        <f t="shared" si="60"/>
        <v>289.5</v>
      </c>
      <c r="K466" s="23">
        <f t="shared" si="61"/>
        <v>1103.25</v>
      </c>
      <c r="L466" s="23">
        <f t="shared" si="55"/>
        <v>871.5</v>
      </c>
      <c r="M466" s="23">
        <f t="shared" si="54"/>
        <v>795.66666666666663</v>
      </c>
      <c r="N466" s="25">
        <f t="shared" si="56"/>
        <v>0.50054054054054054</v>
      </c>
      <c r="O466" s="25">
        <f t="shared" si="62"/>
        <v>0.59265633964429143</v>
      </c>
    </row>
    <row r="467" spans="1:15" x14ac:dyDescent="0.25">
      <c r="A467" s="15" t="s">
        <v>26</v>
      </c>
      <c r="B467" s="20">
        <v>37590</v>
      </c>
      <c r="C467" s="15">
        <v>768</v>
      </c>
      <c r="D467" s="15">
        <v>22</v>
      </c>
      <c r="E467" s="15">
        <v>239</v>
      </c>
      <c r="F467" s="21">
        <f t="shared" si="57"/>
        <v>1029</v>
      </c>
      <c r="G467" s="18">
        <v>48</v>
      </c>
      <c r="H467" s="22">
        <f t="shared" si="58"/>
        <v>847.5</v>
      </c>
      <c r="I467" s="22">
        <f t="shared" si="59"/>
        <v>19.25</v>
      </c>
      <c r="J467" s="22">
        <f t="shared" si="60"/>
        <v>251.5</v>
      </c>
      <c r="K467" s="23">
        <f t="shared" si="61"/>
        <v>1118.25</v>
      </c>
      <c r="L467" s="23">
        <f t="shared" si="55"/>
        <v>915</v>
      </c>
      <c r="M467" s="23">
        <f t="shared" si="54"/>
        <v>1071.6666666666667</v>
      </c>
      <c r="N467" s="25">
        <f t="shared" si="56"/>
        <v>-6.6243194192377494E-2</v>
      </c>
      <c r="O467" s="25">
        <f t="shared" si="62"/>
        <v>0.12459016393442623</v>
      </c>
    </row>
    <row r="468" spans="1:15" x14ac:dyDescent="0.25">
      <c r="A468" s="15" t="s">
        <v>15</v>
      </c>
      <c r="B468" s="20">
        <v>37597</v>
      </c>
      <c r="C468" s="15">
        <v>1034</v>
      </c>
      <c r="D468" s="15">
        <v>35</v>
      </c>
      <c r="E468" s="15">
        <v>304</v>
      </c>
      <c r="F468" s="21">
        <f t="shared" si="57"/>
        <v>1373</v>
      </c>
      <c r="G468" s="18">
        <v>49</v>
      </c>
      <c r="H468" s="22">
        <f t="shared" si="58"/>
        <v>920.5</v>
      </c>
      <c r="I468" s="22">
        <f t="shared" si="59"/>
        <v>22.25</v>
      </c>
      <c r="J468" s="22">
        <f t="shared" si="60"/>
        <v>258</v>
      </c>
      <c r="K468" s="23">
        <f t="shared" si="61"/>
        <v>1200.75</v>
      </c>
      <c r="L468" s="23">
        <f t="shared" si="55"/>
        <v>937.83333333333337</v>
      </c>
      <c r="M468" s="23">
        <f t="shared" ref="M468:M531" si="63">AVERAGE(F312+F364+F416)/3</f>
        <v>1076.6666666666667</v>
      </c>
      <c r="N468" s="25">
        <f t="shared" si="56"/>
        <v>0.33951219512195124</v>
      </c>
      <c r="O468" s="25">
        <f t="shared" si="62"/>
        <v>0.46401279545050644</v>
      </c>
    </row>
    <row r="469" spans="1:15" x14ac:dyDescent="0.25">
      <c r="A469" s="15" t="s">
        <v>15</v>
      </c>
      <c r="B469" s="20">
        <v>37604</v>
      </c>
      <c r="C469" s="15">
        <v>804</v>
      </c>
      <c r="D469" s="15">
        <v>36</v>
      </c>
      <c r="E469" s="15">
        <v>321</v>
      </c>
      <c r="F469" s="21">
        <f t="shared" si="57"/>
        <v>1161</v>
      </c>
      <c r="G469" s="18">
        <v>50</v>
      </c>
      <c r="H469" s="22">
        <f t="shared" si="58"/>
        <v>923.5</v>
      </c>
      <c r="I469" s="22">
        <f t="shared" si="59"/>
        <v>26</v>
      </c>
      <c r="J469" s="22">
        <f t="shared" si="60"/>
        <v>288.25</v>
      </c>
      <c r="K469" s="23">
        <f t="shared" si="61"/>
        <v>1237.75</v>
      </c>
      <c r="L469" s="23">
        <f t="shared" si="55"/>
        <v>928.91666666666663</v>
      </c>
      <c r="M469" s="23">
        <f t="shared" si="63"/>
        <v>771.66666666666663</v>
      </c>
      <c r="N469" s="25">
        <f t="shared" si="56"/>
        <v>0.26058631921824105</v>
      </c>
      <c r="O469" s="25">
        <f t="shared" si="62"/>
        <v>0.24984300708710869</v>
      </c>
    </row>
    <row r="470" spans="1:15" x14ac:dyDescent="0.25">
      <c r="A470" s="15" t="s">
        <v>15</v>
      </c>
      <c r="B470" s="20">
        <v>37611</v>
      </c>
      <c r="C470" s="15">
        <v>572</v>
      </c>
      <c r="D470" s="15">
        <v>6</v>
      </c>
      <c r="E470" s="15">
        <v>156</v>
      </c>
      <c r="F470" s="21">
        <f t="shared" si="57"/>
        <v>734</v>
      </c>
      <c r="G470" s="18">
        <v>51</v>
      </c>
      <c r="H470" s="22">
        <f t="shared" si="58"/>
        <v>794.5</v>
      </c>
      <c r="I470" s="22">
        <f t="shared" si="59"/>
        <v>24.75</v>
      </c>
      <c r="J470" s="22">
        <f t="shared" si="60"/>
        <v>255</v>
      </c>
      <c r="K470" s="23">
        <f t="shared" si="61"/>
        <v>1074.25</v>
      </c>
      <c r="L470" s="23">
        <f t="shared" si="55"/>
        <v>901.66666666666663</v>
      </c>
      <c r="M470" s="23">
        <f t="shared" si="63"/>
        <v>686.66666666666663</v>
      </c>
      <c r="N470" s="25">
        <f t="shared" si="56"/>
        <v>-0.23060796645702306</v>
      </c>
      <c r="O470" s="25">
        <f t="shared" si="62"/>
        <v>-0.18595194085027722</v>
      </c>
    </row>
    <row r="471" spans="1:15" x14ac:dyDescent="0.25">
      <c r="A471" s="15" t="s">
        <v>15</v>
      </c>
      <c r="B471" s="20">
        <v>37618</v>
      </c>
      <c r="C471" s="15">
        <v>450</v>
      </c>
      <c r="D471" s="15">
        <v>8</v>
      </c>
      <c r="E471" s="15">
        <v>103</v>
      </c>
      <c r="F471" s="21">
        <f t="shared" si="57"/>
        <v>561</v>
      </c>
      <c r="G471" s="18">
        <v>52</v>
      </c>
      <c r="H471" s="22">
        <f t="shared" si="58"/>
        <v>715</v>
      </c>
      <c r="I471" s="22">
        <f t="shared" si="59"/>
        <v>21.25</v>
      </c>
      <c r="J471" s="22">
        <f t="shared" si="60"/>
        <v>221</v>
      </c>
      <c r="K471" s="23">
        <f t="shared" si="61"/>
        <v>957.25</v>
      </c>
      <c r="L471" s="23">
        <f t="shared" si="55"/>
        <v>763.08333333333337</v>
      </c>
      <c r="M471" s="23">
        <f t="shared" si="63"/>
        <v>517.33333333333337</v>
      </c>
      <c r="N471" s="25">
        <f t="shared" si="56"/>
        <v>-0.15639097744360902</v>
      </c>
      <c r="O471" s="25">
        <f t="shared" si="62"/>
        <v>-0.26482472425466858</v>
      </c>
    </row>
    <row r="472" spans="1:15" x14ac:dyDescent="0.25">
      <c r="A472" s="15" t="s">
        <v>16</v>
      </c>
      <c r="B472" s="20">
        <v>37625</v>
      </c>
      <c r="C472" s="15">
        <v>367</v>
      </c>
      <c r="D472" s="15">
        <v>8</v>
      </c>
      <c r="E472" s="15">
        <v>121</v>
      </c>
      <c r="F472" s="21">
        <f t="shared" si="57"/>
        <v>496</v>
      </c>
      <c r="G472" s="18">
        <v>1</v>
      </c>
      <c r="H472" s="22">
        <f t="shared" si="58"/>
        <v>548.25</v>
      </c>
      <c r="I472" s="22">
        <f t="shared" si="59"/>
        <v>14.5</v>
      </c>
      <c r="J472" s="22">
        <f t="shared" si="60"/>
        <v>175.25</v>
      </c>
      <c r="K472" s="23">
        <f t="shared" si="61"/>
        <v>738</v>
      </c>
      <c r="L472" s="23">
        <f t="shared" si="55"/>
        <v>592.66666666666663</v>
      </c>
      <c r="M472" s="23">
        <f t="shared" si="63"/>
        <v>395</v>
      </c>
      <c r="N472" s="25">
        <f t="shared" si="56"/>
        <v>0.18660287081339713</v>
      </c>
      <c r="O472" s="25">
        <f t="shared" si="62"/>
        <v>-0.1631046119235095</v>
      </c>
    </row>
    <row r="473" spans="1:15" x14ac:dyDescent="0.25">
      <c r="A473" s="15" t="s">
        <v>16</v>
      </c>
      <c r="B473" s="20">
        <v>37632</v>
      </c>
      <c r="C473" s="15">
        <v>446</v>
      </c>
      <c r="D473" s="15">
        <v>26</v>
      </c>
      <c r="E473" s="15">
        <v>164</v>
      </c>
      <c r="F473" s="21">
        <f t="shared" si="57"/>
        <v>636</v>
      </c>
      <c r="G473" s="18">
        <v>2</v>
      </c>
      <c r="H473" s="22">
        <f t="shared" si="58"/>
        <v>458.75</v>
      </c>
      <c r="I473" s="22">
        <f t="shared" si="59"/>
        <v>12</v>
      </c>
      <c r="J473" s="22">
        <f t="shared" si="60"/>
        <v>136</v>
      </c>
      <c r="K473" s="23">
        <f t="shared" si="61"/>
        <v>606.75</v>
      </c>
      <c r="L473" s="23">
        <f t="shared" si="55"/>
        <v>520.5</v>
      </c>
      <c r="M473" s="23">
        <f t="shared" si="63"/>
        <v>483</v>
      </c>
      <c r="N473" s="25">
        <f t="shared" si="56"/>
        <v>0.15846994535519127</v>
      </c>
      <c r="O473" s="25">
        <f t="shared" si="62"/>
        <v>0.22190201729106629</v>
      </c>
    </row>
    <row r="474" spans="1:15" x14ac:dyDescent="0.25">
      <c r="A474" s="15" t="s">
        <v>16</v>
      </c>
      <c r="B474" s="20">
        <v>37639</v>
      </c>
      <c r="C474" s="15">
        <v>433</v>
      </c>
      <c r="D474" s="15">
        <v>1</v>
      </c>
      <c r="E474" s="15">
        <v>251</v>
      </c>
      <c r="F474" s="21">
        <f t="shared" si="57"/>
        <v>685</v>
      </c>
      <c r="G474" s="18">
        <v>3</v>
      </c>
      <c r="H474" s="22">
        <f t="shared" si="58"/>
        <v>424</v>
      </c>
      <c r="I474" s="22">
        <f t="shared" si="59"/>
        <v>10.75</v>
      </c>
      <c r="J474" s="22">
        <f t="shared" si="60"/>
        <v>159.75</v>
      </c>
      <c r="K474" s="23">
        <f t="shared" si="61"/>
        <v>594.5</v>
      </c>
      <c r="L474" s="23">
        <f t="shared" si="55"/>
        <v>475.16666666666669</v>
      </c>
      <c r="M474" s="23">
        <f t="shared" si="63"/>
        <v>505.33333333333331</v>
      </c>
      <c r="N474" s="25">
        <f t="shared" si="56"/>
        <v>0.1551433389544688</v>
      </c>
      <c r="O474" s="25">
        <f t="shared" si="62"/>
        <v>0.44159943879340574</v>
      </c>
    </row>
    <row r="475" spans="1:15" x14ac:dyDescent="0.25">
      <c r="A475" s="15" t="s">
        <v>16</v>
      </c>
      <c r="B475" s="20">
        <v>37646</v>
      </c>
      <c r="C475" s="15">
        <v>346</v>
      </c>
      <c r="D475" s="15">
        <v>11</v>
      </c>
      <c r="E475" s="15">
        <v>94</v>
      </c>
      <c r="F475" s="21">
        <f t="shared" si="57"/>
        <v>451</v>
      </c>
      <c r="G475" s="18">
        <v>4</v>
      </c>
      <c r="H475" s="22">
        <f t="shared" si="58"/>
        <v>398</v>
      </c>
      <c r="I475" s="22">
        <f t="shared" si="59"/>
        <v>11.5</v>
      </c>
      <c r="J475" s="22">
        <f t="shared" si="60"/>
        <v>157.5</v>
      </c>
      <c r="K475" s="23">
        <f t="shared" si="61"/>
        <v>567</v>
      </c>
      <c r="L475" s="23">
        <f t="shared" si="55"/>
        <v>464.5</v>
      </c>
      <c r="M475" s="23">
        <f t="shared" si="63"/>
        <v>474.66666666666669</v>
      </c>
      <c r="N475" s="25">
        <f t="shared" si="56"/>
        <v>-0.31145038167938932</v>
      </c>
      <c r="O475" s="25">
        <f t="shared" si="62"/>
        <v>-2.9063509149623249E-2</v>
      </c>
    </row>
    <row r="476" spans="1:15" x14ac:dyDescent="0.25">
      <c r="A476" s="15" t="s">
        <v>16</v>
      </c>
      <c r="B476" s="20">
        <v>37653</v>
      </c>
      <c r="C476" s="15">
        <v>231</v>
      </c>
      <c r="D476" s="15">
        <v>2</v>
      </c>
      <c r="E476" s="15">
        <v>159</v>
      </c>
      <c r="F476" s="21">
        <f t="shared" si="57"/>
        <v>392</v>
      </c>
      <c r="G476" s="18">
        <v>5</v>
      </c>
      <c r="H476" s="22">
        <f t="shared" si="58"/>
        <v>364</v>
      </c>
      <c r="I476" s="22">
        <f t="shared" si="59"/>
        <v>10</v>
      </c>
      <c r="J476" s="22">
        <f t="shared" si="60"/>
        <v>167</v>
      </c>
      <c r="K476" s="23">
        <f t="shared" si="61"/>
        <v>541</v>
      </c>
      <c r="L476" s="23">
        <f t="shared" si="55"/>
        <v>500.83333333333331</v>
      </c>
      <c r="M476" s="23">
        <f t="shared" si="63"/>
        <v>540.33333333333337</v>
      </c>
      <c r="N476" s="25">
        <f t="shared" si="56"/>
        <v>-0.16772823779193205</v>
      </c>
      <c r="O476" s="25">
        <f t="shared" si="62"/>
        <v>-0.21730449251247916</v>
      </c>
    </row>
    <row r="477" spans="1:15" x14ac:dyDescent="0.25">
      <c r="A477" s="15" t="s">
        <v>23</v>
      </c>
      <c r="B477" s="20">
        <v>37660</v>
      </c>
      <c r="C477" s="15">
        <v>263</v>
      </c>
      <c r="D477" s="15">
        <v>5</v>
      </c>
      <c r="E477" s="15">
        <v>121</v>
      </c>
      <c r="F477" s="21">
        <f t="shared" si="57"/>
        <v>389</v>
      </c>
      <c r="G477" s="18">
        <v>6</v>
      </c>
      <c r="H477" s="22">
        <f t="shared" si="58"/>
        <v>318.25</v>
      </c>
      <c r="I477" s="22">
        <f t="shared" si="59"/>
        <v>4.75</v>
      </c>
      <c r="J477" s="22">
        <f t="shared" si="60"/>
        <v>156.25</v>
      </c>
      <c r="K477" s="23">
        <f t="shared" si="61"/>
        <v>479.25</v>
      </c>
      <c r="L477" s="23">
        <f t="shared" si="55"/>
        <v>514.75</v>
      </c>
      <c r="M477" s="23">
        <f t="shared" si="63"/>
        <v>538.66666666666663</v>
      </c>
      <c r="N477" s="25">
        <f t="shared" si="56"/>
        <v>-0.34731543624161076</v>
      </c>
      <c r="O477" s="25">
        <f t="shared" si="62"/>
        <v>-0.24429334628460417</v>
      </c>
    </row>
    <row r="478" spans="1:15" x14ac:dyDescent="0.25">
      <c r="A478" s="15" t="s">
        <v>23</v>
      </c>
      <c r="B478" s="20">
        <v>37667</v>
      </c>
      <c r="C478" s="15">
        <v>304</v>
      </c>
      <c r="D478" s="15">
        <v>11</v>
      </c>
      <c r="E478" s="15">
        <v>115</v>
      </c>
      <c r="F478" s="21">
        <f t="shared" si="57"/>
        <v>430</v>
      </c>
      <c r="G478" s="18">
        <v>7</v>
      </c>
      <c r="H478" s="22">
        <f t="shared" si="58"/>
        <v>286</v>
      </c>
      <c r="I478" s="22">
        <f t="shared" si="59"/>
        <v>7.25</v>
      </c>
      <c r="J478" s="22">
        <f t="shared" si="60"/>
        <v>122.25</v>
      </c>
      <c r="K478" s="23">
        <f t="shared" si="61"/>
        <v>415.5</v>
      </c>
      <c r="L478" s="23">
        <f t="shared" si="55"/>
        <v>538</v>
      </c>
      <c r="M478" s="23">
        <f t="shared" si="63"/>
        <v>598.33333333333337</v>
      </c>
      <c r="N478" s="25">
        <f t="shared" si="56"/>
        <v>-0.30081300813008133</v>
      </c>
      <c r="O478" s="25">
        <f t="shared" si="62"/>
        <v>-0.20074349442379183</v>
      </c>
    </row>
    <row r="479" spans="1:15" x14ac:dyDescent="0.25">
      <c r="A479" s="15" t="s">
        <v>23</v>
      </c>
      <c r="B479" s="20">
        <v>37674</v>
      </c>
      <c r="C479" s="15">
        <v>323</v>
      </c>
      <c r="D479" s="15">
        <v>3</v>
      </c>
      <c r="E479" s="15">
        <v>115</v>
      </c>
      <c r="F479" s="21">
        <f t="shared" si="57"/>
        <v>441</v>
      </c>
      <c r="G479" s="18">
        <v>8</v>
      </c>
      <c r="H479" s="22">
        <f t="shared" si="58"/>
        <v>280.25</v>
      </c>
      <c r="I479" s="22">
        <f t="shared" si="59"/>
        <v>5.25</v>
      </c>
      <c r="J479" s="22">
        <f t="shared" si="60"/>
        <v>127.5</v>
      </c>
      <c r="K479" s="23">
        <f t="shared" si="61"/>
        <v>413</v>
      </c>
      <c r="L479" s="23">
        <f t="shared" si="55"/>
        <v>559.75</v>
      </c>
      <c r="M479" s="23">
        <f t="shared" si="63"/>
        <v>561.66666666666663</v>
      </c>
      <c r="N479" s="25">
        <f t="shared" si="56"/>
        <v>-0.19378427787934185</v>
      </c>
      <c r="O479" s="25">
        <f t="shared" si="62"/>
        <v>-0.2121482804823582</v>
      </c>
    </row>
    <row r="480" spans="1:15" x14ac:dyDescent="0.25">
      <c r="A480" s="15" t="s">
        <v>23</v>
      </c>
      <c r="B480" s="20">
        <v>37681</v>
      </c>
      <c r="C480" s="15">
        <v>363</v>
      </c>
      <c r="D480" s="15">
        <v>15</v>
      </c>
      <c r="E480" s="15">
        <v>87</v>
      </c>
      <c r="F480" s="21">
        <f t="shared" si="57"/>
        <v>465</v>
      </c>
      <c r="G480" s="18">
        <v>9</v>
      </c>
      <c r="H480" s="22">
        <f t="shared" si="58"/>
        <v>313.25</v>
      </c>
      <c r="I480" s="22">
        <f t="shared" si="59"/>
        <v>8.5</v>
      </c>
      <c r="J480" s="22">
        <f t="shared" si="60"/>
        <v>109.5</v>
      </c>
      <c r="K480" s="23">
        <f t="shared" si="61"/>
        <v>431.25</v>
      </c>
      <c r="L480" s="23">
        <f t="shared" si="55"/>
        <v>567.91666666666663</v>
      </c>
      <c r="M480" s="23">
        <f t="shared" si="63"/>
        <v>573</v>
      </c>
      <c r="N480" s="25">
        <f t="shared" si="56"/>
        <v>-0.18563922942206654</v>
      </c>
      <c r="O480" s="25">
        <f t="shared" si="62"/>
        <v>-0.18121790168745408</v>
      </c>
    </row>
    <row r="481" spans="1:15" x14ac:dyDescent="0.25">
      <c r="A481" s="15" t="s">
        <v>27</v>
      </c>
      <c r="B481" s="20">
        <v>37688</v>
      </c>
      <c r="C481" s="15">
        <v>507</v>
      </c>
      <c r="D481" s="15">
        <v>16</v>
      </c>
      <c r="E481" s="15">
        <v>132</v>
      </c>
      <c r="F481" s="21">
        <f t="shared" si="57"/>
        <v>655</v>
      </c>
      <c r="G481" s="18">
        <v>10</v>
      </c>
      <c r="H481" s="22">
        <f t="shared" si="58"/>
        <v>374.25</v>
      </c>
      <c r="I481" s="22">
        <f t="shared" si="59"/>
        <v>11.25</v>
      </c>
      <c r="J481" s="22">
        <f t="shared" si="60"/>
        <v>112.25</v>
      </c>
      <c r="K481" s="23">
        <f t="shared" si="61"/>
        <v>497.75</v>
      </c>
      <c r="L481" s="23">
        <f t="shared" si="55"/>
        <v>589.08333333333337</v>
      </c>
      <c r="M481" s="23">
        <f t="shared" si="63"/>
        <v>623.33333333333337</v>
      </c>
      <c r="N481" s="25">
        <f t="shared" si="56"/>
        <v>0.29960317460317459</v>
      </c>
      <c r="O481" s="25">
        <f t="shared" si="62"/>
        <v>0.11189701513651146</v>
      </c>
    </row>
    <row r="482" spans="1:15" x14ac:dyDescent="0.25">
      <c r="A482" s="15" t="s">
        <v>27</v>
      </c>
      <c r="B482" s="20">
        <v>37695</v>
      </c>
      <c r="C482" s="15">
        <v>414</v>
      </c>
      <c r="D482" s="15">
        <v>8</v>
      </c>
      <c r="E482" s="15">
        <v>79</v>
      </c>
      <c r="F482" s="21">
        <f t="shared" si="57"/>
        <v>501</v>
      </c>
      <c r="G482" s="18">
        <v>11</v>
      </c>
      <c r="H482" s="22">
        <f t="shared" si="58"/>
        <v>401.75</v>
      </c>
      <c r="I482" s="22">
        <f t="shared" si="59"/>
        <v>10.5</v>
      </c>
      <c r="J482" s="22">
        <f t="shared" si="60"/>
        <v>103.25</v>
      </c>
      <c r="K482" s="23">
        <f t="shared" si="61"/>
        <v>515.5</v>
      </c>
      <c r="L482" s="23">
        <f t="shared" si="55"/>
        <v>613.5</v>
      </c>
      <c r="M482" s="23">
        <f t="shared" si="63"/>
        <v>696</v>
      </c>
      <c r="N482" s="25">
        <f t="shared" si="56"/>
        <v>-0.13620689655172413</v>
      </c>
      <c r="O482" s="25">
        <f t="shared" si="62"/>
        <v>-0.18337408312958436</v>
      </c>
    </row>
    <row r="483" spans="1:15" x14ac:dyDescent="0.25">
      <c r="A483" s="15" t="s">
        <v>27</v>
      </c>
      <c r="B483" s="20">
        <v>37702</v>
      </c>
      <c r="C483" s="15">
        <v>443</v>
      </c>
      <c r="D483" s="15">
        <v>8</v>
      </c>
      <c r="E483" s="15">
        <v>84</v>
      </c>
      <c r="F483" s="21">
        <f t="shared" si="57"/>
        <v>535</v>
      </c>
      <c r="G483" s="18">
        <v>12</v>
      </c>
      <c r="H483" s="22">
        <f t="shared" si="58"/>
        <v>431.75</v>
      </c>
      <c r="I483" s="22">
        <f t="shared" si="59"/>
        <v>11.75</v>
      </c>
      <c r="J483" s="22">
        <f t="shared" si="60"/>
        <v>95.5</v>
      </c>
      <c r="K483" s="23">
        <f t="shared" si="61"/>
        <v>539</v>
      </c>
      <c r="L483" s="23">
        <f t="shared" si="55"/>
        <v>655.5</v>
      </c>
      <c r="M483" s="23">
        <f t="shared" si="63"/>
        <v>729.66666666666663</v>
      </c>
      <c r="N483" s="25">
        <f t="shared" si="56"/>
        <v>-0.3193384223918575</v>
      </c>
      <c r="O483" s="25">
        <f t="shared" si="62"/>
        <v>-0.18382913806254766</v>
      </c>
    </row>
    <row r="484" spans="1:15" x14ac:dyDescent="0.25">
      <c r="A484" s="15" t="s">
        <v>27</v>
      </c>
      <c r="B484" s="20">
        <v>37709</v>
      </c>
      <c r="C484" s="15">
        <v>683</v>
      </c>
      <c r="D484" s="15">
        <v>15</v>
      </c>
      <c r="E484" s="15">
        <v>111</v>
      </c>
      <c r="F484" s="21">
        <f t="shared" si="57"/>
        <v>809</v>
      </c>
      <c r="G484" s="18">
        <v>13</v>
      </c>
      <c r="H484" s="22">
        <f t="shared" si="58"/>
        <v>511.75</v>
      </c>
      <c r="I484" s="22">
        <f t="shared" si="59"/>
        <v>11.75</v>
      </c>
      <c r="J484" s="22">
        <f t="shared" si="60"/>
        <v>101.5</v>
      </c>
      <c r="K484" s="23">
        <f t="shared" si="61"/>
        <v>625</v>
      </c>
      <c r="L484" s="23">
        <f t="shared" si="55"/>
        <v>687.91666666666663</v>
      </c>
      <c r="M484" s="23">
        <f t="shared" si="63"/>
        <v>702.66666666666663</v>
      </c>
      <c r="N484" s="25">
        <f t="shared" si="56"/>
        <v>-0.16597938144329896</v>
      </c>
      <c r="O484" s="25">
        <f t="shared" si="62"/>
        <v>0.17601453664445796</v>
      </c>
    </row>
    <row r="485" spans="1:15" x14ac:dyDescent="0.25">
      <c r="A485" s="15" t="s">
        <v>14</v>
      </c>
      <c r="B485" s="20">
        <v>37716</v>
      </c>
      <c r="C485" s="15">
        <v>675</v>
      </c>
      <c r="D485" s="15">
        <v>14</v>
      </c>
      <c r="E485" s="15">
        <v>135</v>
      </c>
      <c r="F485" s="21">
        <f t="shared" si="57"/>
        <v>824</v>
      </c>
      <c r="G485" s="18">
        <v>14</v>
      </c>
      <c r="H485" s="22">
        <f t="shared" si="58"/>
        <v>553.75</v>
      </c>
      <c r="I485" s="22">
        <f t="shared" si="59"/>
        <v>11.25</v>
      </c>
      <c r="J485" s="22">
        <f t="shared" si="60"/>
        <v>102.25</v>
      </c>
      <c r="K485" s="23">
        <f t="shared" si="61"/>
        <v>667.25</v>
      </c>
      <c r="L485" s="23">
        <f t="shared" si="55"/>
        <v>724.25</v>
      </c>
      <c r="M485" s="23">
        <f t="shared" si="63"/>
        <v>768.66666666666663</v>
      </c>
      <c r="N485" s="25">
        <f t="shared" si="56"/>
        <v>-3.8506417736289385E-2</v>
      </c>
      <c r="O485" s="25">
        <f t="shared" si="62"/>
        <v>0.13772868484639281</v>
      </c>
    </row>
    <row r="486" spans="1:15" x14ac:dyDescent="0.25">
      <c r="A486" s="15" t="s">
        <v>14</v>
      </c>
      <c r="B486" s="20">
        <v>37723</v>
      </c>
      <c r="C486" s="15">
        <v>596</v>
      </c>
      <c r="D486" s="15">
        <v>3</v>
      </c>
      <c r="E486" s="15">
        <v>162</v>
      </c>
      <c r="F486" s="21">
        <f t="shared" si="57"/>
        <v>761</v>
      </c>
      <c r="G486" s="18">
        <v>15</v>
      </c>
      <c r="H486" s="22">
        <f t="shared" si="58"/>
        <v>599.25</v>
      </c>
      <c r="I486" s="22">
        <f t="shared" si="59"/>
        <v>10</v>
      </c>
      <c r="J486" s="22">
        <f t="shared" si="60"/>
        <v>123</v>
      </c>
      <c r="K486" s="23">
        <f t="shared" si="61"/>
        <v>732.25</v>
      </c>
      <c r="L486" s="23">
        <f t="shared" si="55"/>
        <v>832.16666666666663</v>
      </c>
      <c r="M486" s="23">
        <f t="shared" si="63"/>
        <v>1127.6666666666667</v>
      </c>
      <c r="N486" s="25">
        <f t="shared" si="56"/>
        <v>-0.2226762002042901</v>
      </c>
      <c r="O486" s="25">
        <f t="shared" si="62"/>
        <v>-8.5519727618666094E-2</v>
      </c>
    </row>
    <row r="487" spans="1:15" x14ac:dyDescent="0.25">
      <c r="A487" s="15" t="s">
        <v>14</v>
      </c>
      <c r="B487" s="20">
        <v>37730</v>
      </c>
      <c r="C487" s="15">
        <v>498</v>
      </c>
      <c r="D487" s="15">
        <v>9</v>
      </c>
      <c r="E487" s="15">
        <v>191</v>
      </c>
      <c r="F487" s="21">
        <f t="shared" si="57"/>
        <v>698</v>
      </c>
      <c r="G487" s="18">
        <v>16</v>
      </c>
      <c r="H487" s="22">
        <f t="shared" si="58"/>
        <v>613</v>
      </c>
      <c r="I487" s="22">
        <f t="shared" si="59"/>
        <v>10.25</v>
      </c>
      <c r="J487" s="22">
        <f t="shared" si="60"/>
        <v>149.75</v>
      </c>
      <c r="K487" s="23">
        <f t="shared" si="61"/>
        <v>773</v>
      </c>
      <c r="L487" s="23">
        <f t="shared" si="55"/>
        <v>874.33333333333337</v>
      </c>
      <c r="M487" s="23">
        <f t="shared" si="63"/>
        <v>898.33333333333337</v>
      </c>
      <c r="N487" s="25">
        <f t="shared" si="56"/>
        <v>-0.31366764995083579</v>
      </c>
      <c r="O487" s="25">
        <f t="shared" si="62"/>
        <v>-0.20167746854746477</v>
      </c>
    </row>
    <row r="488" spans="1:15" x14ac:dyDescent="0.25">
      <c r="A488" s="15" t="s">
        <v>14</v>
      </c>
      <c r="B488" s="20">
        <v>37737</v>
      </c>
      <c r="C488" s="15">
        <v>627</v>
      </c>
      <c r="D488" s="15">
        <v>8</v>
      </c>
      <c r="E488" s="15">
        <v>154</v>
      </c>
      <c r="F488" s="21">
        <f t="shared" si="57"/>
        <v>789</v>
      </c>
      <c r="G488" s="18">
        <v>17</v>
      </c>
      <c r="H488" s="22">
        <f t="shared" si="58"/>
        <v>599</v>
      </c>
      <c r="I488" s="22">
        <f t="shared" si="59"/>
        <v>8.5</v>
      </c>
      <c r="J488" s="22">
        <f t="shared" si="60"/>
        <v>160.5</v>
      </c>
      <c r="K488" s="23">
        <f t="shared" si="61"/>
        <v>768</v>
      </c>
      <c r="L488" s="23">
        <f t="shared" si="55"/>
        <v>862.66666666666663</v>
      </c>
      <c r="M488" s="23">
        <f t="shared" si="63"/>
        <v>656</v>
      </c>
      <c r="N488" s="25">
        <f t="shared" si="56"/>
        <v>8.827586206896551E-2</v>
      </c>
      <c r="O488" s="25">
        <f t="shared" si="62"/>
        <v>-8.5394126738794401E-2</v>
      </c>
    </row>
    <row r="489" spans="1:15" x14ac:dyDescent="0.25">
      <c r="A489" s="39" t="s">
        <v>5</v>
      </c>
      <c r="B489" s="20">
        <v>37744</v>
      </c>
      <c r="C489" s="15">
        <v>543</v>
      </c>
      <c r="D489" s="15">
        <v>36</v>
      </c>
      <c r="E489" s="15">
        <v>93</v>
      </c>
      <c r="F489" s="21">
        <f t="shared" si="57"/>
        <v>672</v>
      </c>
      <c r="G489" s="18">
        <v>18</v>
      </c>
      <c r="H489" s="22">
        <f t="shared" si="58"/>
        <v>566</v>
      </c>
      <c r="I489" s="22">
        <f t="shared" si="59"/>
        <v>14</v>
      </c>
      <c r="J489" s="22">
        <f t="shared" si="60"/>
        <v>150</v>
      </c>
      <c r="K489" s="23">
        <f t="shared" si="61"/>
        <v>730</v>
      </c>
      <c r="L489" s="23">
        <f t="shared" si="55"/>
        <v>839</v>
      </c>
      <c r="M489" s="23">
        <f t="shared" si="63"/>
        <v>674</v>
      </c>
      <c r="N489" s="25">
        <f t="shared" si="56"/>
        <v>-5.4852320675105488E-2</v>
      </c>
      <c r="O489" s="25">
        <f t="shared" si="62"/>
        <v>-0.19904648390941598</v>
      </c>
    </row>
    <row r="490" spans="1:15" x14ac:dyDescent="0.25">
      <c r="A490" s="15" t="s">
        <v>5</v>
      </c>
      <c r="B490" s="20">
        <v>37751</v>
      </c>
      <c r="C490" s="15">
        <v>482</v>
      </c>
      <c r="D490" s="15">
        <v>15</v>
      </c>
      <c r="E490" s="15">
        <v>105</v>
      </c>
      <c r="F490" s="21">
        <f t="shared" si="57"/>
        <v>602</v>
      </c>
      <c r="G490" s="18">
        <v>19</v>
      </c>
      <c r="H490" s="22">
        <f t="shared" si="58"/>
        <v>537.5</v>
      </c>
      <c r="I490" s="22">
        <f t="shared" si="59"/>
        <v>17</v>
      </c>
      <c r="J490" s="22">
        <f t="shared" si="60"/>
        <v>135.75</v>
      </c>
      <c r="K490" s="23">
        <f t="shared" si="61"/>
        <v>690.25</v>
      </c>
      <c r="L490" s="23">
        <f t="shared" si="55"/>
        <v>742.58333333333337</v>
      </c>
      <c r="M490" s="23">
        <f t="shared" si="63"/>
        <v>742</v>
      </c>
      <c r="N490" s="25">
        <f t="shared" si="56"/>
        <v>-0.38821138211382111</v>
      </c>
      <c r="O490" s="25">
        <f t="shared" si="62"/>
        <v>-0.18931657501963869</v>
      </c>
    </row>
    <row r="491" spans="1:15" x14ac:dyDescent="0.25">
      <c r="A491" s="15" t="s">
        <v>5</v>
      </c>
      <c r="B491" s="20">
        <v>37758</v>
      </c>
      <c r="C491" s="15">
        <v>543</v>
      </c>
      <c r="D491" s="15">
        <v>12</v>
      </c>
      <c r="E491" s="15">
        <v>54</v>
      </c>
      <c r="F491" s="21">
        <f t="shared" si="57"/>
        <v>609</v>
      </c>
      <c r="G491" s="18">
        <v>20</v>
      </c>
      <c r="H491" s="22">
        <f t="shared" si="58"/>
        <v>548.75</v>
      </c>
      <c r="I491" s="22">
        <f t="shared" si="59"/>
        <v>17.75</v>
      </c>
      <c r="J491" s="22">
        <f t="shared" si="60"/>
        <v>101.5</v>
      </c>
      <c r="K491" s="23">
        <f t="shared" si="61"/>
        <v>668</v>
      </c>
      <c r="L491" s="23">
        <f t="shared" si="55"/>
        <v>670.83333333333337</v>
      </c>
      <c r="M491" s="23">
        <f t="shared" si="63"/>
        <v>611.33333333333337</v>
      </c>
      <c r="N491" s="25">
        <f t="shared" si="56"/>
        <v>8.5561497326203204E-2</v>
      </c>
      <c r="O491" s="25">
        <f t="shared" si="62"/>
        <v>-9.2173913043478314E-2</v>
      </c>
    </row>
    <row r="492" spans="1:15" x14ac:dyDescent="0.25">
      <c r="A492" s="15" t="s">
        <v>5</v>
      </c>
      <c r="B492" s="20">
        <v>37765</v>
      </c>
      <c r="C492" s="15">
        <v>775</v>
      </c>
      <c r="D492" s="15">
        <v>12</v>
      </c>
      <c r="E492" s="15">
        <v>117</v>
      </c>
      <c r="F492" s="21">
        <f t="shared" si="57"/>
        <v>904</v>
      </c>
      <c r="G492" s="18">
        <v>21</v>
      </c>
      <c r="H492" s="22">
        <f t="shared" si="58"/>
        <v>585.75</v>
      </c>
      <c r="I492" s="22">
        <f t="shared" si="59"/>
        <v>18.75</v>
      </c>
      <c r="J492" s="22">
        <f t="shared" si="60"/>
        <v>92.25</v>
      </c>
      <c r="K492" s="23">
        <f t="shared" si="61"/>
        <v>696.75</v>
      </c>
      <c r="L492" s="23">
        <f t="shared" si="55"/>
        <v>683.33333333333337</v>
      </c>
      <c r="M492" s="23">
        <f t="shared" si="63"/>
        <v>706</v>
      </c>
      <c r="N492" s="25">
        <f t="shared" si="56"/>
        <v>0.31014492753623191</v>
      </c>
      <c r="O492" s="25">
        <f t="shared" si="62"/>
        <v>0.32292682926829264</v>
      </c>
    </row>
    <row r="493" spans="1:15" x14ac:dyDescent="0.25">
      <c r="A493" s="15" t="s">
        <v>5</v>
      </c>
      <c r="B493" s="20">
        <v>37772</v>
      </c>
      <c r="C493" s="15">
        <v>621</v>
      </c>
      <c r="D493" s="15">
        <v>24</v>
      </c>
      <c r="E493" s="15">
        <v>137</v>
      </c>
      <c r="F493" s="21">
        <f t="shared" si="57"/>
        <v>782</v>
      </c>
      <c r="G493" s="18">
        <v>22</v>
      </c>
      <c r="H493" s="22">
        <f t="shared" si="58"/>
        <v>605.25</v>
      </c>
      <c r="I493" s="22">
        <f t="shared" si="59"/>
        <v>15.75</v>
      </c>
      <c r="J493" s="22">
        <f t="shared" si="60"/>
        <v>103.25</v>
      </c>
      <c r="K493" s="23">
        <f t="shared" si="61"/>
        <v>724.25</v>
      </c>
      <c r="L493" s="23">
        <f t="shared" si="55"/>
        <v>707.41666666666663</v>
      </c>
      <c r="M493" s="23">
        <f t="shared" si="63"/>
        <v>770.33333333333337</v>
      </c>
      <c r="N493" s="25">
        <f t="shared" si="56"/>
        <v>-0.24224806201550386</v>
      </c>
      <c r="O493" s="25">
        <f t="shared" si="62"/>
        <v>0.10543055719165985</v>
      </c>
    </row>
    <row r="494" spans="1:15" x14ac:dyDescent="0.25">
      <c r="A494" s="15" t="s">
        <v>30</v>
      </c>
      <c r="B494" s="20">
        <v>37779</v>
      </c>
      <c r="C494" s="15">
        <v>767</v>
      </c>
      <c r="D494" s="15">
        <v>6</v>
      </c>
      <c r="E494" s="15">
        <v>52</v>
      </c>
      <c r="F494" s="21">
        <f t="shared" si="57"/>
        <v>825</v>
      </c>
      <c r="G494" s="18">
        <v>23</v>
      </c>
      <c r="H494" s="22">
        <f t="shared" si="58"/>
        <v>676.5</v>
      </c>
      <c r="I494" s="22">
        <f t="shared" si="59"/>
        <v>13.5</v>
      </c>
      <c r="J494" s="22">
        <f t="shared" si="60"/>
        <v>90</v>
      </c>
      <c r="K494" s="23">
        <f t="shared" si="61"/>
        <v>780</v>
      </c>
      <c r="L494" s="23">
        <f t="shared" si="55"/>
        <v>759.5</v>
      </c>
      <c r="M494" s="23">
        <f t="shared" si="63"/>
        <v>950.33333333333337</v>
      </c>
      <c r="N494" s="25">
        <f t="shared" si="56"/>
        <v>-0.21428571428571427</v>
      </c>
      <c r="O494" s="25">
        <f t="shared" si="62"/>
        <v>8.6240947992100067E-2</v>
      </c>
    </row>
    <row r="495" spans="1:15" x14ac:dyDescent="0.25">
      <c r="A495" s="15" t="s">
        <v>30</v>
      </c>
      <c r="B495" s="20">
        <v>37786</v>
      </c>
      <c r="C495" s="15">
        <v>724</v>
      </c>
      <c r="D495" s="15">
        <v>16</v>
      </c>
      <c r="E495" s="15">
        <v>133</v>
      </c>
      <c r="F495" s="21">
        <f t="shared" si="57"/>
        <v>873</v>
      </c>
      <c r="G495" s="18">
        <v>24</v>
      </c>
      <c r="H495" s="22">
        <f t="shared" si="58"/>
        <v>721.75</v>
      </c>
      <c r="I495" s="22">
        <f t="shared" si="59"/>
        <v>14.5</v>
      </c>
      <c r="J495" s="22">
        <f t="shared" si="60"/>
        <v>109.75</v>
      </c>
      <c r="K495" s="23">
        <f t="shared" si="61"/>
        <v>846</v>
      </c>
      <c r="L495" s="23">
        <f t="shared" si="55"/>
        <v>853.66666666666663</v>
      </c>
      <c r="M495" s="23">
        <f t="shared" si="63"/>
        <v>988</v>
      </c>
      <c r="N495" s="25">
        <f t="shared" si="56"/>
        <v>-2.7839643652561249E-2</v>
      </c>
      <c r="O495" s="25">
        <f t="shared" si="62"/>
        <v>2.2647403358063301E-2</v>
      </c>
    </row>
    <row r="496" spans="1:15" x14ac:dyDescent="0.25">
      <c r="A496" s="15" t="s">
        <v>30</v>
      </c>
      <c r="B496" s="20">
        <v>37793</v>
      </c>
      <c r="C496" s="15">
        <v>608</v>
      </c>
      <c r="D496" s="15">
        <v>17</v>
      </c>
      <c r="E496" s="15">
        <v>78</v>
      </c>
      <c r="F496" s="21">
        <f t="shared" si="57"/>
        <v>703</v>
      </c>
      <c r="G496" s="18">
        <v>25</v>
      </c>
      <c r="H496" s="22">
        <f t="shared" si="58"/>
        <v>680</v>
      </c>
      <c r="I496" s="22">
        <f t="shared" si="59"/>
        <v>15.75</v>
      </c>
      <c r="J496" s="22">
        <f t="shared" si="60"/>
        <v>100</v>
      </c>
      <c r="K496" s="23">
        <f t="shared" si="61"/>
        <v>795.75</v>
      </c>
      <c r="L496" s="23">
        <f t="shared" ref="L496:L523" si="64">AVERAGE(K340+K392+K444)/3</f>
        <v>934</v>
      </c>
      <c r="M496" s="23">
        <f t="shared" si="63"/>
        <v>1027.3333333333333</v>
      </c>
      <c r="N496" s="25">
        <f t="shared" si="56"/>
        <v>-0.42938311688311687</v>
      </c>
      <c r="O496" s="25">
        <f t="shared" si="62"/>
        <v>-0.24732334047109208</v>
      </c>
    </row>
    <row r="497" spans="1:15" x14ac:dyDescent="0.25">
      <c r="A497" s="15" t="s">
        <v>30</v>
      </c>
      <c r="B497" s="20">
        <v>37800</v>
      </c>
      <c r="C497" s="15">
        <v>798</v>
      </c>
      <c r="D497" s="15">
        <v>23</v>
      </c>
      <c r="E497" s="15">
        <v>101</v>
      </c>
      <c r="F497" s="21">
        <f t="shared" si="57"/>
        <v>922</v>
      </c>
      <c r="G497" s="18">
        <v>26</v>
      </c>
      <c r="H497" s="22">
        <f t="shared" si="58"/>
        <v>724.25</v>
      </c>
      <c r="I497" s="22">
        <f t="shared" si="59"/>
        <v>15.5</v>
      </c>
      <c r="J497" s="22">
        <f t="shared" si="60"/>
        <v>91</v>
      </c>
      <c r="K497" s="23">
        <f t="shared" si="61"/>
        <v>830.75</v>
      </c>
      <c r="L497" s="23">
        <f t="shared" si="64"/>
        <v>969.83333333333337</v>
      </c>
      <c r="M497" s="23">
        <f t="shared" si="63"/>
        <v>913.66666666666663</v>
      </c>
      <c r="N497" s="25">
        <f t="shared" si="56"/>
        <v>0.10684273709483794</v>
      </c>
      <c r="O497" s="25">
        <f t="shared" si="62"/>
        <v>-4.9321189207767693E-2</v>
      </c>
    </row>
    <row r="498" spans="1:15" x14ac:dyDescent="0.25">
      <c r="A498" s="15" t="s">
        <v>31</v>
      </c>
      <c r="B498" s="20">
        <v>37807</v>
      </c>
      <c r="C498" s="15">
        <v>822</v>
      </c>
      <c r="D498" s="15">
        <v>12</v>
      </c>
      <c r="E498" s="15">
        <v>90</v>
      </c>
      <c r="F498" s="21">
        <f t="shared" si="57"/>
        <v>924</v>
      </c>
      <c r="G498" s="18">
        <v>27</v>
      </c>
      <c r="H498" s="22">
        <f t="shared" si="58"/>
        <v>738</v>
      </c>
      <c r="I498" s="22">
        <f t="shared" si="59"/>
        <v>17</v>
      </c>
      <c r="J498" s="22">
        <f t="shared" si="60"/>
        <v>100.5</v>
      </c>
      <c r="K498" s="23">
        <f t="shared" si="61"/>
        <v>855.5</v>
      </c>
      <c r="L498" s="23">
        <f t="shared" si="64"/>
        <v>990.75</v>
      </c>
      <c r="M498" s="23">
        <f t="shared" si="63"/>
        <v>1034</v>
      </c>
      <c r="N498" s="25">
        <f t="shared" si="56"/>
        <v>-0.12417061611374408</v>
      </c>
      <c r="O498" s="25">
        <f t="shared" si="62"/>
        <v>-6.737320211960636E-2</v>
      </c>
    </row>
    <row r="499" spans="1:15" x14ac:dyDescent="0.25">
      <c r="A499" s="15" t="s">
        <v>31</v>
      </c>
      <c r="B499" s="20">
        <v>37814</v>
      </c>
      <c r="C499" s="15">
        <v>568</v>
      </c>
      <c r="D499" s="15">
        <v>3</v>
      </c>
      <c r="E499" s="15">
        <v>95</v>
      </c>
      <c r="F499" s="21">
        <f t="shared" si="57"/>
        <v>666</v>
      </c>
      <c r="G499" s="18">
        <v>28</v>
      </c>
      <c r="H499" s="22">
        <f t="shared" si="58"/>
        <v>699</v>
      </c>
      <c r="I499" s="22">
        <f t="shared" si="59"/>
        <v>13.75</v>
      </c>
      <c r="J499" s="22">
        <f t="shared" si="60"/>
        <v>91</v>
      </c>
      <c r="K499" s="23">
        <f t="shared" si="61"/>
        <v>803.75</v>
      </c>
      <c r="L499" s="23">
        <f t="shared" si="64"/>
        <v>993.33333333333337</v>
      </c>
      <c r="M499" s="23">
        <f t="shared" si="63"/>
        <v>998.33333333333337</v>
      </c>
      <c r="N499" s="25">
        <f t="shared" si="56"/>
        <v>-0.39344262295081966</v>
      </c>
      <c r="O499" s="25">
        <f t="shared" si="62"/>
        <v>-0.32953020134228189</v>
      </c>
    </row>
    <row r="500" spans="1:15" x14ac:dyDescent="0.25">
      <c r="A500" s="15" t="s">
        <v>31</v>
      </c>
      <c r="B500" s="20">
        <v>37821</v>
      </c>
      <c r="C500" s="15">
        <v>766</v>
      </c>
      <c r="D500" s="15">
        <v>24</v>
      </c>
      <c r="E500" s="15">
        <v>135</v>
      </c>
      <c r="F500" s="21">
        <f t="shared" si="57"/>
        <v>925</v>
      </c>
      <c r="G500" s="18">
        <v>29</v>
      </c>
      <c r="H500" s="22">
        <f t="shared" si="58"/>
        <v>738.5</v>
      </c>
      <c r="I500" s="22">
        <f t="shared" si="59"/>
        <v>15.5</v>
      </c>
      <c r="J500" s="22">
        <f t="shared" si="60"/>
        <v>105.25</v>
      </c>
      <c r="K500" s="23">
        <f t="shared" si="61"/>
        <v>859.25</v>
      </c>
      <c r="L500" s="23">
        <f t="shared" si="64"/>
        <v>964.58333333333337</v>
      </c>
      <c r="M500" s="23">
        <f t="shared" si="63"/>
        <v>912.33333333333337</v>
      </c>
      <c r="N500" s="25">
        <f t="shared" ref="N500:N563" si="65">(F500-F448)/F448</f>
        <v>-0.11313518696069032</v>
      </c>
      <c r="O500" s="25">
        <f t="shared" si="62"/>
        <v>-4.1036717062635029E-2</v>
      </c>
    </row>
    <row r="501" spans="1:15" x14ac:dyDescent="0.25">
      <c r="A501" s="15" t="s">
        <v>31</v>
      </c>
      <c r="B501" s="20">
        <v>37828</v>
      </c>
      <c r="C501" s="15">
        <v>563</v>
      </c>
      <c r="D501" s="15">
        <v>71</v>
      </c>
      <c r="E501" s="15">
        <v>130</v>
      </c>
      <c r="F501" s="21">
        <f t="shared" si="57"/>
        <v>764</v>
      </c>
      <c r="G501" s="18">
        <v>30</v>
      </c>
      <c r="H501" s="22">
        <f t="shared" si="58"/>
        <v>679.75</v>
      </c>
      <c r="I501" s="22">
        <f t="shared" si="59"/>
        <v>27.5</v>
      </c>
      <c r="J501" s="22">
        <f t="shared" si="60"/>
        <v>112.5</v>
      </c>
      <c r="K501" s="23">
        <f t="shared" si="61"/>
        <v>819.75</v>
      </c>
      <c r="L501" s="23">
        <f t="shared" si="64"/>
        <v>973.08333333333337</v>
      </c>
      <c r="M501" s="23">
        <f t="shared" si="63"/>
        <v>947.66666666666663</v>
      </c>
      <c r="N501" s="25">
        <f t="shared" si="65"/>
        <v>-0.17672413793103448</v>
      </c>
      <c r="O501" s="25">
        <f t="shared" si="62"/>
        <v>-0.21486683223430678</v>
      </c>
    </row>
    <row r="502" spans="1:15" x14ac:dyDescent="0.25">
      <c r="A502" s="15" t="s">
        <v>19</v>
      </c>
      <c r="B502" s="20">
        <v>37835</v>
      </c>
      <c r="C502" s="15">
        <v>582</v>
      </c>
      <c r="D502" s="15">
        <v>53</v>
      </c>
      <c r="E502" s="15">
        <v>138</v>
      </c>
      <c r="F502" s="21">
        <f t="shared" si="57"/>
        <v>773</v>
      </c>
      <c r="G502" s="18">
        <v>31</v>
      </c>
      <c r="H502" s="22">
        <f t="shared" si="58"/>
        <v>619.75</v>
      </c>
      <c r="I502" s="22">
        <f t="shared" si="59"/>
        <v>37.75</v>
      </c>
      <c r="J502" s="22">
        <f t="shared" si="60"/>
        <v>124.5</v>
      </c>
      <c r="K502" s="23">
        <f t="shared" si="61"/>
        <v>782</v>
      </c>
      <c r="L502" s="23">
        <f t="shared" si="64"/>
        <v>964.5</v>
      </c>
      <c r="M502" s="23">
        <f t="shared" si="63"/>
        <v>999.66666666666663</v>
      </c>
      <c r="N502" s="25">
        <f t="shared" si="65"/>
        <v>-6.529625151148731E-2</v>
      </c>
      <c r="O502" s="25">
        <f t="shared" si="62"/>
        <v>-0.19854847071021253</v>
      </c>
    </row>
    <row r="503" spans="1:15" x14ac:dyDescent="0.25">
      <c r="A503" s="15" t="s">
        <v>19</v>
      </c>
      <c r="B503" s="20">
        <v>37842</v>
      </c>
      <c r="C503" s="15">
        <v>533</v>
      </c>
      <c r="D503" s="15">
        <v>24</v>
      </c>
      <c r="E503" s="15">
        <v>139</v>
      </c>
      <c r="F503" s="21">
        <f t="shared" si="57"/>
        <v>696</v>
      </c>
      <c r="G503" s="18">
        <v>32</v>
      </c>
      <c r="H503" s="22">
        <f t="shared" si="58"/>
        <v>611</v>
      </c>
      <c r="I503" s="22">
        <f t="shared" si="59"/>
        <v>43</v>
      </c>
      <c r="J503" s="22">
        <f t="shared" si="60"/>
        <v>135.5</v>
      </c>
      <c r="K503" s="23">
        <f t="shared" si="61"/>
        <v>789.5</v>
      </c>
      <c r="L503" s="23">
        <f t="shared" si="64"/>
        <v>947.83333333333337</v>
      </c>
      <c r="M503" s="23">
        <f t="shared" si="63"/>
        <v>931.66666666666663</v>
      </c>
      <c r="N503" s="25">
        <f t="shared" si="65"/>
        <v>-0.32947976878612717</v>
      </c>
      <c r="O503" s="25">
        <f t="shared" si="62"/>
        <v>-0.26569368735713034</v>
      </c>
    </row>
    <row r="504" spans="1:15" x14ac:dyDescent="0.25">
      <c r="A504" s="15" t="s">
        <v>19</v>
      </c>
      <c r="B504" s="20">
        <v>37849</v>
      </c>
      <c r="C504" s="15">
        <v>565</v>
      </c>
      <c r="D504" s="15">
        <v>37</v>
      </c>
      <c r="E504" s="15">
        <v>77</v>
      </c>
      <c r="F504" s="21">
        <f t="shared" si="57"/>
        <v>679</v>
      </c>
      <c r="G504" s="18">
        <v>33</v>
      </c>
      <c r="H504" s="22">
        <f t="shared" si="58"/>
        <v>560.75</v>
      </c>
      <c r="I504" s="22">
        <f t="shared" si="59"/>
        <v>46.25</v>
      </c>
      <c r="J504" s="22">
        <f t="shared" si="60"/>
        <v>121</v>
      </c>
      <c r="K504" s="23">
        <f t="shared" si="61"/>
        <v>728</v>
      </c>
      <c r="L504" s="23">
        <f t="shared" si="64"/>
        <v>910.5</v>
      </c>
      <c r="M504" s="23">
        <f t="shared" si="63"/>
        <v>763</v>
      </c>
      <c r="N504" s="25">
        <f t="shared" si="65"/>
        <v>-0.26275787187839306</v>
      </c>
      <c r="O504" s="25">
        <f t="shared" si="62"/>
        <v>-0.2542559033498078</v>
      </c>
    </row>
    <row r="505" spans="1:15" x14ac:dyDescent="0.25">
      <c r="A505" s="15" t="s">
        <v>19</v>
      </c>
      <c r="B505" s="20">
        <v>37856</v>
      </c>
      <c r="C505" s="15">
        <v>496</v>
      </c>
      <c r="D505" s="15">
        <v>15</v>
      </c>
      <c r="E505" s="15">
        <v>39</v>
      </c>
      <c r="F505" s="21">
        <f t="shared" si="57"/>
        <v>550</v>
      </c>
      <c r="G505" s="18">
        <v>34</v>
      </c>
      <c r="H505" s="22">
        <f t="shared" si="58"/>
        <v>544</v>
      </c>
      <c r="I505" s="22">
        <f t="shared" si="59"/>
        <v>32.25</v>
      </c>
      <c r="J505" s="22">
        <f t="shared" si="60"/>
        <v>98.25</v>
      </c>
      <c r="K505" s="23">
        <f t="shared" si="61"/>
        <v>674.5</v>
      </c>
      <c r="L505" s="23">
        <f t="shared" si="64"/>
        <v>891.16666666666663</v>
      </c>
      <c r="M505" s="23">
        <f t="shared" si="63"/>
        <v>870.33333333333337</v>
      </c>
      <c r="N505" s="25">
        <f t="shared" si="65"/>
        <v>-0.37070938215102978</v>
      </c>
      <c r="O505" s="25">
        <f t="shared" si="62"/>
        <v>-0.38283149429586683</v>
      </c>
    </row>
    <row r="506" spans="1:15" x14ac:dyDescent="0.25">
      <c r="A506" s="15" t="s">
        <v>19</v>
      </c>
      <c r="B506" s="20">
        <v>37863</v>
      </c>
      <c r="C506" s="15">
        <v>478</v>
      </c>
      <c r="D506" s="15">
        <v>48</v>
      </c>
      <c r="E506" s="15">
        <v>73</v>
      </c>
      <c r="F506" s="21">
        <f t="shared" si="57"/>
        <v>599</v>
      </c>
      <c r="G506" s="18">
        <v>35</v>
      </c>
      <c r="H506" s="22">
        <f t="shared" si="58"/>
        <v>518</v>
      </c>
      <c r="I506" s="22">
        <f t="shared" si="59"/>
        <v>31</v>
      </c>
      <c r="J506" s="22">
        <f t="shared" si="60"/>
        <v>82</v>
      </c>
      <c r="K506" s="23">
        <f t="shared" si="61"/>
        <v>631</v>
      </c>
      <c r="L506" s="23">
        <f t="shared" si="64"/>
        <v>828.33333333333337</v>
      </c>
      <c r="M506" s="23">
        <f t="shared" si="63"/>
        <v>748.33333333333337</v>
      </c>
      <c r="N506" s="25">
        <f t="shared" si="65"/>
        <v>-3.0744336569579287E-2</v>
      </c>
      <c r="O506" s="25">
        <f t="shared" si="62"/>
        <v>-0.27686116700201213</v>
      </c>
    </row>
    <row r="507" spans="1:15" x14ac:dyDescent="0.25">
      <c r="A507" s="15" t="s">
        <v>24</v>
      </c>
      <c r="B507" s="20">
        <v>37870</v>
      </c>
      <c r="C507" s="15">
        <v>312</v>
      </c>
      <c r="D507" s="15">
        <v>116</v>
      </c>
      <c r="E507" s="15">
        <v>30</v>
      </c>
      <c r="F507" s="21">
        <f t="shared" si="57"/>
        <v>458</v>
      </c>
      <c r="G507" s="18">
        <v>36</v>
      </c>
      <c r="H507" s="22">
        <f t="shared" si="58"/>
        <v>462.75</v>
      </c>
      <c r="I507" s="22">
        <f t="shared" si="59"/>
        <v>54</v>
      </c>
      <c r="J507" s="22">
        <f t="shared" si="60"/>
        <v>54.75</v>
      </c>
      <c r="K507" s="23">
        <f t="shared" si="61"/>
        <v>571.5</v>
      </c>
      <c r="L507" s="23">
        <f t="shared" si="64"/>
        <v>791.83333333333337</v>
      </c>
      <c r="M507" s="23">
        <f t="shared" si="63"/>
        <v>785.66666666666663</v>
      </c>
      <c r="N507" s="25">
        <f t="shared" si="65"/>
        <v>-5.9548254620123205E-2</v>
      </c>
      <c r="O507" s="25">
        <f t="shared" si="62"/>
        <v>-0.42159545358871819</v>
      </c>
    </row>
    <row r="508" spans="1:15" x14ac:dyDescent="0.25">
      <c r="A508" s="15" t="s">
        <v>24</v>
      </c>
      <c r="B508" s="20">
        <v>37877</v>
      </c>
      <c r="C508" s="15">
        <v>346</v>
      </c>
      <c r="D508" s="15">
        <v>42</v>
      </c>
      <c r="E508" s="15">
        <v>27</v>
      </c>
      <c r="F508" s="21">
        <f t="shared" si="57"/>
        <v>415</v>
      </c>
      <c r="G508" s="18">
        <v>37</v>
      </c>
      <c r="H508" s="22">
        <f t="shared" si="58"/>
        <v>408</v>
      </c>
      <c r="I508" s="22">
        <f t="shared" si="59"/>
        <v>55.25</v>
      </c>
      <c r="J508" s="22">
        <f t="shared" si="60"/>
        <v>42.25</v>
      </c>
      <c r="K508" s="23">
        <f t="shared" si="61"/>
        <v>505.5</v>
      </c>
      <c r="L508" s="23">
        <f t="shared" si="64"/>
        <v>758</v>
      </c>
      <c r="M508" s="23">
        <f t="shared" si="63"/>
        <v>627.66666666666663</v>
      </c>
      <c r="N508" s="25">
        <f t="shared" si="65"/>
        <v>-0.23005565862708721</v>
      </c>
      <c r="O508" s="25">
        <f t="shared" si="62"/>
        <v>-0.4525065963060686</v>
      </c>
    </row>
    <row r="509" spans="1:15" x14ac:dyDescent="0.25">
      <c r="A509" s="15" t="s">
        <v>24</v>
      </c>
      <c r="B509" s="20">
        <v>37884</v>
      </c>
      <c r="C509" s="15">
        <v>240</v>
      </c>
      <c r="D509" s="15">
        <v>25</v>
      </c>
      <c r="E509" s="15">
        <v>30</v>
      </c>
      <c r="F509" s="21">
        <f t="shared" si="57"/>
        <v>295</v>
      </c>
      <c r="G509" s="18">
        <v>38</v>
      </c>
      <c r="H509" s="22">
        <f t="shared" si="58"/>
        <v>344</v>
      </c>
      <c r="I509" s="22">
        <f t="shared" si="59"/>
        <v>57.75</v>
      </c>
      <c r="J509" s="22">
        <f t="shared" si="60"/>
        <v>40</v>
      </c>
      <c r="K509" s="23">
        <f t="shared" si="61"/>
        <v>441.75</v>
      </c>
      <c r="L509" s="23">
        <f t="shared" si="64"/>
        <v>689.08333333333337</v>
      </c>
      <c r="M509" s="23">
        <f t="shared" si="63"/>
        <v>594.66666666666663</v>
      </c>
      <c r="N509" s="25">
        <f t="shared" si="65"/>
        <v>-0.34004474272930652</v>
      </c>
      <c r="O509" s="25">
        <f t="shared" si="62"/>
        <v>-0.57189502962873384</v>
      </c>
    </row>
    <row r="510" spans="1:15" x14ac:dyDescent="0.25">
      <c r="A510" s="15" t="s">
        <v>24</v>
      </c>
      <c r="B510" s="20">
        <v>37891</v>
      </c>
      <c r="C510" s="15">
        <v>419</v>
      </c>
      <c r="D510" s="15">
        <v>25</v>
      </c>
      <c r="E510" s="15">
        <v>71</v>
      </c>
      <c r="F510" s="21">
        <f t="shared" si="57"/>
        <v>515</v>
      </c>
      <c r="G510" s="18">
        <v>39</v>
      </c>
      <c r="H510" s="22">
        <f t="shared" si="58"/>
        <v>329.25</v>
      </c>
      <c r="I510" s="22">
        <f t="shared" si="59"/>
        <v>52</v>
      </c>
      <c r="J510" s="22">
        <f t="shared" si="60"/>
        <v>39.5</v>
      </c>
      <c r="K510" s="23">
        <f t="shared" si="61"/>
        <v>420.75</v>
      </c>
      <c r="L510" s="23">
        <f t="shared" si="64"/>
        <v>632.91666666666663</v>
      </c>
      <c r="M510" s="23">
        <f t="shared" si="63"/>
        <v>523.66666666666663</v>
      </c>
      <c r="N510" s="25">
        <f t="shared" si="65"/>
        <v>-6.5335753176043551E-2</v>
      </c>
      <c r="O510" s="25">
        <f t="shared" si="62"/>
        <v>-0.1863067807768268</v>
      </c>
    </row>
    <row r="511" spans="1:15" x14ac:dyDescent="0.25">
      <c r="A511" s="15" t="s">
        <v>20</v>
      </c>
      <c r="B511" s="20">
        <v>37898</v>
      </c>
      <c r="C511" s="15">
        <v>319</v>
      </c>
      <c r="D511" s="15">
        <v>14</v>
      </c>
      <c r="E511" s="15">
        <v>127</v>
      </c>
      <c r="F511" s="21">
        <f t="shared" si="57"/>
        <v>460</v>
      </c>
      <c r="G511" s="18">
        <v>40</v>
      </c>
      <c r="H511" s="22">
        <f t="shared" si="58"/>
        <v>331</v>
      </c>
      <c r="I511" s="22">
        <f t="shared" si="59"/>
        <v>26.5</v>
      </c>
      <c r="J511" s="22">
        <f t="shared" si="60"/>
        <v>63.75</v>
      </c>
      <c r="K511" s="23">
        <f t="shared" si="61"/>
        <v>421.25</v>
      </c>
      <c r="L511" s="23">
        <f t="shared" si="64"/>
        <v>602.75</v>
      </c>
      <c r="M511" s="23">
        <f t="shared" si="63"/>
        <v>665</v>
      </c>
      <c r="N511" s="25">
        <f t="shared" si="65"/>
        <v>-0.35574229691876752</v>
      </c>
      <c r="O511" s="25">
        <f t="shared" si="62"/>
        <v>-0.23683119037743675</v>
      </c>
    </row>
    <row r="512" spans="1:15" x14ac:dyDescent="0.25">
      <c r="A512" s="15" t="s">
        <v>20</v>
      </c>
      <c r="B512" s="20">
        <v>37905</v>
      </c>
      <c r="C512" s="15">
        <v>416</v>
      </c>
      <c r="D512" s="15">
        <v>19</v>
      </c>
      <c r="E512" s="15">
        <v>216</v>
      </c>
      <c r="F512" s="21">
        <f t="shared" si="57"/>
        <v>651</v>
      </c>
      <c r="G512" s="18">
        <v>41</v>
      </c>
      <c r="H512" s="22">
        <f t="shared" si="58"/>
        <v>348.5</v>
      </c>
      <c r="I512" s="22">
        <f t="shared" si="59"/>
        <v>20.75</v>
      </c>
      <c r="J512" s="22">
        <f t="shared" si="60"/>
        <v>111</v>
      </c>
      <c r="K512" s="23">
        <f t="shared" si="61"/>
        <v>480.25</v>
      </c>
      <c r="L512" s="23">
        <f t="shared" si="64"/>
        <v>628.83333333333337</v>
      </c>
      <c r="M512" s="23">
        <f t="shared" si="63"/>
        <v>732</v>
      </c>
      <c r="N512" s="25">
        <f t="shared" si="65"/>
        <v>-0.27586206896551724</v>
      </c>
      <c r="O512" s="25">
        <f t="shared" si="62"/>
        <v>3.5250463821892328E-2</v>
      </c>
    </row>
    <row r="513" spans="1:15" x14ac:dyDescent="0.25">
      <c r="A513" s="15" t="s">
        <v>20</v>
      </c>
      <c r="B513" s="20">
        <v>37912</v>
      </c>
      <c r="C513" s="15">
        <v>323</v>
      </c>
      <c r="D513" s="15">
        <v>6</v>
      </c>
      <c r="E513" s="15">
        <v>365</v>
      </c>
      <c r="F513" s="21">
        <f t="shared" si="57"/>
        <v>694</v>
      </c>
      <c r="G513" s="18">
        <v>42</v>
      </c>
      <c r="H513" s="22">
        <f t="shared" si="58"/>
        <v>369.25</v>
      </c>
      <c r="I513" s="22">
        <f t="shared" si="59"/>
        <v>16</v>
      </c>
      <c r="J513" s="22">
        <f t="shared" si="60"/>
        <v>194.75</v>
      </c>
      <c r="K513" s="23">
        <f t="shared" si="61"/>
        <v>580</v>
      </c>
      <c r="L513" s="23">
        <f t="shared" si="64"/>
        <v>668.41666666666663</v>
      </c>
      <c r="M513" s="23">
        <f t="shared" si="63"/>
        <v>753</v>
      </c>
      <c r="N513" s="25">
        <f t="shared" si="65"/>
        <v>-0.1181702668360864</v>
      </c>
      <c r="O513" s="25">
        <f t="shared" si="62"/>
        <v>3.8274529360428931E-2</v>
      </c>
    </row>
    <row r="514" spans="1:15" x14ac:dyDescent="0.25">
      <c r="A514" s="15" t="s">
        <v>20</v>
      </c>
      <c r="B514" s="20">
        <v>37919</v>
      </c>
      <c r="C514" s="15">
        <v>509</v>
      </c>
      <c r="D514" s="15">
        <v>0</v>
      </c>
      <c r="E514" s="15">
        <v>138</v>
      </c>
      <c r="F514" s="21">
        <f t="shared" si="57"/>
        <v>647</v>
      </c>
      <c r="G514" s="18">
        <v>43</v>
      </c>
      <c r="H514" s="22">
        <f t="shared" si="58"/>
        <v>391.75</v>
      </c>
      <c r="I514" s="22">
        <f t="shared" si="59"/>
        <v>9.75</v>
      </c>
      <c r="J514" s="22">
        <f t="shared" si="60"/>
        <v>211.5</v>
      </c>
      <c r="K514" s="23">
        <f t="shared" si="61"/>
        <v>613</v>
      </c>
      <c r="L514" s="23">
        <f t="shared" si="64"/>
        <v>739.91666666666663</v>
      </c>
      <c r="M514" s="23">
        <f t="shared" si="63"/>
        <v>809.66666666666663</v>
      </c>
      <c r="N514" s="25">
        <f t="shared" si="65"/>
        <v>-0.29443838604143946</v>
      </c>
      <c r="O514" s="25">
        <f t="shared" si="62"/>
        <v>-0.12557720464016214</v>
      </c>
    </row>
    <row r="515" spans="1:15" x14ac:dyDescent="0.25">
      <c r="A515" s="15" t="s">
        <v>20</v>
      </c>
      <c r="B515" s="20">
        <v>37926</v>
      </c>
      <c r="C515" s="15">
        <v>421</v>
      </c>
      <c r="D515" s="15">
        <v>18</v>
      </c>
      <c r="E515" s="15">
        <v>323</v>
      </c>
      <c r="F515" s="21">
        <f t="shared" si="57"/>
        <v>762</v>
      </c>
      <c r="G515" s="18">
        <v>44</v>
      </c>
      <c r="H515" s="22">
        <f t="shared" si="58"/>
        <v>417.25</v>
      </c>
      <c r="I515" s="22">
        <f t="shared" si="59"/>
        <v>10.75</v>
      </c>
      <c r="J515" s="22">
        <f t="shared" si="60"/>
        <v>260.5</v>
      </c>
      <c r="K515" s="23">
        <f>SUM(H515:J515)</f>
        <v>688.5</v>
      </c>
      <c r="L515" s="23">
        <f t="shared" si="64"/>
        <v>800.58333333333337</v>
      </c>
      <c r="M515" s="23">
        <f t="shared" si="63"/>
        <v>907.66666666666663</v>
      </c>
      <c r="N515" s="25">
        <f t="shared" si="65"/>
        <v>-0.21362229102167182</v>
      </c>
      <c r="O515" s="25">
        <f t="shared" si="62"/>
        <v>-4.8194025189965697E-2</v>
      </c>
    </row>
    <row r="516" spans="1:15" x14ac:dyDescent="0.25">
      <c r="A516" s="15" t="s">
        <v>26</v>
      </c>
      <c r="B516" s="20">
        <v>37933</v>
      </c>
      <c r="C516" s="15">
        <v>814</v>
      </c>
      <c r="D516" s="15">
        <v>22</v>
      </c>
      <c r="E516" s="15">
        <v>137</v>
      </c>
      <c r="F516" s="21">
        <f t="shared" si="57"/>
        <v>973</v>
      </c>
      <c r="G516" s="18">
        <v>45</v>
      </c>
      <c r="H516" s="22">
        <f t="shared" si="58"/>
        <v>516.75</v>
      </c>
      <c r="I516" s="22">
        <f t="shared" si="59"/>
        <v>11.5</v>
      </c>
      <c r="J516" s="22">
        <f t="shared" si="60"/>
        <v>240.75</v>
      </c>
      <c r="K516" s="23">
        <f t="shared" ref="K516:K561" si="66">SUM(H516:J516)</f>
        <v>769</v>
      </c>
      <c r="L516" s="23">
        <f t="shared" si="64"/>
        <v>852.41666666666663</v>
      </c>
      <c r="M516" s="23">
        <f t="shared" si="63"/>
        <v>939.33333333333337</v>
      </c>
      <c r="N516" s="25">
        <f t="shared" si="65"/>
        <v>-6.7114093959731544E-2</v>
      </c>
      <c r="O516" s="25">
        <f t="shared" si="62"/>
        <v>0.14146055332877119</v>
      </c>
    </row>
    <row r="517" spans="1:15" x14ac:dyDescent="0.25">
      <c r="A517" s="15" t="s">
        <v>26</v>
      </c>
      <c r="B517" s="20">
        <v>37940</v>
      </c>
      <c r="C517" s="15">
        <v>623</v>
      </c>
      <c r="D517" s="15">
        <v>11</v>
      </c>
      <c r="E517" s="15">
        <v>106</v>
      </c>
      <c r="F517" s="21">
        <f t="shared" si="57"/>
        <v>740</v>
      </c>
      <c r="G517" s="18">
        <v>46</v>
      </c>
      <c r="H517" s="22">
        <f t="shared" si="58"/>
        <v>591.75</v>
      </c>
      <c r="I517" s="22">
        <f t="shared" si="59"/>
        <v>12.75</v>
      </c>
      <c r="J517" s="22">
        <f t="shared" si="60"/>
        <v>176</v>
      </c>
      <c r="K517" s="23">
        <f t="shared" si="66"/>
        <v>780.5</v>
      </c>
      <c r="L517" s="23">
        <f t="shared" si="64"/>
        <v>875.41666666666663</v>
      </c>
      <c r="M517" s="23">
        <f t="shared" si="63"/>
        <v>845</v>
      </c>
      <c r="N517" s="25">
        <f t="shared" si="65"/>
        <v>-0.26949654491609082</v>
      </c>
      <c r="O517" s="25">
        <f t="shared" si="62"/>
        <v>-0.15468824369347925</v>
      </c>
    </row>
    <row r="518" spans="1:15" x14ac:dyDescent="0.25">
      <c r="A518" s="15" t="s">
        <v>26</v>
      </c>
      <c r="B518" s="20">
        <v>37947</v>
      </c>
      <c r="C518" s="15">
        <v>786</v>
      </c>
      <c r="D518" s="15">
        <v>17</v>
      </c>
      <c r="E518" s="15">
        <v>110</v>
      </c>
      <c r="F518" s="21">
        <f t="shared" ref="F518:F581" si="67">SUM(C518:E518)</f>
        <v>913</v>
      </c>
      <c r="G518" s="18">
        <v>47</v>
      </c>
      <c r="H518" s="22">
        <f t="shared" si="58"/>
        <v>661</v>
      </c>
      <c r="I518" s="22">
        <f t="shared" si="59"/>
        <v>17</v>
      </c>
      <c r="J518" s="22">
        <f t="shared" si="60"/>
        <v>169</v>
      </c>
      <c r="K518" s="23">
        <f t="shared" si="66"/>
        <v>847</v>
      </c>
      <c r="L518" s="23">
        <f t="shared" si="64"/>
        <v>937.25</v>
      </c>
      <c r="M518" s="23">
        <f t="shared" si="63"/>
        <v>1057</v>
      </c>
      <c r="N518" s="25">
        <f t="shared" si="65"/>
        <v>-0.34221902017291067</v>
      </c>
      <c r="O518" s="25">
        <f t="shared" si="62"/>
        <v>-2.5873566284342491E-2</v>
      </c>
    </row>
    <row r="519" spans="1:15" x14ac:dyDescent="0.25">
      <c r="A519" s="15" t="s">
        <v>26</v>
      </c>
      <c r="B519" s="20">
        <v>37954</v>
      </c>
      <c r="C519" s="15">
        <v>700</v>
      </c>
      <c r="D519" s="15">
        <v>21</v>
      </c>
      <c r="E519" s="15">
        <v>167</v>
      </c>
      <c r="F519" s="21">
        <f t="shared" si="67"/>
        <v>888</v>
      </c>
      <c r="G519" s="18">
        <v>48</v>
      </c>
      <c r="H519" s="22">
        <f t="shared" si="58"/>
        <v>730.75</v>
      </c>
      <c r="I519" s="22">
        <f t="shared" si="59"/>
        <v>17.75</v>
      </c>
      <c r="J519" s="22">
        <f t="shared" si="60"/>
        <v>130</v>
      </c>
      <c r="K519" s="23">
        <f t="shared" si="66"/>
        <v>878.5</v>
      </c>
      <c r="L519" s="23">
        <f t="shared" si="64"/>
        <v>980.41666666666663</v>
      </c>
      <c r="M519" s="23">
        <f t="shared" si="63"/>
        <v>1080.3333333333333</v>
      </c>
      <c r="N519" s="25">
        <f t="shared" si="65"/>
        <v>-0.13702623906705538</v>
      </c>
      <c r="O519" s="25">
        <f t="shared" si="62"/>
        <v>-9.426264343391412E-2</v>
      </c>
    </row>
    <row r="520" spans="1:15" x14ac:dyDescent="0.25">
      <c r="A520" s="15" t="s">
        <v>15</v>
      </c>
      <c r="B520" s="20">
        <v>37961</v>
      </c>
      <c r="C520" s="15">
        <v>834</v>
      </c>
      <c r="D520" s="15">
        <v>22</v>
      </c>
      <c r="E520" s="15">
        <v>285</v>
      </c>
      <c r="F520" s="21">
        <f t="shared" si="67"/>
        <v>1141</v>
      </c>
      <c r="G520" s="18">
        <v>49</v>
      </c>
      <c r="H520" s="22">
        <f t="shared" si="58"/>
        <v>735.75</v>
      </c>
      <c r="I520" s="22">
        <f t="shared" si="59"/>
        <v>17.75</v>
      </c>
      <c r="J520" s="22">
        <f t="shared" si="60"/>
        <v>167</v>
      </c>
      <c r="K520" s="23">
        <f t="shared" si="66"/>
        <v>920.5</v>
      </c>
      <c r="L520" s="23">
        <f t="shared" si="64"/>
        <v>1024.3333333333333</v>
      </c>
      <c r="M520" s="23">
        <f t="shared" si="63"/>
        <v>1115</v>
      </c>
      <c r="N520" s="25">
        <f t="shared" si="65"/>
        <v>-0.16897305171158047</v>
      </c>
      <c r="O520" s="25">
        <f t="shared" si="62"/>
        <v>0.11389521640091124</v>
      </c>
    </row>
    <row r="521" spans="1:15" x14ac:dyDescent="0.25">
      <c r="A521" s="15" t="s">
        <v>15</v>
      </c>
      <c r="B521" s="20">
        <v>37968</v>
      </c>
      <c r="C521" s="15">
        <v>953</v>
      </c>
      <c r="D521" s="15">
        <v>23</v>
      </c>
      <c r="E521" s="15">
        <v>265</v>
      </c>
      <c r="F521" s="21">
        <f t="shared" si="67"/>
        <v>1241</v>
      </c>
      <c r="G521" s="18">
        <v>50</v>
      </c>
      <c r="H521" s="22">
        <f t="shared" si="58"/>
        <v>818.25</v>
      </c>
      <c r="I521" s="22">
        <f t="shared" si="59"/>
        <v>20.75</v>
      </c>
      <c r="J521" s="22">
        <f t="shared" si="60"/>
        <v>206.75</v>
      </c>
      <c r="K521" s="23">
        <f t="shared" si="66"/>
        <v>1045.75</v>
      </c>
      <c r="L521" s="23">
        <f t="shared" si="64"/>
        <v>1032.5</v>
      </c>
      <c r="M521" s="23">
        <f t="shared" si="63"/>
        <v>877.66666666666663</v>
      </c>
      <c r="N521" s="25">
        <f t="shared" si="65"/>
        <v>6.890611541774333E-2</v>
      </c>
      <c r="O521" s="25">
        <f t="shared" si="62"/>
        <v>0.20193704600484261</v>
      </c>
    </row>
    <row r="522" spans="1:15" x14ac:dyDescent="0.25">
      <c r="A522" s="15" t="s">
        <v>15</v>
      </c>
      <c r="B522" s="20">
        <v>37975</v>
      </c>
      <c r="C522" s="15">
        <v>520</v>
      </c>
      <c r="D522" s="15">
        <v>11</v>
      </c>
      <c r="E522" s="15">
        <v>71</v>
      </c>
      <c r="F522" s="21">
        <f t="shared" si="67"/>
        <v>602</v>
      </c>
      <c r="G522" s="18">
        <v>51</v>
      </c>
      <c r="H522" s="22">
        <f t="shared" ref="H522:H561" si="68">AVERAGE(C519:C522)</f>
        <v>751.75</v>
      </c>
      <c r="I522" s="22">
        <f t="shared" ref="I522:J537" si="69">AVERAGE(D519:D522)</f>
        <v>19.25</v>
      </c>
      <c r="J522" s="22">
        <f t="shared" ref="J522:J531" si="70">AVERAGE(E519:E522)</f>
        <v>197</v>
      </c>
      <c r="K522" s="23">
        <f t="shared" si="66"/>
        <v>968</v>
      </c>
      <c r="L522" s="23">
        <f t="shared" si="64"/>
        <v>935.66666666666663</v>
      </c>
      <c r="M522" s="23">
        <f t="shared" si="63"/>
        <v>669.66666666666663</v>
      </c>
      <c r="N522" s="25">
        <f t="shared" si="65"/>
        <v>-0.17983651226158037</v>
      </c>
      <c r="O522" s="25">
        <f t="shared" ref="O522:O585" si="71">(F522-L522)/L522</f>
        <v>-0.35660847880299251</v>
      </c>
    </row>
    <row r="523" spans="1:15" x14ac:dyDescent="0.25">
      <c r="A523" s="15" t="s">
        <v>15</v>
      </c>
      <c r="B523" s="20">
        <v>37982</v>
      </c>
      <c r="C523" s="15">
        <v>506</v>
      </c>
      <c r="D523" s="15">
        <v>16</v>
      </c>
      <c r="E523" s="15">
        <v>55</v>
      </c>
      <c r="F523" s="21">
        <f t="shared" si="67"/>
        <v>577</v>
      </c>
      <c r="G523" s="18">
        <v>52</v>
      </c>
      <c r="H523" s="22">
        <f t="shared" si="68"/>
        <v>703.25</v>
      </c>
      <c r="I523" s="22">
        <f t="shared" si="69"/>
        <v>18</v>
      </c>
      <c r="J523" s="22">
        <f t="shared" si="70"/>
        <v>169</v>
      </c>
      <c r="K523" s="23">
        <f t="shared" si="66"/>
        <v>890.25</v>
      </c>
      <c r="L523" s="23">
        <f t="shared" si="64"/>
        <v>788.75</v>
      </c>
      <c r="M523" s="23">
        <f t="shared" si="63"/>
        <v>492.66666666666669</v>
      </c>
      <c r="N523" s="25">
        <f t="shared" si="65"/>
        <v>2.8520499108734401E-2</v>
      </c>
      <c r="O523" s="25">
        <f t="shared" si="71"/>
        <v>-0.26846275752773374</v>
      </c>
    </row>
    <row r="524" spans="1:15" x14ac:dyDescent="0.25">
      <c r="A524" s="15" t="s">
        <v>16</v>
      </c>
      <c r="B524" s="20">
        <v>37989</v>
      </c>
      <c r="C524" s="15">
        <v>373</v>
      </c>
      <c r="D524" s="15">
        <v>3</v>
      </c>
      <c r="E524" s="15">
        <v>43</v>
      </c>
      <c r="F524" s="21">
        <f t="shared" si="67"/>
        <v>419</v>
      </c>
      <c r="G524" s="18">
        <v>1</v>
      </c>
      <c r="H524" s="22">
        <f t="shared" si="68"/>
        <v>588</v>
      </c>
      <c r="I524" s="22">
        <f t="shared" si="69"/>
        <v>13.25</v>
      </c>
      <c r="J524" s="22">
        <f t="shared" si="70"/>
        <v>108.5</v>
      </c>
      <c r="K524" s="23">
        <f t="shared" si="66"/>
        <v>709.75</v>
      </c>
      <c r="L524" s="23">
        <f>AVERAGE(K368+K420+K472)/3</f>
        <v>600.08333333333337</v>
      </c>
      <c r="M524" s="23">
        <f t="shared" si="63"/>
        <v>360.33333333333331</v>
      </c>
      <c r="N524" s="25">
        <f t="shared" si="65"/>
        <v>-0.15524193548387097</v>
      </c>
      <c r="O524" s="25">
        <f t="shared" si="71"/>
        <v>-0.30176364393834193</v>
      </c>
    </row>
    <row r="525" spans="1:15" x14ac:dyDescent="0.25">
      <c r="A525" s="15" t="s">
        <v>16</v>
      </c>
      <c r="B525" s="20">
        <v>37996</v>
      </c>
      <c r="C525" s="15">
        <v>413</v>
      </c>
      <c r="D525" s="15">
        <v>11</v>
      </c>
      <c r="E525" s="15">
        <v>54</v>
      </c>
      <c r="F525" s="21">
        <f t="shared" si="67"/>
        <v>478</v>
      </c>
      <c r="G525" s="18">
        <v>2</v>
      </c>
      <c r="H525" s="22">
        <f t="shared" si="68"/>
        <v>453</v>
      </c>
      <c r="I525" s="22">
        <f t="shared" si="69"/>
        <v>10.25</v>
      </c>
      <c r="J525" s="22">
        <f t="shared" si="70"/>
        <v>55.75</v>
      </c>
      <c r="K525" s="23">
        <f t="shared" si="66"/>
        <v>519</v>
      </c>
      <c r="L525" s="23">
        <f t="shared" ref="L525:L643" si="72">AVERAGE(K369+K421+K473)/3</f>
        <v>497.66666666666669</v>
      </c>
      <c r="M525" s="23">
        <f t="shared" si="63"/>
        <v>468</v>
      </c>
      <c r="N525" s="25">
        <f t="shared" si="65"/>
        <v>-0.24842767295597484</v>
      </c>
      <c r="O525" s="25">
        <f t="shared" si="71"/>
        <v>-3.9517749497655762E-2</v>
      </c>
    </row>
    <row r="526" spans="1:15" x14ac:dyDescent="0.25">
      <c r="A526" s="15" t="s">
        <v>16</v>
      </c>
      <c r="B526" s="20">
        <v>38003</v>
      </c>
      <c r="C526" s="15">
        <v>426</v>
      </c>
      <c r="D526" s="15">
        <v>0</v>
      </c>
      <c r="E526" s="15">
        <v>73</v>
      </c>
      <c r="F526" s="21">
        <f t="shared" si="67"/>
        <v>499</v>
      </c>
      <c r="G526" s="18">
        <v>3</v>
      </c>
      <c r="H526" s="22">
        <f t="shared" si="68"/>
        <v>429.5</v>
      </c>
      <c r="I526" s="22">
        <f t="shared" si="69"/>
        <v>7.5</v>
      </c>
      <c r="J526" s="22">
        <f t="shared" si="70"/>
        <v>56.25</v>
      </c>
      <c r="K526" s="23">
        <f t="shared" si="66"/>
        <v>493.25</v>
      </c>
      <c r="L526" s="23">
        <f t="shared" si="72"/>
        <v>458</v>
      </c>
      <c r="M526" s="23">
        <f t="shared" si="63"/>
        <v>511</v>
      </c>
      <c r="N526" s="25">
        <f t="shared" si="65"/>
        <v>-0.27153284671532846</v>
      </c>
      <c r="O526" s="25">
        <f t="shared" si="71"/>
        <v>8.9519650655021835E-2</v>
      </c>
    </row>
    <row r="527" spans="1:15" x14ac:dyDescent="0.25">
      <c r="A527" s="15" t="s">
        <v>16</v>
      </c>
      <c r="B527" s="20">
        <v>38010</v>
      </c>
      <c r="C527" s="15">
        <v>426</v>
      </c>
      <c r="D527" s="15">
        <v>0</v>
      </c>
      <c r="E527" s="15">
        <v>73</v>
      </c>
      <c r="F527" s="21">
        <f t="shared" si="67"/>
        <v>499</v>
      </c>
      <c r="G527" s="18">
        <v>4</v>
      </c>
      <c r="H527" s="22">
        <f t="shared" si="68"/>
        <v>409.5</v>
      </c>
      <c r="I527" s="22">
        <f t="shared" si="69"/>
        <v>3.5</v>
      </c>
      <c r="J527" s="22">
        <f t="shared" si="70"/>
        <v>60.75</v>
      </c>
      <c r="K527" s="23">
        <f t="shared" si="66"/>
        <v>473.75</v>
      </c>
      <c r="L527" s="23">
        <f t="shared" si="72"/>
        <v>461.25</v>
      </c>
      <c r="M527" s="23">
        <f t="shared" si="63"/>
        <v>505.66666666666669</v>
      </c>
      <c r="N527" s="25">
        <f t="shared" si="65"/>
        <v>0.10643015521064302</v>
      </c>
      <c r="O527" s="25">
        <f t="shared" si="71"/>
        <v>8.1842818428184277E-2</v>
      </c>
    </row>
    <row r="528" spans="1:15" x14ac:dyDescent="0.25">
      <c r="A528" s="15" t="s">
        <v>16</v>
      </c>
      <c r="B528" s="20">
        <v>38017</v>
      </c>
      <c r="C528" s="15">
        <v>241</v>
      </c>
      <c r="D528" s="15">
        <v>8</v>
      </c>
      <c r="E528" s="15">
        <v>67</v>
      </c>
      <c r="F528" s="21">
        <f t="shared" si="67"/>
        <v>316</v>
      </c>
      <c r="G528" s="18">
        <v>5</v>
      </c>
      <c r="H528" s="22">
        <f t="shared" si="68"/>
        <v>376.5</v>
      </c>
      <c r="I528" s="22">
        <f t="shared" si="69"/>
        <v>4.75</v>
      </c>
      <c r="J528" s="22">
        <f t="shared" si="70"/>
        <v>66.75</v>
      </c>
      <c r="K528" s="23">
        <f t="shared" si="66"/>
        <v>448</v>
      </c>
      <c r="L528" s="23">
        <f t="shared" si="72"/>
        <v>492.83333333333331</v>
      </c>
      <c r="M528" s="23">
        <f t="shared" si="63"/>
        <v>486.66666666666669</v>
      </c>
      <c r="N528" s="25">
        <f t="shared" si="65"/>
        <v>-0.19387755102040816</v>
      </c>
      <c r="O528" s="25">
        <f t="shared" si="71"/>
        <v>-0.35880960432871151</v>
      </c>
    </row>
    <row r="529" spans="1:15" x14ac:dyDescent="0.25">
      <c r="A529" s="15" t="s">
        <v>23</v>
      </c>
      <c r="B529" s="20">
        <v>38024</v>
      </c>
      <c r="C529" s="15">
        <v>178</v>
      </c>
      <c r="D529" s="15">
        <v>6</v>
      </c>
      <c r="E529" s="15">
        <v>39</v>
      </c>
      <c r="F529" s="21">
        <f t="shared" si="67"/>
        <v>223</v>
      </c>
      <c r="G529" s="18">
        <v>6</v>
      </c>
      <c r="H529" s="22">
        <f t="shared" si="68"/>
        <v>317.75</v>
      </c>
      <c r="I529" s="22">
        <f t="shared" si="69"/>
        <v>3.5</v>
      </c>
      <c r="J529" s="22">
        <f t="shared" si="70"/>
        <v>63</v>
      </c>
      <c r="K529" s="23">
        <f t="shared" si="66"/>
        <v>384.25</v>
      </c>
      <c r="L529" s="23">
        <f t="shared" si="72"/>
        <v>508.66666666666669</v>
      </c>
      <c r="M529" s="23">
        <f t="shared" si="63"/>
        <v>531.33333333333337</v>
      </c>
      <c r="N529" s="25">
        <f t="shared" si="65"/>
        <v>-0.42673521850899743</v>
      </c>
      <c r="O529" s="25">
        <f t="shared" si="71"/>
        <v>-0.5615989515072084</v>
      </c>
    </row>
    <row r="530" spans="1:15" x14ac:dyDescent="0.25">
      <c r="A530" s="15" t="s">
        <v>23</v>
      </c>
      <c r="B530" s="20">
        <v>38031</v>
      </c>
      <c r="C530" s="15">
        <v>173</v>
      </c>
      <c r="D530" s="15">
        <v>5</v>
      </c>
      <c r="E530" s="15">
        <v>40</v>
      </c>
      <c r="F530" s="21">
        <f t="shared" si="67"/>
        <v>218</v>
      </c>
      <c r="G530" s="18">
        <v>7</v>
      </c>
      <c r="H530" s="22">
        <f t="shared" si="68"/>
        <v>254.5</v>
      </c>
      <c r="I530" s="22">
        <f t="shared" si="69"/>
        <v>4.75</v>
      </c>
      <c r="J530" s="22">
        <f t="shared" si="70"/>
        <v>54.75</v>
      </c>
      <c r="K530" s="23">
        <f t="shared" si="66"/>
        <v>314</v>
      </c>
      <c r="L530" s="23">
        <f t="shared" si="72"/>
        <v>516.33333333333337</v>
      </c>
      <c r="M530" s="23">
        <f t="shared" si="63"/>
        <v>541.66666666666663</v>
      </c>
      <c r="N530" s="25">
        <f t="shared" si="65"/>
        <v>-0.49302325581395351</v>
      </c>
      <c r="O530" s="25">
        <f t="shared" si="71"/>
        <v>-0.57779212395093615</v>
      </c>
    </row>
    <row r="531" spans="1:15" x14ac:dyDescent="0.25">
      <c r="A531" s="15" t="s">
        <v>23</v>
      </c>
      <c r="B531" s="20">
        <v>38038</v>
      </c>
      <c r="C531" s="15">
        <v>240</v>
      </c>
      <c r="D531" s="15">
        <v>3</v>
      </c>
      <c r="E531" s="15">
        <v>19</v>
      </c>
      <c r="F531" s="21">
        <f t="shared" si="67"/>
        <v>262</v>
      </c>
      <c r="G531" s="18">
        <v>8</v>
      </c>
      <c r="H531" s="22">
        <f t="shared" si="68"/>
        <v>208</v>
      </c>
      <c r="I531" s="22">
        <f t="shared" si="69"/>
        <v>5.5</v>
      </c>
      <c r="J531" s="22">
        <f t="shared" si="70"/>
        <v>41.25</v>
      </c>
      <c r="K531" s="23">
        <f t="shared" si="66"/>
        <v>254.75</v>
      </c>
      <c r="L531" s="23">
        <f t="shared" si="72"/>
        <v>521.25</v>
      </c>
      <c r="M531" s="23">
        <f t="shared" si="63"/>
        <v>525.33333333333337</v>
      </c>
      <c r="N531" s="25">
        <f t="shared" si="65"/>
        <v>-0.40589569160997735</v>
      </c>
      <c r="O531" s="25">
        <f t="shared" si="71"/>
        <v>-0.49736211031175059</v>
      </c>
    </row>
    <row r="532" spans="1:15" x14ac:dyDescent="0.25">
      <c r="A532" s="15" t="s">
        <v>23</v>
      </c>
      <c r="B532" s="20">
        <v>38045</v>
      </c>
      <c r="C532" s="15">
        <v>353</v>
      </c>
      <c r="D532" s="15">
        <v>0</v>
      </c>
      <c r="E532" s="15">
        <v>77</v>
      </c>
      <c r="F532" s="21">
        <f t="shared" si="67"/>
        <v>430</v>
      </c>
      <c r="G532" s="18">
        <v>9</v>
      </c>
      <c r="H532" s="22">
        <f t="shared" si="68"/>
        <v>236</v>
      </c>
      <c r="I532" s="22">
        <f t="shared" si="69"/>
        <v>3.5</v>
      </c>
      <c r="J532" s="22">
        <f t="shared" si="69"/>
        <v>43.75</v>
      </c>
      <c r="K532" s="23">
        <f t="shared" si="66"/>
        <v>283.25</v>
      </c>
      <c r="L532" s="23">
        <f t="shared" si="72"/>
        <v>536.16666666666663</v>
      </c>
      <c r="M532" s="23">
        <f t="shared" ref="M532:M595" si="73">AVERAGE(F376+F428+F480)/3</f>
        <v>546.33333333333337</v>
      </c>
      <c r="N532" s="25">
        <f t="shared" si="65"/>
        <v>-7.5268817204301078E-2</v>
      </c>
      <c r="O532" s="25">
        <f t="shared" si="71"/>
        <v>-0.19801056885296855</v>
      </c>
    </row>
    <row r="533" spans="1:15" x14ac:dyDescent="0.25">
      <c r="A533" s="15" t="s">
        <v>27</v>
      </c>
      <c r="B533" s="20">
        <v>38052</v>
      </c>
      <c r="C533" s="15">
        <v>233</v>
      </c>
      <c r="D533" s="15">
        <v>9</v>
      </c>
      <c r="E533" s="15">
        <v>52</v>
      </c>
      <c r="F533" s="21">
        <f t="shared" si="67"/>
        <v>294</v>
      </c>
      <c r="G533" s="18">
        <v>10</v>
      </c>
      <c r="H533" s="22">
        <f t="shared" si="68"/>
        <v>249.75</v>
      </c>
      <c r="I533" s="22">
        <f t="shared" si="69"/>
        <v>4.25</v>
      </c>
      <c r="J533" s="22">
        <f t="shared" si="69"/>
        <v>47</v>
      </c>
      <c r="K533" s="23">
        <f t="shared" si="66"/>
        <v>301</v>
      </c>
      <c r="L533" s="23">
        <f t="shared" si="72"/>
        <v>557.41666666666663</v>
      </c>
      <c r="M533" s="23">
        <f t="shared" si="73"/>
        <v>616.33333333333337</v>
      </c>
      <c r="N533" s="25">
        <f t="shared" si="65"/>
        <v>-0.55114503816793892</v>
      </c>
      <c r="O533" s="25">
        <f t="shared" si="71"/>
        <v>-0.47256690088204512</v>
      </c>
    </row>
    <row r="534" spans="1:15" x14ac:dyDescent="0.25">
      <c r="A534" s="15" t="s">
        <v>27</v>
      </c>
      <c r="B534" s="20">
        <v>38059</v>
      </c>
      <c r="C534" s="15">
        <v>313</v>
      </c>
      <c r="D534" s="15">
        <v>11</v>
      </c>
      <c r="E534" s="15">
        <v>56</v>
      </c>
      <c r="F534" s="21">
        <f t="shared" si="67"/>
        <v>380</v>
      </c>
      <c r="G534" s="18">
        <v>11</v>
      </c>
      <c r="H534" s="22">
        <f t="shared" si="68"/>
        <v>284.75</v>
      </c>
      <c r="I534" s="22">
        <f t="shared" si="69"/>
        <v>5.75</v>
      </c>
      <c r="J534" s="22">
        <f t="shared" si="69"/>
        <v>51</v>
      </c>
      <c r="K534" s="23">
        <f t="shared" si="66"/>
        <v>341.5</v>
      </c>
      <c r="L534" s="23">
        <f t="shared" si="72"/>
        <v>565</v>
      </c>
      <c r="M534" s="23">
        <f t="shared" si="73"/>
        <v>572</v>
      </c>
      <c r="N534" s="25">
        <f t="shared" si="65"/>
        <v>-0.24151696606786427</v>
      </c>
      <c r="O534" s="25">
        <f t="shared" si="71"/>
        <v>-0.32743362831858408</v>
      </c>
    </row>
    <row r="535" spans="1:15" x14ac:dyDescent="0.25">
      <c r="A535" s="15" t="s">
        <v>27</v>
      </c>
      <c r="B535" s="20">
        <v>38066</v>
      </c>
      <c r="C535" s="15">
        <v>242</v>
      </c>
      <c r="D535" s="15">
        <v>12</v>
      </c>
      <c r="E535" s="15">
        <v>28</v>
      </c>
      <c r="F535" s="21">
        <f t="shared" si="67"/>
        <v>282</v>
      </c>
      <c r="G535" s="18">
        <v>12</v>
      </c>
      <c r="H535" s="22">
        <f t="shared" si="68"/>
        <v>285.25</v>
      </c>
      <c r="I535" s="22">
        <f t="shared" si="69"/>
        <v>8</v>
      </c>
      <c r="J535" s="22">
        <f t="shared" si="69"/>
        <v>53.25</v>
      </c>
      <c r="K535" s="23">
        <f t="shared" si="66"/>
        <v>346.5</v>
      </c>
      <c r="L535" s="23">
        <f t="shared" si="72"/>
        <v>592.41666666666663</v>
      </c>
      <c r="M535" s="23">
        <f t="shared" si="73"/>
        <v>635</v>
      </c>
      <c r="N535" s="25">
        <f t="shared" si="65"/>
        <v>-0.47289719626168225</v>
      </c>
      <c r="O535" s="25">
        <f t="shared" si="71"/>
        <v>-0.52398368265578843</v>
      </c>
    </row>
    <row r="536" spans="1:15" x14ac:dyDescent="0.25">
      <c r="A536" s="15" t="s">
        <v>27</v>
      </c>
      <c r="B536" s="20">
        <v>38073</v>
      </c>
      <c r="C536" s="15">
        <v>426</v>
      </c>
      <c r="D536" s="15">
        <v>12</v>
      </c>
      <c r="E536" s="15">
        <v>81</v>
      </c>
      <c r="F536" s="21">
        <f t="shared" si="67"/>
        <v>519</v>
      </c>
      <c r="G536" s="18">
        <v>13</v>
      </c>
      <c r="H536" s="22">
        <f t="shared" si="68"/>
        <v>303.5</v>
      </c>
      <c r="I536" s="22">
        <f t="shared" si="69"/>
        <v>11</v>
      </c>
      <c r="J536" s="22">
        <f t="shared" si="69"/>
        <v>54.25</v>
      </c>
      <c r="K536" s="23">
        <f t="shared" si="66"/>
        <v>368.75</v>
      </c>
      <c r="L536" s="23">
        <f t="shared" si="72"/>
        <v>645.75</v>
      </c>
      <c r="M536" s="23">
        <f t="shared" si="73"/>
        <v>759.66666666666663</v>
      </c>
      <c r="N536" s="25">
        <f t="shared" si="65"/>
        <v>-0.35846724351050679</v>
      </c>
      <c r="O536" s="25">
        <f t="shared" si="71"/>
        <v>-0.19628339140534262</v>
      </c>
    </row>
    <row r="537" spans="1:15" x14ac:dyDescent="0.25">
      <c r="A537" s="15" t="s">
        <v>14</v>
      </c>
      <c r="B537" s="20">
        <v>38080</v>
      </c>
      <c r="C537" s="15">
        <v>415</v>
      </c>
      <c r="D537" s="15">
        <v>19</v>
      </c>
      <c r="E537" s="15">
        <v>82</v>
      </c>
      <c r="F537" s="21">
        <f t="shared" si="67"/>
        <v>516</v>
      </c>
      <c r="G537" s="18">
        <v>14</v>
      </c>
      <c r="H537" s="22">
        <f t="shared" si="68"/>
        <v>349</v>
      </c>
      <c r="I537" s="22">
        <f t="shared" si="69"/>
        <v>13.5</v>
      </c>
      <c r="J537" s="22">
        <f t="shared" si="69"/>
        <v>61.75</v>
      </c>
      <c r="K537" s="23">
        <f t="shared" si="66"/>
        <v>424.25</v>
      </c>
      <c r="L537" s="23">
        <f t="shared" si="72"/>
        <v>694.5</v>
      </c>
      <c r="M537" s="23">
        <f t="shared" si="73"/>
        <v>811.33333333333337</v>
      </c>
      <c r="N537" s="25">
        <f t="shared" si="65"/>
        <v>-0.37378640776699029</v>
      </c>
      <c r="O537" s="25">
        <f t="shared" si="71"/>
        <v>-0.25701943844492442</v>
      </c>
    </row>
    <row r="538" spans="1:15" x14ac:dyDescent="0.25">
      <c r="A538" s="15" t="s">
        <v>14</v>
      </c>
      <c r="B538" s="20">
        <v>38087</v>
      </c>
      <c r="C538" s="15">
        <v>454</v>
      </c>
      <c r="D538" s="15">
        <v>14</v>
      </c>
      <c r="E538" s="15">
        <v>102</v>
      </c>
      <c r="F538" s="21">
        <f t="shared" si="67"/>
        <v>570</v>
      </c>
      <c r="G538" s="18">
        <v>15</v>
      </c>
      <c r="H538" s="22">
        <f t="shared" si="68"/>
        <v>384.25</v>
      </c>
      <c r="I538" s="22">
        <f t="shared" ref="I538:J561" si="74">AVERAGE(D535:D538)</f>
        <v>14.25</v>
      </c>
      <c r="J538" s="22">
        <f t="shared" si="74"/>
        <v>73.25</v>
      </c>
      <c r="K538" s="23">
        <f t="shared" si="66"/>
        <v>471.75</v>
      </c>
      <c r="L538" s="23">
        <f t="shared" si="72"/>
        <v>768.91666666666663</v>
      </c>
      <c r="M538" s="23">
        <f t="shared" si="73"/>
        <v>869.66666666666663</v>
      </c>
      <c r="N538" s="25">
        <f t="shared" si="65"/>
        <v>-0.25098554533508544</v>
      </c>
      <c r="O538" s="25">
        <f t="shared" si="71"/>
        <v>-0.25869730139807084</v>
      </c>
    </row>
    <row r="539" spans="1:15" x14ac:dyDescent="0.25">
      <c r="A539" s="15" t="s">
        <v>14</v>
      </c>
      <c r="B539" s="20">
        <v>38094</v>
      </c>
      <c r="C539" s="15">
        <v>546</v>
      </c>
      <c r="D539" s="15">
        <v>14</v>
      </c>
      <c r="E539" s="15">
        <v>70</v>
      </c>
      <c r="F539" s="21">
        <f t="shared" si="67"/>
        <v>630</v>
      </c>
      <c r="G539" s="18">
        <v>16</v>
      </c>
      <c r="H539" s="22">
        <f t="shared" si="68"/>
        <v>460.25</v>
      </c>
      <c r="I539" s="22">
        <f t="shared" si="74"/>
        <v>14.75</v>
      </c>
      <c r="J539" s="22">
        <f t="shared" si="74"/>
        <v>83.75</v>
      </c>
      <c r="K539" s="23">
        <f t="shared" si="66"/>
        <v>558.75</v>
      </c>
      <c r="L539" s="23">
        <f t="shared" si="72"/>
        <v>811.08333333333337</v>
      </c>
      <c r="M539" s="23">
        <f t="shared" si="73"/>
        <v>803.66666666666663</v>
      </c>
      <c r="N539" s="25">
        <f t="shared" si="65"/>
        <v>-9.7421203438395415E-2</v>
      </c>
      <c r="O539" s="25">
        <f t="shared" si="71"/>
        <v>-0.22326107058460909</v>
      </c>
    </row>
    <row r="540" spans="1:15" x14ac:dyDescent="0.25">
      <c r="A540" s="15" t="s">
        <v>14</v>
      </c>
      <c r="B540" s="20">
        <v>38101</v>
      </c>
      <c r="C540" s="15">
        <v>472</v>
      </c>
      <c r="D540" s="15">
        <v>14</v>
      </c>
      <c r="E540" s="15">
        <v>33</v>
      </c>
      <c r="F540" s="21">
        <f t="shared" si="67"/>
        <v>519</v>
      </c>
      <c r="G540" s="18">
        <v>17</v>
      </c>
      <c r="H540" s="22">
        <f t="shared" si="68"/>
        <v>471.75</v>
      </c>
      <c r="I540" s="22">
        <f t="shared" si="74"/>
        <v>15.25</v>
      </c>
      <c r="J540" s="22">
        <f t="shared" si="74"/>
        <v>71.75</v>
      </c>
      <c r="K540" s="23">
        <f t="shared" si="66"/>
        <v>558.75</v>
      </c>
      <c r="L540" s="23">
        <f t="shared" si="72"/>
        <v>781.66666666666663</v>
      </c>
      <c r="M540" s="23">
        <f t="shared" si="73"/>
        <v>642</v>
      </c>
      <c r="N540" s="25">
        <f t="shared" si="65"/>
        <v>-0.34220532319391633</v>
      </c>
      <c r="O540" s="25">
        <f t="shared" si="71"/>
        <v>-0.33603411513859271</v>
      </c>
    </row>
    <row r="541" spans="1:15" x14ac:dyDescent="0.25">
      <c r="A541" s="15" t="s">
        <v>5</v>
      </c>
      <c r="B541" s="20">
        <v>38108</v>
      </c>
      <c r="C541" s="15">
        <v>500</v>
      </c>
      <c r="D541" s="15">
        <v>22</v>
      </c>
      <c r="E541" s="15">
        <v>64</v>
      </c>
      <c r="F541" s="21">
        <f t="shared" si="67"/>
        <v>586</v>
      </c>
      <c r="G541" s="18">
        <v>18</v>
      </c>
      <c r="H541" s="22">
        <f t="shared" si="68"/>
        <v>493</v>
      </c>
      <c r="I541" s="22">
        <f t="shared" si="74"/>
        <v>16</v>
      </c>
      <c r="J541" s="22">
        <f t="shared" si="74"/>
        <v>67.25</v>
      </c>
      <c r="K541" s="23">
        <f t="shared" si="66"/>
        <v>576.25</v>
      </c>
      <c r="L541" s="23">
        <f t="shared" si="72"/>
        <v>735.33333333333337</v>
      </c>
      <c r="M541" s="23">
        <f t="shared" si="73"/>
        <v>626</v>
      </c>
      <c r="N541" s="25">
        <f t="shared" si="65"/>
        <v>-0.12797619047619047</v>
      </c>
      <c r="O541" s="25">
        <f t="shared" si="71"/>
        <v>-0.20308250226654584</v>
      </c>
    </row>
    <row r="542" spans="1:15" x14ac:dyDescent="0.25">
      <c r="A542" s="15" t="s">
        <v>5</v>
      </c>
      <c r="B542" s="20">
        <v>38115</v>
      </c>
      <c r="C542" s="15">
        <v>496</v>
      </c>
      <c r="D542" s="15">
        <v>31</v>
      </c>
      <c r="E542" s="15">
        <v>50</v>
      </c>
      <c r="F542" s="21">
        <f t="shared" si="67"/>
        <v>577</v>
      </c>
      <c r="G542" s="18">
        <v>19</v>
      </c>
      <c r="H542" s="22">
        <f t="shared" si="68"/>
        <v>503.5</v>
      </c>
      <c r="I542" s="22">
        <f t="shared" si="74"/>
        <v>20.25</v>
      </c>
      <c r="J542" s="22">
        <f t="shared" si="74"/>
        <v>54.25</v>
      </c>
      <c r="K542" s="23">
        <f t="shared" si="66"/>
        <v>578</v>
      </c>
      <c r="L542" s="23">
        <f t="shared" si="72"/>
        <v>682</v>
      </c>
      <c r="M542" s="23">
        <f t="shared" si="73"/>
        <v>656.33333333333337</v>
      </c>
      <c r="N542" s="25">
        <f t="shared" si="65"/>
        <v>-4.1528239202657809E-2</v>
      </c>
      <c r="O542" s="25">
        <f t="shared" si="71"/>
        <v>-0.15395894428152493</v>
      </c>
    </row>
    <row r="543" spans="1:15" x14ac:dyDescent="0.25">
      <c r="A543" s="15" t="s">
        <v>5</v>
      </c>
      <c r="B543" s="20">
        <v>38122</v>
      </c>
      <c r="C543" s="15">
        <v>430</v>
      </c>
      <c r="D543" s="15">
        <v>11</v>
      </c>
      <c r="E543" s="15">
        <v>52</v>
      </c>
      <c r="F543" s="21">
        <f t="shared" si="67"/>
        <v>493</v>
      </c>
      <c r="G543" s="18">
        <v>20</v>
      </c>
      <c r="H543" s="22">
        <f t="shared" si="68"/>
        <v>474.5</v>
      </c>
      <c r="I543" s="22">
        <f t="shared" si="74"/>
        <v>19.5</v>
      </c>
      <c r="J543" s="22">
        <f t="shared" si="74"/>
        <v>49.75</v>
      </c>
      <c r="K543" s="23">
        <f t="shared" si="66"/>
        <v>543.75</v>
      </c>
      <c r="L543" s="23">
        <f t="shared" si="72"/>
        <v>615</v>
      </c>
      <c r="M543" s="23">
        <f t="shared" si="73"/>
        <v>535.66666666666663</v>
      </c>
      <c r="N543" s="25">
        <f t="shared" si="65"/>
        <v>-0.19047619047619047</v>
      </c>
      <c r="O543" s="25">
        <f t="shared" si="71"/>
        <v>-0.19837398373983739</v>
      </c>
    </row>
    <row r="544" spans="1:15" x14ac:dyDescent="0.25">
      <c r="A544" s="15" t="s">
        <v>5</v>
      </c>
      <c r="B544" s="20">
        <v>38129</v>
      </c>
      <c r="C544" s="15">
        <v>472</v>
      </c>
      <c r="D544" s="15">
        <v>15</v>
      </c>
      <c r="E544" s="15">
        <v>44</v>
      </c>
      <c r="F544" s="21">
        <f t="shared" si="67"/>
        <v>531</v>
      </c>
      <c r="G544" s="18">
        <v>21</v>
      </c>
      <c r="H544" s="22">
        <f t="shared" si="68"/>
        <v>474.5</v>
      </c>
      <c r="I544" s="22">
        <f t="shared" si="74"/>
        <v>19.75</v>
      </c>
      <c r="J544" s="22">
        <f t="shared" si="74"/>
        <v>52.5</v>
      </c>
      <c r="K544" s="23">
        <f t="shared" si="66"/>
        <v>546.75</v>
      </c>
      <c r="L544" s="23">
        <f t="shared" si="72"/>
        <v>629.33333333333337</v>
      </c>
      <c r="M544" s="23">
        <f t="shared" si="73"/>
        <v>699.33333333333337</v>
      </c>
      <c r="N544" s="25">
        <f t="shared" si="65"/>
        <v>-0.41261061946902655</v>
      </c>
      <c r="O544" s="25">
        <f t="shared" si="71"/>
        <v>-0.15625000000000006</v>
      </c>
    </row>
    <row r="545" spans="1:15" x14ac:dyDescent="0.25">
      <c r="A545" s="15" t="s">
        <v>5</v>
      </c>
      <c r="B545" s="20">
        <v>38136</v>
      </c>
      <c r="C545" s="15">
        <v>651</v>
      </c>
      <c r="D545" s="15">
        <v>24</v>
      </c>
      <c r="E545" s="15">
        <v>57</v>
      </c>
      <c r="F545" s="21">
        <f t="shared" si="67"/>
        <v>732</v>
      </c>
      <c r="G545" s="18">
        <v>22</v>
      </c>
      <c r="H545" s="22">
        <f t="shared" si="68"/>
        <v>512.25</v>
      </c>
      <c r="I545" s="22">
        <f t="shared" si="74"/>
        <v>20.25</v>
      </c>
      <c r="J545" s="22">
        <f t="shared" si="74"/>
        <v>50.75</v>
      </c>
      <c r="K545" s="23">
        <f t="shared" si="66"/>
        <v>583.25</v>
      </c>
      <c r="L545" s="23">
        <f t="shared" si="72"/>
        <v>687.75</v>
      </c>
      <c r="M545" s="23">
        <f t="shared" si="73"/>
        <v>859.66666666666663</v>
      </c>
      <c r="N545" s="25">
        <f t="shared" si="65"/>
        <v>-6.3938618925831206E-2</v>
      </c>
      <c r="O545" s="25">
        <f t="shared" si="71"/>
        <v>6.4340239912759001E-2</v>
      </c>
    </row>
    <row r="546" spans="1:15" x14ac:dyDescent="0.25">
      <c r="A546" s="15" t="s">
        <v>30</v>
      </c>
      <c r="B546" s="20">
        <v>38143</v>
      </c>
      <c r="C546" s="15">
        <v>597</v>
      </c>
      <c r="D546" s="15">
        <v>14</v>
      </c>
      <c r="E546" s="15">
        <v>57</v>
      </c>
      <c r="F546" s="21">
        <f t="shared" si="67"/>
        <v>668</v>
      </c>
      <c r="G546" s="18">
        <v>23</v>
      </c>
      <c r="H546" s="22">
        <f t="shared" si="68"/>
        <v>537.5</v>
      </c>
      <c r="I546" s="22">
        <f t="shared" si="74"/>
        <v>16</v>
      </c>
      <c r="J546" s="22">
        <f t="shared" si="74"/>
        <v>52.5</v>
      </c>
      <c r="K546" s="23">
        <f t="shared" si="66"/>
        <v>606</v>
      </c>
      <c r="L546" s="23">
        <f t="shared" si="72"/>
        <v>745.58333333333337</v>
      </c>
      <c r="M546" s="23">
        <f t="shared" si="73"/>
        <v>887.66666666666663</v>
      </c>
      <c r="N546" s="25">
        <f t="shared" si="65"/>
        <v>-0.19030303030303031</v>
      </c>
      <c r="O546" s="25">
        <f t="shared" si="71"/>
        <v>-0.10405722588577181</v>
      </c>
    </row>
    <row r="547" spans="1:15" x14ac:dyDescent="0.25">
      <c r="A547" s="15" t="s">
        <v>30</v>
      </c>
      <c r="B547" s="20">
        <v>38150</v>
      </c>
      <c r="C547" s="15">
        <v>644</v>
      </c>
      <c r="D547" s="15">
        <v>16</v>
      </c>
      <c r="E547" s="15">
        <v>29</v>
      </c>
      <c r="F547" s="21">
        <f t="shared" si="67"/>
        <v>689</v>
      </c>
      <c r="G547" s="18">
        <v>24</v>
      </c>
      <c r="H547" s="22">
        <f t="shared" si="68"/>
        <v>591</v>
      </c>
      <c r="I547" s="22">
        <f t="shared" si="74"/>
        <v>17.25</v>
      </c>
      <c r="J547" s="22">
        <f t="shared" si="74"/>
        <v>46.75</v>
      </c>
      <c r="K547" s="23">
        <f t="shared" si="66"/>
        <v>655</v>
      </c>
      <c r="L547" s="23">
        <f t="shared" si="72"/>
        <v>854.58333333333337</v>
      </c>
      <c r="M547" s="23">
        <f t="shared" si="73"/>
        <v>971.66666666666663</v>
      </c>
      <c r="N547" s="25">
        <f t="shared" si="65"/>
        <v>-0.21076746849942726</v>
      </c>
      <c r="O547" s="25">
        <f t="shared" si="71"/>
        <v>-0.19375914188200882</v>
      </c>
    </row>
    <row r="548" spans="1:15" x14ac:dyDescent="0.25">
      <c r="A548" s="15" t="s">
        <v>30</v>
      </c>
      <c r="B548" s="20">
        <v>38157</v>
      </c>
      <c r="C548" s="15">
        <v>702</v>
      </c>
      <c r="D548" s="15">
        <v>12</v>
      </c>
      <c r="E548" s="15">
        <v>22</v>
      </c>
      <c r="F548" s="21">
        <f t="shared" si="67"/>
        <v>736</v>
      </c>
      <c r="G548" s="18">
        <v>25</v>
      </c>
      <c r="H548" s="22">
        <f t="shared" si="68"/>
        <v>648.5</v>
      </c>
      <c r="I548" s="22">
        <f t="shared" si="74"/>
        <v>16.5</v>
      </c>
      <c r="J548" s="22">
        <f t="shared" si="74"/>
        <v>41.25</v>
      </c>
      <c r="K548" s="23">
        <f t="shared" si="66"/>
        <v>706.25</v>
      </c>
      <c r="L548" s="23">
        <f t="shared" si="72"/>
        <v>923.75</v>
      </c>
      <c r="M548" s="23">
        <f t="shared" si="73"/>
        <v>976</v>
      </c>
      <c r="N548" s="25">
        <f t="shared" si="65"/>
        <v>4.694167852062589E-2</v>
      </c>
      <c r="O548" s="25">
        <f t="shared" si="71"/>
        <v>-0.20324763193504736</v>
      </c>
    </row>
    <row r="549" spans="1:15" x14ac:dyDescent="0.25">
      <c r="A549" s="15" t="s">
        <v>30</v>
      </c>
      <c r="B549" s="20">
        <v>38164</v>
      </c>
      <c r="C549" s="15">
        <v>515</v>
      </c>
      <c r="D549" s="15">
        <v>3</v>
      </c>
      <c r="E549" s="15">
        <v>72</v>
      </c>
      <c r="F549" s="21">
        <f t="shared" si="67"/>
        <v>590</v>
      </c>
      <c r="G549" s="18">
        <v>26</v>
      </c>
      <c r="H549" s="22">
        <f t="shared" si="68"/>
        <v>614.5</v>
      </c>
      <c r="I549" s="22">
        <f t="shared" si="74"/>
        <v>11.25</v>
      </c>
      <c r="J549" s="22">
        <f t="shared" si="74"/>
        <v>45</v>
      </c>
      <c r="K549" s="23">
        <f t="shared" si="66"/>
        <v>670.75</v>
      </c>
      <c r="L549" s="23">
        <f t="shared" si="72"/>
        <v>942.41666666666663</v>
      </c>
      <c r="M549" s="23">
        <f t="shared" si="73"/>
        <v>934.33333333333337</v>
      </c>
      <c r="N549" s="25">
        <f t="shared" si="65"/>
        <v>-0.36008676789587851</v>
      </c>
      <c r="O549" s="25">
        <f t="shared" si="71"/>
        <v>-0.37394995136616849</v>
      </c>
    </row>
    <row r="550" spans="1:15" x14ac:dyDescent="0.25">
      <c r="A550" s="15" t="s">
        <v>31</v>
      </c>
      <c r="B550" s="20">
        <v>38171</v>
      </c>
      <c r="C550" s="15">
        <v>595</v>
      </c>
      <c r="D550" s="15">
        <v>14</v>
      </c>
      <c r="E550" s="15">
        <v>37</v>
      </c>
      <c r="F550" s="21">
        <f t="shared" si="67"/>
        <v>646</v>
      </c>
      <c r="G550" s="18">
        <v>27</v>
      </c>
      <c r="H550" s="22">
        <f t="shared" si="68"/>
        <v>614</v>
      </c>
      <c r="I550" s="22">
        <f t="shared" si="74"/>
        <v>11.25</v>
      </c>
      <c r="J550" s="22">
        <f t="shared" si="74"/>
        <v>40</v>
      </c>
      <c r="K550" s="23">
        <f t="shared" si="66"/>
        <v>665.25</v>
      </c>
      <c r="L550" s="23">
        <f t="shared" si="72"/>
        <v>974.41666666666663</v>
      </c>
      <c r="M550" s="23">
        <f t="shared" si="73"/>
        <v>1015.6666666666666</v>
      </c>
      <c r="N550" s="25">
        <f t="shared" si="65"/>
        <v>-0.30086580086580089</v>
      </c>
      <c r="O550" s="25">
        <f t="shared" si="71"/>
        <v>-0.33703925425468229</v>
      </c>
    </row>
    <row r="551" spans="1:15" x14ac:dyDescent="0.25">
      <c r="A551" s="15" t="s">
        <v>31</v>
      </c>
      <c r="B551" s="20">
        <v>38178</v>
      </c>
      <c r="C551" s="15">
        <v>503</v>
      </c>
      <c r="D551" s="15">
        <v>30</v>
      </c>
      <c r="E551" s="15">
        <v>38</v>
      </c>
      <c r="F551" s="21">
        <f t="shared" si="67"/>
        <v>571</v>
      </c>
      <c r="G551" s="18">
        <v>28</v>
      </c>
      <c r="H551" s="22">
        <f t="shared" si="68"/>
        <v>578.75</v>
      </c>
      <c r="I551" s="22">
        <f t="shared" si="74"/>
        <v>14.75</v>
      </c>
      <c r="J551" s="22">
        <f t="shared" si="74"/>
        <v>42.25</v>
      </c>
      <c r="K551" s="23">
        <f t="shared" si="66"/>
        <v>635.75</v>
      </c>
      <c r="L551" s="23">
        <f t="shared" si="72"/>
        <v>960.83333333333337</v>
      </c>
      <c r="M551" s="23">
        <f t="shared" si="73"/>
        <v>917.33333333333337</v>
      </c>
      <c r="N551" s="25">
        <f t="shared" si="65"/>
        <v>-0.14264264264264265</v>
      </c>
      <c r="O551" s="25">
        <f t="shared" si="71"/>
        <v>-0.40572419774501306</v>
      </c>
    </row>
    <row r="552" spans="1:15" x14ac:dyDescent="0.25">
      <c r="A552" s="15" t="s">
        <v>31</v>
      </c>
      <c r="B552" s="20">
        <v>38185</v>
      </c>
      <c r="C552" s="15">
        <v>626</v>
      </c>
      <c r="D552" s="15">
        <v>28</v>
      </c>
      <c r="E552" s="15">
        <v>22</v>
      </c>
      <c r="F552" s="21">
        <f t="shared" si="67"/>
        <v>676</v>
      </c>
      <c r="G552" s="18">
        <v>29</v>
      </c>
      <c r="H552" s="22">
        <f t="shared" si="68"/>
        <v>559.75</v>
      </c>
      <c r="I552" s="22">
        <f t="shared" si="74"/>
        <v>18.75</v>
      </c>
      <c r="J552" s="22">
        <f t="shared" si="74"/>
        <v>42.25</v>
      </c>
      <c r="K552" s="23">
        <f t="shared" si="66"/>
        <v>620.75</v>
      </c>
      <c r="L552" s="23">
        <f t="shared" si="72"/>
        <v>934.33333333333337</v>
      </c>
      <c r="M552" s="23">
        <f t="shared" si="73"/>
        <v>870</v>
      </c>
      <c r="N552" s="25">
        <f t="shared" si="65"/>
        <v>-0.26918918918918922</v>
      </c>
      <c r="O552" s="25">
        <f t="shared" si="71"/>
        <v>-0.27648947556189801</v>
      </c>
    </row>
    <row r="553" spans="1:15" x14ac:dyDescent="0.25">
      <c r="A553" s="15" t="s">
        <v>31</v>
      </c>
      <c r="B553" s="20">
        <v>38192</v>
      </c>
      <c r="C553" s="15">
        <v>512</v>
      </c>
      <c r="D553" s="15">
        <v>34</v>
      </c>
      <c r="E553" s="15">
        <v>34</v>
      </c>
      <c r="F553" s="21">
        <f t="shared" si="67"/>
        <v>580</v>
      </c>
      <c r="G553" s="18">
        <v>30</v>
      </c>
      <c r="H553" s="22">
        <f t="shared" si="68"/>
        <v>559</v>
      </c>
      <c r="I553" s="22">
        <f t="shared" si="74"/>
        <v>26.5</v>
      </c>
      <c r="J553" s="22">
        <f t="shared" si="74"/>
        <v>32.75</v>
      </c>
      <c r="K553" s="23">
        <f t="shared" si="66"/>
        <v>618.25</v>
      </c>
      <c r="L553" s="23">
        <f t="shared" si="72"/>
        <v>921.83333333333337</v>
      </c>
      <c r="M553" s="23">
        <f t="shared" si="73"/>
        <v>884.33333333333337</v>
      </c>
      <c r="N553" s="25">
        <f t="shared" si="65"/>
        <v>-0.24083769633507854</v>
      </c>
      <c r="O553" s="25">
        <f t="shared" si="71"/>
        <v>-0.37081902006870371</v>
      </c>
    </row>
    <row r="554" spans="1:15" x14ac:dyDescent="0.25">
      <c r="A554" s="15" t="s">
        <v>31</v>
      </c>
      <c r="B554" s="20">
        <v>38199</v>
      </c>
      <c r="C554" s="15">
        <v>417</v>
      </c>
      <c r="D554" s="15">
        <v>25</v>
      </c>
      <c r="E554" s="15">
        <v>0</v>
      </c>
      <c r="F554" s="21">
        <f t="shared" si="67"/>
        <v>442</v>
      </c>
      <c r="G554" s="18">
        <v>31</v>
      </c>
      <c r="H554" s="22">
        <f t="shared" si="68"/>
        <v>514.5</v>
      </c>
      <c r="I554" s="22">
        <f t="shared" si="74"/>
        <v>29.25</v>
      </c>
      <c r="J554" s="22">
        <f t="shared" si="74"/>
        <v>23.5</v>
      </c>
      <c r="K554" s="23">
        <f t="shared" si="66"/>
        <v>567.25</v>
      </c>
      <c r="L554" s="23">
        <f t="shared" si="72"/>
        <v>889.75</v>
      </c>
      <c r="M554" s="23">
        <f t="shared" si="73"/>
        <v>887.33333333333337</v>
      </c>
      <c r="N554" s="25">
        <f t="shared" si="65"/>
        <v>-0.42820181112548511</v>
      </c>
      <c r="O554" s="25">
        <f t="shared" si="71"/>
        <v>-0.50323124473166625</v>
      </c>
    </row>
    <row r="555" spans="1:15" x14ac:dyDescent="0.25">
      <c r="A555" s="15" t="s">
        <v>19</v>
      </c>
      <c r="B555" s="20">
        <v>38206</v>
      </c>
      <c r="C555" s="15">
        <v>413</v>
      </c>
      <c r="D555" s="15">
        <v>33</v>
      </c>
      <c r="E555" s="15">
        <v>33</v>
      </c>
      <c r="F555" s="21">
        <f t="shared" si="67"/>
        <v>479</v>
      </c>
      <c r="G555" s="18">
        <v>32</v>
      </c>
      <c r="H555" s="22">
        <f t="shared" si="68"/>
        <v>492</v>
      </c>
      <c r="I555" s="22">
        <f t="shared" si="74"/>
        <v>30</v>
      </c>
      <c r="J555" s="22">
        <f t="shared" si="74"/>
        <v>22.25</v>
      </c>
      <c r="K555" s="23">
        <f t="shared" si="66"/>
        <v>544.25</v>
      </c>
      <c r="L555" s="23">
        <f t="shared" si="72"/>
        <v>892.75</v>
      </c>
      <c r="M555" s="23">
        <f t="shared" si="73"/>
        <v>929.33333333333337</v>
      </c>
      <c r="N555" s="25">
        <f t="shared" si="65"/>
        <v>-0.31178160919540232</v>
      </c>
      <c r="O555" s="25">
        <f t="shared" si="71"/>
        <v>-0.46345561467376084</v>
      </c>
    </row>
    <row r="556" spans="1:15" x14ac:dyDescent="0.25">
      <c r="A556" s="15" t="s">
        <v>19</v>
      </c>
      <c r="B556" s="20">
        <v>38213</v>
      </c>
      <c r="C556" s="15">
        <v>720</v>
      </c>
      <c r="D556" s="15">
        <v>17</v>
      </c>
      <c r="E556" s="15">
        <v>41</v>
      </c>
      <c r="F556" s="21">
        <f t="shared" si="67"/>
        <v>778</v>
      </c>
      <c r="G556" s="18">
        <v>33</v>
      </c>
      <c r="H556" s="22">
        <f t="shared" si="68"/>
        <v>515.5</v>
      </c>
      <c r="I556" s="22">
        <f t="shared" si="74"/>
        <v>27.25</v>
      </c>
      <c r="J556" s="22">
        <f t="shared" si="74"/>
        <v>27</v>
      </c>
      <c r="K556" s="23">
        <f t="shared" si="66"/>
        <v>569.75</v>
      </c>
      <c r="L556" s="23">
        <f t="shared" si="72"/>
        <v>875.25</v>
      </c>
      <c r="M556" s="23">
        <f t="shared" si="73"/>
        <v>800</v>
      </c>
      <c r="N556" s="25">
        <f t="shared" si="65"/>
        <v>0.14580265095729014</v>
      </c>
      <c r="O556" s="25">
        <f t="shared" si="71"/>
        <v>-0.1111111111111111</v>
      </c>
    </row>
    <row r="557" spans="1:15" x14ac:dyDescent="0.25">
      <c r="A557" s="15" t="s">
        <v>19</v>
      </c>
      <c r="B557" s="20">
        <v>38220</v>
      </c>
      <c r="C557" s="15">
        <v>451</v>
      </c>
      <c r="D557" s="15">
        <v>23</v>
      </c>
      <c r="E557" s="15">
        <v>16</v>
      </c>
      <c r="F557" s="21">
        <f t="shared" si="67"/>
        <v>490</v>
      </c>
      <c r="G557" s="18">
        <v>34</v>
      </c>
      <c r="H557" s="22">
        <f t="shared" si="68"/>
        <v>500.25</v>
      </c>
      <c r="I557" s="22">
        <f t="shared" si="74"/>
        <v>24.5</v>
      </c>
      <c r="J557" s="22">
        <f t="shared" si="74"/>
        <v>22.5</v>
      </c>
      <c r="K557" s="23">
        <f t="shared" si="66"/>
        <v>547.25</v>
      </c>
      <c r="L557" s="23">
        <f t="shared" si="72"/>
        <v>861</v>
      </c>
      <c r="M557" s="23">
        <f t="shared" si="73"/>
        <v>827.33333333333337</v>
      </c>
      <c r="N557" s="25">
        <f t="shared" si="65"/>
        <v>-0.10909090909090909</v>
      </c>
      <c r="O557" s="25">
        <f t="shared" si="71"/>
        <v>-0.43089430894308944</v>
      </c>
    </row>
    <row r="558" spans="1:15" x14ac:dyDescent="0.25">
      <c r="A558" s="15" t="s">
        <v>19</v>
      </c>
      <c r="B558" s="20">
        <v>38227</v>
      </c>
      <c r="C558" s="15">
        <v>475</v>
      </c>
      <c r="D558" s="15">
        <v>20</v>
      </c>
      <c r="E558" s="15">
        <v>9</v>
      </c>
      <c r="F558" s="21">
        <f t="shared" si="67"/>
        <v>504</v>
      </c>
      <c r="G558" s="18">
        <v>35</v>
      </c>
      <c r="H558" s="22">
        <f t="shared" si="68"/>
        <v>514.75</v>
      </c>
      <c r="I558" s="22">
        <f t="shared" si="74"/>
        <v>23.25</v>
      </c>
      <c r="J558" s="22">
        <f t="shared" si="74"/>
        <v>24.75</v>
      </c>
      <c r="K558" s="23">
        <f t="shared" si="66"/>
        <v>562.75</v>
      </c>
      <c r="L558" s="23">
        <f t="shared" si="72"/>
        <v>810.58333333333337</v>
      </c>
      <c r="M558" s="23">
        <f t="shared" si="73"/>
        <v>685.66666666666663</v>
      </c>
      <c r="N558" s="25">
        <f t="shared" si="65"/>
        <v>-0.15859766277128548</v>
      </c>
      <c r="O558" s="25">
        <f t="shared" si="71"/>
        <v>-0.37822555772591759</v>
      </c>
    </row>
    <row r="559" spans="1:15" x14ac:dyDescent="0.25">
      <c r="A559" s="15" t="s">
        <v>24</v>
      </c>
      <c r="B559" s="20">
        <v>38234</v>
      </c>
      <c r="C559" s="15">
        <v>239</v>
      </c>
      <c r="D559" s="15">
        <v>36</v>
      </c>
      <c r="E559" s="15">
        <v>19</v>
      </c>
      <c r="F559" s="21">
        <f t="shared" si="67"/>
        <v>294</v>
      </c>
      <c r="G559" s="18">
        <v>36</v>
      </c>
      <c r="H559" s="22">
        <f t="shared" si="68"/>
        <v>471.25</v>
      </c>
      <c r="I559" s="22">
        <f t="shared" si="74"/>
        <v>24</v>
      </c>
      <c r="J559" s="22">
        <f t="shared" si="74"/>
        <v>21.25</v>
      </c>
      <c r="K559" s="23">
        <f t="shared" si="66"/>
        <v>516.5</v>
      </c>
      <c r="L559" s="23">
        <f t="shared" si="72"/>
        <v>733.33333333333337</v>
      </c>
      <c r="M559" s="23">
        <f t="shared" si="73"/>
        <v>620.33333333333337</v>
      </c>
      <c r="N559" s="25">
        <f t="shared" si="65"/>
        <v>-0.35807860262008734</v>
      </c>
      <c r="O559" s="25">
        <f t="shared" si="71"/>
        <v>-0.59909090909090912</v>
      </c>
    </row>
    <row r="560" spans="1:15" x14ac:dyDescent="0.25">
      <c r="A560" s="15" t="s">
        <v>24</v>
      </c>
      <c r="B560" s="20">
        <v>38241</v>
      </c>
      <c r="C560" s="15">
        <v>173</v>
      </c>
      <c r="D560" s="15">
        <v>22</v>
      </c>
      <c r="E560" s="15">
        <v>5</v>
      </c>
      <c r="F560" s="21">
        <f t="shared" si="67"/>
        <v>200</v>
      </c>
      <c r="G560" s="18">
        <v>37</v>
      </c>
      <c r="H560" s="22">
        <f t="shared" si="68"/>
        <v>334.5</v>
      </c>
      <c r="I560" s="22">
        <f t="shared" si="74"/>
        <v>25.25</v>
      </c>
      <c r="J560" s="22">
        <f t="shared" si="74"/>
        <v>12.25</v>
      </c>
      <c r="K560" s="23">
        <f t="shared" si="66"/>
        <v>372</v>
      </c>
      <c r="L560" s="23">
        <f t="shared" si="72"/>
        <v>662.83333333333337</v>
      </c>
      <c r="M560" s="23">
        <f t="shared" si="73"/>
        <v>518</v>
      </c>
      <c r="N560" s="25">
        <f t="shared" si="65"/>
        <v>-0.51807228915662651</v>
      </c>
      <c r="O560" s="25">
        <f t="shared" si="71"/>
        <v>-0.69826502388735234</v>
      </c>
    </row>
    <row r="561" spans="1:15" x14ac:dyDescent="0.25">
      <c r="A561" s="15" t="s">
        <v>24</v>
      </c>
      <c r="B561" s="20">
        <v>38248</v>
      </c>
      <c r="C561" s="15">
        <v>176</v>
      </c>
      <c r="D561" s="15">
        <v>21</v>
      </c>
      <c r="E561" s="15">
        <v>16</v>
      </c>
      <c r="F561" s="21">
        <f t="shared" si="67"/>
        <v>213</v>
      </c>
      <c r="G561" s="18">
        <v>38</v>
      </c>
      <c r="H561" s="22">
        <f t="shared" si="68"/>
        <v>265.75</v>
      </c>
      <c r="I561" s="22">
        <f t="shared" si="74"/>
        <v>24.75</v>
      </c>
      <c r="J561" s="22">
        <f t="shared" si="74"/>
        <v>12.25</v>
      </c>
      <c r="K561" s="23">
        <f t="shared" si="66"/>
        <v>302.75</v>
      </c>
      <c r="L561" s="23">
        <f t="shared" si="72"/>
        <v>563.08333333333337</v>
      </c>
      <c r="M561" s="23">
        <f t="shared" si="73"/>
        <v>428.33333333333331</v>
      </c>
      <c r="N561" s="25">
        <f t="shared" si="65"/>
        <v>-0.27796610169491526</v>
      </c>
      <c r="O561" s="25">
        <f t="shared" si="71"/>
        <v>-0.62172561787775638</v>
      </c>
    </row>
    <row r="562" spans="1:15" x14ac:dyDescent="0.25">
      <c r="A562" s="15" t="s">
        <v>24</v>
      </c>
      <c r="B562" s="20">
        <v>38255</v>
      </c>
      <c r="C562" s="15">
        <v>203</v>
      </c>
      <c r="D562" s="15">
        <v>12</v>
      </c>
      <c r="E562" s="15">
        <v>22</v>
      </c>
      <c r="F562" s="21">
        <f t="shared" si="67"/>
        <v>237</v>
      </c>
      <c r="G562" s="18">
        <v>39</v>
      </c>
      <c r="H562" s="22">
        <f t="shared" ref="H562:J643" si="75">AVERAGE(C559:C562)</f>
        <v>197.75</v>
      </c>
      <c r="I562" s="22">
        <f t="shared" si="75"/>
        <v>22.75</v>
      </c>
      <c r="J562" s="22">
        <f t="shared" si="75"/>
        <v>15.5</v>
      </c>
      <c r="K562" s="23">
        <f t="shared" ref="K562:K603" si="76">SUM(H562:J562)</f>
        <v>236</v>
      </c>
      <c r="L562" s="23">
        <f t="shared" si="72"/>
        <v>517.33333333333337</v>
      </c>
      <c r="M562" s="23">
        <f t="shared" si="73"/>
        <v>502.66666666666669</v>
      </c>
      <c r="N562" s="25">
        <f t="shared" si="65"/>
        <v>-0.53980582524271847</v>
      </c>
      <c r="O562" s="25">
        <f t="shared" si="71"/>
        <v>-0.54188144329896915</v>
      </c>
    </row>
    <row r="563" spans="1:15" x14ac:dyDescent="0.25">
      <c r="A563" s="15" t="s">
        <v>20</v>
      </c>
      <c r="B563" s="20">
        <v>38262</v>
      </c>
      <c r="C563" s="15">
        <v>226</v>
      </c>
      <c r="D563" s="15">
        <v>17</v>
      </c>
      <c r="E563" s="15">
        <v>69</v>
      </c>
      <c r="F563" s="21">
        <f t="shared" si="67"/>
        <v>312</v>
      </c>
      <c r="G563" s="18">
        <v>40</v>
      </c>
      <c r="H563" s="22">
        <f t="shared" si="75"/>
        <v>194.5</v>
      </c>
      <c r="I563" s="22">
        <f t="shared" si="75"/>
        <v>18</v>
      </c>
      <c r="J563" s="22">
        <f t="shared" si="75"/>
        <v>28</v>
      </c>
      <c r="K563" s="23">
        <f t="shared" si="76"/>
        <v>240.5</v>
      </c>
      <c r="L563" s="23">
        <f t="shared" si="72"/>
        <v>508.16666666666669</v>
      </c>
      <c r="M563" s="23">
        <f t="shared" si="73"/>
        <v>583.66666666666663</v>
      </c>
      <c r="N563" s="25">
        <f t="shared" si="65"/>
        <v>-0.32173913043478258</v>
      </c>
      <c r="O563" s="25">
        <f t="shared" si="71"/>
        <v>-0.38602820596917026</v>
      </c>
    </row>
    <row r="564" spans="1:15" x14ac:dyDescent="0.25">
      <c r="A564" s="15" t="s">
        <v>20</v>
      </c>
      <c r="B564" s="20">
        <v>38269</v>
      </c>
      <c r="C564" s="15">
        <v>403</v>
      </c>
      <c r="D564" s="15">
        <v>5</v>
      </c>
      <c r="E564" s="15">
        <v>163</v>
      </c>
      <c r="F564" s="21">
        <f t="shared" si="67"/>
        <v>571</v>
      </c>
      <c r="G564" s="18">
        <v>41</v>
      </c>
      <c r="H564" s="22">
        <f t="shared" si="75"/>
        <v>252</v>
      </c>
      <c r="I564" s="22">
        <f t="shared" si="75"/>
        <v>13.75</v>
      </c>
      <c r="J564" s="22">
        <f t="shared" si="75"/>
        <v>67.5</v>
      </c>
      <c r="K564" s="23">
        <f t="shared" si="76"/>
        <v>333.25</v>
      </c>
      <c r="L564" s="23">
        <f t="shared" si="72"/>
        <v>556.66666666666663</v>
      </c>
      <c r="M564" s="23">
        <f t="shared" si="73"/>
        <v>712</v>
      </c>
      <c r="N564" s="25">
        <f t="shared" ref="N564:N627" si="77">(F564-F512)/F512</f>
        <v>-0.12288786482334869</v>
      </c>
      <c r="O564" s="25">
        <f t="shared" si="71"/>
        <v>2.5748502994012046E-2</v>
      </c>
    </row>
    <row r="565" spans="1:15" x14ac:dyDescent="0.25">
      <c r="A565" s="15" t="s">
        <v>20</v>
      </c>
      <c r="B565" s="20">
        <v>38276</v>
      </c>
      <c r="C565" s="15">
        <v>400</v>
      </c>
      <c r="D565" s="15">
        <v>17</v>
      </c>
      <c r="E565" s="15">
        <v>164</v>
      </c>
      <c r="F565" s="21">
        <f t="shared" si="67"/>
        <v>581</v>
      </c>
      <c r="G565" s="18">
        <v>42</v>
      </c>
      <c r="H565" s="22">
        <f t="shared" si="75"/>
        <v>308</v>
      </c>
      <c r="I565" s="22">
        <f t="shared" si="75"/>
        <v>12.75</v>
      </c>
      <c r="J565" s="22">
        <f t="shared" si="75"/>
        <v>104.5</v>
      </c>
      <c r="K565" s="23">
        <f t="shared" si="76"/>
        <v>425.25</v>
      </c>
      <c r="L565" s="23">
        <f t="shared" si="72"/>
        <v>633.91666666666663</v>
      </c>
      <c r="M565" s="23">
        <f t="shared" si="73"/>
        <v>737.33333333333337</v>
      </c>
      <c r="N565" s="25">
        <f t="shared" si="77"/>
        <v>-0.16282420749279539</v>
      </c>
      <c r="O565" s="25">
        <f t="shared" si="71"/>
        <v>-8.3475746023399452E-2</v>
      </c>
    </row>
    <row r="566" spans="1:15" x14ac:dyDescent="0.25">
      <c r="A566" s="15" t="s">
        <v>20</v>
      </c>
      <c r="B566" s="20">
        <v>38283</v>
      </c>
      <c r="C566" s="15">
        <v>374</v>
      </c>
      <c r="D566" s="15">
        <v>11</v>
      </c>
      <c r="E566" s="15">
        <v>171</v>
      </c>
      <c r="F566" s="21">
        <f t="shared" si="67"/>
        <v>556</v>
      </c>
      <c r="G566" s="18">
        <v>43</v>
      </c>
      <c r="H566" s="22">
        <f t="shared" si="75"/>
        <v>350.75</v>
      </c>
      <c r="I566" s="22">
        <f t="shared" si="75"/>
        <v>12.5</v>
      </c>
      <c r="J566" s="22">
        <f t="shared" si="75"/>
        <v>141.75</v>
      </c>
      <c r="K566" s="23">
        <f t="shared" si="76"/>
        <v>505</v>
      </c>
      <c r="L566" s="23">
        <f t="shared" si="72"/>
        <v>697.91666666666663</v>
      </c>
      <c r="M566" s="23">
        <f t="shared" si="73"/>
        <v>758.66666666666663</v>
      </c>
      <c r="N566" s="25">
        <f t="shared" si="77"/>
        <v>-0.14064914992272023</v>
      </c>
      <c r="O566" s="25">
        <f t="shared" si="71"/>
        <v>-0.2033432835820895</v>
      </c>
    </row>
    <row r="567" spans="1:15" x14ac:dyDescent="0.25">
      <c r="A567" s="15" t="s">
        <v>20</v>
      </c>
      <c r="B567" s="20">
        <v>38290</v>
      </c>
      <c r="C567" s="15">
        <v>369</v>
      </c>
      <c r="D567" s="15">
        <v>9</v>
      </c>
      <c r="E567" s="15">
        <v>104</v>
      </c>
      <c r="F567" s="21">
        <f t="shared" si="67"/>
        <v>482</v>
      </c>
      <c r="G567" s="18">
        <v>44</v>
      </c>
      <c r="H567" s="22">
        <f t="shared" si="75"/>
        <v>386.5</v>
      </c>
      <c r="I567" s="22">
        <f t="shared" si="75"/>
        <v>10.5</v>
      </c>
      <c r="J567" s="22">
        <f t="shared" si="75"/>
        <v>150.5</v>
      </c>
      <c r="K567" s="23">
        <f t="shared" si="76"/>
        <v>547.5</v>
      </c>
      <c r="L567" s="23">
        <f t="shared" si="72"/>
        <v>757.66666666666663</v>
      </c>
      <c r="M567" s="23">
        <f t="shared" si="73"/>
        <v>822.66666666666663</v>
      </c>
      <c r="N567" s="25">
        <f t="shared" si="77"/>
        <v>-0.36745406824146981</v>
      </c>
      <c r="O567" s="25">
        <f t="shared" si="71"/>
        <v>-0.36383633963924328</v>
      </c>
    </row>
    <row r="568" spans="1:15" x14ac:dyDescent="0.25">
      <c r="A568" s="15" t="s">
        <v>26</v>
      </c>
      <c r="B568" s="20">
        <v>38297</v>
      </c>
      <c r="C568" s="15">
        <v>448</v>
      </c>
      <c r="D568" s="15">
        <v>13</v>
      </c>
      <c r="E568" s="15">
        <v>47</v>
      </c>
      <c r="F568" s="21">
        <f t="shared" si="67"/>
        <v>508</v>
      </c>
      <c r="G568" s="18">
        <v>45</v>
      </c>
      <c r="H568" s="22">
        <f t="shared" si="75"/>
        <v>397.75</v>
      </c>
      <c r="I568" s="22">
        <f t="shared" si="75"/>
        <v>12.5</v>
      </c>
      <c r="J568" s="22">
        <f t="shared" si="75"/>
        <v>121.5</v>
      </c>
      <c r="K568" s="23">
        <f t="shared" si="76"/>
        <v>531.75</v>
      </c>
      <c r="L568" s="23">
        <f t="shared" si="72"/>
        <v>813.33333333333337</v>
      </c>
      <c r="M568" s="23">
        <f t="shared" si="73"/>
        <v>934.66666666666663</v>
      </c>
      <c r="N568" s="25">
        <f t="shared" si="77"/>
        <v>-0.47790339157245632</v>
      </c>
      <c r="O568" s="25">
        <f t="shared" si="71"/>
        <v>-0.37540983606557382</v>
      </c>
    </row>
    <row r="569" spans="1:15" x14ac:dyDescent="0.25">
      <c r="A569" s="15" t="s">
        <v>26</v>
      </c>
      <c r="B569" s="20">
        <v>38304</v>
      </c>
      <c r="C569" s="15">
        <v>510</v>
      </c>
      <c r="D569" s="15">
        <v>14</v>
      </c>
      <c r="E569" s="15">
        <v>261</v>
      </c>
      <c r="F569" s="21">
        <f t="shared" si="67"/>
        <v>785</v>
      </c>
      <c r="G569" s="18">
        <v>46</v>
      </c>
      <c r="H569" s="22">
        <f t="shared" si="75"/>
        <v>425.25</v>
      </c>
      <c r="I569" s="22">
        <f t="shared" si="75"/>
        <v>11.75</v>
      </c>
      <c r="J569" s="22">
        <f t="shared" si="75"/>
        <v>145.75</v>
      </c>
      <c r="K569" s="23">
        <f t="shared" si="76"/>
        <v>582.75</v>
      </c>
      <c r="L569" s="23">
        <f t="shared" si="72"/>
        <v>836.33333333333337</v>
      </c>
      <c r="M569" s="23">
        <f t="shared" si="73"/>
        <v>829.33333333333337</v>
      </c>
      <c r="N569" s="25">
        <f t="shared" si="77"/>
        <v>6.0810810810810814E-2</v>
      </c>
      <c r="O569" s="25">
        <f t="shared" si="71"/>
        <v>-6.137903547229976E-2</v>
      </c>
    </row>
    <row r="570" spans="1:15" x14ac:dyDescent="0.25">
      <c r="A570" s="15" t="s">
        <v>26</v>
      </c>
      <c r="B570" s="20">
        <v>38311</v>
      </c>
      <c r="C570" s="15">
        <v>463</v>
      </c>
      <c r="D570" s="15">
        <v>13</v>
      </c>
      <c r="E570" s="15">
        <v>229</v>
      </c>
      <c r="F570" s="21">
        <f t="shared" si="67"/>
        <v>705</v>
      </c>
      <c r="G570" s="18">
        <v>47</v>
      </c>
      <c r="H570" s="22">
        <f t="shared" si="75"/>
        <v>447.5</v>
      </c>
      <c r="I570" s="22">
        <f t="shared" si="75"/>
        <v>12.25</v>
      </c>
      <c r="J570" s="22">
        <f t="shared" si="75"/>
        <v>160.25</v>
      </c>
      <c r="K570" s="23">
        <f t="shared" si="76"/>
        <v>620</v>
      </c>
      <c r="L570" s="23">
        <f t="shared" si="72"/>
        <v>915.5</v>
      </c>
      <c r="M570" s="23">
        <f t="shared" si="73"/>
        <v>1075.3333333333333</v>
      </c>
      <c r="N570" s="25">
        <f t="shared" si="77"/>
        <v>-0.22782037239868566</v>
      </c>
      <c r="O570" s="25">
        <f t="shared" si="71"/>
        <v>-0.22992900054614965</v>
      </c>
    </row>
    <row r="571" spans="1:15" x14ac:dyDescent="0.25">
      <c r="A571" s="15" t="s">
        <v>26</v>
      </c>
      <c r="B571" s="20">
        <v>38318</v>
      </c>
      <c r="C571" s="15">
        <v>459</v>
      </c>
      <c r="D571" s="15">
        <v>5</v>
      </c>
      <c r="E571" s="15">
        <v>152</v>
      </c>
      <c r="F571" s="21">
        <f t="shared" si="67"/>
        <v>616</v>
      </c>
      <c r="G571" s="18">
        <v>48</v>
      </c>
      <c r="H571" s="22">
        <f t="shared" si="75"/>
        <v>470</v>
      </c>
      <c r="I571" s="22">
        <f t="shared" si="75"/>
        <v>11.25</v>
      </c>
      <c r="J571" s="22">
        <f t="shared" si="75"/>
        <v>172.25</v>
      </c>
      <c r="K571" s="23">
        <f t="shared" si="76"/>
        <v>653.5</v>
      </c>
      <c r="L571" s="23">
        <f t="shared" si="72"/>
        <v>961.41666666666663</v>
      </c>
      <c r="M571" s="23">
        <f t="shared" si="73"/>
        <v>1006.3333333333334</v>
      </c>
      <c r="N571" s="25">
        <f t="shared" si="77"/>
        <v>-0.30630630630630629</v>
      </c>
      <c r="O571" s="25">
        <f t="shared" si="71"/>
        <v>-0.35927884198665161</v>
      </c>
    </row>
    <row r="572" spans="1:15" x14ac:dyDescent="0.25">
      <c r="A572" s="15" t="s">
        <v>15</v>
      </c>
      <c r="B572" s="20">
        <v>38325</v>
      </c>
      <c r="C572" s="15">
        <v>523</v>
      </c>
      <c r="D572" s="15">
        <v>6</v>
      </c>
      <c r="E572" s="15">
        <v>160</v>
      </c>
      <c r="F572" s="21">
        <f t="shared" si="67"/>
        <v>689</v>
      </c>
      <c r="G572" s="18">
        <v>49</v>
      </c>
      <c r="H572" s="22">
        <f t="shared" si="75"/>
        <v>488.75</v>
      </c>
      <c r="I572" s="22">
        <f t="shared" si="75"/>
        <v>9.5</v>
      </c>
      <c r="J572" s="22">
        <f t="shared" si="75"/>
        <v>200.5</v>
      </c>
      <c r="K572" s="23">
        <f t="shared" si="76"/>
        <v>698.75</v>
      </c>
      <c r="L572" s="23">
        <f t="shared" si="72"/>
        <v>1022.6666666666666</v>
      </c>
      <c r="M572" s="23">
        <f t="shared" si="73"/>
        <v>1179.6666666666667</v>
      </c>
      <c r="N572" s="25">
        <f t="shared" si="77"/>
        <v>-0.39614373356704646</v>
      </c>
      <c r="O572" s="25">
        <f t="shared" si="71"/>
        <v>-0.32627118644067793</v>
      </c>
    </row>
    <row r="573" spans="1:15" x14ac:dyDescent="0.25">
      <c r="A573" s="15" t="s">
        <v>15</v>
      </c>
      <c r="B573" s="20">
        <v>38332</v>
      </c>
      <c r="C573" s="15">
        <v>685</v>
      </c>
      <c r="D573" s="15">
        <v>28</v>
      </c>
      <c r="E573" s="15">
        <v>197</v>
      </c>
      <c r="F573" s="21">
        <f t="shared" si="67"/>
        <v>910</v>
      </c>
      <c r="G573" s="18">
        <v>50</v>
      </c>
      <c r="H573" s="22">
        <f t="shared" si="75"/>
        <v>532.5</v>
      </c>
      <c r="I573" s="22">
        <f t="shared" si="75"/>
        <v>13</v>
      </c>
      <c r="J573" s="22">
        <f t="shared" si="75"/>
        <v>184.5</v>
      </c>
      <c r="K573" s="23">
        <f t="shared" si="76"/>
        <v>730</v>
      </c>
      <c r="L573" s="23">
        <f t="shared" si="72"/>
        <v>1092.25</v>
      </c>
      <c r="M573" s="23">
        <f t="shared" si="73"/>
        <v>1107.6666666666667</v>
      </c>
      <c r="N573" s="25">
        <f t="shared" si="77"/>
        <v>-0.26672038678485094</v>
      </c>
      <c r="O573" s="25">
        <f t="shared" si="71"/>
        <v>-0.16685740444037536</v>
      </c>
    </row>
    <row r="574" spans="1:15" x14ac:dyDescent="0.25">
      <c r="A574" s="15" t="s">
        <v>15</v>
      </c>
      <c r="B574" s="20">
        <v>38339</v>
      </c>
      <c r="C574" s="15">
        <v>594</v>
      </c>
      <c r="D574" s="15">
        <v>12</v>
      </c>
      <c r="E574" s="15">
        <v>142</v>
      </c>
      <c r="F574" s="21">
        <f t="shared" si="67"/>
        <v>748</v>
      </c>
      <c r="G574" s="18">
        <v>51</v>
      </c>
      <c r="H574" s="22">
        <f t="shared" si="75"/>
        <v>565.25</v>
      </c>
      <c r="I574" s="22">
        <f t="shared" si="75"/>
        <v>12.75</v>
      </c>
      <c r="J574" s="22">
        <f t="shared" si="75"/>
        <v>162.75</v>
      </c>
      <c r="K574" s="23">
        <f t="shared" si="76"/>
        <v>740.75</v>
      </c>
      <c r="L574" s="23">
        <f t="shared" si="72"/>
        <v>1014.25</v>
      </c>
      <c r="M574" s="23">
        <f t="shared" si="73"/>
        <v>763.33333333333337</v>
      </c>
      <c r="N574" s="25">
        <f t="shared" si="77"/>
        <v>0.2425249169435216</v>
      </c>
      <c r="O574" s="25">
        <f t="shared" si="71"/>
        <v>-0.26250924328321418</v>
      </c>
    </row>
    <row r="575" spans="1:15" x14ac:dyDescent="0.25">
      <c r="A575" s="15" t="s">
        <v>15</v>
      </c>
      <c r="B575" s="20">
        <v>38346</v>
      </c>
      <c r="C575" s="15">
        <v>430</v>
      </c>
      <c r="D575" s="15">
        <v>11</v>
      </c>
      <c r="E575" s="15">
        <v>154</v>
      </c>
      <c r="F575" s="21">
        <f t="shared" si="67"/>
        <v>595</v>
      </c>
      <c r="G575" s="18">
        <v>52</v>
      </c>
      <c r="H575" s="22">
        <f t="shared" si="75"/>
        <v>558</v>
      </c>
      <c r="I575" s="22">
        <f t="shared" si="75"/>
        <v>14.25</v>
      </c>
      <c r="J575" s="22">
        <f t="shared" si="75"/>
        <v>163.25</v>
      </c>
      <c r="K575" s="23">
        <f t="shared" si="76"/>
        <v>735.5</v>
      </c>
      <c r="L575" s="23">
        <f t="shared" si="72"/>
        <v>912.91666666666663</v>
      </c>
      <c r="M575" s="23">
        <f t="shared" si="73"/>
        <v>601</v>
      </c>
      <c r="N575" s="25">
        <f t="shared" si="77"/>
        <v>3.1195840554592721E-2</v>
      </c>
      <c r="O575" s="25">
        <f t="shared" si="71"/>
        <v>-0.34824281150159742</v>
      </c>
    </row>
    <row r="576" spans="1:15" x14ac:dyDescent="0.25">
      <c r="A576" s="15" t="s">
        <v>16</v>
      </c>
      <c r="B576" s="20">
        <v>38353</v>
      </c>
      <c r="C576" s="15">
        <v>303</v>
      </c>
      <c r="D576" s="15">
        <v>2</v>
      </c>
      <c r="E576" s="15">
        <v>121</v>
      </c>
      <c r="F576" s="21">
        <f t="shared" si="67"/>
        <v>426</v>
      </c>
      <c r="G576" s="18">
        <v>1</v>
      </c>
      <c r="H576" s="22">
        <f t="shared" si="75"/>
        <v>503</v>
      </c>
      <c r="I576" s="22">
        <f t="shared" si="75"/>
        <v>13.25</v>
      </c>
      <c r="J576" s="22">
        <f t="shared" si="75"/>
        <v>153.5</v>
      </c>
      <c r="K576" s="23">
        <f t="shared" si="76"/>
        <v>669.75</v>
      </c>
      <c r="L576" s="23">
        <f t="shared" si="72"/>
        <v>729.08333333333337</v>
      </c>
      <c r="M576" s="23">
        <f t="shared" si="73"/>
        <v>444.33333333333331</v>
      </c>
      <c r="N576" s="25">
        <f t="shared" si="77"/>
        <v>1.6706443914081145E-2</v>
      </c>
      <c r="O576" s="25">
        <f t="shared" si="71"/>
        <v>-0.41570465196022405</v>
      </c>
    </row>
    <row r="577" spans="1:15" x14ac:dyDescent="0.25">
      <c r="A577" s="15" t="s">
        <v>16</v>
      </c>
      <c r="B577" s="20">
        <v>38360</v>
      </c>
      <c r="C577" s="15">
        <v>429</v>
      </c>
      <c r="D577" s="15">
        <v>0</v>
      </c>
      <c r="E577" s="15">
        <v>144</v>
      </c>
      <c r="F577" s="21">
        <f t="shared" si="67"/>
        <v>573</v>
      </c>
      <c r="G577" s="18">
        <v>2</v>
      </c>
      <c r="H577" s="22">
        <f t="shared" si="75"/>
        <v>439</v>
      </c>
      <c r="I577" s="22">
        <f t="shared" si="75"/>
        <v>6.25</v>
      </c>
      <c r="J577" s="22">
        <f t="shared" si="75"/>
        <v>140.25</v>
      </c>
      <c r="K577" s="23">
        <f t="shared" si="76"/>
        <v>585.5</v>
      </c>
      <c r="L577" s="23">
        <f t="shared" si="72"/>
        <v>590.75</v>
      </c>
      <c r="M577" s="23">
        <f t="shared" si="73"/>
        <v>554.33333333333337</v>
      </c>
      <c r="N577" s="25">
        <f t="shared" si="77"/>
        <v>0.19874476987447698</v>
      </c>
      <c r="O577" s="25">
        <f t="shared" si="71"/>
        <v>-3.004655099449852E-2</v>
      </c>
    </row>
    <row r="578" spans="1:15" x14ac:dyDescent="0.25">
      <c r="A578" s="15" t="s">
        <v>16</v>
      </c>
      <c r="B578" s="20">
        <v>38367</v>
      </c>
      <c r="C578" s="15">
        <v>261</v>
      </c>
      <c r="D578" s="15">
        <v>3</v>
      </c>
      <c r="E578" s="15">
        <v>108</v>
      </c>
      <c r="F578" s="21">
        <f t="shared" si="67"/>
        <v>372</v>
      </c>
      <c r="G578" s="18">
        <v>3</v>
      </c>
      <c r="H578" s="22">
        <f t="shared" si="75"/>
        <v>355.75</v>
      </c>
      <c r="I578" s="22">
        <f t="shared" si="75"/>
        <v>4</v>
      </c>
      <c r="J578" s="22">
        <f t="shared" si="75"/>
        <v>131.75</v>
      </c>
      <c r="K578" s="23">
        <f t="shared" si="76"/>
        <v>491.5</v>
      </c>
      <c r="L578" s="23">
        <f t="shared" si="72"/>
        <v>548</v>
      </c>
      <c r="M578" s="23">
        <f t="shared" si="73"/>
        <v>592.33333333333337</v>
      </c>
      <c r="N578" s="25">
        <f t="shared" si="77"/>
        <v>-0.25450901803607212</v>
      </c>
      <c r="O578" s="25">
        <f t="shared" si="71"/>
        <v>-0.32116788321167883</v>
      </c>
    </row>
    <row r="579" spans="1:15" x14ac:dyDescent="0.25">
      <c r="A579" s="15" t="s">
        <v>16</v>
      </c>
      <c r="B579" s="20">
        <v>38374</v>
      </c>
      <c r="C579" s="15">
        <v>90</v>
      </c>
      <c r="D579" s="15">
        <v>0</v>
      </c>
      <c r="E579" s="15">
        <v>56</v>
      </c>
      <c r="F579" s="21">
        <f t="shared" si="67"/>
        <v>146</v>
      </c>
      <c r="G579" s="18">
        <v>4</v>
      </c>
      <c r="H579" s="22">
        <f t="shared" si="75"/>
        <v>270.75</v>
      </c>
      <c r="I579" s="22">
        <f t="shared" si="75"/>
        <v>1.25</v>
      </c>
      <c r="J579" s="22">
        <f t="shared" si="75"/>
        <v>107.25</v>
      </c>
      <c r="K579" s="23">
        <f t="shared" si="76"/>
        <v>379.25</v>
      </c>
      <c r="L579" s="23">
        <f t="shared" si="72"/>
        <v>531.5</v>
      </c>
      <c r="M579" s="23">
        <f t="shared" si="73"/>
        <v>535</v>
      </c>
      <c r="N579" s="25">
        <f t="shared" si="77"/>
        <v>-0.70741482965931868</v>
      </c>
      <c r="O579" s="25">
        <f t="shared" si="71"/>
        <v>-0.72530573847601132</v>
      </c>
    </row>
    <row r="580" spans="1:15" x14ac:dyDescent="0.25">
      <c r="A580" s="15" t="s">
        <v>23</v>
      </c>
      <c r="B580" s="20">
        <v>38381</v>
      </c>
      <c r="C580" s="15">
        <v>268</v>
      </c>
      <c r="D580" s="15">
        <v>10</v>
      </c>
      <c r="E580" s="15">
        <v>125</v>
      </c>
      <c r="F580" s="21">
        <f t="shared" si="67"/>
        <v>403</v>
      </c>
      <c r="G580" s="18">
        <v>5</v>
      </c>
      <c r="H580" s="22">
        <f t="shared" si="75"/>
        <v>262</v>
      </c>
      <c r="I580" s="22">
        <f t="shared" si="75"/>
        <v>3.25</v>
      </c>
      <c r="J580" s="22">
        <f t="shared" si="75"/>
        <v>108.25</v>
      </c>
      <c r="K580" s="23">
        <f t="shared" si="76"/>
        <v>373.5</v>
      </c>
      <c r="L580" s="23">
        <f t="shared" si="72"/>
        <v>518.66666666666663</v>
      </c>
      <c r="M580" s="23">
        <f t="shared" si="73"/>
        <v>393</v>
      </c>
      <c r="N580" s="25">
        <f t="shared" si="77"/>
        <v>0.27531645569620256</v>
      </c>
      <c r="O580" s="25">
        <f t="shared" si="71"/>
        <v>-0.22300771208226217</v>
      </c>
    </row>
    <row r="581" spans="1:15" x14ac:dyDescent="0.25">
      <c r="A581" s="15" t="s">
        <v>23</v>
      </c>
      <c r="B581" s="20">
        <v>38388</v>
      </c>
      <c r="C581" s="15">
        <v>241</v>
      </c>
      <c r="D581" s="15">
        <v>5</v>
      </c>
      <c r="E581" s="15">
        <v>144</v>
      </c>
      <c r="F581" s="21">
        <f t="shared" si="67"/>
        <v>390</v>
      </c>
      <c r="G581" s="18">
        <v>6</v>
      </c>
      <c r="H581" s="22">
        <f t="shared" si="75"/>
        <v>215</v>
      </c>
      <c r="I581" s="22">
        <f t="shared" si="75"/>
        <v>4.5</v>
      </c>
      <c r="J581" s="22">
        <f t="shared" si="75"/>
        <v>108.25</v>
      </c>
      <c r="K581" s="23">
        <f t="shared" si="76"/>
        <v>327.75</v>
      </c>
      <c r="L581" s="23">
        <f t="shared" si="72"/>
        <v>480.75</v>
      </c>
      <c r="M581" s="23">
        <f t="shared" si="73"/>
        <v>402.66666666666669</v>
      </c>
      <c r="N581" s="25">
        <f t="shared" si="77"/>
        <v>0.7488789237668162</v>
      </c>
      <c r="O581" s="25">
        <f t="shared" si="71"/>
        <v>-0.18876755070202808</v>
      </c>
    </row>
    <row r="582" spans="1:15" x14ac:dyDescent="0.25">
      <c r="A582" s="15" t="s">
        <v>23</v>
      </c>
      <c r="B582" s="20">
        <v>38395</v>
      </c>
      <c r="C582" s="15">
        <v>246</v>
      </c>
      <c r="D582" s="15">
        <v>11</v>
      </c>
      <c r="E582" s="15">
        <v>135</v>
      </c>
      <c r="F582" s="21">
        <f t="shared" ref="F582:F589" si="78">SUM(C582:E582)</f>
        <v>392</v>
      </c>
      <c r="G582" s="18">
        <v>7</v>
      </c>
      <c r="H582" s="22">
        <f t="shared" si="75"/>
        <v>211.25</v>
      </c>
      <c r="I582" s="22">
        <f t="shared" si="75"/>
        <v>6.5</v>
      </c>
      <c r="J582" s="22">
        <f t="shared" si="75"/>
        <v>115</v>
      </c>
      <c r="K582" s="23">
        <f t="shared" si="76"/>
        <v>332.75</v>
      </c>
      <c r="L582" s="23">
        <f t="shared" si="72"/>
        <v>437.91666666666669</v>
      </c>
      <c r="M582" s="23">
        <f t="shared" si="73"/>
        <v>421</v>
      </c>
      <c r="N582" s="25">
        <f t="shared" si="77"/>
        <v>0.79816513761467889</v>
      </c>
      <c r="O582" s="25">
        <f t="shared" si="71"/>
        <v>-0.10485252140818273</v>
      </c>
    </row>
    <row r="583" spans="1:15" x14ac:dyDescent="0.25">
      <c r="A583" s="15" t="s">
        <v>23</v>
      </c>
      <c r="B583" s="20">
        <v>38402</v>
      </c>
      <c r="C583" s="15">
        <v>153</v>
      </c>
      <c r="D583" s="15">
        <v>2</v>
      </c>
      <c r="E583" s="15">
        <v>67</v>
      </c>
      <c r="F583" s="21">
        <f t="shared" si="78"/>
        <v>222</v>
      </c>
      <c r="G583" s="18">
        <v>8</v>
      </c>
      <c r="H583" s="22">
        <f t="shared" si="75"/>
        <v>227</v>
      </c>
      <c r="I583" s="22">
        <f t="shared" si="75"/>
        <v>7</v>
      </c>
      <c r="J583" s="22">
        <f t="shared" si="75"/>
        <v>117.75</v>
      </c>
      <c r="K583" s="23">
        <f t="shared" si="76"/>
        <v>351.75</v>
      </c>
      <c r="L583" s="23">
        <f t="shared" si="72"/>
        <v>408.33333333333331</v>
      </c>
      <c r="M583" s="23">
        <f t="shared" si="73"/>
        <v>416.66666666666669</v>
      </c>
      <c r="N583" s="25">
        <f t="shared" si="77"/>
        <v>-0.15267175572519084</v>
      </c>
      <c r="O583" s="25">
        <f t="shared" si="71"/>
        <v>-0.45632653061224487</v>
      </c>
    </row>
    <row r="584" spans="1:15" x14ac:dyDescent="0.25">
      <c r="A584" s="15" t="s">
        <v>27</v>
      </c>
      <c r="B584" s="20">
        <v>38409</v>
      </c>
      <c r="C584" s="15">
        <v>217</v>
      </c>
      <c r="D584" s="15">
        <v>18</v>
      </c>
      <c r="E584" s="15">
        <v>108</v>
      </c>
      <c r="F584" s="21">
        <f t="shared" si="78"/>
        <v>343</v>
      </c>
      <c r="G584" s="18">
        <v>9</v>
      </c>
      <c r="H584" s="22">
        <f t="shared" si="75"/>
        <v>214.25</v>
      </c>
      <c r="I584" s="22">
        <f t="shared" si="75"/>
        <v>9</v>
      </c>
      <c r="J584" s="22">
        <f t="shared" si="75"/>
        <v>113.5</v>
      </c>
      <c r="K584" s="23">
        <f t="shared" si="76"/>
        <v>336.75</v>
      </c>
      <c r="L584" s="23">
        <f t="shared" si="72"/>
        <v>432.25</v>
      </c>
      <c r="M584" s="23">
        <f t="shared" si="73"/>
        <v>488.66666666666669</v>
      </c>
      <c r="N584" s="25">
        <f t="shared" si="77"/>
        <v>-0.20232558139534884</v>
      </c>
      <c r="O584" s="25">
        <f t="shared" si="71"/>
        <v>-0.20647773279352227</v>
      </c>
    </row>
    <row r="585" spans="1:15" x14ac:dyDescent="0.25">
      <c r="A585" s="15" t="s">
        <v>27</v>
      </c>
      <c r="B585" s="20">
        <v>38416</v>
      </c>
      <c r="C585" s="15">
        <v>183</v>
      </c>
      <c r="D585" s="15">
        <v>3</v>
      </c>
      <c r="E585" s="15">
        <v>84</v>
      </c>
      <c r="F585" s="21">
        <f t="shared" si="78"/>
        <v>270</v>
      </c>
      <c r="G585" s="18">
        <v>10</v>
      </c>
      <c r="H585" s="22">
        <f t="shared" si="75"/>
        <v>199.75</v>
      </c>
      <c r="I585" s="22">
        <f t="shared" si="75"/>
        <v>8.5</v>
      </c>
      <c r="J585" s="22">
        <f t="shared" si="75"/>
        <v>98.5</v>
      </c>
      <c r="K585" s="23">
        <f t="shared" si="76"/>
        <v>306.75</v>
      </c>
      <c r="L585" s="23">
        <f t="shared" si="72"/>
        <v>452.66666666666669</v>
      </c>
      <c r="M585" s="23">
        <f t="shared" si="73"/>
        <v>484.33333333333331</v>
      </c>
      <c r="N585" s="25">
        <f t="shared" si="77"/>
        <v>-8.1632653061224483E-2</v>
      </c>
      <c r="O585" s="25">
        <f t="shared" si="71"/>
        <v>-0.40353460972017674</v>
      </c>
    </row>
    <row r="586" spans="1:15" x14ac:dyDescent="0.25">
      <c r="A586" s="15" t="s">
        <v>27</v>
      </c>
      <c r="B586" s="20">
        <v>38423</v>
      </c>
      <c r="C586" s="15">
        <v>177</v>
      </c>
      <c r="D586" s="15">
        <v>5</v>
      </c>
      <c r="E586" s="15">
        <v>68</v>
      </c>
      <c r="F586" s="21">
        <f t="shared" si="78"/>
        <v>250</v>
      </c>
      <c r="G586" s="18">
        <v>11</v>
      </c>
      <c r="H586" s="22">
        <f t="shared" si="75"/>
        <v>182.5</v>
      </c>
      <c r="I586" s="22">
        <f t="shared" si="75"/>
        <v>7</v>
      </c>
      <c r="J586" s="22">
        <f t="shared" si="75"/>
        <v>81.75</v>
      </c>
      <c r="K586" s="23">
        <f t="shared" si="76"/>
        <v>271.25</v>
      </c>
      <c r="L586" s="23">
        <f t="shared" si="72"/>
        <v>469.16666666666669</v>
      </c>
      <c r="M586" s="23">
        <f t="shared" si="73"/>
        <v>487</v>
      </c>
      <c r="N586" s="25">
        <f t="shared" si="77"/>
        <v>-0.34210526315789475</v>
      </c>
      <c r="O586" s="25">
        <f t="shared" ref="O586:O649" si="79">(F586-L586)/L586</f>
        <v>-0.46714031971580822</v>
      </c>
    </row>
    <row r="587" spans="1:15" x14ac:dyDescent="0.25">
      <c r="A587" s="15" t="s">
        <v>27</v>
      </c>
      <c r="B587" s="20">
        <v>38430</v>
      </c>
      <c r="C587" s="15">
        <v>300</v>
      </c>
      <c r="D587" s="15">
        <v>14</v>
      </c>
      <c r="E587" s="15">
        <v>85</v>
      </c>
      <c r="F587" s="21">
        <f t="shared" si="78"/>
        <v>399</v>
      </c>
      <c r="G587" s="18">
        <v>12</v>
      </c>
      <c r="H587" s="22">
        <f t="shared" si="75"/>
        <v>219.25</v>
      </c>
      <c r="I587" s="22">
        <f t="shared" si="75"/>
        <v>10</v>
      </c>
      <c r="J587" s="22">
        <f t="shared" si="75"/>
        <v>86.25</v>
      </c>
      <c r="K587" s="23">
        <f t="shared" si="76"/>
        <v>315.5</v>
      </c>
      <c r="L587" s="23">
        <f t="shared" si="72"/>
        <v>498.58333333333331</v>
      </c>
      <c r="M587" s="23">
        <f t="shared" si="73"/>
        <v>534.33333333333337</v>
      </c>
      <c r="N587" s="25">
        <f t="shared" si="77"/>
        <v>0.41489361702127658</v>
      </c>
      <c r="O587" s="25">
        <f t="shared" si="79"/>
        <v>-0.19973257563095434</v>
      </c>
    </row>
    <row r="588" spans="1:15" x14ac:dyDescent="0.25">
      <c r="A588" s="15" t="s">
        <v>27</v>
      </c>
      <c r="B588" s="20">
        <v>38437</v>
      </c>
      <c r="C588" s="15">
        <v>280</v>
      </c>
      <c r="D588" s="15">
        <v>13</v>
      </c>
      <c r="E588" s="15">
        <v>53</v>
      </c>
      <c r="F588" s="21">
        <f t="shared" si="78"/>
        <v>346</v>
      </c>
      <c r="G588" s="18">
        <v>13</v>
      </c>
      <c r="H588" s="22">
        <f t="shared" si="75"/>
        <v>235</v>
      </c>
      <c r="I588" s="22">
        <f t="shared" si="75"/>
        <v>8.75</v>
      </c>
      <c r="J588" s="22">
        <f t="shared" si="75"/>
        <v>72.5</v>
      </c>
      <c r="K588" s="23">
        <f t="shared" si="76"/>
        <v>316.25</v>
      </c>
      <c r="L588" s="23">
        <f t="shared" si="72"/>
        <v>567.91666666666663</v>
      </c>
      <c r="M588" s="23">
        <f t="shared" si="73"/>
        <v>766</v>
      </c>
      <c r="N588" s="25">
        <f t="shared" si="77"/>
        <v>-0.33333333333333331</v>
      </c>
      <c r="O588" s="25">
        <f t="shared" si="79"/>
        <v>-0.39075568598679378</v>
      </c>
    </row>
    <row r="589" spans="1:15" x14ac:dyDescent="0.25">
      <c r="A589" s="15" t="s">
        <v>14</v>
      </c>
      <c r="B589" s="20">
        <v>38444</v>
      </c>
      <c r="C589" s="15">
        <v>317</v>
      </c>
      <c r="D589" s="15">
        <v>3</v>
      </c>
      <c r="E589" s="15">
        <v>64</v>
      </c>
      <c r="F589" s="21">
        <f t="shared" si="78"/>
        <v>384</v>
      </c>
      <c r="G589" s="18">
        <v>14</v>
      </c>
      <c r="H589" s="22">
        <f t="shared" si="75"/>
        <v>268.5</v>
      </c>
      <c r="I589" s="22">
        <f t="shared" si="75"/>
        <v>8.75</v>
      </c>
      <c r="J589" s="22">
        <f t="shared" si="75"/>
        <v>67.5</v>
      </c>
      <c r="K589" s="23">
        <f t="shared" si="76"/>
        <v>344.75</v>
      </c>
      <c r="L589" s="23">
        <f t="shared" si="72"/>
        <v>629.91666666666663</v>
      </c>
      <c r="M589" s="23">
        <f t="shared" si="73"/>
        <v>732.33333333333337</v>
      </c>
      <c r="N589" s="25">
        <f t="shared" si="77"/>
        <v>-0.2558139534883721</v>
      </c>
      <c r="O589" s="25">
        <f t="shared" si="79"/>
        <v>-0.39039555496758827</v>
      </c>
    </row>
    <row r="590" spans="1:15" x14ac:dyDescent="0.25">
      <c r="A590" s="15" t="s">
        <v>14</v>
      </c>
      <c r="B590" s="20">
        <v>38451</v>
      </c>
      <c r="C590" s="15">
        <v>329</v>
      </c>
      <c r="D590" s="15">
        <v>9</v>
      </c>
      <c r="E590" s="15">
        <v>107</v>
      </c>
      <c r="F590" s="21">
        <f>SUM(C590:E590)</f>
        <v>445</v>
      </c>
      <c r="G590" s="18">
        <v>15</v>
      </c>
      <c r="H590" s="22">
        <f t="shared" si="75"/>
        <v>306.5</v>
      </c>
      <c r="I590" s="22">
        <f t="shared" si="75"/>
        <v>9.75</v>
      </c>
      <c r="J590" s="22">
        <f t="shared" si="75"/>
        <v>77.25</v>
      </c>
      <c r="K590" s="23">
        <f t="shared" si="76"/>
        <v>393.5</v>
      </c>
      <c r="L590" s="23">
        <f t="shared" si="72"/>
        <v>700.66666666666663</v>
      </c>
      <c r="M590" s="23">
        <f t="shared" si="73"/>
        <v>770</v>
      </c>
      <c r="N590" s="25">
        <f t="shared" si="77"/>
        <v>-0.21929824561403508</v>
      </c>
      <c r="O590" s="25">
        <f t="shared" si="79"/>
        <v>-0.36489058039961936</v>
      </c>
    </row>
    <row r="591" spans="1:15" x14ac:dyDescent="0.25">
      <c r="A591" s="15" t="s">
        <v>14</v>
      </c>
      <c r="B591" s="20">
        <v>38458</v>
      </c>
      <c r="C591" s="15">
        <v>505</v>
      </c>
      <c r="D591" s="15">
        <v>7</v>
      </c>
      <c r="E591" s="15">
        <v>121</v>
      </c>
      <c r="F591" s="21">
        <f t="shared" ref="F591:F695" si="80">SUM(C591:E591)</f>
        <v>633</v>
      </c>
      <c r="G591" s="18">
        <v>16</v>
      </c>
      <c r="H591" s="22">
        <f t="shared" si="75"/>
        <v>357.75</v>
      </c>
      <c r="I591" s="22">
        <f t="shared" si="75"/>
        <v>8</v>
      </c>
      <c r="J591" s="22">
        <f t="shared" si="75"/>
        <v>86.25</v>
      </c>
      <c r="K591" s="23">
        <f t="shared" si="76"/>
        <v>452</v>
      </c>
      <c r="L591" s="23">
        <f t="shared" si="72"/>
        <v>762.5</v>
      </c>
      <c r="M591" s="23">
        <f t="shared" si="73"/>
        <v>781.66666666666663</v>
      </c>
      <c r="N591" s="25">
        <f t="shared" si="77"/>
        <v>4.7619047619047623E-3</v>
      </c>
      <c r="O591" s="25">
        <f t="shared" si="79"/>
        <v>-0.16983606557377048</v>
      </c>
    </row>
    <row r="592" spans="1:15" x14ac:dyDescent="0.25">
      <c r="A592" s="15" t="s">
        <v>14</v>
      </c>
      <c r="B592" s="20">
        <v>38465</v>
      </c>
      <c r="C592" s="15">
        <v>431</v>
      </c>
      <c r="D592" s="15">
        <v>16</v>
      </c>
      <c r="E592" s="15">
        <v>89</v>
      </c>
      <c r="F592" s="21">
        <f t="shared" si="80"/>
        <v>536</v>
      </c>
      <c r="G592" s="18">
        <v>17</v>
      </c>
      <c r="H592" s="22">
        <f t="shared" si="75"/>
        <v>395.5</v>
      </c>
      <c r="I592" s="22">
        <f t="shared" si="75"/>
        <v>8.75</v>
      </c>
      <c r="J592" s="22">
        <f t="shared" si="75"/>
        <v>95.25</v>
      </c>
      <c r="K592" s="23">
        <f t="shared" si="76"/>
        <v>499.5</v>
      </c>
      <c r="L592" s="23">
        <f t="shared" si="72"/>
        <v>740.41666666666663</v>
      </c>
      <c r="M592" s="23">
        <f t="shared" si="73"/>
        <v>677.66666666666663</v>
      </c>
      <c r="N592" s="25">
        <f t="shared" si="77"/>
        <v>3.2755298651252408E-2</v>
      </c>
      <c r="O592" s="25">
        <f t="shared" si="79"/>
        <v>-0.27608328643781649</v>
      </c>
    </row>
    <row r="593" spans="1:15" x14ac:dyDescent="0.25">
      <c r="A593" s="15" t="s">
        <v>14</v>
      </c>
      <c r="B593" s="20">
        <v>38472</v>
      </c>
      <c r="C593" s="15">
        <v>405</v>
      </c>
      <c r="D593" s="15">
        <v>9</v>
      </c>
      <c r="E593" s="15">
        <v>69</v>
      </c>
      <c r="F593" s="21">
        <f t="shared" si="80"/>
        <v>483</v>
      </c>
      <c r="G593" s="18">
        <v>18</v>
      </c>
      <c r="H593" s="22">
        <f t="shared" si="75"/>
        <v>417.5</v>
      </c>
      <c r="I593" s="22">
        <f t="shared" si="75"/>
        <v>10.25</v>
      </c>
      <c r="J593" s="22">
        <f t="shared" si="75"/>
        <v>96.5</v>
      </c>
      <c r="K593" s="23">
        <f t="shared" si="76"/>
        <v>524.25</v>
      </c>
      <c r="L593" s="23">
        <f t="shared" si="72"/>
        <v>721.41666666666663</v>
      </c>
      <c r="M593" s="23">
        <f t="shared" si="73"/>
        <v>656.33333333333337</v>
      </c>
      <c r="N593" s="25">
        <f t="shared" si="77"/>
        <v>-0.17576791808873721</v>
      </c>
      <c r="O593" s="25">
        <f t="shared" si="79"/>
        <v>-0.33048400138616146</v>
      </c>
    </row>
    <row r="594" spans="1:15" x14ac:dyDescent="0.25">
      <c r="A594" s="15" t="s">
        <v>5</v>
      </c>
      <c r="B594" s="20">
        <v>38479</v>
      </c>
      <c r="C594" s="15">
        <v>503</v>
      </c>
      <c r="D594" s="15">
        <v>8</v>
      </c>
      <c r="E594" s="15">
        <v>103</v>
      </c>
      <c r="F594" s="21">
        <f t="shared" si="80"/>
        <v>614</v>
      </c>
      <c r="G594" s="18">
        <v>19</v>
      </c>
      <c r="H594" s="22">
        <f t="shared" si="75"/>
        <v>461</v>
      </c>
      <c r="I594" s="22">
        <f t="shared" si="75"/>
        <v>10</v>
      </c>
      <c r="J594" s="22">
        <f t="shared" si="75"/>
        <v>95.5</v>
      </c>
      <c r="K594" s="23">
        <f t="shared" si="76"/>
        <v>566.5</v>
      </c>
      <c r="L594" s="23">
        <f t="shared" si="72"/>
        <v>709.16666666666663</v>
      </c>
      <c r="M594" s="23">
        <f t="shared" si="73"/>
        <v>721</v>
      </c>
      <c r="N594" s="25">
        <f t="shared" si="77"/>
        <v>6.4124783362218371E-2</v>
      </c>
      <c r="O594" s="25">
        <f t="shared" si="79"/>
        <v>-0.1341950646298472</v>
      </c>
    </row>
    <row r="595" spans="1:15" x14ac:dyDescent="0.25">
      <c r="A595" s="15" t="s">
        <v>5</v>
      </c>
      <c r="B595" s="20">
        <v>38486</v>
      </c>
      <c r="C595" s="15">
        <v>433</v>
      </c>
      <c r="D595" s="15">
        <v>12</v>
      </c>
      <c r="E595" s="15">
        <v>93</v>
      </c>
      <c r="F595" s="21">
        <f t="shared" si="80"/>
        <v>538</v>
      </c>
      <c r="G595" s="18">
        <v>20</v>
      </c>
      <c r="H595" s="22">
        <f t="shared" si="75"/>
        <v>443</v>
      </c>
      <c r="I595" s="22">
        <f t="shared" si="75"/>
        <v>11.25</v>
      </c>
      <c r="J595" s="22">
        <f t="shared" si="75"/>
        <v>88.5</v>
      </c>
      <c r="K595" s="23">
        <f t="shared" si="76"/>
        <v>542.75</v>
      </c>
      <c r="L595" s="23">
        <f t="shared" si="72"/>
        <v>652.33333333333337</v>
      </c>
      <c r="M595" s="23">
        <f t="shared" si="73"/>
        <v>554.33333333333337</v>
      </c>
      <c r="N595" s="25">
        <f t="shared" si="77"/>
        <v>9.1277890466531439E-2</v>
      </c>
      <c r="O595" s="25">
        <f t="shared" si="79"/>
        <v>-0.17526826775677062</v>
      </c>
    </row>
    <row r="596" spans="1:15" x14ac:dyDescent="0.25">
      <c r="A596" s="15" t="s">
        <v>5</v>
      </c>
      <c r="B596" s="20">
        <v>38493</v>
      </c>
      <c r="C596" s="15">
        <v>397</v>
      </c>
      <c r="D596" s="15">
        <v>8</v>
      </c>
      <c r="E596" s="15">
        <v>93</v>
      </c>
      <c r="F596" s="21">
        <f t="shared" si="80"/>
        <v>498</v>
      </c>
      <c r="G596" s="18">
        <v>21</v>
      </c>
      <c r="H596" s="22">
        <f t="shared" si="75"/>
        <v>434.5</v>
      </c>
      <c r="I596" s="22">
        <f t="shared" si="75"/>
        <v>9.25</v>
      </c>
      <c r="J596" s="22">
        <f t="shared" si="75"/>
        <v>89.5</v>
      </c>
      <c r="K596" s="23">
        <f t="shared" si="76"/>
        <v>533.25</v>
      </c>
      <c r="L596" s="23">
        <f t="shared" si="72"/>
        <v>660</v>
      </c>
      <c r="M596" s="23">
        <f t="shared" ref="M596:M628" si="81">AVERAGE(F440+F492+F544)/3</f>
        <v>708.33333333333337</v>
      </c>
      <c r="N596" s="25">
        <f t="shared" si="77"/>
        <v>-6.2146892655367235E-2</v>
      </c>
      <c r="O596" s="25">
        <f t="shared" si="79"/>
        <v>-0.24545454545454545</v>
      </c>
    </row>
    <row r="597" spans="1:15" x14ac:dyDescent="0.25">
      <c r="A597" s="15" t="s">
        <v>5</v>
      </c>
      <c r="B597" s="20">
        <v>38500</v>
      </c>
      <c r="C597" s="15">
        <v>440</v>
      </c>
      <c r="D597" s="15">
        <v>14</v>
      </c>
      <c r="E597" s="15">
        <v>130</v>
      </c>
      <c r="F597" s="21">
        <f t="shared" si="80"/>
        <v>584</v>
      </c>
      <c r="G597" s="18">
        <v>22</v>
      </c>
      <c r="H597" s="22">
        <f t="shared" si="75"/>
        <v>443.25</v>
      </c>
      <c r="I597" s="22">
        <f t="shared" si="75"/>
        <v>10.5</v>
      </c>
      <c r="J597" s="22">
        <f t="shared" si="75"/>
        <v>104.75</v>
      </c>
      <c r="K597" s="23">
        <f t="shared" si="76"/>
        <v>558.5</v>
      </c>
      <c r="L597" s="23">
        <f t="shared" si="72"/>
        <v>708.08333333333337</v>
      </c>
      <c r="M597" s="23">
        <f t="shared" si="81"/>
        <v>848.66666666666663</v>
      </c>
      <c r="N597" s="25">
        <f t="shared" si="77"/>
        <v>-0.20218579234972678</v>
      </c>
      <c r="O597" s="25">
        <f t="shared" si="79"/>
        <v>-0.17523831940684953</v>
      </c>
    </row>
    <row r="598" spans="1:15" x14ac:dyDescent="0.25">
      <c r="A598" s="15" t="s">
        <v>30</v>
      </c>
      <c r="B598" s="20">
        <v>38507</v>
      </c>
      <c r="C598" s="15">
        <v>469</v>
      </c>
      <c r="D598" s="15">
        <v>30</v>
      </c>
      <c r="E598" s="15">
        <v>123</v>
      </c>
      <c r="F598" s="21">
        <f t="shared" si="80"/>
        <v>622</v>
      </c>
      <c r="G598" s="18">
        <v>23</v>
      </c>
      <c r="H598" s="22">
        <f t="shared" si="75"/>
        <v>434.75</v>
      </c>
      <c r="I598" s="22">
        <f t="shared" si="75"/>
        <v>16</v>
      </c>
      <c r="J598" s="22">
        <f t="shared" si="75"/>
        <v>109.75</v>
      </c>
      <c r="K598" s="23">
        <f t="shared" si="76"/>
        <v>560.5</v>
      </c>
      <c r="L598" s="23">
        <f t="shared" si="72"/>
        <v>739.75</v>
      </c>
      <c r="M598" s="23">
        <f t="shared" si="81"/>
        <v>847.66666666666663</v>
      </c>
      <c r="N598" s="25">
        <f t="shared" si="77"/>
        <v>-6.8862275449101798E-2</v>
      </c>
      <c r="O598" s="25">
        <f t="shared" si="79"/>
        <v>-0.1591753970936127</v>
      </c>
    </row>
    <row r="599" spans="1:15" x14ac:dyDescent="0.25">
      <c r="A599" s="15" t="s">
        <v>30</v>
      </c>
      <c r="B599" s="20">
        <v>38514</v>
      </c>
      <c r="C599" s="15">
        <v>596</v>
      </c>
      <c r="D599" s="15">
        <v>30</v>
      </c>
      <c r="E599" s="15">
        <v>119</v>
      </c>
      <c r="F599" s="21">
        <f t="shared" si="80"/>
        <v>745</v>
      </c>
      <c r="G599" s="18">
        <v>24</v>
      </c>
      <c r="H599" s="22">
        <f t="shared" si="75"/>
        <v>475.5</v>
      </c>
      <c r="I599" s="22">
        <f t="shared" si="75"/>
        <v>20.5</v>
      </c>
      <c r="J599" s="22">
        <f t="shared" si="75"/>
        <v>116.25</v>
      </c>
      <c r="K599" s="23">
        <f t="shared" si="76"/>
        <v>612.25</v>
      </c>
      <c r="L599" s="23">
        <f t="shared" si="72"/>
        <v>806.16666666666663</v>
      </c>
      <c r="M599" s="23">
        <f t="shared" si="81"/>
        <v>820</v>
      </c>
      <c r="N599" s="25">
        <f t="shared" si="77"/>
        <v>8.1277213352685049E-2</v>
      </c>
      <c r="O599" s="25">
        <f t="shared" si="79"/>
        <v>-7.5873475294604045E-2</v>
      </c>
    </row>
    <row r="600" spans="1:15" x14ac:dyDescent="0.25">
      <c r="A600" s="15" t="s">
        <v>30</v>
      </c>
      <c r="B600" s="20">
        <v>38521</v>
      </c>
      <c r="C600" s="15">
        <v>436</v>
      </c>
      <c r="D600" s="15">
        <v>9</v>
      </c>
      <c r="E600" s="15">
        <v>60</v>
      </c>
      <c r="F600" s="21">
        <f t="shared" si="80"/>
        <v>505</v>
      </c>
      <c r="G600" s="18">
        <v>25</v>
      </c>
      <c r="H600" s="22">
        <f t="shared" si="75"/>
        <v>485.25</v>
      </c>
      <c r="I600" s="22">
        <f t="shared" si="75"/>
        <v>20.75</v>
      </c>
      <c r="J600" s="22">
        <f t="shared" si="75"/>
        <v>108</v>
      </c>
      <c r="K600" s="23">
        <f t="shared" si="76"/>
        <v>614</v>
      </c>
      <c r="L600" s="23">
        <f t="shared" si="72"/>
        <v>851.66666666666663</v>
      </c>
      <c r="M600" s="23">
        <f t="shared" si="81"/>
        <v>890.33333333333337</v>
      </c>
      <c r="N600" s="25">
        <f t="shared" si="77"/>
        <v>-0.31385869565217389</v>
      </c>
      <c r="O600" s="25">
        <f t="shared" si="79"/>
        <v>-0.40704500978473579</v>
      </c>
    </row>
    <row r="601" spans="1:15" x14ac:dyDescent="0.25">
      <c r="A601" s="15" t="s">
        <v>30</v>
      </c>
      <c r="B601" s="20">
        <v>38528</v>
      </c>
      <c r="C601" s="15">
        <v>508</v>
      </c>
      <c r="D601" s="15">
        <v>13</v>
      </c>
      <c r="E601" s="15">
        <v>103</v>
      </c>
      <c r="F601" s="21">
        <f>SUM(C601:E601)</f>
        <v>624</v>
      </c>
      <c r="G601" s="18">
        <v>26</v>
      </c>
      <c r="H601" s="22">
        <f t="shared" si="75"/>
        <v>502.25</v>
      </c>
      <c r="I601" s="22">
        <f t="shared" si="75"/>
        <v>20.5</v>
      </c>
      <c r="J601" s="22">
        <f t="shared" si="75"/>
        <v>101.25</v>
      </c>
      <c r="K601" s="23">
        <f t="shared" si="76"/>
        <v>624</v>
      </c>
      <c r="L601" s="23">
        <f t="shared" si="72"/>
        <v>834.91666666666663</v>
      </c>
      <c r="M601" s="23">
        <f t="shared" si="81"/>
        <v>781.66666666666663</v>
      </c>
      <c r="N601" s="25">
        <f t="shared" si="77"/>
        <v>5.7627118644067797E-2</v>
      </c>
      <c r="O601" s="25">
        <f t="shared" si="79"/>
        <v>-0.25262002195827926</v>
      </c>
    </row>
    <row r="602" spans="1:15" x14ac:dyDescent="0.25">
      <c r="A602" s="15" t="s">
        <v>31</v>
      </c>
      <c r="B602" s="20">
        <v>38535</v>
      </c>
      <c r="C602" s="15">
        <v>568</v>
      </c>
      <c r="D602" s="15">
        <v>19</v>
      </c>
      <c r="E602" s="15">
        <v>72</v>
      </c>
      <c r="F602" s="21">
        <f t="shared" si="80"/>
        <v>659</v>
      </c>
      <c r="G602" s="18">
        <v>27</v>
      </c>
      <c r="H602" s="22">
        <f t="shared" si="75"/>
        <v>527</v>
      </c>
      <c r="I602" s="22">
        <f t="shared" si="75"/>
        <v>17.75</v>
      </c>
      <c r="J602" s="22">
        <f t="shared" si="75"/>
        <v>88.5</v>
      </c>
      <c r="K602" s="23">
        <f t="shared" si="76"/>
        <v>633.25</v>
      </c>
      <c r="L602" s="23">
        <f t="shared" si="72"/>
        <v>841.75</v>
      </c>
      <c r="M602" s="23">
        <f t="shared" si="81"/>
        <v>875</v>
      </c>
      <c r="N602" s="25">
        <f t="shared" si="77"/>
        <v>2.0123839009287926E-2</v>
      </c>
      <c r="O602" s="25">
        <f t="shared" si="79"/>
        <v>-0.21710721710721712</v>
      </c>
    </row>
    <row r="603" spans="1:15" x14ac:dyDescent="0.25">
      <c r="A603" s="15" t="s">
        <v>31</v>
      </c>
      <c r="B603" s="20">
        <v>38542</v>
      </c>
      <c r="C603" s="15">
        <v>424</v>
      </c>
      <c r="D603" s="15">
        <v>16</v>
      </c>
      <c r="E603" s="15">
        <v>52</v>
      </c>
      <c r="F603" s="21">
        <f t="shared" si="80"/>
        <v>492</v>
      </c>
      <c r="G603" s="18">
        <v>28</v>
      </c>
      <c r="H603" s="22">
        <f t="shared" si="75"/>
        <v>484</v>
      </c>
      <c r="I603" s="22">
        <f t="shared" si="75"/>
        <v>14.25</v>
      </c>
      <c r="J603" s="22">
        <f t="shared" si="75"/>
        <v>71.75</v>
      </c>
      <c r="K603" s="23">
        <f t="shared" si="76"/>
        <v>570</v>
      </c>
      <c r="L603" s="23">
        <f t="shared" si="72"/>
        <v>831.33333333333337</v>
      </c>
      <c r="M603" s="23">
        <f t="shared" si="81"/>
        <v>778.33333333333337</v>
      </c>
      <c r="N603" s="25">
        <f t="shared" si="77"/>
        <v>-0.13835376532399299</v>
      </c>
      <c r="O603" s="25">
        <f t="shared" si="79"/>
        <v>-0.40817963111467526</v>
      </c>
    </row>
    <row r="604" spans="1:15" x14ac:dyDescent="0.25">
      <c r="A604" s="15" t="s">
        <v>31</v>
      </c>
      <c r="B604" s="20">
        <v>38549</v>
      </c>
      <c r="C604" s="15">
        <v>688</v>
      </c>
      <c r="D604" s="15">
        <v>12</v>
      </c>
      <c r="E604" s="15">
        <v>74</v>
      </c>
      <c r="F604" s="21">
        <f t="shared" si="80"/>
        <v>774</v>
      </c>
      <c r="G604" s="18">
        <v>29</v>
      </c>
      <c r="H604" s="22">
        <f t="shared" si="75"/>
        <v>547</v>
      </c>
      <c r="I604" s="22">
        <f t="shared" si="75"/>
        <v>15</v>
      </c>
      <c r="J604" s="22">
        <f t="shared" si="75"/>
        <v>75.25</v>
      </c>
      <c r="K604" s="23">
        <f t="shared" ref="K604:K653" si="82">SUM(H604:J604)</f>
        <v>637.25</v>
      </c>
      <c r="L604" s="23">
        <f t="shared" si="72"/>
        <v>829.08333333333337</v>
      </c>
      <c r="M604" s="23">
        <f t="shared" si="81"/>
        <v>881.33333333333337</v>
      </c>
      <c r="N604" s="25">
        <f t="shared" si="77"/>
        <v>0.14497041420118342</v>
      </c>
      <c r="O604" s="25">
        <f t="shared" si="79"/>
        <v>-6.6438838074178358E-2</v>
      </c>
    </row>
    <row r="605" spans="1:15" x14ac:dyDescent="0.25">
      <c r="A605" s="15" t="s">
        <v>31</v>
      </c>
      <c r="B605" s="20">
        <v>38556</v>
      </c>
      <c r="C605" s="15">
        <v>417</v>
      </c>
      <c r="D605" s="15">
        <v>5</v>
      </c>
      <c r="E605" s="15">
        <v>66</v>
      </c>
      <c r="F605" s="21">
        <f t="shared" si="80"/>
        <v>488</v>
      </c>
      <c r="G605" s="18">
        <v>30</v>
      </c>
      <c r="H605" s="22">
        <f t="shared" si="75"/>
        <v>524.25</v>
      </c>
      <c r="I605" s="22">
        <f t="shared" si="75"/>
        <v>13</v>
      </c>
      <c r="J605" s="22">
        <f t="shared" si="75"/>
        <v>66</v>
      </c>
      <c r="K605" s="23">
        <f t="shared" si="82"/>
        <v>603.25</v>
      </c>
      <c r="L605" s="23">
        <f t="shared" si="72"/>
        <v>823</v>
      </c>
      <c r="M605" s="23">
        <f t="shared" si="81"/>
        <v>757.33333333333337</v>
      </c>
      <c r="N605" s="25">
        <f t="shared" si="77"/>
        <v>-0.15862068965517243</v>
      </c>
      <c r="O605" s="25">
        <f t="shared" si="79"/>
        <v>-0.40704738760631837</v>
      </c>
    </row>
    <row r="606" spans="1:15" x14ac:dyDescent="0.25">
      <c r="A606" s="15" t="s">
        <v>31</v>
      </c>
      <c r="B606" s="20">
        <v>38563</v>
      </c>
      <c r="C606" s="15">
        <v>665</v>
      </c>
      <c r="D606" s="15">
        <v>16</v>
      </c>
      <c r="E606" s="15">
        <v>54</v>
      </c>
      <c r="F606" s="21">
        <f t="shared" si="80"/>
        <v>735</v>
      </c>
      <c r="G606" s="18">
        <v>31</v>
      </c>
      <c r="H606" s="22">
        <f t="shared" si="75"/>
        <v>548.5</v>
      </c>
      <c r="I606" s="22">
        <f t="shared" si="75"/>
        <v>12.25</v>
      </c>
      <c r="J606" s="22">
        <f t="shared" si="75"/>
        <v>61.5</v>
      </c>
      <c r="K606" s="23">
        <f t="shared" si="82"/>
        <v>622.25</v>
      </c>
      <c r="L606" s="23">
        <f t="shared" si="72"/>
        <v>774.41666666666663</v>
      </c>
      <c r="M606" s="23">
        <f t="shared" si="81"/>
        <v>680.66666666666663</v>
      </c>
      <c r="N606" s="25">
        <f t="shared" si="77"/>
        <v>0.66289592760180993</v>
      </c>
      <c r="O606" s="25">
        <f t="shared" si="79"/>
        <v>-5.0898525772086471E-2</v>
      </c>
    </row>
    <row r="607" spans="1:15" x14ac:dyDescent="0.25">
      <c r="A607" s="15" t="s">
        <v>19</v>
      </c>
      <c r="B607" s="20">
        <v>38570</v>
      </c>
      <c r="C607" s="15">
        <v>526</v>
      </c>
      <c r="D607" s="15">
        <v>2</v>
      </c>
      <c r="E607" s="15">
        <v>77</v>
      </c>
      <c r="F607" s="21">
        <f t="shared" si="80"/>
        <v>605</v>
      </c>
      <c r="G607" s="18">
        <v>32</v>
      </c>
      <c r="H607" s="22">
        <f t="shared" si="75"/>
        <v>574</v>
      </c>
      <c r="I607" s="22">
        <f t="shared" si="75"/>
        <v>8.75</v>
      </c>
      <c r="J607" s="22">
        <f t="shared" si="75"/>
        <v>67.75</v>
      </c>
      <c r="K607" s="23">
        <f t="shared" si="82"/>
        <v>650.5</v>
      </c>
      <c r="L607" s="23">
        <f t="shared" si="72"/>
        <v>764.25</v>
      </c>
      <c r="M607" s="23">
        <f t="shared" si="81"/>
        <v>737.66666666666663</v>
      </c>
      <c r="N607" s="25">
        <f t="shared" si="77"/>
        <v>0.26304801670146138</v>
      </c>
      <c r="O607" s="25">
        <f t="shared" si="79"/>
        <v>-0.20837422309453713</v>
      </c>
    </row>
    <row r="608" spans="1:15" x14ac:dyDescent="0.25">
      <c r="A608" s="15" t="s">
        <v>19</v>
      </c>
      <c r="B608" s="20">
        <v>38577</v>
      </c>
      <c r="C608" s="15">
        <v>604</v>
      </c>
      <c r="D608" s="15">
        <v>11</v>
      </c>
      <c r="E608" s="15">
        <v>68</v>
      </c>
      <c r="F608" s="21">
        <f t="shared" si="80"/>
        <v>683</v>
      </c>
      <c r="G608" s="18">
        <v>33</v>
      </c>
      <c r="H608" s="22">
        <f t="shared" si="75"/>
        <v>553</v>
      </c>
      <c r="I608" s="22">
        <f t="shared" si="75"/>
        <v>8.5</v>
      </c>
      <c r="J608" s="22">
        <f t="shared" si="75"/>
        <v>66.25</v>
      </c>
      <c r="K608" s="23">
        <f t="shared" si="82"/>
        <v>627.75</v>
      </c>
      <c r="L608" s="23">
        <f t="shared" si="72"/>
        <v>742.08333333333337</v>
      </c>
      <c r="M608" s="23">
        <f t="shared" si="81"/>
        <v>792.66666666666663</v>
      </c>
      <c r="N608" s="25">
        <f t="shared" si="77"/>
        <v>-0.12210796915167095</v>
      </c>
      <c r="O608" s="25">
        <f t="shared" si="79"/>
        <v>-7.9618192026951196E-2</v>
      </c>
    </row>
    <row r="609" spans="1:15" x14ac:dyDescent="0.25">
      <c r="A609" s="15" t="s">
        <v>19</v>
      </c>
      <c r="B609" s="20">
        <v>38584</v>
      </c>
      <c r="C609" s="15">
        <v>512</v>
      </c>
      <c r="D609" s="15">
        <v>14</v>
      </c>
      <c r="E609" s="15">
        <v>79</v>
      </c>
      <c r="F609" s="21">
        <f t="shared" si="80"/>
        <v>605</v>
      </c>
      <c r="G609" s="18">
        <v>34</v>
      </c>
      <c r="H609" s="22">
        <f t="shared" si="75"/>
        <v>576.75</v>
      </c>
      <c r="I609" s="22">
        <f t="shared" si="75"/>
        <v>10.75</v>
      </c>
      <c r="J609" s="22">
        <f t="shared" si="75"/>
        <v>69.5</v>
      </c>
      <c r="K609" s="23">
        <f t="shared" si="82"/>
        <v>657</v>
      </c>
      <c r="L609" s="23">
        <f t="shared" si="72"/>
        <v>712.25</v>
      </c>
      <c r="M609" s="23">
        <f t="shared" si="81"/>
        <v>638</v>
      </c>
      <c r="N609" s="25">
        <f t="shared" si="77"/>
        <v>0.23469387755102042</v>
      </c>
      <c r="O609" s="25">
        <f t="shared" si="79"/>
        <v>-0.15057915057915058</v>
      </c>
    </row>
    <row r="610" spans="1:15" x14ac:dyDescent="0.25">
      <c r="A610" s="15" t="s">
        <v>19</v>
      </c>
      <c r="B610" s="20">
        <v>38591</v>
      </c>
      <c r="C610" s="15">
        <v>557</v>
      </c>
      <c r="D610" s="15">
        <v>2</v>
      </c>
      <c r="E610" s="15">
        <v>51</v>
      </c>
      <c r="F610" s="21">
        <f t="shared" si="80"/>
        <v>610</v>
      </c>
      <c r="G610" s="18">
        <v>35</v>
      </c>
      <c r="H610" s="22">
        <f t="shared" si="75"/>
        <v>549.75</v>
      </c>
      <c r="I610" s="22">
        <f t="shared" si="75"/>
        <v>7.25</v>
      </c>
      <c r="J610" s="22">
        <f t="shared" si="75"/>
        <v>68.75</v>
      </c>
      <c r="K610" s="23">
        <f t="shared" si="82"/>
        <v>625.75</v>
      </c>
      <c r="L610" s="23">
        <f t="shared" si="72"/>
        <v>685.5</v>
      </c>
      <c r="M610" s="23">
        <f t="shared" si="81"/>
        <v>573.66666666666663</v>
      </c>
      <c r="N610" s="25">
        <f t="shared" si="77"/>
        <v>0.21031746031746032</v>
      </c>
      <c r="O610" s="25">
        <f t="shared" si="79"/>
        <v>-0.11013858497447118</v>
      </c>
    </row>
    <row r="611" spans="1:15" x14ac:dyDescent="0.25">
      <c r="A611" s="15" t="s">
        <v>24</v>
      </c>
      <c r="B611" s="20">
        <v>38598</v>
      </c>
      <c r="C611" s="15">
        <v>422</v>
      </c>
      <c r="D611" s="15">
        <v>14</v>
      </c>
      <c r="E611" s="15">
        <v>88</v>
      </c>
      <c r="F611" s="21">
        <f t="shared" si="80"/>
        <v>524</v>
      </c>
      <c r="G611" s="18">
        <v>36</v>
      </c>
      <c r="H611" s="22">
        <f t="shared" si="75"/>
        <v>523.75</v>
      </c>
      <c r="I611" s="22">
        <f t="shared" si="75"/>
        <v>10.25</v>
      </c>
      <c r="J611" s="22">
        <f t="shared" si="75"/>
        <v>71.5</v>
      </c>
      <c r="K611" s="23">
        <f t="shared" si="82"/>
        <v>605.5</v>
      </c>
      <c r="L611" s="23">
        <f t="shared" si="72"/>
        <v>604.33333333333337</v>
      </c>
      <c r="M611" s="23">
        <f t="shared" si="81"/>
        <v>413</v>
      </c>
      <c r="N611" s="25">
        <f t="shared" si="77"/>
        <v>0.78231292517006801</v>
      </c>
      <c r="O611" s="25">
        <f t="shared" si="79"/>
        <v>-0.13292884721456155</v>
      </c>
    </row>
    <row r="612" spans="1:15" x14ac:dyDescent="0.25">
      <c r="A612" s="15" t="s">
        <v>24</v>
      </c>
      <c r="B612" s="20">
        <v>38605</v>
      </c>
      <c r="C612" s="15">
        <v>377</v>
      </c>
      <c r="D612" s="15">
        <v>26</v>
      </c>
      <c r="E612" s="15">
        <v>46</v>
      </c>
      <c r="F612" s="21">
        <f t="shared" si="80"/>
        <v>449</v>
      </c>
      <c r="G612" s="18">
        <v>37</v>
      </c>
      <c r="H612" s="22">
        <f t="shared" si="75"/>
        <v>467</v>
      </c>
      <c r="I612" s="22">
        <f t="shared" si="75"/>
        <v>14</v>
      </c>
      <c r="J612" s="22">
        <f t="shared" si="75"/>
        <v>66</v>
      </c>
      <c r="K612" s="23">
        <f t="shared" si="82"/>
        <v>547</v>
      </c>
      <c r="L612" s="23">
        <f t="shared" si="72"/>
        <v>502.33333333333331</v>
      </c>
      <c r="M612" s="23">
        <f t="shared" si="81"/>
        <v>384.66666666666669</v>
      </c>
      <c r="N612" s="25">
        <f t="shared" si="77"/>
        <v>1.2450000000000001</v>
      </c>
      <c r="O612" s="25">
        <f t="shared" si="79"/>
        <v>-0.10617120106171198</v>
      </c>
    </row>
    <row r="613" spans="1:15" x14ac:dyDescent="0.25">
      <c r="A613" s="15" t="s">
        <v>24</v>
      </c>
      <c r="B613" s="20">
        <v>38612</v>
      </c>
      <c r="C613" s="15">
        <v>198</v>
      </c>
      <c r="D613" s="15">
        <v>32</v>
      </c>
      <c r="E613" s="15">
        <v>11</v>
      </c>
      <c r="F613" s="21">
        <f t="shared" si="80"/>
        <v>241</v>
      </c>
      <c r="G613" s="18">
        <v>38</v>
      </c>
      <c r="H613" s="22">
        <f t="shared" si="75"/>
        <v>388.5</v>
      </c>
      <c r="I613" s="22">
        <f t="shared" si="75"/>
        <v>18.5</v>
      </c>
      <c r="J613" s="22">
        <f t="shared" si="75"/>
        <v>49</v>
      </c>
      <c r="K613" s="23">
        <f t="shared" si="82"/>
        <v>456</v>
      </c>
      <c r="L613" s="23">
        <f t="shared" si="72"/>
        <v>422.41666666666669</v>
      </c>
      <c r="M613" s="23">
        <f t="shared" si="81"/>
        <v>318.33333333333331</v>
      </c>
      <c r="N613" s="25">
        <f t="shared" si="77"/>
        <v>0.13145539906103287</v>
      </c>
      <c r="O613" s="25">
        <f t="shared" si="79"/>
        <v>-0.4294732688893273</v>
      </c>
    </row>
    <row r="614" spans="1:15" x14ac:dyDescent="0.25">
      <c r="A614" s="15" t="s">
        <v>24</v>
      </c>
      <c r="B614" s="20">
        <v>38619</v>
      </c>
      <c r="C614" s="15">
        <v>235</v>
      </c>
      <c r="D614" s="15">
        <v>5</v>
      </c>
      <c r="E614" s="15">
        <v>22</v>
      </c>
      <c r="F614" s="21">
        <f t="shared" si="80"/>
        <v>262</v>
      </c>
      <c r="G614" s="18">
        <v>39</v>
      </c>
      <c r="H614" s="22">
        <f t="shared" si="75"/>
        <v>308</v>
      </c>
      <c r="I614" s="22">
        <f t="shared" si="75"/>
        <v>19.25</v>
      </c>
      <c r="J614" s="22">
        <f t="shared" si="75"/>
        <v>41.75</v>
      </c>
      <c r="K614" s="23">
        <f t="shared" si="82"/>
        <v>369</v>
      </c>
      <c r="L614" s="23">
        <f t="shared" si="72"/>
        <v>387.58333333333331</v>
      </c>
      <c r="M614" s="23">
        <f t="shared" si="81"/>
        <v>434.33333333333331</v>
      </c>
      <c r="N614" s="25">
        <f t="shared" si="77"/>
        <v>0.10548523206751055</v>
      </c>
      <c r="O614" s="25">
        <f t="shared" si="79"/>
        <v>-0.32401634057191997</v>
      </c>
    </row>
    <row r="615" spans="1:15" x14ac:dyDescent="0.25">
      <c r="A615" s="15" t="s">
        <v>20</v>
      </c>
      <c r="B615" s="20">
        <v>38626</v>
      </c>
      <c r="C615" s="15">
        <v>168</v>
      </c>
      <c r="D615" s="15">
        <v>3</v>
      </c>
      <c r="E615" s="15">
        <v>16</v>
      </c>
      <c r="F615" s="21">
        <f t="shared" si="80"/>
        <v>187</v>
      </c>
      <c r="G615" s="18">
        <v>40</v>
      </c>
      <c r="H615" s="22">
        <f t="shared" si="75"/>
        <v>244.5</v>
      </c>
      <c r="I615" s="22">
        <f t="shared" si="75"/>
        <v>16.5</v>
      </c>
      <c r="J615" s="22">
        <f t="shared" si="75"/>
        <v>23.75</v>
      </c>
      <c r="K615" s="23">
        <f t="shared" si="82"/>
        <v>284.75</v>
      </c>
      <c r="L615" s="23">
        <f t="shared" si="72"/>
        <v>408.16666666666669</v>
      </c>
      <c r="M615" s="23">
        <f t="shared" si="81"/>
        <v>495.33333333333331</v>
      </c>
      <c r="N615" s="25">
        <f t="shared" si="77"/>
        <v>-0.40064102564102566</v>
      </c>
      <c r="O615" s="25">
        <f t="shared" si="79"/>
        <v>-0.54185381788485099</v>
      </c>
    </row>
    <row r="616" spans="1:15" x14ac:dyDescent="0.25">
      <c r="A616" s="15" t="s">
        <v>20</v>
      </c>
      <c r="B616" s="20">
        <v>38633</v>
      </c>
      <c r="C616" s="15">
        <v>237</v>
      </c>
      <c r="D616" s="15">
        <v>8</v>
      </c>
      <c r="E616" s="15">
        <v>67</v>
      </c>
      <c r="F616" s="21">
        <f t="shared" si="80"/>
        <v>312</v>
      </c>
      <c r="G616" s="18">
        <v>41</v>
      </c>
      <c r="H616" s="22">
        <f t="shared" si="75"/>
        <v>209.5</v>
      </c>
      <c r="I616" s="22">
        <f t="shared" si="75"/>
        <v>12</v>
      </c>
      <c r="J616" s="22">
        <f t="shared" si="75"/>
        <v>29</v>
      </c>
      <c r="K616" s="23">
        <f t="shared" si="82"/>
        <v>250.5</v>
      </c>
      <c r="L616" s="23">
        <f t="shared" si="72"/>
        <v>488.75</v>
      </c>
      <c r="M616" s="23">
        <f t="shared" si="81"/>
        <v>707</v>
      </c>
      <c r="N616" s="25">
        <f t="shared" si="77"/>
        <v>-0.45359019264448336</v>
      </c>
      <c r="O616" s="25">
        <f t="shared" si="79"/>
        <v>-0.36163682864450125</v>
      </c>
    </row>
    <row r="617" spans="1:15" x14ac:dyDescent="0.25">
      <c r="A617" s="15" t="s">
        <v>20</v>
      </c>
      <c r="B617" s="20">
        <v>38640</v>
      </c>
      <c r="C617" s="15">
        <v>235</v>
      </c>
      <c r="D617" s="15">
        <v>5</v>
      </c>
      <c r="E617" s="15">
        <v>177</v>
      </c>
      <c r="F617" s="21">
        <f t="shared" si="80"/>
        <v>417</v>
      </c>
      <c r="G617" s="18">
        <v>42</v>
      </c>
      <c r="H617" s="22">
        <f t="shared" si="75"/>
        <v>218.75</v>
      </c>
      <c r="I617" s="22">
        <f t="shared" si="75"/>
        <v>5.25</v>
      </c>
      <c r="J617" s="22">
        <f t="shared" si="75"/>
        <v>70.5</v>
      </c>
      <c r="K617" s="23">
        <f t="shared" si="82"/>
        <v>294.5</v>
      </c>
      <c r="L617" s="23">
        <f t="shared" si="72"/>
        <v>581</v>
      </c>
      <c r="M617" s="23">
        <f t="shared" si="81"/>
        <v>687.33333333333337</v>
      </c>
      <c r="N617" s="25">
        <f t="shared" si="77"/>
        <v>-0.28227194492254731</v>
      </c>
      <c r="O617" s="25">
        <f t="shared" si="79"/>
        <v>-0.28227194492254731</v>
      </c>
    </row>
    <row r="618" spans="1:15" x14ac:dyDescent="0.25">
      <c r="A618" s="15" t="s">
        <v>20</v>
      </c>
      <c r="B618" s="20">
        <v>38647</v>
      </c>
      <c r="C618" s="15">
        <v>245</v>
      </c>
      <c r="D618" s="15">
        <v>3</v>
      </c>
      <c r="E618" s="15">
        <v>235</v>
      </c>
      <c r="F618" s="21">
        <f t="shared" si="80"/>
        <v>483</v>
      </c>
      <c r="G618" s="18">
        <v>43</v>
      </c>
      <c r="H618" s="22">
        <f t="shared" si="75"/>
        <v>221.25</v>
      </c>
      <c r="I618" s="22">
        <f t="shared" si="75"/>
        <v>4.75</v>
      </c>
      <c r="J618" s="22">
        <f t="shared" si="75"/>
        <v>123.75</v>
      </c>
      <c r="K618" s="23">
        <f t="shared" si="82"/>
        <v>349.75</v>
      </c>
      <c r="L618" s="23">
        <f t="shared" si="72"/>
        <v>649.08333333333337</v>
      </c>
      <c r="M618" s="23">
        <f t="shared" si="81"/>
        <v>706.66666666666663</v>
      </c>
      <c r="N618" s="25">
        <f t="shared" si="77"/>
        <v>-0.13129496402877697</v>
      </c>
      <c r="O618" s="25">
        <f t="shared" si="79"/>
        <v>-0.25587366799332395</v>
      </c>
    </row>
    <row r="619" spans="1:15" x14ac:dyDescent="0.25">
      <c r="A619" s="15" t="s">
        <v>20</v>
      </c>
      <c r="B619" s="20">
        <v>38654</v>
      </c>
      <c r="C619" s="15">
        <v>212</v>
      </c>
      <c r="D619" s="15">
        <v>2</v>
      </c>
      <c r="E619" s="15">
        <v>161</v>
      </c>
      <c r="F619" s="21">
        <f t="shared" si="80"/>
        <v>375</v>
      </c>
      <c r="G619" s="18">
        <v>44</v>
      </c>
      <c r="H619" s="22">
        <f t="shared" si="75"/>
        <v>232.25</v>
      </c>
      <c r="I619" s="22">
        <f t="shared" si="75"/>
        <v>4.5</v>
      </c>
      <c r="J619" s="22">
        <f t="shared" si="75"/>
        <v>160</v>
      </c>
      <c r="K619" s="23">
        <f t="shared" si="82"/>
        <v>396.75</v>
      </c>
      <c r="L619" s="23">
        <f t="shared" si="72"/>
        <v>709.66666666666663</v>
      </c>
      <c r="M619" s="23">
        <f t="shared" si="81"/>
        <v>737.66666666666663</v>
      </c>
      <c r="N619" s="25">
        <f t="shared" si="77"/>
        <v>-0.22199170124481327</v>
      </c>
      <c r="O619" s="25">
        <f t="shared" si="79"/>
        <v>-0.47158290277125409</v>
      </c>
    </row>
    <row r="620" spans="1:15" x14ac:dyDescent="0.25">
      <c r="A620" s="15" t="s">
        <v>26</v>
      </c>
      <c r="B620" s="20">
        <v>38661</v>
      </c>
      <c r="C620" s="15">
        <v>374</v>
      </c>
      <c r="D620" s="15">
        <v>5</v>
      </c>
      <c r="E620" s="15">
        <v>105</v>
      </c>
      <c r="F620" s="21">
        <f t="shared" si="80"/>
        <v>484</v>
      </c>
      <c r="G620" s="18">
        <v>45</v>
      </c>
      <c r="H620" s="22">
        <f t="shared" si="75"/>
        <v>266.5</v>
      </c>
      <c r="I620" s="22">
        <f t="shared" si="75"/>
        <v>3.75</v>
      </c>
      <c r="J620" s="22">
        <f t="shared" si="75"/>
        <v>169.5</v>
      </c>
      <c r="K620" s="23">
        <f t="shared" si="82"/>
        <v>439.75</v>
      </c>
      <c r="L620" s="23">
        <f t="shared" si="72"/>
        <v>743.25</v>
      </c>
      <c r="M620" s="23">
        <f t="shared" si="81"/>
        <v>841.33333333333337</v>
      </c>
      <c r="N620" s="25">
        <f t="shared" si="77"/>
        <v>-4.7244094488188976E-2</v>
      </c>
      <c r="O620" s="25">
        <f t="shared" si="79"/>
        <v>-0.34880591994618232</v>
      </c>
    </row>
    <row r="621" spans="1:15" x14ac:dyDescent="0.25">
      <c r="A621" s="15" t="s">
        <v>26</v>
      </c>
      <c r="B621" s="20">
        <v>38668</v>
      </c>
      <c r="C621" s="15">
        <v>434</v>
      </c>
      <c r="D621" s="15">
        <v>3</v>
      </c>
      <c r="E621" s="15">
        <v>121</v>
      </c>
      <c r="F621" s="21">
        <f t="shared" si="80"/>
        <v>558</v>
      </c>
      <c r="G621" s="18">
        <v>46</v>
      </c>
      <c r="H621" s="22">
        <f t="shared" si="75"/>
        <v>316.25</v>
      </c>
      <c r="I621" s="22">
        <f t="shared" si="75"/>
        <v>3.25</v>
      </c>
      <c r="J621" s="22">
        <f t="shared" si="75"/>
        <v>155.5</v>
      </c>
      <c r="K621" s="23">
        <f t="shared" si="82"/>
        <v>475</v>
      </c>
      <c r="L621" s="23">
        <f t="shared" si="72"/>
        <v>782.91666666666663</v>
      </c>
      <c r="M621" s="23">
        <f t="shared" si="81"/>
        <v>846</v>
      </c>
      <c r="N621" s="25">
        <f t="shared" si="77"/>
        <v>-0.28917197452229298</v>
      </c>
      <c r="O621" s="25">
        <f t="shared" si="79"/>
        <v>-0.28728046833422027</v>
      </c>
    </row>
    <row r="622" spans="1:15" x14ac:dyDescent="0.25">
      <c r="A622" s="15" t="s">
        <v>26</v>
      </c>
      <c r="B622" s="20">
        <v>38675</v>
      </c>
      <c r="C622" s="15">
        <v>542</v>
      </c>
      <c r="D622" s="15">
        <v>0</v>
      </c>
      <c r="E622" s="15">
        <v>96</v>
      </c>
      <c r="F622" s="21">
        <f t="shared" si="80"/>
        <v>638</v>
      </c>
      <c r="G622" s="18">
        <v>47</v>
      </c>
      <c r="H622" s="22">
        <f t="shared" si="75"/>
        <v>390.5</v>
      </c>
      <c r="I622" s="22">
        <f t="shared" si="75"/>
        <v>2.5</v>
      </c>
      <c r="J622" s="22">
        <f t="shared" si="75"/>
        <v>120.75</v>
      </c>
      <c r="K622" s="23">
        <f t="shared" si="82"/>
        <v>513.75</v>
      </c>
      <c r="L622" s="23">
        <f t="shared" si="72"/>
        <v>856.75</v>
      </c>
      <c r="M622" s="23">
        <f t="shared" si="81"/>
        <v>1002</v>
      </c>
      <c r="N622" s="25">
        <f t="shared" si="77"/>
        <v>-9.50354609929078E-2</v>
      </c>
      <c r="O622" s="25">
        <f t="shared" si="79"/>
        <v>-0.25532535745550045</v>
      </c>
    </row>
    <row r="623" spans="1:15" x14ac:dyDescent="0.25">
      <c r="A623" s="15" t="s">
        <v>26</v>
      </c>
      <c r="B623" s="20">
        <v>38682</v>
      </c>
      <c r="C623" s="15">
        <v>567</v>
      </c>
      <c r="D623" s="15">
        <v>8</v>
      </c>
      <c r="E623" s="15">
        <v>110</v>
      </c>
      <c r="F623" s="21">
        <f t="shared" si="80"/>
        <v>685</v>
      </c>
      <c r="G623" s="18">
        <v>48</v>
      </c>
      <c r="H623" s="22">
        <f t="shared" si="75"/>
        <v>479.25</v>
      </c>
      <c r="I623" s="22">
        <f t="shared" si="75"/>
        <v>4</v>
      </c>
      <c r="J623" s="22">
        <f t="shared" si="75"/>
        <v>108</v>
      </c>
      <c r="K623" s="23">
        <f t="shared" si="82"/>
        <v>591.25</v>
      </c>
      <c r="L623" s="23">
        <f t="shared" si="72"/>
        <v>883.41666666666663</v>
      </c>
      <c r="M623" s="23">
        <f t="shared" si="81"/>
        <v>844.33333333333337</v>
      </c>
      <c r="N623" s="25">
        <f t="shared" si="77"/>
        <v>0.11201298701298701</v>
      </c>
      <c r="O623" s="25">
        <f t="shared" si="79"/>
        <v>-0.22460145269314213</v>
      </c>
    </row>
    <row r="624" spans="1:15" x14ac:dyDescent="0.25">
      <c r="A624" s="15" t="s">
        <v>15</v>
      </c>
      <c r="B624" s="20">
        <v>38689</v>
      </c>
      <c r="C624" s="15">
        <v>556</v>
      </c>
      <c r="D624" s="15">
        <v>2</v>
      </c>
      <c r="E624" s="15">
        <v>79</v>
      </c>
      <c r="F624" s="21">
        <f t="shared" si="80"/>
        <v>637</v>
      </c>
      <c r="G624" s="18">
        <v>49</v>
      </c>
      <c r="H624" s="22">
        <f t="shared" si="75"/>
        <v>524.75</v>
      </c>
      <c r="I624" s="22">
        <f t="shared" si="75"/>
        <v>3.25</v>
      </c>
      <c r="J624" s="22">
        <f t="shared" si="75"/>
        <v>101.5</v>
      </c>
      <c r="K624" s="23">
        <f t="shared" si="82"/>
        <v>629.5</v>
      </c>
      <c r="L624" s="23">
        <f t="shared" si="72"/>
        <v>940</v>
      </c>
      <c r="M624" s="23">
        <f t="shared" si="81"/>
        <v>1067.6666666666667</v>
      </c>
      <c r="N624" s="25">
        <f t="shared" si="77"/>
        <v>-7.5471698113207544E-2</v>
      </c>
      <c r="O624" s="25">
        <f t="shared" si="79"/>
        <v>-0.32234042553191489</v>
      </c>
    </row>
    <row r="625" spans="1:15" x14ac:dyDescent="0.25">
      <c r="A625" s="15" t="s">
        <v>15</v>
      </c>
      <c r="B625" s="20">
        <v>38696</v>
      </c>
      <c r="C625" s="15">
        <v>509</v>
      </c>
      <c r="D625" s="15">
        <v>3</v>
      </c>
      <c r="E625" s="15">
        <v>120</v>
      </c>
      <c r="F625" s="21">
        <f t="shared" si="80"/>
        <v>632</v>
      </c>
      <c r="G625" s="18">
        <v>50</v>
      </c>
      <c r="H625" s="22">
        <f t="shared" si="75"/>
        <v>543.5</v>
      </c>
      <c r="I625" s="22">
        <f t="shared" si="75"/>
        <v>3.25</v>
      </c>
      <c r="J625" s="22">
        <f t="shared" si="75"/>
        <v>101.25</v>
      </c>
      <c r="K625" s="23">
        <f t="shared" si="82"/>
        <v>648</v>
      </c>
      <c r="L625" s="23">
        <f t="shared" si="72"/>
        <v>1004.5</v>
      </c>
      <c r="M625" s="23">
        <f t="shared" si="81"/>
        <v>1104</v>
      </c>
      <c r="N625" s="25">
        <f t="shared" si="77"/>
        <v>-0.30549450549450552</v>
      </c>
      <c r="O625" s="25">
        <f t="shared" si="79"/>
        <v>-0.37083125933300148</v>
      </c>
    </row>
    <row r="626" spans="1:15" x14ac:dyDescent="0.25">
      <c r="A626" s="15" t="s">
        <v>15</v>
      </c>
      <c r="B626" s="20">
        <v>38703</v>
      </c>
      <c r="C626" s="15">
        <v>436</v>
      </c>
      <c r="D626" s="15">
        <v>2</v>
      </c>
      <c r="E626" s="15">
        <v>103</v>
      </c>
      <c r="F626" s="21">
        <f t="shared" si="80"/>
        <v>541</v>
      </c>
      <c r="G626" s="18">
        <v>51</v>
      </c>
      <c r="H626" s="22">
        <f t="shared" si="75"/>
        <v>517</v>
      </c>
      <c r="I626" s="22">
        <f t="shared" si="75"/>
        <v>3.75</v>
      </c>
      <c r="J626" s="22">
        <f t="shared" si="75"/>
        <v>103</v>
      </c>
      <c r="K626" s="23">
        <f t="shared" si="82"/>
        <v>623.75</v>
      </c>
      <c r="L626" s="23">
        <f t="shared" si="72"/>
        <v>927.66666666666663</v>
      </c>
      <c r="M626" s="23">
        <f t="shared" si="81"/>
        <v>694.66666666666663</v>
      </c>
      <c r="N626" s="25">
        <f t="shared" si="77"/>
        <v>-0.2767379679144385</v>
      </c>
      <c r="O626" s="25">
        <f t="shared" si="79"/>
        <v>-0.41681638519583181</v>
      </c>
    </row>
    <row r="627" spans="1:15" x14ac:dyDescent="0.25">
      <c r="A627" s="15" t="s">
        <v>15</v>
      </c>
      <c r="B627" s="20">
        <v>38710</v>
      </c>
      <c r="C627" s="15">
        <v>277</v>
      </c>
      <c r="D627" s="15">
        <v>0</v>
      </c>
      <c r="E627" s="15">
        <v>48</v>
      </c>
      <c r="F627" s="21">
        <f t="shared" si="80"/>
        <v>325</v>
      </c>
      <c r="G627" s="18">
        <v>52</v>
      </c>
      <c r="H627" s="22">
        <f t="shared" si="75"/>
        <v>444.5</v>
      </c>
      <c r="I627" s="22">
        <f t="shared" si="75"/>
        <v>1.75</v>
      </c>
      <c r="J627" s="22">
        <f t="shared" si="75"/>
        <v>87.5</v>
      </c>
      <c r="K627" s="23">
        <f t="shared" si="82"/>
        <v>533.75</v>
      </c>
      <c r="L627" s="23">
        <f t="shared" si="72"/>
        <v>861</v>
      </c>
      <c r="M627" s="23">
        <f t="shared" si="81"/>
        <v>577.66666666666663</v>
      </c>
      <c r="N627" s="25">
        <f t="shared" si="77"/>
        <v>-0.45378151260504201</v>
      </c>
      <c r="O627" s="25">
        <f t="shared" si="79"/>
        <v>-0.62253193960511033</v>
      </c>
    </row>
    <row r="628" spans="1:15" x14ac:dyDescent="0.25">
      <c r="A628" s="15" t="s">
        <v>15</v>
      </c>
      <c r="B628" s="20">
        <v>38717</v>
      </c>
      <c r="C628" s="15">
        <v>332</v>
      </c>
      <c r="D628" s="15">
        <v>0</v>
      </c>
      <c r="E628" s="15">
        <v>73</v>
      </c>
      <c r="F628" s="21">
        <f t="shared" si="80"/>
        <v>405</v>
      </c>
      <c r="G628" s="18">
        <v>53</v>
      </c>
      <c r="H628" s="22">
        <f t="shared" si="75"/>
        <v>388.5</v>
      </c>
      <c r="I628" s="22">
        <f t="shared" si="75"/>
        <v>1.25</v>
      </c>
      <c r="J628" s="22">
        <f t="shared" si="75"/>
        <v>86</v>
      </c>
      <c r="K628" s="23">
        <f t="shared" si="82"/>
        <v>475.75</v>
      </c>
      <c r="L628" s="23">
        <f t="shared" si="72"/>
        <v>705.83333333333337</v>
      </c>
      <c r="M628" s="23">
        <f t="shared" si="81"/>
        <v>447</v>
      </c>
      <c r="N628" s="25">
        <f t="shared" ref="N628:N670" si="83">(F628-F576)/F576</f>
        <v>-4.9295774647887321E-2</v>
      </c>
      <c r="O628" s="25">
        <f t="shared" si="79"/>
        <v>-0.42621015348288077</v>
      </c>
    </row>
    <row r="629" spans="1:15" x14ac:dyDescent="0.25">
      <c r="A629" s="15" t="s">
        <v>9</v>
      </c>
      <c r="B629" s="20">
        <v>38724</v>
      </c>
      <c r="C629" s="15">
        <v>214</v>
      </c>
      <c r="D629" s="15">
        <v>0</v>
      </c>
      <c r="E629" s="15">
        <v>68</v>
      </c>
      <c r="F629" s="21">
        <f t="shared" si="80"/>
        <v>282</v>
      </c>
      <c r="G629" s="18">
        <v>1</v>
      </c>
      <c r="H629" s="22">
        <f t="shared" si="75"/>
        <v>314.75</v>
      </c>
      <c r="I629" s="22">
        <f t="shared" si="75"/>
        <v>0.5</v>
      </c>
      <c r="J629" s="22">
        <f t="shared" si="75"/>
        <v>73</v>
      </c>
      <c r="K629" s="23">
        <f t="shared" si="82"/>
        <v>388.25</v>
      </c>
      <c r="L629" s="23">
        <f t="shared" si="72"/>
        <v>570.41666666666663</v>
      </c>
      <c r="M629" s="23">
        <f>AVERAGE(F473+F525+F577)/3</f>
        <v>562.33333333333337</v>
      </c>
      <c r="N629" s="25">
        <f t="shared" si="83"/>
        <v>-0.50785340314136129</v>
      </c>
      <c r="O629" s="25">
        <f t="shared" si="79"/>
        <v>-0.50562454346238128</v>
      </c>
    </row>
    <row r="630" spans="1:15" x14ac:dyDescent="0.25">
      <c r="A630" s="15" t="s">
        <v>16</v>
      </c>
      <c r="B630" s="20">
        <v>38731</v>
      </c>
      <c r="C630" s="15">
        <v>218</v>
      </c>
      <c r="D630" s="15">
        <v>0</v>
      </c>
      <c r="E630" s="15">
        <v>39</v>
      </c>
      <c r="F630" s="21">
        <f t="shared" si="80"/>
        <v>257</v>
      </c>
      <c r="G630" s="18">
        <v>2</v>
      </c>
      <c r="H630" s="22">
        <f t="shared" si="75"/>
        <v>260.25</v>
      </c>
      <c r="I630" s="22">
        <f t="shared" si="75"/>
        <v>0</v>
      </c>
      <c r="J630" s="22">
        <f t="shared" si="75"/>
        <v>57</v>
      </c>
      <c r="K630" s="23">
        <f t="shared" si="82"/>
        <v>317.25</v>
      </c>
      <c r="L630" s="23">
        <f t="shared" si="72"/>
        <v>526.41666666666663</v>
      </c>
      <c r="M630" s="23">
        <f t="shared" ref="M630:M693" si="84">AVERAGE(F474+F526+F578)/3</f>
        <v>518.66666666666663</v>
      </c>
      <c r="N630" s="25">
        <f t="shared" si="83"/>
        <v>-0.30913978494623656</v>
      </c>
      <c r="O630" s="25">
        <f t="shared" si="79"/>
        <v>-0.51179357289852778</v>
      </c>
    </row>
    <row r="631" spans="1:15" x14ac:dyDescent="0.25">
      <c r="A631" s="15" t="s">
        <v>16</v>
      </c>
      <c r="B631" s="20">
        <v>38738</v>
      </c>
      <c r="C631" s="15">
        <v>185</v>
      </c>
      <c r="D631" s="15">
        <v>5</v>
      </c>
      <c r="E631" s="15">
        <v>49</v>
      </c>
      <c r="F631" s="21">
        <f t="shared" si="80"/>
        <v>239</v>
      </c>
      <c r="G631" s="18">
        <v>3</v>
      </c>
      <c r="H631" s="22">
        <f t="shared" si="75"/>
        <v>237.25</v>
      </c>
      <c r="I631" s="22">
        <f t="shared" si="75"/>
        <v>1.25</v>
      </c>
      <c r="J631" s="22">
        <f t="shared" si="75"/>
        <v>57.25</v>
      </c>
      <c r="K631" s="23">
        <f t="shared" si="82"/>
        <v>295.75</v>
      </c>
      <c r="L631" s="23">
        <f t="shared" si="72"/>
        <v>473.33333333333331</v>
      </c>
      <c r="M631" s="23">
        <f t="shared" si="84"/>
        <v>365.33333333333331</v>
      </c>
      <c r="N631" s="25">
        <f t="shared" si="83"/>
        <v>0.63698630136986301</v>
      </c>
      <c r="O631" s="25">
        <f t="shared" si="79"/>
        <v>-0.49507042253521127</v>
      </c>
    </row>
    <row r="632" spans="1:15" x14ac:dyDescent="0.25">
      <c r="A632" s="15" t="s">
        <v>16</v>
      </c>
      <c r="B632" s="20">
        <v>38745</v>
      </c>
      <c r="C632" s="15">
        <v>253</v>
      </c>
      <c r="D632" s="15">
        <v>5</v>
      </c>
      <c r="E632" s="15">
        <v>64</v>
      </c>
      <c r="F632" s="21">
        <f t="shared" si="80"/>
        <v>322</v>
      </c>
      <c r="G632" s="18">
        <v>4</v>
      </c>
      <c r="H632" s="22">
        <f t="shared" si="75"/>
        <v>217.5</v>
      </c>
      <c r="I632" s="22">
        <f t="shared" si="75"/>
        <v>2.5</v>
      </c>
      <c r="J632" s="22">
        <f t="shared" si="75"/>
        <v>55</v>
      </c>
      <c r="K632" s="23">
        <f t="shared" si="82"/>
        <v>275</v>
      </c>
      <c r="L632" s="23">
        <f t="shared" si="72"/>
        <v>454.16666666666669</v>
      </c>
      <c r="M632" s="23">
        <f t="shared" si="84"/>
        <v>370.33333333333331</v>
      </c>
      <c r="N632" s="25">
        <f t="shared" si="83"/>
        <v>-0.20099255583126552</v>
      </c>
      <c r="O632" s="25">
        <f t="shared" si="79"/>
        <v>-0.29100917431192663</v>
      </c>
    </row>
    <row r="633" spans="1:15" x14ac:dyDescent="0.25">
      <c r="A633" s="15" t="s">
        <v>23</v>
      </c>
      <c r="B633" s="20">
        <v>38752</v>
      </c>
      <c r="C633" s="15">
        <v>237</v>
      </c>
      <c r="D633" s="15">
        <v>6</v>
      </c>
      <c r="E633" s="15">
        <v>81</v>
      </c>
      <c r="F633" s="21">
        <f t="shared" si="80"/>
        <v>324</v>
      </c>
      <c r="G633" s="18">
        <v>5</v>
      </c>
      <c r="H633" s="22">
        <f t="shared" si="75"/>
        <v>223.25</v>
      </c>
      <c r="I633" s="22">
        <f t="shared" si="75"/>
        <v>4</v>
      </c>
      <c r="J633" s="22">
        <f t="shared" si="75"/>
        <v>58.25</v>
      </c>
      <c r="K633" s="23">
        <f t="shared" si="82"/>
        <v>285.5</v>
      </c>
      <c r="L633" s="23">
        <f t="shared" si="72"/>
        <v>397.08333333333331</v>
      </c>
      <c r="M633" s="23">
        <f t="shared" si="84"/>
        <v>334</v>
      </c>
      <c r="N633" s="25">
        <f t="shared" si="83"/>
        <v>-0.16923076923076924</v>
      </c>
      <c r="O633" s="25">
        <f t="shared" si="79"/>
        <v>-0.18405036726128013</v>
      </c>
    </row>
    <row r="634" spans="1:15" x14ac:dyDescent="0.25">
      <c r="A634" s="15" t="s">
        <v>23</v>
      </c>
      <c r="B634" s="20">
        <v>38759</v>
      </c>
      <c r="C634" s="15">
        <v>281</v>
      </c>
      <c r="D634" s="15">
        <v>4</v>
      </c>
      <c r="E634" s="15">
        <v>75</v>
      </c>
      <c r="F634" s="21">
        <f t="shared" si="80"/>
        <v>360</v>
      </c>
      <c r="G634" s="18">
        <v>6</v>
      </c>
      <c r="H634" s="22">
        <f t="shared" si="75"/>
        <v>239</v>
      </c>
      <c r="I634" s="22">
        <f t="shared" si="75"/>
        <v>5</v>
      </c>
      <c r="J634" s="22">
        <f t="shared" si="75"/>
        <v>67.25</v>
      </c>
      <c r="K634" s="23">
        <f t="shared" si="82"/>
        <v>311.25</v>
      </c>
      <c r="L634" s="23">
        <f t="shared" si="72"/>
        <v>354.08333333333331</v>
      </c>
      <c r="M634" s="23">
        <f t="shared" si="84"/>
        <v>346.66666666666669</v>
      </c>
      <c r="N634" s="25">
        <f t="shared" si="83"/>
        <v>-8.1632653061224483E-2</v>
      </c>
      <c r="O634" s="25">
        <f t="shared" si="79"/>
        <v>1.6709814073899796E-2</v>
      </c>
    </row>
    <row r="635" spans="1:15" x14ac:dyDescent="0.25">
      <c r="A635" s="15" t="s">
        <v>23</v>
      </c>
      <c r="B635" s="20">
        <v>38766</v>
      </c>
      <c r="C635" s="15">
        <v>279</v>
      </c>
      <c r="D635" s="15">
        <v>0</v>
      </c>
      <c r="E635" s="15">
        <v>40</v>
      </c>
      <c r="F635" s="21">
        <f t="shared" si="80"/>
        <v>319</v>
      </c>
      <c r="G635" s="18">
        <v>7</v>
      </c>
      <c r="H635" s="22">
        <f t="shared" si="75"/>
        <v>262.5</v>
      </c>
      <c r="I635" s="22">
        <f t="shared" si="75"/>
        <v>3.75</v>
      </c>
      <c r="J635" s="22">
        <f t="shared" si="75"/>
        <v>65</v>
      </c>
      <c r="K635" s="23">
        <f t="shared" si="82"/>
        <v>331.25</v>
      </c>
      <c r="L635" s="23">
        <f t="shared" si="72"/>
        <v>339.83333333333331</v>
      </c>
      <c r="M635" s="23">
        <f t="shared" si="84"/>
        <v>308.33333333333331</v>
      </c>
      <c r="N635" s="25">
        <f t="shared" si="83"/>
        <v>0.43693693693693691</v>
      </c>
      <c r="O635" s="25">
        <f t="shared" si="79"/>
        <v>-6.130456105934276E-2</v>
      </c>
    </row>
    <row r="636" spans="1:15" x14ac:dyDescent="0.25">
      <c r="A636" s="15" t="s">
        <v>27</v>
      </c>
      <c r="B636" s="20">
        <v>38773</v>
      </c>
      <c r="C636" s="15">
        <v>190</v>
      </c>
      <c r="D636" s="15">
        <v>0</v>
      </c>
      <c r="E636" s="15">
        <v>77</v>
      </c>
      <c r="F636" s="21">
        <f t="shared" si="80"/>
        <v>267</v>
      </c>
      <c r="G636" s="18">
        <v>8</v>
      </c>
      <c r="H636" s="22">
        <f t="shared" si="75"/>
        <v>246.75</v>
      </c>
      <c r="I636" s="22">
        <f t="shared" si="75"/>
        <v>2.5</v>
      </c>
      <c r="J636" s="22">
        <f t="shared" si="75"/>
        <v>68.25</v>
      </c>
      <c r="K636" s="23">
        <f t="shared" si="82"/>
        <v>317.5</v>
      </c>
      <c r="L636" s="23">
        <f t="shared" si="72"/>
        <v>350.41666666666669</v>
      </c>
      <c r="M636" s="23">
        <f t="shared" si="84"/>
        <v>412.66666666666669</v>
      </c>
      <c r="N636" s="25">
        <f t="shared" si="83"/>
        <v>-0.22157434402332363</v>
      </c>
      <c r="O636" s="25">
        <f t="shared" si="79"/>
        <v>-0.23804994054696793</v>
      </c>
    </row>
    <row r="637" spans="1:15" x14ac:dyDescent="0.25">
      <c r="A637" s="15" t="s">
        <v>27</v>
      </c>
      <c r="B637" s="26">
        <v>38780</v>
      </c>
      <c r="C637" s="15">
        <v>180</v>
      </c>
      <c r="D637" s="15">
        <v>0</v>
      </c>
      <c r="E637" s="15">
        <v>115</v>
      </c>
      <c r="F637" s="21">
        <f t="shared" si="80"/>
        <v>295</v>
      </c>
      <c r="G637" s="18">
        <v>9</v>
      </c>
      <c r="H637" s="22">
        <f t="shared" si="75"/>
        <v>232.5</v>
      </c>
      <c r="I637" s="22">
        <f t="shared" si="75"/>
        <v>1</v>
      </c>
      <c r="J637" s="22">
        <f t="shared" si="75"/>
        <v>76.75</v>
      </c>
      <c r="K637" s="23">
        <f t="shared" si="82"/>
        <v>310.25</v>
      </c>
      <c r="L637" s="23">
        <f t="shared" si="72"/>
        <v>368.5</v>
      </c>
      <c r="M637" s="23">
        <f t="shared" si="84"/>
        <v>406.33333333333331</v>
      </c>
      <c r="N637" s="25">
        <f t="shared" si="83"/>
        <v>9.2592592592592587E-2</v>
      </c>
      <c r="O637" s="25">
        <f t="shared" si="79"/>
        <v>-0.1994572591587517</v>
      </c>
    </row>
    <row r="638" spans="1:15" x14ac:dyDescent="0.25">
      <c r="A638" s="15" t="s">
        <v>27</v>
      </c>
      <c r="B638" s="20">
        <v>38787</v>
      </c>
      <c r="C638" s="15">
        <v>281</v>
      </c>
      <c r="D638" s="15">
        <v>20</v>
      </c>
      <c r="E638" s="15">
        <v>74</v>
      </c>
      <c r="F638" s="21">
        <f t="shared" si="80"/>
        <v>375</v>
      </c>
      <c r="G638" s="18">
        <v>10</v>
      </c>
      <c r="H638" s="22">
        <f t="shared" si="75"/>
        <v>232.5</v>
      </c>
      <c r="I638" s="22">
        <f t="shared" si="75"/>
        <v>5</v>
      </c>
      <c r="J638" s="22">
        <f t="shared" si="75"/>
        <v>76.5</v>
      </c>
      <c r="K638" s="23">
        <f t="shared" si="82"/>
        <v>314</v>
      </c>
      <c r="L638" s="23">
        <f t="shared" si="72"/>
        <v>376.08333333333331</v>
      </c>
      <c r="M638" s="23">
        <f t="shared" si="84"/>
        <v>377</v>
      </c>
      <c r="N638" s="25">
        <f t="shared" si="83"/>
        <v>0.5</v>
      </c>
      <c r="O638" s="25">
        <f t="shared" si="79"/>
        <v>-2.8805672501661362E-3</v>
      </c>
    </row>
    <row r="639" spans="1:15" x14ac:dyDescent="0.25">
      <c r="A639" s="15" t="s">
        <v>27</v>
      </c>
      <c r="B639" s="20">
        <v>38794</v>
      </c>
      <c r="C639" s="15">
        <v>175</v>
      </c>
      <c r="D639" s="15">
        <v>2</v>
      </c>
      <c r="E639" s="15">
        <v>50</v>
      </c>
      <c r="F639" s="21">
        <f t="shared" si="80"/>
        <v>227</v>
      </c>
      <c r="G639" s="18">
        <v>11</v>
      </c>
      <c r="H639" s="22">
        <f t="shared" si="75"/>
        <v>206.5</v>
      </c>
      <c r="I639" s="22">
        <f t="shared" si="75"/>
        <v>5.5</v>
      </c>
      <c r="J639" s="22">
        <f t="shared" si="75"/>
        <v>79</v>
      </c>
      <c r="K639" s="23">
        <f t="shared" si="82"/>
        <v>291</v>
      </c>
      <c r="L639" s="23">
        <f t="shared" si="72"/>
        <v>400.33333333333331</v>
      </c>
      <c r="M639" s="23">
        <f t="shared" si="84"/>
        <v>405.33333333333331</v>
      </c>
      <c r="N639" s="25">
        <f t="shared" si="83"/>
        <v>-0.43107769423558895</v>
      </c>
      <c r="O639" s="25">
        <f t="shared" si="79"/>
        <v>-0.43297252289758531</v>
      </c>
    </row>
    <row r="640" spans="1:15" x14ac:dyDescent="0.25">
      <c r="A640" s="15" t="s">
        <v>27</v>
      </c>
      <c r="B640" s="20">
        <v>38801</v>
      </c>
      <c r="C640" s="15">
        <v>194</v>
      </c>
      <c r="D640" s="15">
        <v>3</v>
      </c>
      <c r="E640" s="15">
        <v>47</v>
      </c>
      <c r="F640" s="21">
        <f t="shared" si="80"/>
        <v>244</v>
      </c>
      <c r="G640" s="18">
        <v>12</v>
      </c>
      <c r="H640" s="22">
        <f t="shared" si="75"/>
        <v>207.5</v>
      </c>
      <c r="I640" s="22">
        <f t="shared" si="75"/>
        <v>6.25</v>
      </c>
      <c r="J640" s="22">
        <f t="shared" si="75"/>
        <v>71.5</v>
      </c>
      <c r="K640" s="23">
        <f t="shared" si="82"/>
        <v>285.25</v>
      </c>
      <c r="L640" s="23">
        <f t="shared" si="72"/>
        <v>436.66666666666669</v>
      </c>
      <c r="M640" s="23">
        <f t="shared" si="84"/>
        <v>558</v>
      </c>
      <c r="N640" s="25">
        <f t="shared" si="83"/>
        <v>-0.2947976878612717</v>
      </c>
      <c r="O640" s="25">
        <f t="shared" si="79"/>
        <v>-0.44122137404580153</v>
      </c>
    </row>
    <row r="641" spans="1:15" x14ac:dyDescent="0.25">
      <c r="A641" s="15" t="s">
        <v>14</v>
      </c>
      <c r="B641" s="20">
        <v>38808</v>
      </c>
      <c r="C641" s="15">
        <v>440</v>
      </c>
      <c r="D641" s="15">
        <v>11</v>
      </c>
      <c r="E641" s="15">
        <v>84</v>
      </c>
      <c r="F641" s="21">
        <f t="shared" si="80"/>
        <v>535</v>
      </c>
      <c r="G641" s="18">
        <v>13</v>
      </c>
      <c r="H641" s="22">
        <f t="shared" si="75"/>
        <v>272.5</v>
      </c>
      <c r="I641" s="22">
        <f t="shared" si="75"/>
        <v>9</v>
      </c>
      <c r="J641" s="22">
        <f t="shared" si="75"/>
        <v>63.75</v>
      </c>
      <c r="K641" s="23">
        <f t="shared" si="82"/>
        <v>345.25</v>
      </c>
      <c r="L641" s="23">
        <f t="shared" si="72"/>
        <v>478.75</v>
      </c>
      <c r="M641" s="23">
        <f t="shared" si="84"/>
        <v>574.66666666666663</v>
      </c>
      <c r="N641" s="25">
        <f t="shared" si="83"/>
        <v>0.39322916666666669</v>
      </c>
      <c r="O641" s="25">
        <f t="shared" si="79"/>
        <v>0.1174934725848564</v>
      </c>
    </row>
    <row r="642" spans="1:15" x14ac:dyDescent="0.25">
      <c r="A642" s="15" t="s">
        <v>14</v>
      </c>
      <c r="B642" s="20">
        <v>38815</v>
      </c>
      <c r="C642" s="15">
        <v>374</v>
      </c>
      <c r="D642" s="15">
        <v>2</v>
      </c>
      <c r="E642" s="15">
        <v>74</v>
      </c>
      <c r="F642" s="21">
        <f t="shared" si="80"/>
        <v>450</v>
      </c>
      <c r="G642" s="18">
        <v>14</v>
      </c>
      <c r="H642" s="22">
        <f t="shared" si="75"/>
        <v>295.75</v>
      </c>
      <c r="I642" s="22">
        <f>AVERAGE(D639:D642)</f>
        <v>4.5</v>
      </c>
      <c r="J642" s="22">
        <f>AVERAGE(E639:E642)</f>
        <v>63.75</v>
      </c>
      <c r="K642" s="23">
        <f>SUM(H642:J642)</f>
        <v>364</v>
      </c>
      <c r="L642" s="23">
        <f>AVERAGE(K486+K538+K590)/3</f>
        <v>532.5</v>
      </c>
      <c r="M642" s="23">
        <f t="shared" si="84"/>
        <v>592</v>
      </c>
      <c r="N642" s="25">
        <f t="shared" si="83"/>
        <v>1.1235955056179775E-2</v>
      </c>
      <c r="O642" s="25">
        <f t="shared" si="79"/>
        <v>-0.15492957746478872</v>
      </c>
    </row>
    <row r="643" spans="1:15" x14ac:dyDescent="0.25">
      <c r="A643" s="15" t="s">
        <v>14</v>
      </c>
      <c r="B643" s="20">
        <v>38822</v>
      </c>
      <c r="C643" s="15">
        <v>560</v>
      </c>
      <c r="D643" s="15">
        <v>2</v>
      </c>
      <c r="E643" s="15">
        <v>45</v>
      </c>
      <c r="F643" s="21">
        <f t="shared" si="80"/>
        <v>607</v>
      </c>
      <c r="G643" s="18">
        <v>15</v>
      </c>
      <c r="H643" s="22">
        <f t="shared" si="75"/>
        <v>392</v>
      </c>
      <c r="I643" s="22">
        <f t="shared" si="75"/>
        <v>4.5</v>
      </c>
      <c r="J643" s="22">
        <f t="shared" si="75"/>
        <v>62.5</v>
      </c>
      <c r="K643" s="23">
        <f t="shared" si="82"/>
        <v>459</v>
      </c>
      <c r="L643" s="23">
        <f t="shared" si="72"/>
        <v>594.58333333333337</v>
      </c>
      <c r="M643" s="23">
        <f t="shared" si="84"/>
        <v>653.66666666666663</v>
      </c>
      <c r="N643" s="25">
        <f t="shared" si="83"/>
        <v>-4.1074249605055291E-2</v>
      </c>
      <c r="O643" s="25">
        <f t="shared" si="79"/>
        <v>2.0882971268395171E-2</v>
      </c>
    </row>
    <row r="644" spans="1:15" x14ac:dyDescent="0.25">
      <c r="A644" s="15" t="s">
        <v>14</v>
      </c>
      <c r="B644" s="20">
        <v>38829</v>
      </c>
      <c r="C644" s="15">
        <v>459</v>
      </c>
      <c r="D644" s="15">
        <v>6</v>
      </c>
      <c r="E644" s="15">
        <v>53</v>
      </c>
      <c r="F644" s="21">
        <f t="shared" si="80"/>
        <v>518</v>
      </c>
      <c r="G644" s="18">
        <v>16</v>
      </c>
      <c r="H644" s="22">
        <f t="shared" ref="H644:J653" si="85">AVERAGE(C641:C644)</f>
        <v>458.25</v>
      </c>
      <c r="I644" s="22">
        <f t="shared" si="85"/>
        <v>5.25</v>
      </c>
      <c r="J644" s="22">
        <f t="shared" si="85"/>
        <v>64</v>
      </c>
      <c r="K644" s="23">
        <f t="shared" si="82"/>
        <v>527.5</v>
      </c>
      <c r="L644" s="23">
        <f t="shared" ref="L644:L653" si="86">AVERAGE(K488+K540+K592)/3</f>
        <v>608.75</v>
      </c>
      <c r="M644" s="23">
        <f t="shared" si="84"/>
        <v>614.66666666666663</v>
      </c>
      <c r="N644" s="25">
        <f t="shared" si="83"/>
        <v>-3.3582089552238806E-2</v>
      </c>
      <c r="O644" s="25">
        <f t="shared" si="79"/>
        <v>-0.14907597535934292</v>
      </c>
    </row>
    <row r="645" spans="1:15" x14ac:dyDescent="0.25">
      <c r="A645" s="15" t="s">
        <v>10</v>
      </c>
      <c r="B645" s="20">
        <v>38836</v>
      </c>
      <c r="C645" s="15">
        <v>522</v>
      </c>
      <c r="D645" s="15">
        <v>2</v>
      </c>
      <c r="E645" s="15">
        <v>57</v>
      </c>
      <c r="F645" s="21">
        <f t="shared" si="80"/>
        <v>581</v>
      </c>
      <c r="G645" s="18">
        <v>17</v>
      </c>
      <c r="H645" s="22">
        <f t="shared" si="85"/>
        <v>478.75</v>
      </c>
      <c r="I645" s="22">
        <f t="shared" si="85"/>
        <v>3</v>
      </c>
      <c r="J645" s="22">
        <f t="shared" si="85"/>
        <v>57.25</v>
      </c>
      <c r="K645" s="23">
        <f t="shared" si="82"/>
        <v>539</v>
      </c>
      <c r="L645" s="23">
        <f t="shared" si="86"/>
        <v>610.16666666666663</v>
      </c>
      <c r="M645" s="23">
        <f t="shared" si="84"/>
        <v>580.33333333333337</v>
      </c>
      <c r="N645" s="25">
        <f t="shared" si="83"/>
        <v>0.20289855072463769</v>
      </c>
      <c r="O645" s="25">
        <f t="shared" si="79"/>
        <v>-4.7801147227533404E-2</v>
      </c>
    </row>
    <row r="646" spans="1:15" x14ac:dyDescent="0.25">
      <c r="A646" s="15" t="s">
        <v>5</v>
      </c>
      <c r="B646" s="20">
        <v>38843</v>
      </c>
      <c r="C646" s="15">
        <v>468</v>
      </c>
      <c r="D646" s="15">
        <v>4</v>
      </c>
      <c r="E646" s="15">
        <v>77</v>
      </c>
      <c r="F646" s="21">
        <f t="shared" si="80"/>
        <v>549</v>
      </c>
      <c r="G646" s="18">
        <v>18</v>
      </c>
      <c r="H646" s="22">
        <f t="shared" si="85"/>
        <v>502.25</v>
      </c>
      <c r="I646" s="22">
        <f>AVERAGE(D643:D646)</f>
        <v>3.5</v>
      </c>
      <c r="J646" s="22">
        <f>AVERAGE(E643:E646)</f>
        <v>58</v>
      </c>
      <c r="K646" s="23">
        <f t="shared" si="82"/>
        <v>563.75</v>
      </c>
      <c r="L646" s="23">
        <f t="shared" si="86"/>
        <v>611.58333333333337</v>
      </c>
      <c r="M646" s="23">
        <f t="shared" si="84"/>
        <v>597.66666666666663</v>
      </c>
      <c r="N646" s="25">
        <f t="shared" si="83"/>
        <v>-0.10586319218241043</v>
      </c>
      <c r="O646" s="25">
        <f t="shared" si="79"/>
        <v>-0.10233001771358501</v>
      </c>
    </row>
    <row r="647" spans="1:15" x14ac:dyDescent="0.25">
      <c r="A647" s="15" t="s">
        <v>5</v>
      </c>
      <c r="B647" s="20">
        <v>38850</v>
      </c>
      <c r="C647" s="15">
        <v>569</v>
      </c>
      <c r="D647" s="15">
        <v>0</v>
      </c>
      <c r="E647" s="15">
        <v>116</v>
      </c>
      <c r="F647" s="21">
        <f t="shared" si="80"/>
        <v>685</v>
      </c>
      <c r="G647" s="18">
        <v>19</v>
      </c>
      <c r="H647" s="22">
        <f t="shared" si="85"/>
        <v>504.5</v>
      </c>
      <c r="I647" s="22">
        <f t="shared" si="85"/>
        <v>3</v>
      </c>
      <c r="J647" s="22">
        <f t="shared" si="85"/>
        <v>75.75</v>
      </c>
      <c r="K647" s="23">
        <f t="shared" si="82"/>
        <v>583.25</v>
      </c>
      <c r="L647" s="23">
        <f t="shared" si="86"/>
        <v>584.83333333333337</v>
      </c>
      <c r="M647" s="23">
        <f t="shared" si="84"/>
        <v>546.66666666666663</v>
      </c>
      <c r="N647" s="25">
        <f t="shared" si="83"/>
        <v>0.27323420074349442</v>
      </c>
      <c r="O647" s="25">
        <f t="shared" si="79"/>
        <v>0.17127386719863202</v>
      </c>
    </row>
    <row r="648" spans="1:15" x14ac:dyDescent="0.25">
      <c r="A648" s="15" t="s">
        <v>5</v>
      </c>
      <c r="B648" s="20">
        <v>38857</v>
      </c>
      <c r="C648" s="15">
        <v>624</v>
      </c>
      <c r="D648" s="15">
        <v>5</v>
      </c>
      <c r="E648" s="15">
        <v>127</v>
      </c>
      <c r="F648" s="21">
        <f t="shared" si="80"/>
        <v>756</v>
      </c>
      <c r="G648" s="18">
        <v>20</v>
      </c>
      <c r="H648" s="22">
        <f t="shared" si="85"/>
        <v>545.75</v>
      </c>
      <c r="I648" s="22">
        <f t="shared" si="85"/>
        <v>2.75</v>
      </c>
      <c r="J648" s="22">
        <f t="shared" si="85"/>
        <v>94.25</v>
      </c>
      <c r="K648" s="23">
        <f t="shared" si="82"/>
        <v>642.75</v>
      </c>
      <c r="L648" s="23">
        <f t="shared" si="86"/>
        <v>592.25</v>
      </c>
      <c r="M648" s="23">
        <f t="shared" si="84"/>
        <v>644.33333333333337</v>
      </c>
      <c r="N648" s="25">
        <f t="shared" si="83"/>
        <v>0.51807228915662651</v>
      </c>
      <c r="O648" s="25">
        <f t="shared" si="79"/>
        <v>0.27648796960742927</v>
      </c>
    </row>
    <row r="649" spans="1:15" x14ac:dyDescent="0.25">
      <c r="A649" s="15" t="s">
        <v>5</v>
      </c>
      <c r="B649" s="20">
        <v>38864</v>
      </c>
      <c r="C649" s="15">
        <v>591</v>
      </c>
      <c r="D649" s="15">
        <v>0</v>
      </c>
      <c r="E649" s="15">
        <v>76</v>
      </c>
      <c r="F649" s="21">
        <f t="shared" si="80"/>
        <v>667</v>
      </c>
      <c r="G649" s="18">
        <v>21</v>
      </c>
      <c r="H649" s="22">
        <f t="shared" si="85"/>
        <v>563</v>
      </c>
      <c r="I649" s="22">
        <f>AVERAGE(D646:D649)</f>
        <v>2.25</v>
      </c>
      <c r="J649" s="22">
        <f>AVERAGE(E646:E649)</f>
        <v>99</v>
      </c>
      <c r="K649" s="23">
        <f t="shared" si="82"/>
        <v>664.25</v>
      </c>
      <c r="L649" s="23">
        <f t="shared" si="86"/>
        <v>622</v>
      </c>
      <c r="M649" s="23">
        <f t="shared" si="84"/>
        <v>699.33333333333337</v>
      </c>
      <c r="N649" s="25">
        <f t="shared" si="83"/>
        <v>0.14212328767123289</v>
      </c>
      <c r="O649" s="25">
        <f t="shared" si="79"/>
        <v>7.2347266881028938E-2</v>
      </c>
    </row>
    <row r="650" spans="1:15" x14ac:dyDescent="0.25">
      <c r="A650" s="15" t="s">
        <v>30</v>
      </c>
      <c r="B650" s="20">
        <v>38871</v>
      </c>
      <c r="C650" s="15">
        <v>562</v>
      </c>
      <c r="D650" s="15">
        <v>8</v>
      </c>
      <c r="E650" s="15">
        <v>55</v>
      </c>
      <c r="F650" s="21">
        <f t="shared" si="80"/>
        <v>625</v>
      </c>
      <c r="G650" s="18">
        <v>22</v>
      </c>
      <c r="H650" s="22">
        <f t="shared" si="85"/>
        <v>586.5</v>
      </c>
      <c r="I650" s="22">
        <f t="shared" si="85"/>
        <v>3.25</v>
      </c>
      <c r="J650" s="22">
        <f t="shared" ref="J650:J658" si="87">AVERAGE(E647:E650)</f>
        <v>93.5</v>
      </c>
      <c r="K650" s="23">
        <f t="shared" si="82"/>
        <v>683.25</v>
      </c>
      <c r="L650" s="23">
        <f t="shared" si="86"/>
        <v>648.83333333333337</v>
      </c>
      <c r="M650" s="23">
        <f t="shared" si="84"/>
        <v>705</v>
      </c>
      <c r="N650" s="25">
        <f t="shared" si="83"/>
        <v>4.8231511254019296E-3</v>
      </c>
      <c r="O650" s="25">
        <f t="shared" ref="O650:O670" si="88">(F650-L650)/L650</f>
        <v>-3.6732596968918625E-2</v>
      </c>
    </row>
    <row r="651" spans="1:15" x14ac:dyDescent="0.25">
      <c r="A651" s="15" t="s">
        <v>30</v>
      </c>
      <c r="B651" s="20">
        <v>38878</v>
      </c>
      <c r="C651" s="15">
        <v>450</v>
      </c>
      <c r="D651" s="15">
        <v>2</v>
      </c>
      <c r="E651" s="15">
        <v>100</v>
      </c>
      <c r="F651" s="21">
        <f t="shared" si="80"/>
        <v>552</v>
      </c>
      <c r="G651" s="18">
        <v>23</v>
      </c>
      <c r="H651" s="22">
        <f t="shared" si="85"/>
        <v>556.75</v>
      </c>
      <c r="I651" s="22">
        <f t="shared" si="85"/>
        <v>3.75</v>
      </c>
      <c r="J651" s="22">
        <f t="shared" si="87"/>
        <v>89.5</v>
      </c>
      <c r="K651" s="23">
        <f t="shared" si="82"/>
        <v>650</v>
      </c>
      <c r="L651" s="23">
        <f t="shared" si="86"/>
        <v>704.41666666666663</v>
      </c>
      <c r="M651" s="23">
        <f t="shared" si="84"/>
        <v>769</v>
      </c>
      <c r="N651" s="25">
        <f t="shared" si="83"/>
        <v>-0.25906040268456376</v>
      </c>
      <c r="O651" s="25">
        <f t="shared" si="88"/>
        <v>-0.21637288536614216</v>
      </c>
    </row>
    <row r="652" spans="1:15" x14ac:dyDescent="0.25">
      <c r="A652" s="15" t="s">
        <v>30</v>
      </c>
      <c r="B652" s="20">
        <v>38885</v>
      </c>
      <c r="C652" s="15">
        <v>575</v>
      </c>
      <c r="D652" s="15">
        <v>19</v>
      </c>
      <c r="E652" s="15">
        <v>74</v>
      </c>
      <c r="F652" s="21">
        <f t="shared" si="80"/>
        <v>668</v>
      </c>
      <c r="G652" s="18">
        <v>24</v>
      </c>
      <c r="H652" s="22">
        <f t="shared" si="85"/>
        <v>544.5</v>
      </c>
      <c r="I652" s="22">
        <f t="shared" si="85"/>
        <v>7.25</v>
      </c>
      <c r="J652" s="22">
        <f t="shared" si="87"/>
        <v>76.25</v>
      </c>
      <c r="K652" s="23">
        <f t="shared" si="82"/>
        <v>628</v>
      </c>
      <c r="L652" s="23">
        <f t="shared" si="86"/>
        <v>705.33333333333337</v>
      </c>
      <c r="M652" s="23">
        <f t="shared" si="84"/>
        <v>648</v>
      </c>
      <c r="N652" s="25">
        <f t="shared" si="83"/>
        <v>0.32277227722772278</v>
      </c>
      <c r="O652" s="25">
        <f t="shared" si="88"/>
        <v>-5.2930056710775102E-2</v>
      </c>
    </row>
    <row r="653" spans="1:15" x14ac:dyDescent="0.25">
      <c r="A653" s="15" t="s">
        <v>30</v>
      </c>
      <c r="B653" s="20">
        <v>38892</v>
      </c>
      <c r="C653" s="15">
        <v>730</v>
      </c>
      <c r="D653" s="15">
        <v>0</v>
      </c>
      <c r="E653" s="15">
        <v>55</v>
      </c>
      <c r="F653" s="21">
        <f t="shared" si="80"/>
        <v>785</v>
      </c>
      <c r="G653" s="18">
        <v>25</v>
      </c>
      <c r="H653" s="22">
        <f t="shared" si="85"/>
        <v>579.25</v>
      </c>
      <c r="I653" s="22">
        <f t="shared" si="85"/>
        <v>7.25</v>
      </c>
      <c r="J653" s="22">
        <f t="shared" si="87"/>
        <v>71</v>
      </c>
      <c r="K653" s="23">
        <f t="shared" si="82"/>
        <v>657.5</v>
      </c>
      <c r="L653" s="23">
        <f t="shared" si="86"/>
        <v>708.5</v>
      </c>
      <c r="M653" s="23">
        <f t="shared" si="84"/>
        <v>712</v>
      </c>
      <c r="N653" s="25">
        <f t="shared" si="83"/>
        <v>0.25801282051282054</v>
      </c>
      <c r="O653" s="25">
        <f t="shared" si="88"/>
        <v>0.10797459421312633</v>
      </c>
    </row>
    <row r="654" spans="1:15" x14ac:dyDescent="0.25">
      <c r="A654" s="15" t="s">
        <v>31</v>
      </c>
      <c r="B654" s="20">
        <v>38899</v>
      </c>
      <c r="C654" s="15">
        <v>818</v>
      </c>
      <c r="D654" s="15">
        <v>5</v>
      </c>
      <c r="E654" s="15">
        <v>73</v>
      </c>
      <c r="F654" s="21">
        <f t="shared" si="80"/>
        <v>896</v>
      </c>
      <c r="G654" s="18">
        <v>26</v>
      </c>
      <c r="H654" s="22">
        <f t="shared" ref="H654:J692" si="89">AVERAGE(C651:C654)</f>
        <v>643.25</v>
      </c>
      <c r="I654" s="22">
        <f t="shared" si="89"/>
        <v>6.5</v>
      </c>
      <c r="J654" s="22">
        <f t="shared" si="87"/>
        <v>75.5</v>
      </c>
      <c r="K654" s="23">
        <f t="shared" ref="K654:K692" si="90">SUM(H654:J654)</f>
        <v>725.25</v>
      </c>
      <c r="L654" s="23">
        <f t="shared" ref="L654:L692" si="91">AVERAGE(K498+K550+K602)/3</f>
        <v>718</v>
      </c>
      <c r="M654" s="23">
        <f t="shared" si="84"/>
        <v>743</v>
      </c>
      <c r="N654" s="25">
        <f t="shared" si="83"/>
        <v>0.35963581183611532</v>
      </c>
      <c r="O654" s="25">
        <f t="shared" si="88"/>
        <v>0.24791086350974931</v>
      </c>
    </row>
    <row r="655" spans="1:15" x14ac:dyDescent="0.25">
      <c r="A655" s="15" t="s">
        <v>31</v>
      </c>
      <c r="B655" s="20">
        <v>38906</v>
      </c>
      <c r="C655" s="15">
        <v>699</v>
      </c>
      <c r="D655" s="15">
        <v>2</v>
      </c>
      <c r="E655" s="15">
        <v>81</v>
      </c>
      <c r="F655" s="21">
        <f t="shared" si="80"/>
        <v>782</v>
      </c>
      <c r="G655" s="18">
        <v>27</v>
      </c>
      <c r="H655" s="22">
        <f t="shared" si="89"/>
        <v>705.5</v>
      </c>
      <c r="I655" s="22">
        <f t="shared" si="89"/>
        <v>6.5</v>
      </c>
      <c r="J655" s="22">
        <f t="shared" si="87"/>
        <v>70.75</v>
      </c>
      <c r="K655" s="23">
        <f t="shared" si="90"/>
        <v>782.75</v>
      </c>
      <c r="L655" s="23">
        <f t="shared" si="91"/>
        <v>669.83333333333337</v>
      </c>
      <c r="M655" s="23">
        <f t="shared" si="84"/>
        <v>576.33333333333337</v>
      </c>
      <c r="N655" s="25">
        <f t="shared" si="83"/>
        <v>0.58943089430894313</v>
      </c>
      <c r="O655" s="25">
        <f t="shared" si="88"/>
        <v>0.16745459069420246</v>
      </c>
    </row>
    <row r="656" spans="1:15" x14ac:dyDescent="0.25">
      <c r="A656" s="15" t="s">
        <v>31</v>
      </c>
      <c r="B656" s="20">
        <v>38913</v>
      </c>
      <c r="C656" s="15">
        <v>590</v>
      </c>
      <c r="D656" s="15">
        <v>5</v>
      </c>
      <c r="E656" s="15">
        <v>93</v>
      </c>
      <c r="F656" s="21">
        <f t="shared" si="80"/>
        <v>688</v>
      </c>
      <c r="G656" s="18">
        <v>28</v>
      </c>
      <c r="H656" s="22">
        <f t="shared" si="89"/>
        <v>709.25</v>
      </c>
      <c r="I656" s="22">
        <f t="shared" si="89"/>
        <v>3</v>
      </c>
      <c r="J656" s="22">
        <f>AVERAGE(E653:E656)</f>
        <v>75.5</v>
      </c>
      <c r="K656" s="23">
        <f t="shared" si="90"/>
        <v>787.75</v>
      </c>
      <c r="L656" s="23">
        <f t="shared" si="91"/>
        <v>705.75</v>
      </c>
      <c r="M656" s="23">
        <f t="shared" si="84"/>
        <v>791.66666666666663</v>
      </c>
      <c r="N656" s="25">
        <f t="shared" si="83"/>
        <v>-0.1111111111111111</v>
      </c>
      <c r="O656" s="25">
        <f t="shared" si="88"/>
        <v>-2.5150549061282324E-2</v>
      </c>
    </row>
    <row r="657" spans="1:15" x14ac:dyDescent="0.25">
      <c r="A657" s="15" t="s">
        <v>31</v>
      </c>
      <c r="B657" s="20">
        <v>38920</v>
      </c>
      <c r="C657" s="15">
        <v>620</v>
      </c>
      <c r="D657" s="15">
        <v>3</v>
      </c>
      <c r="E657" s="15">
        <v>103</v>
      </c>
      <c r="F657" s="21">
        <f t="shared" si="80"/>
        <v>726</v>
      </c>
      <c r="G657" s="18">
        <v>29</v>
      </c>
      <c r="H657" s="22">
        <f t="shared" si="89"/>
        <v>681.75</v>
      </c>
      <c r="I657" s="22">
        <f t="shared" si="89"/>
        <v>3.75</v>
      </c>
      <c r="J657" s="22">
        <f t="shared" si="87"/>
        <v>87.5</v>
      </c>
      <c r="K657" s="23">
        <f t="shared" si="90"/>
        <v>773</v>
      </c>
      <c r="L657" s="23">
        <f t="shared" si="91"/>
        <v>680.41666666666663</v>
      </c>
      <c r="M657" s="23">
        <f t="shared" si="84"/>
        <v>610.66666666666663</v>
      </c>
      <c r="N657" s="25">
        <f t="shared" si="83"/>
        <v>0.48770491803278687</v>
      </c>
      <c r="O657" s="25">
        <f t="shared" si="88"/>
        <v>6.6993263931414637E-2</v>
      </c>
    </row>
    <row r="658" spans="1:15" x14ac:dyDescent="0.25">
      <c r="A658" s="15" t="s">
        <v>31</v>
      </c>
      <c r="B658" s="20">
        <v>38927</v>
      </c>
      <c r="C658" s="15">
        <v>660</v>
      </c>
      <c r="D658" s="15">
        <v>5</v>
      </c>
      <c r="E658" s="15">
        <v>71</v>
      </c>
      <c r="F658" s="21">
        <f t="shared" si="80"/>
        <v>736</v>
      </c>
      <c r="G658" s="18">
        <v>30</v>
      </c>
      <c r="H658" s="22">
        <f t="shared" si="89"/>
        <v>642.25</v>
      </c>
      <c r="I658" s="22">
        <f t="shared" si="89"/>
        <v>3.75</v>
      </c>
      <c r="J658" s="22">
        <f t="shared" si="87"/>
        <v>87</v>
      </c>
      <c r="K658" s="23">
        <f t="shared" si="90"/>
        <v>733</v>
      </c>
      <c r="L658" s="23">
        <f t="shared" si="91"/>
        <v>657.16666666666663</v>
      </c>
      <c r="M658" s="23">
        <f t="shared" si="84"/>
        <v>650</v>
      </c>
      <c r="N658" s="25">
        <f t="shared" si="83"/>
        <v>1.3605442176870747E-3</v>
      </c>
      <c r="O658" s="25">
        <f t="shared" si="88"/>
        <v>0.11995942176008122</v>
      </c>
    </row>
    <row r="659" spans="1:15" x14ac:dyDescent="0.25">
      <c r="A659" s="15" t="s">
        <v>19</v>
      </c>
      <c r="B659" s="20">
        <v>38934</v>
      </c>
      <c r="C659" s="15">
        <v>579</v>
      </c>
      <c r="D659" s="15">
        <v>9</v>
      </c>
      <c r="E659" s="15">
        <v>125</v>
      </c>
      <c r="F659" s="21">
        <f t="shared" si="80"/>
        <v>713</v>
      </c>
      <c r="G659" s="18">
        <v>31</v>
      </c>
      <c r="H659" s="22">
        <f t="shared" si="89"/>
        <v>612.25</v>
      </c>
      <c r="I659" s="22">
        <f t="shared" si="89"/>
        <v>5.5</v>
      </c>
      <c r="J659" s="22">
        <f>AVERAGE(E656:E659)</f>
        <v>98</v>
      </c>
      <c r="K659" s="23">
        <f t="shared" si="90"/>
        <v>715.75</v>
      </c>
      <c r="L659" s="23">
        <f t="shared" si="91"/>
        <v>661.41666666666663</v>
      </c>
      <c r="M659" s="23">
        <f t="shared" si="84"/>
        <v>593.33333333333337</v>
      </c>
      <c r="N659" s="25">
        <f t="shared" si="83"/>
        <v>0.17851239669421487</v>
      </c>
      <c r="O659" s="25">
        <f t="shared" si="88"/>
        <v>7.7989164671790415E-2</v>
      </c>
    </row>
    <row r="660" spans="1:15" x14ac:dyDescent="0.25">
      <c r="A660" s="15" t="s">
        <v>19</v>
      </c>
      <c r="B660" s="20">
        <v>38941</v>
      </c>
      <c r="C660" s="15">
        <v>546</v>
      </c>
      <c r="D660" s="15">
        <v>14</v>
      </c>
      <c r="E660" s="15">
        <v>108</v>
      </c>
      <c r="F660" s="21">
        <f t="shared" si="80"/>
        <v>668</v>
      </c>
      <c r="G660" s="18">
        <v>32</v>
      </c>
      <c r="H660" s="22">
        <f t="shared" si="89"/>
        <v>601.25</v>
      </c>
      <c r="I660" s="22">
        <f t="shared" si="89"/>
        <v>7.75</v>
      </c>
      <c r="J660" s="22">
        <f>AVERAGE(E657:E660)</f>
        <v>101.75</v>
      </c>
      <c r="K660" s="23">
        <f t="shared" si="90"/>
        <v>710.75</v>
      </c>
      <c r="L660" s="23">
        <f t="shared" si="91"/>
        <v>641.83333333333337</v>
      </c>
      <c r="M660" s="23">
        <f t="shared" si="84"/>
        <v>713.33333333333337</v>
      </c>
      <c r="N660" s="25">
        <f t="shared" si="83"/>
        <v>-2.1961932650073207E-2</v>
      </c>
      <c r="O660" s="25">
        <f t="shared" si="88"/>
        <v>4.0768631524279349E-2</v>
      </c>
    </row>
    <row r="661" spans="1:15" x14ac:dyDescent="0.25">
      <c r="A661" s="15" t="s">
        <v>19</v>
      </c>
      <c r="B661" s="20">
        <v>38948</v>
      </c>
      <c r="C661" s="15">
        <v>557</v>
      </c>
      <c r="D661" s="15">
        <v>6</v>
      </c>
      <c r="E661" s="15">
        <v>114</v>
      </c>
      <c r="F661" s="21">
        <f t="shared" si="80"/>
        <v>677</v>
      </c>
      <c r="G661" s="18">
        <v>33</v>
      </c>
      <c r="H661" s="22">
        <f t="shared" si="89"/>
        <v>585.5</v>
      </c>
      <c r="I661" s="22">
        <f t="shared" si="89"/>
        <v>8.5</v>
      </c>
      <c r="J661" s="22">
        <f t="shared" si="89"/>
        <v>104.5</v>
      </c>
      <c r="K661" s="23">
        <f t="shared" si="90"/>
        <v>698.5</v>
      </c>
      <c r="L661" s="23">
        <f t="shared" si="91"/>
        <v>626.25</v>
      </c>
      <c r="M661" s="23">
        <f t="shared" si="84"/>
        <v>548.33333333333337</v>
      </c>
      <c r="N661" s="25">
        <f t="shared" si="83"/>
        <v>0.11900826446280992</v>
      </c>
      <c r="O661" s="25">
        <f t="shared" si="88"/>
        <v>8.1037924151696611E-2</v>
      </c>
    </row>
    <row r="662" spans="1:15" x14ac:dyDescent="0.25">
      <c r="A662" s="15" t="s">
        <v>19</v>
      </c>
      <c r="B662" s="20">
        <v>38955</v>
      </c>
      <c r="C662" s="15">
        <v>325</v>
      </c>
      <c r="D662" s="15">
        <v>11</v>
      </c>
      <c r="E662" s="15">
        <v>62</v>
      </c>
      <c r="F662" s="21">
        <f t="shared" si="80"/>
        <v>398</v>
      </c>
      <c r="G662" s="18">
        <v>34</v>
      </c>
      <c r="H662" s="22">
        <f t="shared" si="89"/>
        <v>501.75</v>
      </c>
      <c r="I662" s="22">
        <f t="shared" si="89"/>
        <v>10</v>
      </c>
      <c r="J662" s="22">
        <f t="shared" si="89"/>
        <v>102.25</v>
      </c>
      <c r="K662" s="23">
        <f t="shared" si="90"/>
        <v>614</v>
      </c>
      <c r="L662" s="23">
        <f t="shared" si="91"/>
        <v>606.5</v>
      </c>
      <c r="M662" s="23">
        <f t="shared" si="84"/>
        <v>571</v>
      </c>
      <c r="N662" s="25">
        <f t="shared" si="83"/>
        <v>-0.34754098360655739</v>
      </c>
      <c r="O662" s="25">
        <f t="shared" si="88"/>
        <v>-0.34377576257213521</v>
      </c>
    </row>
    <row r="663" spans="1:15" x14ac:dyDescent="0.25">
      <c r="A663" s="15" t="s">
        <v>24</v>
      </c>
      <c r="B663" s="20">
        <v>38962</v>
      </c>
      <c r="C663" s="15">
        <v>441</v>
      </c>
      <c r="D663" s="15">
        <v>19</v>
      </c>
      <c r="E663" s="15">
        <v>100</v>
      </c>
      <c r="F663" s="21">
        <f t="shared" si="80"/>
        <v>560</v>
      </c>
      <c r="G663" s="18">
        <v>35</v>
      </c>
      <c r="H663" s="22">
        <f t="shared" si="89"/>
        <v>467.25</v>
      </c>
      <c r="I663" s="22">
        <f t="shared" si="89"/>
        <v>12.5</v>
      </c>
      <c r="J663" s="22">
        <f>AVERAGE(E660:E663)</f>
        <v>96</v>
      </c>
      <c r="K663" s="23">
        <f t="shared" si="90"/>
        <v>575.75</v>
      </c>
      <c r="L663" s="23">
        <f t="shared" si="91"/>
        <v>564.5</v>
      </c>
      <c r="M663" s="23">
        <f t="shared" si="84"/>
        <v>425.33333333333331</v>
      </c>
      <c r="N663" s="25">
        <f t="shared" si="83"/>
        <v>6.8702290076335881E-2</v>
      </c>
      <c r="O663" s="25">
        <f t="shared" si="88"/>
        <v>-7.9716563330380873E-3</v>
      </c>
    </row>
    <row r="664" spans="1:15" x14ac:dyDescent="0.25">
      <c r="A664" s="15" t="s">
        <v>24</v>
      </c>
      <c r="B664" s="20">
        <v>38969</v>
      </c>
      <c r="C664" s="15">
        <v>316</v>
      </c>
      <c r="D664" s="15">
        <v>22</v>
      </c>
      <c r="E664" s="15">
        <v>104</v>
      </c>
      <c r="F664" s="21">
        <f t="shared" si="80"/>
        <v>442</v>
      </c>
      <c r="G664" s="18">
        <v>36</v>
      </c>
      <c r="H664" s="22">
        <f t="shared" si="89"/>
        <v>409.75</v>
      </c>
      <c r="I664" s="22">
        <f t="shared" si="89"/>
        <v>14.5</v>
      </c>
      <c r="J664" s="22">
        <f t="shared" si="89"/>
        <v>95</v>
      </c>
      <c r="K664" s="23">
        <f t="shared" si="90"/>
        <v>519.25</v>
      </c>
      <c r="L664" s="23">
        <f t="shared" si="91"/>
        <v>474.83333333333331</v>
      </c>
      <c r="M664" s="23">
        <f t="shared" si="84"/>
        <v>354.66666666666669</v>
      </c>
      <c r="N664" s="25">
        <f t="shared" si="83"/>
        <v>-1.5590200445434299E-2</v>
      </c>
      <c r="O664" s="25">
        <f t="shared" si="88"/>
        <v>-6.9147069147069112E-2</v>
      </c>
    </row>
    <row r="665" spans="1:15" x14ac:dyDescent="0.25">
      <c r="A665" s="15" t="s">
        <v>24</v>
      </c>
      <c r="B665" s="20">
        <v>38976</v>
      </c>
      <c r="C665" s="15">
        <v>253</v>
      </c>
      <c r="D665" s="15">
        <v>25</v>
      </c>
      <c r="E665" s="15">
        <v>72</v>
      </c>
      <c r="F665" s="21">
        <f t="shared" si="80"/>
        <v>350</v>
      </c>
      <c r="G665" s="18">
        <v>37</v>
      </c>
      <c r="H665" s="22">
        <f t="shared" si="89"/>
        <v>333.75</v>
      </c>
      <c r="I665" s="22">
        <f t="shared" si="89"/>
        <v>19.25</v>
      </c>
      <c r="J665" s="22">
        <f t="shared" si="89"/>
        <v>84.5</v>
      </c>
      <c r="K665" s="23">
        <f t="shared" si="90"/>
        <v>437.5</v>
      </c>
      <c r="L665" s="23">
        <f t="shared" si="91"/>
        <v>400.16666666666669</v>
      </c>
      <c r="M665" s="23">
        <f t="shared" si="84"/>
        <v>249.66666666666666</v>
      </c>
      <c r="N665" s="25">
        <f t="shared" si="83"/>
        <v>0.45228215767634855</v>
      </c>
      <c r="O665" s="25">
        <f t="shared" si="88"/>
        <v>-0.12536443148688051</v>
      </c>
    </row>
    <row r="666" spans="1:15" x14ac:dyDescent="0.25">
      <c r="A666" s="15" t="s">
        <v>24</v>
      </c>
      <c r="B666" s="20">
        <v>38983</v>
      </c>
      <c r="C666" s="15">
        <v>392</v>
      </c>
      <c r="D666" s="15">
        <v>19</v>
      </c>
      <c r="E666" s="15">
        <v>73</v>
      </c>
      <c r="F666" s="21">
        <f t="shared" si="80"/>
        <v>484</v>
      </c>
      <c r="G666" s="18">
        <v>38</v>
      </c>
      <c r="H666" s="22">
        <f t="shared" si="89"/>
        <v>350.5</v>
      </c>
      <c r="I666" s="22">
        <f t="shared" si="89"/>
        <v>21.25</v>
      </c>
      <c r="J666" s="22">
        <f t="shared" ref="J666:J692" si="92">AVERAGE(E663:E666)</f>
        <v>87.25</v>
      </c>
      <c r="K666" s="23">
        <f t="shared" si="90"/>
        <v>459</v>
      </c>
      <c r="L666" s="23">
        <f t="shared" si="91"/>
        <v>341.91666666666669</v>
      </c>
      <c r="M666" s="23">
        <f t="shared" si="84"/>
        <v>338</v>
      </c>
      <c r="N666" s="25">
        <f t="shared" si="83"/>
        <v>0.84732824427480913</v>
      </c>
      <c r="O666" s="25">
        <f t="shared" si="88"/>
        <v>0.41554959785522783</v>
      </c>
    </row>
    <row r="667" spans="1:15" x14ac:dyDescent="0.25">
      <c r="A667" s="15" t="s">
        <v>24</v>
      </c>
      <c r="B667" s="26">
        <v>38990</v>
      </c>
      <c r="C667" s="15">
        <v>467</v>
      </c>
      <c r="D667" s="15">
        <v>30</v>
      </c>
      <c r="E667" s="15">
        <v>106</v>
      </c>
      <c r="F667" s="21">
        <f t="shared" si="80"/>
        <v>603</v>
      </c>
      <c r="G667" s="18">
        <v>39</v>
      </c>
      <c r="H667" s="22">
        <f t="shared" si="89"/>
        <v>357</v>
      </c>
      <c r="I667" s="22">
        <f t="shared" si="89"/>
        <v>24</v>
      </c>
      <c r="J667" s="22">
        <f t="shared" si="92"/>
        <v>88.75</v>
      </c>
      <c r="K667" s="23">
        <f t="shared" si="90"/>
        <v>469.75</v>
      </c>
      <c r="L667" s="23">
        <f t="shared" si="91"/>
        <v>315.5</v>
      </c>
      <c r="M667" s="23">
        <f t="shared" si="84"/>
        <v>319.66666666666669</v>
      </c>
      <c r="N667" s="25">
        <f t="shared" si="83"/>
        <v>2.2245989304812834</v>
      </c>
      <c r="O667" s="25">
        <f t="shared" si="88"/>
        <v>0.91125198098256732</v>
      </c>
    </row>
    <row r="668" spans="1:15" x14ac:dyDescent="0.25">
      <c r="A668" s="15" t="s">
        <v>20</v>
      </c>
      <c r="B668" s="26">
        <f>B667+7</f>
        <v>38997</v>
      </c>
      <c r="C668" s="15">
        <v>396</v>
      </c>
      <c r="D668" s="15">
        <v>24</v>
      </c>
      <c r="E668" s="15">
        <v>164</v>
      </c>
      <c r="F668" s="21">
        <f t="shared" si="80"/>
        <v>584</v>
      </c>
      <c r="G668" s="18">
        <v>40</v>
      </c>
      <c r="H668" s="22">
        <f t="shared" si="89"/>
        <v>377</v>
      </c>
      <c r="I668" s="22">
        <f>AVERAGE(D665:D668)</f>
        <v>24.5</v>
      </c>
      <c r="J668" s="22">
        <f t="shared" si="92"/>
        <v>103.75</v>
      </c>
      <c r="K668" s="23">
        <f>SUM(H668:J668)</f>
        <v>505.25</v>
      </c>
      <c r="L668" s="23">
        <f>AVERAGE(K512+K564+K616)/3</f>
        <v>354.66666666666669</v>
      </c>
      <c r="M668" s="23">
        <f t="shared" si="84"/>
        <v>511.33333333333331</v>
      </c>
      <c r="N668" s="25">
        <f t="shared" si="83"/>
        <v>0.87179487179487181</v>
      </c>
      <c r="O668" s="25">
        <f t="shared" si="88"/>
        <v>0.64661654135338342</v>
      </c>
    </row>
    <row r="669" spans="1:15" x14ac:dyDescent="0.25">
      <c r="A669" s="15" t="s">
        <v>20</v>
      </c>
      <c r="B669" s="26">
        <v>39004</v>
      </c>
      <c r="C669" s="15">
        <v>280</v>
      </c>
      <c r="D669" s="15">
        <v>9</v>
      </c>
      <c r="E669" s="15">
        <v>231</v>
      </c>
      <c r="F669" s="21">
        <f t="shared" si="80"/>
        <v>520</v>
      </c>
      <c r="G669" s="18">
        <v>41</v>
      </c>
      <c r="H669" s="22">
        <f t="shared" si="89"/>
        <v>383.75</v>
      </c>
      <c r="I669" s="22">
        <f t="shared" si="89"/>
        <v>20.5</v>
      </c>
      <c r="J669" s="22">
        <f t="shared" si="92"/>
        <v>143.5</v>
      </c>
      <c r="K669" s="23">
        <f t="shared" si="90"/>
        <v>547.75</v>
      </c>
      <c r="L669" s="23">
        <f t="shared" si="91"/>
        <v>433.25</v>
      </c>
      <c r="M669" s="23">
        <f t="shared" si="84"/>
        <v>564</v>
      </c>
      <c r="N669" s="25">
        <f t="shared" si="83"/>
        <v>0.24700239808153476</v>
      </c>
      <c r="O669" s="25">
        <f t="shared" si="88"/>
        <v>0.20023081361800346</v>
      </c>
    </row>
    <row r="670" spans="1:15" x14ac:dyDescent="0.25">
      <c r="A670" s="15" t="s">
        <v>20</v>
      </c>
      <c r="B670" s="26">
        <f t="shared" ref="B670:B692" si="93">B669+7</f>
        <v>39011</v>
      </c>
      <c r="C670" s="15">
        <v>286</v>
      </c>
      <c r="D670" s="15">
        <v>11</v>
      </c>
      <c r="E670" s="15">
        <v>249</v>
      </c>
      <c r="F670" s="21">
        <f t="shared" si="80"/>
        <v>546</v>
      </c>
      <c r="G670" s="18">
        <v>42</v>
      </c>
      <c r="H670" s="22">
        <f t="shared" si="89"/>
        <v>357.25</v>
      </c>
      <c r="I670" s="22">
        <f t="shared" si="89"/>
        <v>18.5</v>
      </c>
      <c r="J670" s="22">
        <f t="shared" si="92"/>
        <v>187.5</v>
      </c>
      <c r="K670" s="23">
        <f t="shared" si="90"/>
        <v>563.25</v>
      </c>
      <c r="L670" s="23">
        <f t="shared" si="91"/>
        <v>489.25</v>
      </c>
      <c r="M670" s="23">
        <f t="shared" si="84"/>
        <v>562</v>
      </c>
      <c r="N670" s="25">
        <f t="shared" si="83"/>
        <v>0.13043478260869565</v>
      </c>
      <c r="O670" s="25">
        <f t="shared" si="88"/>
        <v>0.11599386816555952</v>
      </c>
    </row>
    <row r="671" spans="1:15" x14ac:dyDescent="0.25">
      <c r="A671" s="15" t="s">
        <v>20</v>
      </c>
      <c r="B671" s="26">
        <f t="shared" si="93"/>
        <v>39018</v>
      </c>
      <c r="C671" s="15">
        <v>306</v>
      </c>
      <c r="D671" s="15">
        <v>2</v>
      </c>
      <c r="E671" s="15">
        <v>163</v>
      </c>
      <c r="F671" s="21">
        <f t="shared" si="80"/>
        <v>471</v>
      </c>
      <c r="G671" s="18">
        <v>43</v>
      </c>
      <c r="H671" s="22">
        <f t="shared" si="89"/>
        <v>317</v>
      </c>
      <c r="I671" s="22">
        <f t="shared" si="89"/>
        <v>11.5</v>
      </c>
      <c r="J671" s="22">
        <f t="shared" si="92"/>
        <v>201.75</v>
      </c>
      <c r="K671" s="23">
        <f t="shared" si="90"/>
        <v>530.25</v>
      </c>
      <c r="L671" s="23">
        <f t="shared" si="91"/>
        <v>544.25</v>
      </c>
      <c r="M671" s="23">
        <f t="shared" si="84"/>
        <v>539.66666666666663</v>
      </c>
      <c r="N671" s="25">
        <f t="shared" ref="N671:N685" si="94">(F671-F619)/F619</f>
        <v>0.25600000000000001</v>
      </c>
      <c r="O671" s="25">
        <f t="shared" ref="O671:O685" si="95">(F671-L671)/L671</f>
        <v>-0.13458888378502526</v>
      </c>
    </row>
    <row r="672" spans="1:15" x14ac:dyDescent="0.25">
      <c r="A672" s="15" t="s">
        <v>26</v>
      </c>
      <c r="B672" s="26">
        <f t="shared" si="93"/>
        <v>39025</v>
      </c>
      <c r="C672" s="15">
        <v>467</v>
      </c>
      <c r="D672" s="15">
        <v>0</v>
      </c>
      <c r="E672" s="15">
        <v>149</v>
      </c>
      <c r="F672" s="21">
        <f t="shared" si="80"/>
        <v>616</v>
      </c>
      <c r="G672" s="18">
        <v>44</v>
      </c>
      <c r="H672" s="22">
        <f t="shared" si="89"/>
        <v>334.75</v>
      </c>
      <c r="I672" s="22">
        <f t="shared" si="89"/>
        <v>5.5</v>
      </c>
      <c r="J672" s="22">
        <f t="shared" si="92"/>
        <v>198</v>
      </c>
      <c r="K672" s="23">
        <f t="shared" si="90"/>
        <v>538.25</v>
      </c>
      <c r="L672" s="23">
        <f t="shared" si="91"/>
        <v>580.16666666666663</v>
      </c>
      <c r="M672" s="23">
        <f t="shared" si="84"/>
        <v>655</v>
      </c>
      <c r="N672" s="25">
        <f t="shared" si="94"/>
        <v>0.27272727272727271</v>
      </c>
      <c r="O672" s="25">
        <f t="shared" si="95"/>
        <v>6.1763860959494467E-2</v>
      </c>
    </row>
    <row r="673" spans="1:15" x14ac:dyDescent="0.25">
      <c r="A673" s="15" t="s">
        <v>26</v>
      </c>
      <c r="B673" s="26">
        <f t="shared" si="93"/>
        <v>39032</v>
      </c>
      <c r="C673" s="15">
        <v>533</v>
      </c>
      <c r="D673" s="15">
        <v>16</v>
      </c>
      <c r="E673" s="15">
        <v>149</v>
      </c>
      <c r="F673" s="21">
        <f t="shared" si="80"/>
        <v>698</v>
      </c>
      <c r="G673" s="18">
        <v>45</v>
      </c>
      <c r="H673" s="22">
        <f t="shared" si="89"/>
        <v>398</v>
      </c>
      <c r="I673" s="22">
        <f t="shared" si="89"/>
        <v>7.25</v>
      </c>
      <c r="J673" s="22">
        <f t="shared" si="92"/>
        <v>177.5</v>
      </c>
      <c r="K673" s="23">
        <f t="shared" si="90"/>
        <v>582.75</v>
      </c>
      <c r="L673" s="23">
        <f t="shared" si="91"/>
        <v>612.75</v>
      </c>
      <c r="M673" s="23">
        <f t="shared" si="84"/>
        <v>694.33333333333337</v>
      </c>
      <c r="N673" s="25">
        <f t="shared" si="94"/>
        <v>0.25089605734767023</v>
      </c>
      <c r="O673" s="25">
        <f t="shared" si="95"/>
        <v>0.13912688698490411</v>
      </c>
    </row>
    <row r="674" spans="1:15" x14ac:dyDescent="0.25">
      <c r="A674" s="15" t="s">
        <v>26</v>
      </c>
      <c r="B674" s="26">
        <f t="shared" si="93"/>
        <v>39039</v>
      </c>
      <c r="C674" s="15">
        <v>644</v>
      </c>
      <c r="D674" s="15">
        <v>7</v>
      </c>
      <c r="E674" s="15">
        <v>93</v>
      </c>
      <c r="F674" s="21">
        <f t="shared" si="80"/>
        <v>744</v>
      </c>
      <c r="G674" s="18">
        <v>46</v>
      </c>
      <c r="H674" s="22">
        <f t="shared" si="89"/>
        <v>487.5</v>
      </c>
      <c r="I674" s="22">
        <f t="shared" si="89"/>
        <v>6.25</v>
      </c>
      <c r="J674" s="22">
        <f t="shared" si="92"/>
        <v>138.5</v>
      </c>
      <c r="K674" s="23">
        <f t="shared" si="90"/>
        <v>632.25</v>
      </c>
      <c r="L674" s="23">
        <f t="shared" si="91"/>
        <v>660.25</v>
      </c>
      <c r="M674" s="23">
        <f t="shared" si="84"/>
        <v>752</v>
      </c>
      <c r="N674" s="25">
        <f t="shared" si="94"/>
        <v>0.16614420062695925</v>
      </c>
      <c r="O674" s="25">
        <f t="shared" si="95"/>
        <v>0.12684589170768648</v>
      </c>
    </row>
    <row r="675" spans="1:15" x14ac:dyDescent="0.25">
      <c r="A675" s="15" t="s">
        <v>26</v>
      </c>
      <c r="B675" s="26">
        <f t="shared" si="93"/>
        <v>39046</v>
      </c>
      <c r="C675" s="15">
        <v>775</v>
      </c>
      <c r="D675" s="15">
        <v>0</v>
      </c>
      <c r="E675" s="15">
        <v>65</v>
      </c>
      <c r="F675" s="21">
        <f t="shared" si="80"/>
        <v>840</v>
      </c>
      <c r="G675" s="18">
        <v>47</v>
      </c>
      <c r="H675" s="22">
        <f t="shared" si="89"/>
        <v>604.75</v>
      </c>
      <c r="I675" s="22">
        <f t="shared" si="89"/>
        <v>5.75</v>
      </c>
      <c r="J675" s="22">
        <f t="shared" si="92"/>
        <v>114</v>
      </c>
      <c r="K675" s="23">
        <f t="shared" si="90"/>
        <v>724.5</v>
      </c>
      <c r="L675" s="23">
        <f t="shared" si="91"/>
        <v>707.75</v>
      </c>
      <c r="M675" s="23">
        <f t="shared" si="84"/>
        <v>729.66666666666663</v>
      </c>
      <c r="N675" s="25">
        <f t="shared" si="94"/>
        <v>0.22627737226277372</v>
      </c>
      <c r="O675" s="25">
        <f t="shared" si="95"/>
        <v>0.18685976686683151</v>
      </c>
    </row>
    <row r="676" spans="1:15" x14ac:dyDescent="0.25">
      <c r="A676" s="15" t="s">
        <v>15</v>
      </c>
      <c r="B676" s="26">
        <f t="shared" si="93"/>
        <v>39053</v>
      </c>
      <c r="C676" s="15">
        <v>568</v>
      </c>
      <c r="D676" s="15">
        <v>12</v>
      </c>
      <c r="E676" s="15">
        <v>43</v>
      </c>
      <c r="F676" s="21">
        <f t="shared" si="80"/>
        <v>623</v>
      </c>
      <c r="G676" s="18">
        <v>48</v>
      </c>
      <c r="H676" s="22">
        <f t="shared" si="89"/>
        <v>630</v>
      </c>
      <c r="I676" s="22">
        <f t="shared" si="89"/>
        <v>8.75</v>
      </c>
      <c r="J676" s="22">
        <f t="shared" si="92"/>
        <v>87.5</v>
      </c>
      <c r="K676" s="23">
        <f t="shared" si="90"/>
        <v>726.25</v>
      </c>
      <c r="L676" s="23">
        <f t="shared" si="91"/>
        <v>749.58333333333337</v>
      </c>
      <c r="M676" s="23">
        <f t="shared" si="84"/>
        <v>822.33333333333337</v>
      </c>
      <c r="N676" s="25">
        <f t="shared" si="94"/>
        <v>-2.197802197802198E-2</v>
      </c>
      <c r="O676" s="25">
        <f t="shared" si="95"/>
        <v>-0.16887159533073934</v>
      </c>
    </row>
    <row r="677" spans="1:15" x14ac:dyDescent="0.25">
      <c r="A677" s="15" t="s">
        <v>15</v>
      </c>
      <c r="B677" s="26">
        <f t="shared" si="93"/>
        <v>39060</v>
      </c>
      <c r="C677" s="15">
        <v>667</v>
      </c>
      <c r="D677" s="15">
        <v>1</v>
      </c>
      <c r="E677" s="15">
        <v>136</v>
      </c>
      <c r="F677" s="21">
        <f t="shared" si="80"/>
        <v>804</v>
      </c>
      <c r="G677" s="18">
        <v>49</v>
      </c>
      <c r="H677" s="22">
        <f t="shared" si="89"/>
        <v>663.5</v>
      </c>
      <c r="I677" s="22">
        <f t="shared" si="89"/>
        <v>5</v>
      </c>
      <c r="J677" s="22">
        <f t="shared" si="92"/>
        <v>84.25</v>
      </c>
      <c r="K677" s="23">
        <f t="shared" si="90"/>
        <v>752.75</v>
      </c>
      <c r="L677" s="23">
        <f t="shared" si="91"/>
        <v>807.91666666666663</v>
      </c>
      <c r="M677" s="23">
        <f t="shared" si="84"/>
        <v>927.66666666666663</v>
      </c>
      <c r="N677" s="25">
        <f t="shared" si="94"/>
        <v>0.27215189873417722</v>
      </c>
      <c r="O677" s="25">
        <f t="shared" si="95"/>
        <v>-4.8478597215058841E-3</v>
      </c>
    </row>
    <row r="678" spans="1:15" x14ac:dyDescent="0.25">
      <c r="A678" s="15" t="s">
        <v>15</v>
      </c>
      <c r="B678" s="26">
        <f t="shared" si="93"/>
        <v>39067</v>
      </c>
      <c r="C678" s="15">
        <v>615</v>
      </c>
      <c r="D678" s="15">
        <v>17</v>
      </c>
      <c r="E678" s="15">
        <v>208</v>
      </c>
      <c r="F678" s="21">
        <f t="shared" si="80"/>
        <v>840</v>
      </c>
      <c r="G678" s="18">
        <v>50</v>
      </c>
      <c r="H678" s="22">
        <f t="shared" si="89"/>
        <v>656.25</v>
      </c>
      <c r="I678" s="22">
        <f t="shared" si="89"/>
        <v>7.5</v>
      </c>
      <c r="J678" s="22">
        <f t="shared" si="92"/>
        <v>113</v>
      </c>
      <c r="K678" s="23">
        <f t="shared" si="90"/>
        <v>776.75</v>
      </c>
      <c r="L678" s="23">
        <f t="shared" si="91"/>
        <v>777.5</v>
      </c>
      <c r="M678" s="23">
        <f t="shared" si="84"/>
        <v>630.33333333333337</v>
      </c>
      <c r="N678" s="25">
        <f t="shared" si="94"/>
        <v>0.55268022181146026</v>
      </c>
      <c r="O678" s="25">
        <f t="shared" si="95"/>
        <v>8.0385852090032156E-2</v>
      </c>
    </row>
    <row r="679" spans="1:15" x14ac:dyDescent="0.25">
      <c r="A679" s="15" t="s">
        <v>15</v>
      </c>
      <c r="B679" s="26">
        <f t="shared" si="93"/>
        <v>39074</v>
      </c>
      <c r="C679" s="15">
        <v>453</v>
      </c>
      <c r="D679" s="15">
        <v>5</v>
      </c>
      <c r="E679" s="15">
        <v>169</v>
      </c>
      <c r="F679" s="21">
        <f t="shared" si="80"/>
        <v>627</v>
      </c>
      <c r="G679" s="18">
        <v>51</v>
      </c>
      <c r="H679" s="22">
        <f t="shared" si="89"/>
        <v>575.75</v>
      </c>
      <c r="I679" s="22">
        <f t="shared" si="89"/>
        <v>8.75</v>
      </c>
      <c r="J679" s="22">
        <f t="shared" si="92"/>
        <v>139</v>
      </c>
      <c r="K679" s="23">
        <f t="shared" si="90"/>
        <v>723.5</v>
      </c>
      <c r="L679" s="23">
        <f t="shared" si="91"/>
        <v>719.83333333333337</v>
      </c>
      <c r="M679" s="23">
        <f t="shared" si="84"/>
        <v>499</v>
      </c>
      <c r="N679" s="25">
        <f t="shared" si="94"/>
        <v>0.92923076923076919</v>
      </c>
      <c r="O679" s="25">
        <f t="shared" si="95"/>
        <v>-0.12896503820328784</v>
      </c>
    </row>
    <row r="680" spans="1:15" x14ac:dyDescent="0.25">
      <c r="A680" s="15" t="s">
        <v>15</v>
      </c>
      <c r="B680" s="26">
        <f t="shared" si="93"/>
        <v>39081</v>
      </c>
      <c r="C680" s="15">
        <v>281</v>
      </c>
      <c r="D680" s="15">
        <v>0</v>
      </c>
      <c r="E680" s="15">
        <v>91</v>
      </c>
      <c r="F680" s="21">
        <f t="shared" si="80"/>
        <v>372</v>
      </c>
      <c r="G680" s="18">
        <v>52</v>
      </c>
      <c r="H680" s="22">
        <f t="shared" si="89"/>
        <v>504</v>
      </c>
      <c r="I680" s="22">
        <f t="shared" si="89"/>
        <v>5.75</v>
      </c>
      <c r="J680" s="22">
        <f t="shared" si="92"/>
        <v>151</v>
      </c>
      <c r="K680" s="23">
        <f t="shared" si="90"/>
        <v>660.75</v>
      </c>
      <c r="L680" s="23">
        <f t="shared" si="91"/>
        <v>618.41666666666663</v>
      </c>
      <c r="M680" s="23">
        <f t="shared" si="84"/>
        <v>416.66666666666669</v>
      </c>
      <c r="N680" s="25">
        <f>(F680-F628)/F628</f>
        <v>-8.1481481481481488E-2</v>
      </c>
      <c r="O680" s="25">
        <f>(F680-L680)/L680</f>
        <v>-0.39846381889233251</v>
      </c>
    </row>
    <row r="681" spans="1:15" x14ac:dyDescent="0.25">
      <c r="A681" s="15" t="s">
        <v>16</v>
      </c>
      <c r="B681" s="26">
        <f t="shared" si="93"/>
        <v>39088</v>
      </c>
      <c r="C681" s="15">
        <v>264</v>
      </c>
      <c r="D681" s="15">
        <v>2</v>
      </c>
      <c r="E681" s="15">
        <v>93</v>
      </c>
      <c r="F681" s="21">
        <f t="shared" si="80"/>
        <v>359</v>
      </c>
      <c r="G681" s="18">
        <v>1</v>
      </c>
      <c r="H681" s="22">
        <f t="shared" si="89"/>
        <v>403.25</v>
      </c>
      <c r="I681" s="22">
        <f t="shared" si="89"/>
        <v>6</v>
      </c>
      <c r="J681" s="22">
        <f t="shared" si="92"/>
        <v>140.25</v>
      </c>
      <c r="K681" s="23">
        <f t="shared" si="90"/>
        <v>549.5</v>
      </c>
      <c r="L681" s="23">
        <f t="shared" si="91"/>
        <v>497.58333333333331</v>
      </c>
      <c r="M681" s="23">
        <f t="shared" si="84"/>
        <v>444.33333333333331</v>
      </c>
      <c r="N681" s="25">
        <f t="shared" si="94"/>
        <v>0.27304964539007093</v>
      </c>
      <c r="O681" s="25">
        <f t="shared" si="95"/>
        <v>-0.27851281192430077</v>
      </c>
    </row>
    <row r="682" spans="1:15" x14ac:dyDescent="0.25">
      <c r="A682" s="15" t="s">
        <v>16</v>
      </c>
      <c r="B682" s="26">
        <f t="shared" si="93"/>
        <v>39095</v>
      </c>
      <c r="C682" s="15">
        <v>360</v>
      </c>
      <c r="D682" s="15">
        <v>6</v>
      </c>
      <c r="E682" s="15">
        <v>129</v>
      </c>
      <c r="F682" s="21">
        <f t="shared" si="80"/>
        <v>495</v>
      </c>
      <c r="G682" s="18">
        <v>2</v>
      </c>
      <c r="H682" s="22">
        <f t="shared" si="89"/>
        <v>339.5</v>
      </c>
      <c r="I682" s="22">
        <f t="shared" si="89"/>
        <v>3.25</v>
      </c>
      <c r="J682" s="22">
        <f t="shared" si="92"/>
        <v>120.5</v>
      </c>
      <c r="K682" s="23">
        <f t="shared" si="90"/>
        <v>463.25</v>
      </c>
      <c r="L682" s="23">
        <f t="shared" si="91"/>
        <v>434</v>
      </c>
      <c r="M682" s="23">
        <f t="shared" si="84"/>
        <v>376</v>
      </c>
      <c r="N682" s="25">
        <f t="shared" si="94"/>
        <v>0.92607003891050588</v>
      </c>
      <c r="O682" s="25">
        <f t="shared" si="95"/>
        <v>0.14055299539170507</v>
      </c>
    </row>
    <row r="683" spans="1:15" x14ac:dyDescent="0.25">
      <c r="A683" s="15" t="s">
        <v>16</v>
      </c>
      <c r="B683" s="26">
        <f t="shared" si="93"/>
        <v>39102</v>
      </c>
      <c r="C683" s="15">
        <v>233</v>
      </c>
      <c r="D683" s="15">
        <v>0</v>
      </c>
      <c r="E683" s="15">
        <v>104</v>
      </c>
      <c r="F683" s="21">
        <f t="shared" si="80"/>
        <v>337</v>
      </c>
      <c r="G683" s="18">
        <v>3</v>
      </c>
      <c r="H683" s="22">
        <f t="shared" si="89"/>
        <v>284.5</v>
      </c>
      <c r="I683" s="22">
        <f t="shared" si="89"/>
        <v>2</v>
      </c>
      <c r="J683" s="22">
        <f t="shared" si="92"/>
        <v>104.25</v>
      </c>
      <c r="K683" s="23">
        <f t="shared" si="90"/>
        <v>390.75</v>
      </c>
      <c r="L683" s="23">
        <f t="shared" si="91"/>
        <v>382.91666666666669</v>
      </c>
      <c r="M683" s="23">
        <f t="shared" si="84"/>
        <v>294.66666666666669</v>
      </c>
      <c r="N683" s="25">
        <f>(F683-F631)/F631</f>
        <v>0.41004184100418412</v>
      </c>
      <c r="O683" s="25">
        <f>(F683-L683)/L683</f>
        <v>-0.11991294885745379</v>
      </c>
    </row>
    <row r="684" spans="1:15" x14ac:dyDescent="0.25">
      <c r="A684" s="15" t="s">
        <v>16</v>
      </c>
      <c r="B684" s="26">
        <f t="shared" si="93"/>
        <v>39109</v>
      </c>
      <c r="C684" s="15">
        <v>329</v>
      </c>
      <c r="D684" s="15">
        <v>8</v>
      </c>
      <c r="E684" s="15">
        <v>85</v>
      </c>
      <c r="F684" s="21">
        <f t="shared" si="80"/>
        <v>422</v>
      </c>
      <c r="G684" s="18">
        <v>4</v>
      </c>
      <c r="H684" s="22">
        <f t="shared" si="89"/>
        <v>296.5</v>
      </c>
      <c r="I684" s="22">
        <f t="shared" si="89"/>
        <v>4</v>
      </c>
      <c r="J684" s="22">
        <f t="shared" si="92"/>
        <v>102.75</v>
      </c>
      <c r="K684" s="23">
        <f t="shared" si="90"/>
        <v>403.25</v>
      </c>
      <c r="L684" s="23">
        <f t="shared" si="91"/>
        <v>365.5</v>
      </c>
      <c r="M684" s="23">
        <f t="shared" si="84"/>
        <v>347</v>
      </c>
      <c r="N684" s="25">
        <f t="shared" si="94"/>
        <v>0.3105590062111801</v>
      </c>
      <c r="O684" s="25">
        <f t="shared" si="95"/>
        <v>0.15458276333789331</v>
      </c>
    </row>
    <row r="685" spans="1:15" x14ac:dyDescent="0.25">
      <c r="A685" s="15" t="s">
        <v>23</v>
      </c>
      <c r="B685" s="26">
        <f t="shared" si="93"/>
        <v>39116</v>
      </c>
      <c r="C685" s="15">
        <v>125</v>
      </c>
      <c r="D685" s="15">
        <v>2</v>
      </c>
      <c r="E685" s="15">
        <v>40</v>
      </c>
      <c r="F685" s="21">
        <f t="shared" si="80"/>
        <v>167</v>
      </c>
      <c r="G685" s="18">
        <v>5</v>
      </c>
      <c r="H685" s="22">
        <f t="shared" si="89"/>
        <v>261.75</v>
      </c>
      <c r="I685" s="22">
        <f t="shared" si="89"/>
        <v>4</v>
      </c>
      <c r="J685" s="22">
        <f t="shared" si="92"/>
        <v>89.5</v>
      </c>
      <c r="K685" s="23">
        <f t="shared" si="90"/>
        <v>355.25</v>
      </c>
      <c r="L685" s="23">
        <f t="shared" si="91"/>
        <v>332.5</v>
      </c>
      <c r="M685" s="23">
        <f t="shared" si="84"/>
        <v>312.33333333333331</v>
      </c>
      <c r="N685" s="25">
        <f t="shared" si="94"/>
        <v>-0.48456790123456789</v>
      </c>
      <c r="O685" s="25">
        <f t="shared" si="95"/>
        <v>-0.49774436090225566</v>
      </c>
    </row>
    <row r="686" spans="1:15" x14ac:dyDescent="0.25">
      <c r="A686" s="15" t="s">
        <v>23</v>
      </c>
      <c r="B686" s="26">
        <f t="shared" si="93"/>
        <v>39123</v>
      </c>
      <c r="C686" s="15">
        <v>164</v>
      </c>
      <c r="D686" s="15">
        <v>0</v>
      </c>
      <c r="E686" s="15">
        <v>53</v>
      </c>
      <c r="F686" s="21">
        <f t="shared" si="80"/>
        <v>217</v>
      </c>
      <c r="G686" s="18">
        <v>6</v>
      </c>
      <c r="H686" s="22">
        <f t="shared" si="89"/>
        <v>212.75</v>
      </c>
      <c r="I686" s="22">
        <f t="shared" si="89"/>
        <v>2.5</v>
      </c>
      <c r="J686" s="22">
        <f t="shared" si="92"/>
        <v>70.5</v>
      </c>
      <c r="K686" s="23">
        <f t="shared" si="90"/>
        <v>285.75</v>
      </c>
      <c r="L686" s="23">
        <f t="shared" si="91"/>
        <v>319.33333333333331</v>
      </c>
      <c r="M686" s="23">
        <f t="shared" si="84"/>
        <v>323.33333333333331</v>
      </c>
      <c r="N686" s="25">
        <f t="shared" ref="N686:N692" si="96">(F686-F634)/F634</f>
        <v>-0.3972222222222222</v>
      </c>
      <c r="O686" s="25">
        <f t="shared" ref="O686:O692" si="97">(F686-L686)/L686</f>
        <v>-0.32045929018789138</v>
      </c>
    </row>
    <row r="687" spans="1:15" x14ac:dyDescent="0.25">
      <c r="A687" s="15" t="s">
        <v>23</v>
      </c>
      <c r="B687" s="26">
        <f t="shared" si="93"/>
        <v>39130</v>
      </c>
      <c r="C687" s="15">
        <v>22</v>
      </c>
      <c r="D687" s="15">
        <v>0</v>
      </c>
      <c r="E687" s="15">
        <v>14</v>
      </c>
      <c r="F687" s="21">
        <f t="shared" si="80"/>
        <v>36</v>
      </c>
      <c r="G687" s="18">
        <v>7</v>
      </c>
      <c r="H687" s="22">
        <f t="shared" si="89"/>
        <v>160</v>
      </c>
      <c r="I687" s="22">
        <f t="shared" si="89"/>
        <v>2.5</v>
      </c>
      <c r="J687" s="22">
        <f t="shared" si="92"/>
        <v>48</v>
      </c>
      <c r="K687" s="23">
        <f t="shared" si="90"/>
        <v>210.5</v>
      </c>
      <c r="L687" s="23">
        <f t="shared" si="91"/>
        <v>312.58333333333331</v>
      </c>
      <c r="M687" s="23">
        <f t="shared" si="84"/>
        <v>267.66666666666669</v>
      </c>
      <c r="N687" s="25">
        <f t="shared" si="96"/>
        <v>-0.88714733542319746</v>
      </c>
      <c r="O687" s="25">
        <f t="shared" si="97"/>
        <v>-0.88483071181018391</v>
      </c>
    </row>
    <row r="688" spans="1:15" x14ac:dyDescent="0.25">
      <c r="A688" s="15" t="s">
        <v>23</v>
      </c>
      <c r="B688" s="26">
        <f t="shared" si="93"/>
        <v>39137</v>
      </c>
      <c r="C688" s="15">
        <v>33</v>
      </c>
      <c r="D688" s="15">
        <v>0</v>
      </c>
      <c r="E688" s="15">
        <v>3</v>
      </c>
      <c r="F688" s="21">
        <f t="shared" si="80"/>
        <v>36</v>
      </c>
      <c r="G688" s="18">
        <v>8</v>
      </c>
      <c r="H688" s="22">
        <f t="shared" si="89"/>
        <v>86</v>
      </c>
      <c r="I688" s="22">
        <f t="shared" si="89"/>
        <v>0.5</v>
      </c>
      <c r="J688" s="22">
        <f t="shared" si="92"/>
        <v>27.5</v>
      </c>
      <c r="K688" s="23">
        <f t="shared" si="90"/>
        <v>114</v>
      </c>
      <c r="L688" s="23">
        <f t="shared" si="91"/>
        <v>312.5</v>
      </c>
      <c r="M688" s="23">
        <f t="shared" si="84"/>
        <v>346.66666666666669</v>
      </c>
      <c r="N688" s="25">
        <f t="shared" si="96"/>
        <v>-0.8651685393258427</v>
      </c>
      <c r="O688" s="25">
        <f t="shared" si="97"/>
        <v>-0.88480000000000003</v>
      </c>
    </row>
    <row r="689" spans="1:15" x14ac:dyDescent="0.25">
      <c r="A689" s="15" t="s">
        <v>27</v>
      </c>
      <c r="B689" s="26">
        <f t="shared" si="93"/>
        <v>39144</v>
      </c>
      <c r="C689" s="15">
        <v>249</v>
      </c>
      <c r="D689" s="15">
        <v>3</v>
      </c>
      <c r="E689" s="15">
        <v>63</v>
      </c>
      <c r="F689" s="21">
        <f t="shared" si="80"/>
        <v>315</v>
      </c>
      <c r="G689" s="18">
        <v>9</v>
      </c>
      <c r="H689" s="22">
        <f t="shared" si="89"/>
        <v>117</v>
      </c>
      <c r="I689" s="22">
        <f t="shared" si="89"/>
        <v>0.75</v>
      </c>
      <c r="J689" s="22">
        <f t="shared" si="92"/>
        <v>33.25</v>
      </c>
      <c r="K689" s="23">
        <f t="shared" si="90"/>
        <v>151</v>
      </c>
      <c r="L689" s="23">
        <f t="shared" si="91"/>
        <v>306</v>
      </c>
      <c r="M689" s="23">
        <f t="shared" si="84"/>
        <v>286.33333333333331</v>
      </c>
      <c r="N689" s="25">
        <f t="shared" si="96"/>
        <v>6.7796610169491525E-2</v>
      </c>
      <c r="O689" s="25">
        <f t="shared" si="97"/>
        <v>2.9411764705882353E-2</v>
      </c>
    </row>
    <row r="690" spans="1:15" x14ac:dyDescent="0.25">
      <c r="A690" s="15" t="s">
        <v>27</v>
      </c>
      <c r="B690" s="26">
        <f t="shared" si="93"/>
        <v>39151</v>
      </c>
      <c r="C690" s="15">
        <v>310</v>
      </c>
      <c r="D690" s="15">
        <v>13</v>
      </c>
      <c r="E690" s="15">
        <v>90</v>
      </c>
      <c r="F690" s="21">
        <f t="shared" si="80"/>
        <v>413</v>
      </c>
      <c r="G690" s="18">
        <v>10</v>
      </c>
      <c r="H690" s="22">
        <f>AVERAGE(C687:C690)</f>
        <v>153.5</v>
      </c>
      <c r="I690" s="22">
        <f>AVERAGE(D687:D690)</f>
        <v>4</v>
      </c>
      <c r="J690" s="22">
        <f>AVERAGE(E687:E690)</f>
        <v>42.5</v>
      </c>
      <c r="K690" s="23">
        <f>SUM(H690:J690)</f>
        <v>200</v>
      </c>
      <c r="L690" s="23">
        <f>AVERAGE(K534+K586+K638)/3</f>
        <v>308.91666666666669</v>
      </c>
      <c r="M690" s="23">
        <f t="shared" si="84"/>
        <v>335</v>
      </c>
      <c r="N690" s="25">
        <f t="shared" si="96"/>
        <v>0.10133333333333333</v>
      </c>
      <c r="O690" s="25">
        <f t="shared" si="97"/>
        <v>0.33693013218235762</v>
      </c>
    </row>
    <row r="691" spans="1:15" x14ac:dyDescent="0.25">
      <c r="A691" s="15" t="s">
        <v>27</v>
      </c>
      <c r="B691" s="26">
        <f t="shared" si="93"/>
        <v>39158</v>
      </c>
      <c r="C691" s="15">
        <v>385</v>
      </c>
      <c r="D691" s="15">
        <v>3</v>
      </c>
      <c r="E691" s="15">
        <v>58</v>
      </c>
      <c r="F691" s="21">
        <f t="shared" si="80"/>
        <v>446</v>
      </c>
      <c r="G691" s="18">
        <v>11</v>
      </c>
      <c r="H691" s="22">
        <f t="shared" si="89"/>
        <v>244.25</v>
      </c>
      <c r="I691" s="22">
        <f t="shared" si="89"/>
        <v>4.75</v>
      </c>
      <c r="J691" s="22">
        <f t="shared" si="92"/>
        <v>53.5</v>
      </c>
      <c r="K691" s="23">
        <f t="shared" si="90"/>
        <v>302.5</v>
      </c>
      <c r="L691" s="23">
        <f t="shared" si="91"/>
        <v>317.66666666666669</v>
      </c>
      <c r="M691" s="23">
        <f t="shared" si="84"/>
        <v>302.66666666666669</v>
      </c>
      <c r="N691" s="25">
        <f t="shared" si="96"/>
        <v>0.96475770925110127</v>
      </c>
      <c r="O691" s="25">
        <f t="shared" si="97"/>
        <v>0.40398740818467987</v>
      </c>
    </row>
    <row r="692" spans="1:15" x14ac:dyDescent="0.25">
      <c r="A692" s="15" t="s">
        <v>27</v>
      </c>
      <c r="B692" s="26">
        <f t="shared" si="93"/>
        <v>39165</v>
      </c>
      <c r="C692" s="15">
        <v>413</v>
      </c>
      <c r="D692" s="15">
        <v>5</v>
      </c>
      <c r="E692" s="15">
        <v>57</v>
      </c>
      <c r="F692" s="21">
        <f t="shared" si="80"/>
        <v>475</v>
      </c>
      <c r="G692" s="18">
        <v>12</v>
      </c>
      <c r="H692" s="22">
        <f t="shared" si="89"/>
        <v>339.25</v>
      </c>
      <c r="I692" s="22">
        <f t="shared" si="89"/>
        <v>6</v>
      </c>
      <c r="J692" s="22">
        <f t="shared" si="92"/>
        <v>67</v>
      </c>
      <c r="K692" s="23">
        <f t="shared" si="90"/>
        <v>412.25</v>
      </c>
      <c r="L692" s="23">
        <f t="shared" si="91"/>
        <v>323.41666666666669</v>
      </c>
      <c r="M692" s="23">
        <f t="shared" si="84"/>
        <v>369.66666666666669</v>
      </c>
      <c r="N692" s="25">
        <f t="shared" si="96"/>
        <v>0.94672131147540983</v>
      </c>
      <c r="O692" s="25">
        <f t="shared" si="97"/>
        <v>0.46869363566091204</v>
      </c>
    </row>
    <row r="693" spans="1:15" x14ac:dyDescent="0.25">
      <c r="A693" s="15" t="s">
        <v>27</v>
      </c>
      <c r="B693" s="26">
        <v>39172</v>
      </c>
      <c r="C693" s="15">
        <v>277</v>
      </c>
      <c r="D693" s="15">
        <v>9</v>
      </c>
      <c r="E693" s="15">
        <v>58</v>
      </c>
      <c r="F693" s="21">
        <f t="shared" si="80"/>
        <v>344</v>
      </c>
      <c r="G693" s="18">
        <v>13</v>
      </c>
      <c r="H693" s="22">
        <f t="shared" ref="H693:J694" si="98">AVERAGE(C690:C693)</f>
        <v>346.25</v>
      </c>
      <c r="I693" s="22">
        <f t="shared" si="98"/>
        <v>7.5</v>
      </c>
      <c r="J693" s="22">
        <f t="shared" si="98"/>
        <v>65.75</v>
      </c>
      <c r="K693" s="23">
        <f t="shared" ref="K693:K698" si="99">SUM(H693:J693)</f>
        <v>419.5</v>
      </c>
      <c r="L693" s="23">
        <f t="shared" ref="L693:L699" si="100">AVERAGE(K537+K589+K641)/3</f>
        <v>371.41666666666669</v>
      </c>
      <c r="M693" s="23">
        <f t="shared" si="84"/>
        <v>478.33333333333331</v>
      </c>
      <c r="N693" s="25">
        <f t="shared" ref="N693:N698" si="101">(F693-F641)/F641</f>
        <v>-0.35700934579439253</v>
      </c>
      <c r="O693" s="25">
        <f t="shared" ref="O693:O698" si="102">(F693-L693)/L693</f>
        <v>-7.3816468476553779E-2</v>
      </c>
    </row>
    <row r="694" spans="1:15" x14ac:dyDescent="0.25">
      <c r="A694" s="15" t="s">
        <v>14</v>
      </c>
      <c r="B694" s="26">
        <f t="shared" ref="B694:B718" si="103">B693+7</f>
        <v>39179</v>
      </c>
      <c r="C694" s="27">
        <v>357</v>
      </c>
      <c r="D694" s="27">
        <v>22</v>
      </c>
      <c r="E694" s="28">
        <v>69</v>
      </c>
      <c r="F694" s="21">
        <f t="shared" si="80"/>
        <v>448</v>
      </c>
      <c r="G694" s="18">
        <v>14</v>
      </c>
      <c r="H694" s="22">
        <f t="shared" si="98"/>
        <v>358</v>
      </c>
      <c r="I694" s="22">
        <f t="shared" si="98"/>
        <v>9.75</v>
      </c>
      <c r="J694" s="22">
        <f t="shared" si="98"/>
        <v>60.5</v>
      </c>
      <c r="K694" s="23">
        <f t="shared" si="99"/>
        <v>428.25</v>
      </c>
      <c r="L694" s="23">
        <f t="shared" si="100"/>
        <v>409.75</v>
      </c>
      <c r="M694" s="23">
        <f t="shared" ref="M694:M757" si="104">AVERAGE(F538+F590+F642)/3</f>
        <v>488.33333333333331</v>
      </c>
      <c r="N694" s="25">
        <f t="shared" si="101"/>
        <v>-4.4444444444444444E-3</v>
      </c>
      <c r="O694" s="25">
        <f t="shared" si="102"/>
        <v>9.3349603416717511E-2</v>
      </c>
    </row>
    <row r="695" spans="1:15" x14ac:dyDescent="0.25">
      <c r="A695" s="15" t="s">
        <v>14</v>
      </c>
      <c r="B695" s="26">
        <f t="shared" si="103"/>
        <v>39186</v>
      </c>
      <c r="C695" s="15">
        <v>364</v>
      </c>
      <c r="D695" s="15">
        <v>8</v>
      </c>
      <c r="E695" s="15">
        <v>67</v>
      </c>
      <c r="F695" s="21">
        <f t="shared" si="80"/>
        <v>439</v>
      </c>
      <c r="G695" s="18">
        <v>15</v>
      </c>
      <c r="H695" s="22">
        <f t="shared" ref="H695:J697" si="105">AVERAGE(C692:C695)</f>
        <v>352.75</v>
      </c>
      <c r="I695" s="22">
        <f t="shared" si="105"/>
        <v>11</v>
      </c>
      <c r="J695" s="22">
        <f t="shared" si="105"/>
        <v>62.75</v>
      </c>
      <c r="K695" s="23">
        <f t="shared" si="99"/>
        <v>426.5</v>
      </c>
      <c r="L695" s="23">
        <f t="shared" si="100"/>
        <v>489.91666666666669</v>
      </c>
      <c r="M695" s="23">
        <f t="shared" si="104"/>
        <v>623.33333333333337</v>
      </c>
      <c r="N695" s="25">
        <f t="shared" si="101"/>
        <v>-0.27677100494233936</v>
      </c>
      <c r="O695" s="25">
        <f t="shared" si="102"/>
        <v>-0.10392923966661</v>
      </c>
    </row>
    <row r="696" spans="1:15" x14ac:dyDescent="0.25">
      <c r="A696" s="15" t="s">
        <v>14</v>
      </c>
      <c r="B696" s="26">
        <f t="shared" si="103"/>
        <v>39193</v>
      </c>
      <c r="C696" s="15">
        <v>455</v>
      </c>
      <c r="D696" s="15">
        <v>8</v>
      </c>
      <c r="E696" s="15">
        <v>110</v>
      </c>
      <c r="F696" s="21">
        <f t="shared" ref="F696:F706" si="106">SUM(C696:E696)</f>
        <v>573</v>
      </c>
      <c r="G696" s="18">
        <v>16</v>
      </c>
      <c r="H696" s="22">
        <f t="shared" si="105"/>
        <v>363.25</v>
      </c>
      <c r="I696" s="22">
        <f t="shared" si="105"/>
        <v>11.75</v>
      </c>
      <c r="J696" s="22">
        <f t="shared" si="105"/>
        <v>76</v>
      </c>
      <c r="K696" s="23">
        <f t="shared" si="99"/>
        <v>451</v>
      </c>
      <c r="L696" s="23">
        <f t="shared" si="100"/>
        <v>528.58333333333337</v>
      </c>
      <c r="M696" s="23">
        <f t="shared" si="104"/>
        <v>524.33333333333337</v>
      </c>
      <c r="N696" s="25">
        <f t="shared" si="101"/>
        <v>0.10617760617760617</v>
      </c>
      <c r="O696" s="25">
        <f t="shared" si="102"/>
        <v>8.4029638972095144E-2</v>
      </c>
    </row>
    <row r="697" spans="1:15" x14ac:dyDescent="0.25">
      <c r="A697" s="15" t="s">
        <v>14</v>
      </c>
      <c r="B697" s="26">
        <f t="shared" si="103"/>
        <v>39200</v>
      </c>
      <c r="C697" s="15">
        <v>429</v>
      </c>
      <c r="D697" s="15">
        <v>62</v>
      </c>
      <c r="E697" s="15">
        <v>83</v>
      </c>
      <c r="F697" s="21">
        <f t="shared" si="106"/>
        <v>574</v>
      </c>
      <c r="G697" s="18">
        <v>17</v>
      </c>
      <c r="H697" s="22">
        <f t="shared" si="105"/>
        <v>401.25</v>
      </c>
      <c r="I697" s="22">
        <f t="shared" ref="I697:J699" si="107">AVERAGE(D694:D697)</f>
        <v>25</v>
      </c>
      <c r="J697" s="22">
        <f t="shared" si="107"/>
        <v>82.25</v>
      </c>
      <c r="K697" s="23">
        <f t="shared" si="99"/>
        <v>508.5</v>
      </c>
      <c r="L697" s="23">
        <f t="shared" si="100"/>
        <v>546.5</v>
      </c>
      <c r="M697" s="23">
        <f t="shared" si="104"/>
        <v>550</v>
      </c>
      <c r="N697" s="25">
        <f t="shared" si="101"/>
        <v>-1.2048192771084338E-2</v>
      </c>
      <c r="O697" s="25">
        <f t="shared" si="102"/>
        <v>5.0320219579139978E-2</v>
      </c>
    </row>
    <row r="698" spans="1:15" x14ac:dyDescent="0.25">
      <c r="A698" s="15" t="s">
        <v>5</v>
      </c>
      <c r="B698" s="26">
        <f t="shared" si="103"/>
        <v>39207</v>
      </c>
      <c r="C698" s="15">
        <v>363</v>
      </c>
      <c r="D698" s="15">
        <v>16</v>
      </c>
      <c r="E698" s="15">
        <v>64</v>
      </c>
      <c r="F698" s="21">
        <f t="shared" si="106"/>
        <v>443</v>
      </c>
      <c r="G698" s="18">
        <v>18</v>
      </c>
      <c r="H698" s="22">
        <f t="shared" ref="H698:H703" si="108">AVERAGE(C695:C698)</f>
        <v>402.75</v>
      </c>
      <c r="I698" s="22">
        <f t="shared" si="107"/>
        <v>23.5</v>
      </c>
      <c r="J698" s="22">
        <f t="shared" si="107"/>
        <v>81</v>
      </c>
      <c r="K698" s="23">
        <f t="shared" si="99"/>
        <v>507.25</v>
      </c>
      <c r="L698" s="23">
        <f t="shared" si="100"/>
        <v>569.41666666666663</v>
      </c>
      <c r="M698" s="23">
        <f t="shared" si="104"/>
        <v>580</v>
      </c>
      <c r="N698" s="25">
        <f t="shared" si="101"/>
        <v>-0.19307832422586521</v>
      </c>
      <c r="O698" s="25">
        <f t="shared" si="102"/>
        <v>-0.22201082979657538</v>
      </c>
    </row>
    <row r="699" spans="1:15" x14ac:dyDescent="0.25">
      <c r="A699" s="15" t="s">
        <v>5</v>
      </c>
      <c r="B699" s="26">
        <f t="shared" si="103"/>
        <v>39214</v>
      </c>
      <c r="C699" s="15">
        <v>412</v>
      </c>
      <c r="D699" s="15">
        <v>13</v>
      </c>
      <c r="E699" s="15">
        <v>52</v>
      </c>
      <c r="F699" s="21">
        <f t="shared" si="106"/>
        <v>477</v>
      </c>
      <c r="G699" s="18">
        <v>19</v>
      </c>
      <c r="H699" s="22">
        <f t="shared" si="108"/>
        <v>414.75</v>
      </c>
      <c r="I699" s="22">
        <f t="shared" si="107"/>
        <v>24.75</v>
      </c>
      <c r="J699" s="22">
        <f t="shared" si="107"/>
        <v>77.25</v>
      </c>
      <c r="K699" s="23">
        <f t="shared" ref="K699:K704" si="109">SUM(H699:J699)</f>
        <v>516.75</v>
      </c>
      <c r="L699" s="23">
        <f t="shared" si="100"/>
        <v>556.58333333333337</v>
      </c>
      <c r="M699" s="23">
        <f t="shared" si="104"/>
        <v>572</v>
      </c>
      <c r="N699" s="25">
        <f t="shared" ref="N699:N718" si="110">(F699-F647)/F647</f>
        <v>-0.30364963503649633</v>
      </c>
      <c r="O699" s="25">
        <f t="shared" ref="O699:O718" si="111">(F699-L699)/L699</f>
        <v>-0.14298547686779464</v>
      </c>
    </row>
    <row r="700" spans="1:15" x14ac:dyDescent="0.25">
      <c r="A700" s="15" t="s">
        <v>5</v>
      </c>
      <c r="B700" s="26">
        <f t="shared" si="103"/>
        <v>39221</v>
      </c>
      <c r="C700" s="15">
        <v>585</v>
      </c>
      <c r="D700" s="15">
        <v>13</v>
      </c>
      <c r="E700" s="15">
        <v>87</v>
      </c>
      <c r="F700" s="21">
        <f t="shared" si="106"/>
        <v>685</v>
      </c>
      <c r="G700" s="18">
        <v>20</v>
      </c>
      <c r="H700" s="22">
        <f t="shared" si="108"/>
        <v>447.25</v>
      </c>
      <c r="I700" s="22">
        <f t="shared" ref="I700:J702" si="112">AVERAGE(D697:D700)</f>
        <v>26</v>
      </c>
      <c r="J700" s="22">
        <f t="shared" si="112"/>
        <v>71.5</v>
      </c>
      <c r="K700" s="23">
        <f t="shared" si="109"/>
        <v>544.75</v>
      </c>
      <c r="L700" s="23">
        <f>AVERAGE(K544+K596+K648)/3</f>
        <v>574.25</v>
      </c>
      <c r="M700" s="23">
        <f t="shared" si="104"/>
        <v>595</v>
      </c>
      <c r="N700" s="25">
        <f t="shared" si="110"/>
        <v>-9.391534391534391E-2</v>
      </c>
      <c r="O700" s="25">
        <f t="shared" si="111"/>
        <v>0.19286025250326513</v>
      </c>
    </row>
    <row r="701" spans="1:15" x14ac:dyDescent="0.25">
      <c r="A701" s="15" t="s">
        <v>5</v>
      </c>
      <c r="B701" s="26">
        <f t="shared" si="103"/>
        <v>39228</v>
      </c>
      <c r="C701" s="15">
        <v>566</v>
      </c>
      <c r="D701" s="15">
        <v>23</v>
      </c>
      <c r="E701" s="15">
        <v>66</v>
      </c>
      <c r="F701" s="21">
        <f t="shared" si="106"/>
        <v>655</v>
      </c>
      <c r="G701" s="18">
        <f>G700+1</f>
        <v>21</v>
      </c>
      <c r="H701" s="22">
        <f t="shared" si="108"/>
        <v>481.5</v>
      </c>
      <c r="I701" s="22">
        <f t="shared" si="112"/>
        <v>16.25</v>
      </c>
      <c r="J701" s="22">
        <f t="shared" si="112"/>
        <v>67.25</v>
      </c>
      <c r="K701" s="23">
        <f t="shared" si="109"/>
        <v>565</v>
      </c>
      <c r="L701" s="23">
        <f>AVERAGE(K545+K597+K649)/3</f>
        <v>602</v>
      </c>
      <c r="M701" s="23">
        <f t="shared" si="104"/>
        <v>661</v>
      </c>
      <c r="N701" s="25">
        <f t="shared" si="110"/>
        <v>-1.7991004497751123E-2</v>
      </c>
      <c r="O701" s="25">
        <f t="shared" si="111"/>
        <v>8.8039867109634545E-2</v>
      </c>
    </row>
    <row r="702" spans="1:15" x14ac:dyDescent="0.25">
      <c r="A702" s="15" t="s">
        <v>30</v>
      </c>
      <c r="B702" s="26">
        <f t="shared" si="103"/>
        <v>39235</v>
      </c>
      <c r="C702" s="7">
        <v>526</v>
      </c>
      <c r="D702" s="15">
        <v>11</v>
      </c>
      <c r="E702" s="15">
        <v>71</v>
      </c>
      <c r="F702" s="21">
        <f t="shared" si="106"/>
        <v>608</v>
      </c>
      <c r="G702" s="18">
        <v>22</v>
      </c>
      <c r="H702" s="22">
        <f t="shared" si="108"/>
        <v>522.25</v>
      </c>
      <c r="I702" s="22">
        <f t="shared" si="112"/>
        <v>15</v>
      </c>
      <c r="J702" s="22">
        <f t="shared" si="112"/>
        <v>69</v>
      </c>
      <c r="K702" s="23">
        <f t="shared" si="109"/>
        <v>606.25</v>
      </c>
      <c r="L702" s="23">
        <f>AVERAGE(K546+K598+K650)/3</f>
        <v>616.58333333333337</v>
      </c>
      <c r="M702" s="23">
        <f t="shared" si="104"/>
        <v>638.33333333333337</v>
      </c>
      <c r="N702" s="25">
        <f t="shared" si="110"/>
        <v>-2.7199999999999998E-2</v>
      </c>
      <c r="O702" s="25">
        <f t="shared" si="111"/>
        <v>-1.392080010812278E-2</v>
      </c>
    </row>
    <row r="703" spans="1:15" x14ac:dyDescent="0.25">
      <c r="A703" s="15" t="s">
        <v>30</v>
      </c>
      <c r="B703" s="26">
        <f t="shared" si="103"/>
        <v>39242</v>
      </c>
      <c r="C703" s="15">
        <v>589</v>
      </c>
      <c r="D703" s="15">
        <v>3</v>
      </c>
      <c r="E703" s="15">
        <v>72</v>
      </c>
      <c r="F703" s="21">
        <f t="shared" si="106"/>
        <v>664</v>
      </c>
      <c r="G703" s="18">
        <v>23</v>
      </c>
      <c r="H703" s="22">
        <f t="shared" si="108"/>
        <v>566.5</v>
      </c>
      <c r="I703" s="22">
        <f t="shared" ref="I703:J705" si="113">AVERAGE(D700:D703)</f>
        <v>12.5</v>
      </c>
      <c r="J703" s="22">
        <f t="shared" si="113"/>
        <v>74</v>
      </c>
      <c r="K703" s="23">
        <f t="shared" si="109"/>
        <v>653</v>
      </c>
      <c r="L703" s="23">
        <f>AVERAGE(K547+K599+K651)/3</f>
        <v>639.08333333333337</v>
      </c>
      <c r="M703" s="23">
        <f t="shared" si="104"/>
        <v>662</v>
      </c>
      <c r="N703" s="25">
        <f t="shared" si="110"/>
        <v>0.20289855072463769</v>
      </c>
      <c r="O703" s="25">
        <f t="shared" si="111"/>
        <v>3.8988134046159806E-2</v>
      </c>
    </row>
    <row r="704" spans="1:15" x14ac:dyDescent="0.25">
      <c r="A704" s="15" t="s">
        <v>30</v>
      </c>
      <c r="B704" s="26">
        <f t="shared" si="103"/>
        <v>39249</v>
      </c>
      <c r="C704" s="15">
        <v>692</v>
      </c>
      <c r="D704" s="15">
        <v>3</v>
      </c>
      <c r="E704" s="15">
        <v>85</v>
      </c>
      <c r="F704" s="21">
        <f t="shared" si="106"/>
        <v>780</v>
      </c>
      <c r="G704" s="18">
        <v>24</v>
      </c>
      <c r="H704" s="22">
        <f t="shared" ref="H704:H709" si="114">AVERAGE(C701:C704)</f>
        <v>593.25</v>
      </c>
      <c r="I704" s="22">
        <f t="shared" si="113"/>
        <v>10</v>
      </c>
      <c r="J704" s="22">
        <f t="shared" si="113"/>
        <v>73.5</v>
      </c>
      <c r="K704" s="23">
        <f t="shared" si="109"/>
        <v>676.75</v>
      </c>
      <c r="L704" s="23">
        <f>AVERAGE(K548+K600+K652)/3</f>
        <v>649.41666666666663</v>
      </c>
      <c r="M704" s="23">
        <f t="shared" si="104"/>
        <v>636.33333333333337</v>
      </c>
      <c r="N704" s="25">
        <f t="shared" si="110"/>
        <v>0.16766467065868262</v>
      </c>
      <c r="O704" s="25">
        <f t="shared" si="111"/>
        <v>0.2010778904144746</v>
      </c>
    </row>
    <row r="705" spans="1:15" x14ac:dyDescent="0.25">
      <c r="A705" s="15" t="s">
        <v>30</v>
      </c>
      <c r="B705" s="26">
        <f t="shared" si="103"/>
        <v>39256</v>
      </c>
      <c r="C705" s="15">
        <v>542</v>
      </c>
      <c r="D705" s="15">
        <v>6</v>
      </c>
      <c r="E705" s="15">
        <v>70</v>
      </c>
      <c r="F705" s="21">
        <f t="shared" si="106"/>
        <v>618</v>
      </c>
      <c r="G705" s="18">
        <v>25</v>
      </c>
      <c r="H705" s="22">
        <f t="shared" si="114"/>
        <v>587.25</v>
      </c>
      <c r="I705" s="22">
        <f t="shared" si="113"/>
        <v>5.75</v>
      </c>
      <c r="J705" s="22">
        <f t="shared" si="113"/>
        <v>74.5</v>
      </c>
      <c r="K705" s="23">
        <f t="shared" ref="K705:K710" si="115">SUM(H705:J705)</f>
        <v>667.5</v>
      </c>
      <c r="L705" s="23">
        <f t="shared" ref="L705:L718" si="116">AVERAGE(K549+K601+K653)/3</f>
        <v>650.75</v>
      </c>
      <c r="M705" s="23">
        <f t="shared" si="104"/>
        <v>666.33333333333337</v>
      </c>
      <c r="N705" s="25">
        <f t="shared" si="110"/>
        <v>-0.21273885350318472</v>
      </c>
      <c r="O705" s="25">
        <f t="shared" si="111"/>
        <v>-5.0326546292739145E-2</v>
      </c>
    </row>
    <row r="706" spans="1:15" x14ac:dyDescent="0.25">
      <c r="A706" s="15" t="s">
        <v>30</v>
      </c>
      <c r="B706" s="26">
        <f t="shared" si="103"/>
        <v>39263</v>
      </c>
      <c r="C706" s="15">
        <v>561</v>
      </c>
      <c r="D706" s="15">
        <v>9</v>
      </c>
      <c r="E706" s="15">
        <v>99</v>
      </c>
      <c r="F706" s="21">
        <f t="shared" si="106"/>
        <v>669</v>
      </c>
      <c r="G706" s="18">
        <v>26</v>
      </c>
      <c r="H706" s="22">
        <f t="shared" si="114"/>
        <v>596</v>
      </c>
      <c r="I706" s="22">
        <f t="shared" ref="I706:J708" si="117">AVERAGE(D703:D706)</f>
        <v>5.25</v>
      </c>
      <c r="J706" s="22">
        <f t="shared" si="117"/>
        <v>81.5</v>
      </c>
      <c r="K706" s="23">
        <f t="shared" si="115"/>
        <v>682.75</v>
      </c>
      <c r="L706" s="23">
        <f t="shared" si="116"/>
        <v>674.58333333333337</v>
      </c>
      <c r="M706" s="23">
        <f t="shared" si="104"/>
        <v>733.66666666666663</v>
      </c>
      <c r="N706" s="25">
        <f t="shared" si="110"/>
        <v>-0.2533482142857143</v>
      </c>
      <c r="O706" s="25">
        <f t="shared" si="111"/>
        <v>-8.2767140210006727E-3</v>
      </c>
    </row>
    <row r="707" spans="1:15" x14ac:dyDescent="0.25">
      <c r="A707" s="15" t="s">
        <v>31</v>
      </c>
      <c r="B707" s="26">
        <f t="shared" si="103"/>
        <v>39270</v>
      </c>
      <c r="C707" s="15">
        <v>662</v>
      </c>
      <c r="D707" s="15">
        <v>8</v>
      </c>
      <c r="E707" s="15">
        <v>155</v>
      </c>
      <c r="F707" s="21">
        <f t="shared" ref="F707:F961" si="118">SUM(C707:E707)</f>
        <v>825</v>
      </c>
      <c r="G707" s="18">
        <v>27</v>
      </c>
      <c r="H707" s="22">
        <f t="shared" si="114"/>
        <v>614.25</v>
      </c>
      <c r="I707" s="22">
        <f t="shared" si="117"/>
        <v>6.5</v>
      </c>
      <c r="J707" s="22">
        <f t="shared" si="117"/>
        <v>102.25</v>
      </c>
      <c r="K707" s="23">
        <f t="shared" si="115"/>
        <v>723</v>
      </c>
      <c r="L707" s="23">
        <f t="shared" si="116"/>
        <v>662.83333333333337</v>
      </c>
      <c r="M707" s="23">
        <f t="shared" si="104"/>
        <v>615</v>
      </c>
      <c r="N707" s="25">
        <f t="shared" si="110"/>
        <v>5.4987212276214836E-2</v>
      </c>
      <c r="O707" s="25">
        <f t="shared" si="111"/>
        <v>0.24465677646467179</v>
      </c>
    </row>
    <row r="708" spans="1:15" x14ac:dyDescent="0.25">
      <c r="A708" s="15" t="s">
        <v>31</v>
      </c>
      <c r="B708" s="26">
        <f t="shared" si="103"/>
        <v>39277</v>
      </c>
      <c r="C708" s="15">
        <v>721</v>
      </c>
      <c r="D708" s="15">
        <v>14</v>
      </c>
      <c r="E708" s="15">
        <v>88</v>
      </c>
      <c r="F708" s="21">
        <f t="shared" si="118"/>
        <v>823</v>
      </c>
      <c r="G708" s="18">
        <v>28</v>
      </c>
      <c r="H708" s="22">
        <f t="shared" si="114"/>
        <v>621.5</v>
      </c>
      <c r="I708" s="22">
        <f t="shared" si="117"/>
        <v>9.25</v>
      </c>
      <c r="J708" s="22">
        <f t="shared" si="117"/>
        <v>103</v>
      </c>
      <c r="K708" s="23">
        <f t="shared" si="115"/>
        <v>733.75</v>
      </c>
      <c r="L708" s="23">
        <f t="shared" si="116"/>
        <v>681.91666666666663</v>
      </c>
      <c r="M708" s="23">
        <f t="shared" si="104"/>
        <v>712.66666666666663</v>
      </c>
      <c r="N708" s="25">
        <f t="shared" si="110"/>
        <v>0.19622093023255813</v>
      </c>
      <c r="O708" s="25">
        <f t="shared" si="111"/>
        <v>0.2068923377734328</v>
      </c>
    </row>
    <row r="709" spans="1:15" x14ac:dyDescent="0.25">
      <c r="A709" s="15" t="s">
        <v>31</v>
      </c>
      <c r="B709" s="26">
        <f t="shared" si="103"/>
        <v>39284</v>
      </c>
      <c r="C709" s="15">
        <v>566</v>
      </c>
      <c r="D709" s="15">
        <v>22</v>
      </c>
      <c r="E709" s="15">
        <v>97</v>
      </c>
      <c r="F709" s="21">
        <f t="shared" si="118"/>
        <v>685</v>
      </c>
      <c r="G709" s="18">
        <v>29</v>
      </c>
      <c r="H709" s="22">
        <f t="shared" si="114"/>
        <v>627.5</v>
      </c>
      <c r="I709" s="22">
        <f t="shared" ref="I709:J711" si="119">AVERAGE(D706:D709)</f>
        <v>13.25</v>
      </c>
      <c r="J709" s="22">
        <f t="shared" si="119"/>
        <v>109.75</v>
      </c>
      <c r="K709" s="23">
        <f t="shared" si="115"/>
        <v>750.5</v>
      </c>
      <c r="L709" s="23">
        <f t="shared" si="116"/>
        <v>664.83333333333337</v>
      </c>
      <c r="M709" s="23">
        <f t="shared" si="104"/>
        <v>598</v>
      </c>
      <c r="N709" s="25">
        <f t="shared" si="110"/>
        <v>-5.647382920110193E-2</v>
      </c>
      <c r="O709" s="25">
        <f t="shared" si="111"/>
        <v>3.033341689646522E-2</v>
      </c>
    </row>
    <row r="710" spans="1:15" x14ac:dyDescent="0.25">
      <c r="A710" s="15" t="s">
        <v>11</v>
      </c>
      <c r="B710" s="26">
        <f t="shared" si="103"/>
        <v>39291</v>
      </c>
      <c r="C710" s="15">
        <v>687</v>
      </c>
      <c r="D710" s="15">
        <v>3</v>
      </c>
      <c r="E710" s="15">
        <v>57</v>
      </c>
      <c r="F710" s="21">
        <f t="shared" si="118"/>
        <v>747</v>
      </c>
      <c r="G710" s="18">
        <v>30</v>
      </c>
      <c r="H710" s="22">
        <f t="shared" ref="H710:H715" si="120">AVERAGE(C707:C710)</f>
        <v>659</v>
      </c>
      <c r="I710" s="22">
        <f t="shared" si="119"/>
        <v>11.75</v>
      </c>
      <c r="J710" s="22">
        <f t="shared" si="119"/>
        <v>99.25</v>
      </c>
      <c r="K710" s="23">
        <f t="shared" si="115"/>
        <v>770</v>
      </c>
      <c r="L710" s="23">
        <f t="shared" si="116"/>
        <v>640.83333333333337</v>
      </c>
      <c r="M710" s="23">
        <f t="shared" si="104"/>
        <v>637.66666666666663</v>
      </c>
      <c r="N710" s="25">
        <f t="shared" si="110"/>
        <v>1.4945652173913044E-2</v>
      </c>
      <c r="O710" s="25">
        <f t="shared" si="111"/>
        <v>0.16566970091027303</v>
      </c>
    </row>
    <row r="711" spans="1:15" x14ac:dyDescent="0.25">
      <c r="A711" s="15" t="s">
        <v>19</v>
      </c>
      <c r="B711" s="26">
        <f t="shared" si="103"/>
        <v>39298</v>
      </c>
      <c r="C711" s="15">
        <v>731</v>
      </c>
      <c r="D711" s="15">
        <v>11</v>
      </c>
      <c r="E711" s="15">
        <v>71</v>
      </c>
      <c r="F711" s="21">
        <f t="shared" si="118"/>
        <v>813</v>
      </c>
      <c r="G711" s="18">
        <v>31</v>
      </c>
      <c r="H711" s="22">
        <f t="shared" si="120"/>
        <v>676.25</v>
      </c>
      <c r="I711" s="22">
        <f t="shared" si="119"/>
        <v>12.5</v>
      </c>
      <c r="J711" s="22">
        <f t="shared" si="119"/>
        <v>78.25</v>
      </c>
      <c r="K711" s="23">
        <f t="shared" ref="K711:K716" si="121">SUM(H711:J711)</f>
        <v>767</v>
      </c>
      <c r="L711" s="23">
        <f t="shared" si="116"/>
        <v>636.83333333333337</v>
      </c>
      <c r="M711" s="23">
        <f t="shared" si="104"/>
        <v>599</v>
      </c>
      <c r="N711" s="25">
        <f t="shared" si="110"/>
        <v>0.14025245441795231</v>
      </c>
      <c r="O711" s="25">
        <f t="shared" si="111"/>
        <v>0.27662915467155186</v>
      </c>
    </row>
    <row r="712" spans="1:15" x14ac:dyDescent="0.25">
      <c r="A712" s="15" t="s">
        <v>19</v>
      </c>
      <c r="B712" s="26">
        <f t="shared" si="103"/>
        <v>39305</v>
      </c>
      <c r="C712" s="15">
        <v>505</v>
      </c>
      <c r="D712" s="15">
        <v>51</v>
      </c>
      <c r="E712" s="15">
        <v>63</v>
      </c>
      <c r="F712" s="21">
        <f t="shared" si="118"/>
        <v>619</v>
      </c>
      <c r="G712" s="18">
        <v>32</v>
      </c>
      <c r="H712" s="22">
        <f t="shared" si="120"/>
        <v>622.25</v>
      </c>
      <c r="I712" s="22">
        <f t="shared" ref="I712:J714" si="122">AVERAGE(D709:D712)</f>
        <v>21.75</v>
      </c>
      <c r="J712" s="22">
        <f t="shared" si="122"/>
        <v>72</v>
      </c>
      <c r="K712" s="23">
        <f t="shared" si="121"/>
        <v>716</v>
      </c>
      <c r="L712" s="23">
        <f t="shared" si="116"/>
        <v>636.08333333333337</v>
      </c>
      <c r="M712" s="23">
        <f t="shared" si="104"/>
        <v>709.66666666666663</v>
      </c>
      <c r="N712" s="25">
        <f t="shared" si="110"/>
        <v>-7.3353293413173648E-2</v>
      </c>
      <c r="O712" s="25">
        <f t="shared" si="111"/>
        <v>-2.6857067994235616E-2</v>
      </c>
    </row>
    <row r="713" spans="1:15" x14ac:dyDescent="0.25">
      <c r="A713" s="15" t="s">
        <v>19</v>
      </c>
      <c r="B713" s="26">
        <f t="shared" si="103"/>
        <v>39312</v>
      </c>
      <c r="C713" s="15">
        <v>406</v>
      </c>
      <c r="D713" s="15">
        <v>53</v>
      </c>
      <c r="E713" s="15">
        <v>125</v>
      </c>
      <c r="F713" s="21">
        <f t="shared" si="118"/>
        <v>584</v>
      </c>
      <c r="G713" s="18">
        <v>33</v>
      </c>
      <c r="H713" s="22">
        <f t="shared" si="120"/>
        <v>582.25</v>
      </c>
      <c r="I713" s="22">
        <f t="shared" si="122"/>
        <v>29.5</v>
      </c>
      <c r="J713" s="22">
        <f t="shared" si="122"/>
        <v>79</v>
      </c>
      <c r="K713" s="23">
        <f t="shared" si="121"/>
        <v>690.75</v>
      </c>
      <c r="L713" s="23">
        <f t="shared" si="116"/>
        <v>634.25</v>
      </c>
      <c r="M713" s="23">
        <f t="shared" si="104"/>
        <v>590.66666666666663</v>
      </c>
      <c r="N713" s="25">
        <f t="shared" si="110"/>
        <v>-0.13737075332348597</v>
      </c>
      <c r="O713" s="25">
        <f t="shared" si="111"/>
        <v>-7.9227433977138356E-2</v>
      </c>
    </row>
    <row r="714" spans="1:15" x14ac:dyDescent="0.25">
      <c r="A714" s="15" t="s">
        <v>19</v>
      </c>
      <c r="B714" s="26">
        <f t="shared" si="103"/>
        <v>39319</v>
      </c>
      <c r="C714" s="15">
        <v>344</v>
      </c>
      <c r="D714" s="15">
        <v>28</v>
      </c>
      <c r="E714" s="15">
        <v>82</v>
      </c>
      <c r="F714" s="21">
        <f t="shared" si="118"/>
        <v>454</v>
      </c>
      <c r="G714" s="18">
        <v>34</v>
      </c>
      <c r="H714" s="22">
        <f t="shared" si="120"/>
        <v>496.5</v>
      </c>
      <c r="I714" s="22">
        <f t="shared" si="122"/>
        <v>35.75</v>
      </c>
      <c r="J714" s="22">
        <f t="shared" si="122"/>
        <v>85.25</v>
      </c>
      <c r="K714" s="23">
        <f t="shared" si="121"/>
        <v>617.5</v>
      </c>
      <c r="L714" s="23">
        <f t="shared" si="116"/>
        <v>600.83333333333337</v>
      </c>
      <c r="M714" s="23">
        <f t="shared" si="104"/>
        <v>504</v>
      </c>
      <c r="N714" s="25">
        <f t="shared" si="110"/>
        <v>0.1407035175879397</v>
      </c>
      <c r="O714" s="25">
        <f t="shared" si="111"/>
        <v>-0.24438280166435511</v>
      </c>
    </row>
    <row r="715" spans="1:15" x14ac:dyDescent="0.25">
      <c r="A715" s="15" t="s">
        <v>24</v>
      </c>
      <c r="B715" s="26">
        <f t="shared" si="103"/>
        <v>39326</v>
      </c>
      <c r="C715" s="15">
        <v>218</v>
      </c>
      <c r="D715" s="15">
        <v>56</v>
      </c>
      <c r="E715" s="15">
        <v>73</v>
      </c>
      <c r="F715" s="21">
        <f t="shared" si="118"/>
        <v>347</v>
      </c>
      <c r="G715" s="18">
        <v>35</v>
      </c>
      <c r="H715" s="22">
        <f t="shared" si="120"/>
        <v>368.25</v>
      </c>
      <c r="I715" s="22">
        <f t="shared" ref="I715:J717" si="123">AVERAGE(D712:D715)</f>
        <v>47</v>
      </c>
      <c r="J715" s="22">
        <f t="shared" si="123"/>
        <v>85.75</v>
      </c>
      <c r="K715" s="23">
        <f t="shared" si="121"/>
        <v>501</v>
      </c>
      <c r="L715" s="23">
        <f t="shared" si="116"/>
        <v>565.91666666666663</v>
      </c>
      <c r="M715" s="23">
        <f t="shared" si="104"/>
        <v>459.33333333333331</v>
      </c>
      <c r="N715" s="25">
        <f t="shared" si="110"/>
        <v>-0.38035714285714284</v>
      </c>
      <c r="O715" s="25">
        <f t="shared" si="111"/>
        <v>-0.38683551759681928</v>
      </c>
    </row>
    <row r="716" spans="1:15" x14ac:dyDescent="0.25">
      <c r="A716" s="15" t="s">
        <v>24</v>
      </c>
      <c r="B716" s="26">
        <f t="shared" si="103"/>
        <v>39333</v>
      </c>
      <c r="C716" s="15">
        <v>183</v>
      </c>
      <c r="D716" s="15">
        <v>22</v>
      </c>
      <c r="E716" s="15">
        <v>45</v>
      </c>
      <c r="F716" s="21">
        <f t="shared" si="118"/>
        <v>250</v>
      </c>
      <c r="G716" s="18">
        <v>36</v>
      </c>
      <c r="H716" s="22">
        <f t="shared" ref="H716:H721" si="124">AVERAGE(C713:C716)</f>
        <v>287.75</v>
      </c>
      <c r="I716" s="22">
        <f t="shared" si="123"/>
        <v>39.75</v>
      </c>
      <c r="J716" s="22">
        <f t="shared" si="123"/>
        <v>81.25</v>
      </c>
      <c r="K716" s="23">
        <f t="shared" si="121"/>
        <v>408.75</v>
      </c>
      <c r="L716" s="23">
        <f t="shared" si="116"/>
        <v>479.41666666666669</v>
      </c>
      <c r="M716" s="23">
        <f t="shared" si="104"/>
        <v>363.66666666666669</v>
      </c>
      <c r="N716" s="25">
        <f t="shared" si="110"/>
        <v>-0.43438914027149322</v>
      </c>
      <c r="O716" s="25">
        <f t="shared" si="111"/>
        <v>-0.47853293933599861</v>
      </c>
    </row>
    <row r="717" spans="1:15" x14ac:dyDescent="0.25">
      <c r="A717" s="40" t="s">
        <v>24</v>
      </c>
      <c r="B717" s="29">
        <f t="shared" si="103"/>
        <v>39340</v>
      </c>
      <c r="C717" s="15">
        <v>159</v>
      </c>
      <c r="D717" s="15">
        <v>67</v>
      </c>
      <c r="E717" s="15">
        <v>30</v>
      </c>
      <c r="F717" s="21">
        <f t="shared" si="118"/>
        <v>256</v>
      </c>
      <c r="G717" s="18">
        <v>37</v>
      </c>
      <c r="H717" s="22">
        <f t="shared" si="124"/>
        <v>226</v>
      </c>
      <c r="I717" s="22">
        <f t="shared" si="123"/>
        <v>43.25</v>
      </c>
      <c r="J717" s="22">
        <f t="shared" si="123"/>
        <v>57.5</v>
      </c>
      <c r="K717" s="23">
        <f t="shared" ref="K717:K722" si="125">SUM(H717:J717)</f>
        <v>326.75</v>
      </c>
      <c r="L717" s="23">
        <f t="shared" si="116"/>
        <v>398.75</v>
      </c>
      <c r="M717" s="23">
        <f t="shared" si="104"/>
        <v>268</v>
      </c>
      <c r="N717" s="25">
        <f t="shared" si="110"/>
        <v>-0.26857142857142857</v>
      </c>
      <c r="O717" s="25">
        <f t="shared" si="111"/>
        <v>-0.35799373040752352</v>
      </c>
    </row>
    <row r="718" spans="1:15" x14ac:dyDescent="0.25">
      <c r="A718" s="40" t="s">
        <v>24</v>
      </c>
      <c r="B718" s="29">
        <f t="shared" si="103"/>
        <v>39347</v>
      </c>
      <c r="C718" s="15">
        <v>199</v>
      </c>
      <c r="D718" s="15">
        <v>0</v>
      </c>
      <c r="E718" s="15">
        <v>56</v>
      </c>
      <c r="F718" s="21">
        <f t="shared" si="118"/>
        <v>255</v>
      </c>
      <c r="G718" s="18">
        <v>38</v>
      </c>
      <c r="H718" s="22">
        <f t="shared" si="124"/>
        <v>189.75</v>
      </c>
      <c r="I718" s="22">
        <f t="shared" ref="I718:J720" si="126">AVERAGE(D715:D718)</f>
        <v>36.25</v>
      </c>
      <c r="J718" s="22">
        <f t="shared" si="126"/>
        <v>51</v>
      </c>
      <c r="K718" s="23">
        <f t="shared" si="125"/>
        <v>277</v>
      </c>
      <c r="L718" s="23">
        <f t="shared" si="116"/>
        <v>354.66666666666669</v>
      </c>
      <c r="M718" s="23">
        <f t="shared" si="104"/>
        <v>327.66666666666669</v>
      </c>
      <c r="N718" s="25">
        <f t="shared" si="110"/>
        <v>-0.47314049586776857</v>
      </c>
      <c r="O718" s="25">
        <f t="shared" si="111"/>
        <v>-0.281015037593985</v>
      </c>
    </row>
    <row r="719" spans="1:15" x14ac:dyDescent="0.25">
      <c r="A719" s="40" t="s">
        <v>24</v>
      </c>
      <c r="B719" s="29">
        <f t="shared" ref="B719:B783" si="127">B718+7</f>
        <v>39354</v>
      </c>
      <c r="C719" s="15">
        <v>241</v>
      </c>
      <c r="D719" s="15">
        <v>17</v>
      </c>
      <c r="E719" s="15">
        <v>68</v>
      </c>
      <c r="F719" s="21">
        <f t="shared" si="118"/>
        <v>326</v>
      </c>
      <c r="G719" s="18">
        <v>39</v>
      </c>
      <c r="H719" s="22">
        <f t="shared" si="124"/>
        <v>195.5</v>
      </c>
      <c r="I719" s="22">
        <f t="shared" si="126"/>
        <v>26.5</v>
      </c>
      <c r="J719" s="22">
        <f t="shared" si="126"/>
        <v>49.75</v>
      </c>
      <c r="K719" s="23">
        <f t="shared" si="125"/>
        <v>271.75</v>
      </c>
      <c r="L719" s="23">
        <f t="shared" ref="L719:L725" si="128">AVERAGE(K563+K615+K667)/3</f>
        <v>331.66666666666669</v>
      </c>
      <c r="M719" s="23">
        <f t="shared" si="104"/>
        <v>367.33333333333331</v>
      </c>
      <c r="N719" s="25">
        <f t="shared" ref="N719:N724" si="129">(F719-F667)/F667</f>
        <v>-0.45936981757877282</v>
      </c>
      <c r="O719" s="25">
        <f t="shared" ref="O719:O724" si="130">(F719-L719)/L719</f>
        <v>-1.7085427135678448E-2</v>
      </c>
    </row>
    <row r="720" spans="1:15" x14ac:dyDescent="0.25">
      <c r="A720" s="40" t="s">
        <v>20</v>
      </c>
      <c r="B720" s="29">
        <f t="shared" si="127"/>
        <v>39361</v>
      </c>
      <c r="C720" s="15">
        <v>229</v>
      </c>
      <c r="D720" s="15">
        <v>6</v>
      </c>
      <c r="E720" s="15">
        <v>129</v>
      </c>
      <c r="F720" s="21">
        <f t="shared" si="118"/>
        <v>364</v>
      </c>
      <c r="G720" s="18">
        <v>40</v>
      </c>
      <c r="H720" s="22">
        <f t="shared" si="124"/>
        <v>207</v>
      </c>
      <c r="I720" s="22">
        <f t="shared" si="126"/>
        <v>22.5</v>
      </c>
      <c r="J720" s="22">
        <f t="shared" si="126"/>
        <v>70.75</v>
      </c>
      <c r="K720" s="23">
        <f t="shared" si="125"/>
        <v>300.25</v>
      </c>
      <c r="L720" s="23">
        <f t="shared" si="128"/>
        <v>363</v>
      </c>
      <c r="M720" s="23">
        <f t="shared" si="104"/>
        <v>489</v>
      </c>
      <c r="N720" s="25">
        <f t="shared" si="129"/>
        <v>-0.37671232876712329</v>
      </c>
      <c r="O720" s="25">
        <f t="shared" si="130"/>
        <v>2.7548209366391185E-3</v>
      </c>
    </row>
    <row r="721" spans="1:15" x14ac:dyDescent="0.25">
      <c r="A721" s="40" t="s">
        <v>20</v>
      </c>
      <c r="B721" s="29">
        <f t="shared" si="127"/>
        <v>39368</v>
      </c>
      <c r="C721" s="15">
        <v>382</v>
      </c>
      <c r="D721" s="15">
        <v>8</v>
      </c>
      <c r="E721" s="15">
        <v>128</v>
      </c>
      <c r="F721" s="21">
        <f t="shared" si="118"/>
        <v>518</v>
      </c>
      <c r="G721" s="18">
        <v>41</v>
      </c>
      <c r="H721" s="22">
        <f t="shared" si="124"/>
        <v>262.75</v>
      </c>
      <c r="I721" s="22">
        <f t="shared" ref="I721:J723" si="131">AVERAGE(D718:D721)</f>
        <v>7.75</v>
      </c>
      <c r="J721" s="22">
        <f t="shared" si="131"/>
        <v>95.25</v>
      </c>
      <c r="K721" s="23">
        <f t="shared" si="125"/>
        <v>365.75</v>
      </c>
      <c r="L721" s="23">
        <f t="shared" si="128"/>
        <v>422.5</v>
      </c>
      <c r="M721" s="23">
        <f t="shared" si="104"/>
        <v>506</v>
      </c>
      <c r="N721" s="25">
        <f t="shared" si="129"/>
        <v>-3.8461538461538464E-3</v>
      </c>
      <c r="O721" s="25">
        <f t="shared" si="130"/>
        <v>0.22603550295857988</v>
      </c>
    </row>
    <row r="722" spans="1:15" x14ac:dyDescent="0.25">
      <c r="A722" s="40" t="s">
        <v>20</v>
      </c>
      <c r="B722" s="29">
        <f t="shared" si="127"/>
        <v>39375</v>
      </c>
      <c r="C722" s="15">
        <v>458</v>
      </c>
      <c r="D722" s="15">
        <v>10</v>
      </c>
      <c r="E722" s="15">
        <v>115</v>
      </c>
      <c r="F722" s="21">
        <f t="shared" si="118"/>
        <v>583</v>
      </c>
      <c r="G722" s="18">
        <v>42</v>
      </c>
      <c r="H722" s="22">
        <f t="shared" ref="H722:H727" si="132">AVERAGE(C719:C722)</f>
        <v>327.5</v>
      </c>
      <c r="I722" s="22">
        <f t="shared" si="131"/>
        <v>10.25</v>
      </c>
      <c r="J722" s="22">
        <f t="shared" si="131"/>
        <v>110</v>
      </c>
      <c r="K722" s="23">
        <f t="shared" si="125"/>
        <v>447.75</v>
      </c>
      <c r="L722" s="23">
        <f t="shared" si="128"/>
        <v>472.66666666666669</v>
      </c>
      <c r="M722" s="23">
        <f t="shared" si="104"/>
        <v>528.33333333333337</v>
      </c>
      <c r="N722" s="25">
        <f t="shared" si="129"/>
        <v>6.7765567765567761E-2</v>
      </c>
      <c r="O722" s="25">
        <f t="shared" si="130"/>
        <v>0.23342736248236948</v>
      </c>
    </row>
    <row r="723" spans="1:15" x14ac:dyDescent="0.25">
      <c r="A723" s="40" t="s">
        <v>20</v>
      </c>
      <c r="B723" s="29">
        <f t="shared" si="127"/>
        <v>39382</v>
      </c>
      <c r="C723" s="15">
        <v>576</v>
      </c>
      <c r="D723" s="15">
        <v>12</v>
      </c>
      <c r="E723" s="15">
        <v>84</v>
      </c>
      <c r="F723" s="21">
        <f t="shared" si="118"/>
        <v>672</v>
      </c>
      <c r="G723" s="18">
        <v>43</v>
      </c>
      <c r="H723" s="22">
        <f t="shared" si="132"/>
        <v>411.25</v>
      </c>
      <c r="I723" s="22">
        <f t="shared" si="131"/>
        <v>9</v>
      </c>
      <c r="J723" s="22">
        <f t="shared" si="131"/>
        <v>114</v>
      </c>
      <c r="K723" s="23">
        <f t="shared" ref="K723:K728" si="133">SUM(H723:J723)</f>
        <v>534.25</v>
      </c>
      <c r="L723" s="23">
        <f t="shared" si="128"/>
        <v>491.5</v>
      </c>
      <c r="M723" s="23">
        <f t="shared" si="104"/>
        <v>442.66666666666669</v>
      </c>
      <c r="N723" s="25">
        <f t="shared" si="129"/>
        <v>0.42675159235668791</v>
      </c>
      <c r="O723" s="25">
        <f t="shared" si="130"/>
        <v>0.36724313326551372</v>
      </c>
    </row>
    <row r="724" spans="1:15" x14ac:dyDescent="0.25">
      <c r="A724" s="16" t="s">
        <v>26</v>
      </c>
      <c r="B724" s="29">
        <f t="shared" si="127"/>
        <v>39389</v>
      </c>
      <c r="C724" s="15">
        <v>494</v>
      </c>
      <c r="D724" s="15">
        <v>13</v>
      </c>
      <c r="E724" s="15">
        <v>17</v>
      </c>
      <c r="F724" s="21">
        <f t="shared" si="118"/>
        <v>524</v>
      </c>
      <c r="G724" s="18">
        <v>44</v>
      </c>
      <c r="H724" s="22">
        <f t="shared" si="132"/>
        <v>477.5</v>
      </c>
      <c r="I724" s="22">
        <f t="shared" ref="I724:J726" si="134">AVERAGE(D721:D724)</f>
        <v>10.75</v>
      </c>
      <c r="J724" s="22">
        <f t="shared" si="134"/>
        <v>86</v>
      </c>
      <c r="K724" s="23">
        <f t="shared" si="133"/>
        <v>574.25</v>
      </c>
      <c r="L724" s="23">
        <f t="shared" si="128"/>
        <v>503.25</v>
      </c>
      <c r="M724" s="23">
        <f t="shared" si="104"/>
        <v>536</v>
      </c>
      <c r="N724" s="25">
        <f t="shared" si="129"/>
        <v>-0.14935064935064934</v>
      </c>
      <c r="O724" s="25">
        <f t="shared" si="130"/>
        <v>4.1231992051664182E-2</v>
      </c>
    </row>
    <row r="725" spans="1:15" x14ac:dyDescent="0.25">
      <c r="A725" s="40" t="s">
        <v>26</v>
      </c>
      <c r="B725" s="29">
        <f t="shared" si="127"/>
        <v>39396</v>
      </c>
      <c r="C725" s="15">
        <v>797</v>
      </c>
      <c r="D725" s="15">
        <v>6</v>
      </c>
      <c r="E725" s="15">
        <v>147</v>
      </c>
      <c r="F725" s="21">
        <f t="shared" si="118"/>
        <v>950</v>
      </c>
      <c r="G725" s="18">
        <v>45</v>
      </c>
      <c r="H725" s="22">
        <f t="shared" si="132"/>
        <v>581.25</v>
      </c>
      <c r="I725" s="22">
        <f t="shared" si="134"/>
        <v>10.25</v>
      </c>
      <c r="J725" s="22">
        <f t="shared" si="134"/>
        <v>90.75</v>
      </c>
      <c r="K725" s="23">
        <f t="shared" si="133"/>
        <v>682.25</v>
      </c>
      <c r="L725" s="23">
        <f t="shared" si="128"/>
        <v>546.83333333333337</v>
      </c>
      <c r="M725" s="23">
        <f t="shared" si="104"/>
        <v>680.33333333333337</v>
      </c>
      <c r="N725" s="25">
        <f t="shared" ref="N725:N732" si="135">(F725-F673)/F673</f>
        <v>0.36103151862464183</v>
      </c>
      <c r="O725" s="25">
        <f t="shared" ref="O725:O732" si="136">(F725-L725)/L725</f>
        <v>0.7372752209692166</v>
      </c>
    </row>
    <row r="726" spans="1:15" x14ac:dyDescent="0.25">
      <c r="A726" s="40" t="s">
        <v>26</v>
      </c>
      <c r="B726" s="29">
        <f t="shared" si="127"/>
        <v>39403</v>
      </c>
      <c r="C726" s="15">
        <v>762</v>
      </c>
      <c r="D726" s="15">
        <v>6</v>
      </c>
      <c r="E726" s="15">
        <v>115</v>
      </c>
      <c r="F726" s="21">
        <f t="shared" si="118"/>
        <v>883</v>
      </c>
      <c r="G726" s="18">
        <v>46</v>
      </c>
      <c r="H726" s="22">
        <f t="shared" si="132"/>
        <v>657.25</v>
      </c>
      <c r="I726" s="22">
        <f t="shared" si="134"/>
        <v>9.25</v>
      </c>
      <c r="J726" s="22">
        <f t="shared" si="134"/>
        <v>90.75</v>
      </c>
      <c r="K726" s="23">
        <f t="shared" si="133"/>
        <v>757.25</v>
      </c>
      <c r="L726" s="23">
        <f t="shared" ref="L726:L740" si="137">AVERAGE(K570+K622+K674)/3</f>
        <v>588.66666666666663</v>
      </c>
      <c r="M726" s="23">
        <f t="shared" si="104"/>
        <v>695.66666666666663</v>
      </c>
      <c r="N726" s="25">
        <f t="shared" si="135"/>
        <v>0.18682795698924731</v>
      </c>
      <c r="O726" s="25">
        <f t="shared" si="136"/>
        <v>0.50000000000000011</v>
      </c>
    </row>
    <row r="727" spans="1:15" x14ac:dyDescent="0.25">
      <c r="A727" s="40" t="s">
        <v>26</v>
      </c>
      <c r="B727" s="29">
        <f t="shared" si="127"/>
        <v>39410</v>
      </c>
      <c r="C727" s="15">
        <v>690</v>
      </c>
      <c r="D727" s="15">
        <v>10</v>
      </c>
      <c r="E727" s="15">
        <v>135</v>
      </c>
      <c r="F727" s="21">
        <f t="shared" si="118"/>
        <v>835</v>
      </c>
      <c r="G727" s="18">
        <v>47</v>
      </c>
      <c r="H727" s="22">
        <f t="shared" si="132"/>
        <v>685.75</v>
      </c>
      <c r="I727" s="22">
        <f t="shared" ref="I727:J729" si="138">AVERAGE(D724:D727)</f>
        <v>8.75</v>
      </c>
      <c r="J727" s="22">
        <f t="shared" si="138"/>
        <v>103.5</v>
      </c>
      <c r="K727" s="23">
        <f t="shared" si="133"/>
        <v>798</v>
      </c>
      <c r="L727" s="23">
        <f t="shared" si="137"/>
        <v>656.41666666666663</v>
      </c>
      <c r="M727" s="23">
        <f t="shared" si="104"/>
        <v>713.66666666666663</v>
      </c>
      <c r="N727" s="25">
        <f t="shared" si="135"/>
        <v>-5.9523809523809521E-3</v>
      </c>
      <c r="O727" s="25">
        <f t="shared" si="136"/>
        <v>0.27205789005966746</v>
      </c>
    </row>
    <row r="728" spans="1:15" x14ac:dyDescent="0.25">
      <c r="A728" s="16" t="s">
        <v>15</v>
      </c>
      <c r="B728" s="29">
        <f t="shared" si="127"/>
        <v>39417</v>
      </c>
      <c r="C728" s="28">
        <f>537473/1000</f>
        <v>537.47299999999996</v>
      </c>
      <c r="D728" s="28">
        <f>24729/1000</f>
        <v>24.728999999999999</v>
      </c>
      <c r="E728" s="28">
        <f>173897/1000</f>
        <v>173.89699999999999</v>
      </c>
      <c r="F728" s="30">
        <f t="shared" si="118"/>
        <v>736.09899999999993</v>
      </c>
      <c r="G728" s="18">
        <v>48</v>
      </c>
      <c r="H728" s="22">
        <f t="shared" ref="H728:H733" si="139">AVERAGE(C725:C728)</f>
        <v>696.61824999999999</v>
      </c>
      <c r="I728" s="22">
        <f t="shared" si="138"/>
        <v>11.68225</v>
      </c>
      <c r="J728" s="22">
        <f t="shared" si="138"/>
        <v>142.72424999999998</v>
      </c>
      <c r="K728" s="23">
        <f t="shared" si="133"/>
        <v>851.02474999999993</v>
      </c>
      <c r="L728" s="23">
        <f t="shared" si="137"/>
        <v>684.83333333333337</v>
      </c>
      <c r="M728" s="23">
        <f t="shared" si="104"/>
        <v>649.66666666666663</v>
      </c>
      <c r="N728" s="25">
        <f t="shared" si="135"/>
        <v>0.18153932584269653</v>
      </c>
      <c r="O728" s="25">
        <f t="shared" si="136"/>
        <v>7.4858603066439364E-2</v>
      </c>
    </row>
    <row r="729" spans="1:15" x14ac:dyDescent="0.25">
      <c r="A729" s="16" t="s">
        <v>15</v>
      </c>
      <c r="B729" s="29">
        <f t="shared" si="127"/>
        <v>39424</v>
      </c>
      <c r="C729" s="15">
        <v>515</v>
      </c>
      <c r="D729" s="15">
        <v>14</v>
      </c>
      <c r="E729" s="15">
        <v>188</v>
      </c>
      <c r="F729" s="30">
        <f t="shared" si="118"/>
        <v>717</v>
      </c>
      <c r="G729" s="18">
        <v>49</v>
      </c>
      <c r="H729" s="22">
        <f t="shared" si="139"/>
        <v>626.11824999999999</v>
      </c>
      <c r="I729" s="22">
        <f t="shared" si="138"/>
        <v>13.68225</v>
      </c>
      <c r="J729" s="22">
        <f t="shared" si="138"/>
        <v>152.97424999999998</v>
      </c>
      <c r="K729" s="23">
        <f t="shared" ref="K729:K734" si="140">SUM(H729:J729)</f>
        <v>792.77474999999993</v>
      </c>
      <c r="L729" s="23">
        <f t="shared" si="137"/>
        <v>710.25</v>
      </c>
      <c r="M729" s="23">
        <f t="shared" si="104"/>
        <v>782</v>
      </c>
      <c r="N729" s="25">
        <f t="shared" si="135"/>
        <v>-0.10820895522388059</v>
      </c>
      <c r="O729" s="25">
        <f t="shared" si="136"/>
        <v>9.5036958817317843E-3</v>
      </c>
    </row>
    <row r="730" spans="1:15" x14ac:dyDescent="0.25">
      <c r="A730" s="16" t="s">
        <v>15</v>
      </c>
      <c r="B730" s="29">
        <f t="shared" si="127"/>
        <v>39431</v>
      </c>
      <c r="C730" s="15">
        <v>479</v>
      </c>
      <c r="D730" s="15">
        <v>13</v>
      </c>
      <c r="E730" s="15">
        <v>144</v>
      </c>
      <c r="F730" s="21">
        <f t="shared" si="118"/>
        <v>636</v>
      </c>
      <c r="G730" s="18">
        <v>50</v>
      </c>
      <c r="H730" s="22">
        <f t="shared" si="139"/>
        <v>555.36824999999999</v>
      </c>
      <c r="I730" s="22">
        <f t="shared" ref="I730:J732" si="141">AVERAGE(D727:D730)</f>
        <v>15.43225</v>
      </c>
      <c r="J730" s="22">
        <f t="shared" si="141"/>
        <v>160.22424999999998</v>
      </c>
      <c r="K730" s="23">
        <f t="shared" si="140"/>
        <v>731.02474999999993</v>
      </c>
      <c r="L730" s="23">
        <f t="shared" si="137"/>
        <v>713.75</v>
      </c>
      <c r="M730" s="23">
        <f t="shared" si="104"/>
        <v>709.66666666666663</v>
      </c>
      <c r="N730" s="25">
        <f t="shared" si="135"/>
        <v>-0.24285714285714285</v>
      </c>
      <c r="O730" s="25">
        <f t="shared" si="136"/>
        <v>-0.10893169877408056</v>
      </c>
    </row>
    <row r="731" spans="1:15" x14ac:dyDescent="0.25">
      <c r="A731" s="16" t="s">
        <v>15</v>
      </c>
      <c r="B731" s="29">
        <f t="shared" si="127"/>
        <v>39438</v>
      </c>
      <c r="C731" s="15">
        <v>204</v>
      </c>
      <c r="D731" s="15">
        <v>5</v>
      </c>
      <c r="E731" s="15">
        <v>56</v>
      </c>
      <c r="F731" s="21">
        <f t="shared" si="118"/>
        <v>265</v>
      </c>
      <c r="G731" s="18">
        <v>51</v>
      </c>
      <c r="H731" s="22">
        <f t="shared" si="139"/>
        <v>433.86824999999999</v>
      </c>
      <c r="I731" s="22">
        <f t="shared" si="141"/>
        <v>14.18225</v>
      </c>
      <c r="J731" s="22">
        <f t="shared" si="141"/>
        <v>140.47424999999998</v>
      </c>
      <c r="K731" s="23">
        <f t="shared" si="140"/>
        <v>588.52475000000004</v>
      </c>
      <c r="L731" s="23">
        <f t="shared" si="137"/>
        <v>664.25</v>
      </c>
      <c r="M731" s="23">
        <f t="shared" si="104"/>
        <v>515.66666666666663</v>
      </c>
      <c r="N731" s="25">
        <f t="shared" si="135"/>
        <v>-0.57735247208931417</v>
      </c>
      <c r="O731" s="25">
        <f t="shared" si="136"/>
        <v>-0.60105382009785469</v>
      </c>
    </row>
    <row r="732" spans="1:15" x14ac:dyDescent="0.25">
      <c r="A732" s="16" t="s">
        <v>15</v>
      </c>
      <c r="B732" s="29">
        <f t="shared" si="127"/>
        <v>39445</v>
      </c>
      <c r="C732" s="15">
        <v>429</v>
      </c>
      <c r="D732" s="15">
        <v>0</v>
      </c>
      <c r="E732" s="15">
        <v>36</v>
      </c>
      <c r="F732" s="21">
        <f t="shared" si="118"/>
        <v>465</v>
      </c>
      <c r="G732" s="18">
        <v>52</v>
      </c>
      <c r="H732" s="22">
        <f t="shared" si="139"/>
        <v>406.75</v>
      </c>
      <c r="I732" s="22">
        <f t="shared" si="141"/>
        <v>8</v>
      </c>
      <c r="J732" s="22">
        <f t="shared" si="141"/>
        <v>106</v>
      </c>
      <c r="K732" s="23">
        <f t="shared" si="140"/>
        <v>520.75</v>
      </c>
      <c r="L732" s="23">
        <f t="shared" si="137"/>
        <v>602.08333333333337</v>
      </c>
      <c r="M732" s="23">
        <f t="shared" si="104"/>
        <v>401</v>
      </c>
      <c r="N732" s="25">
        <f t="shared" si="135"/>
        <v>0.25</v>
      </c>
      <c r="O732" s="25">
        <f t="shared" si="136"/>
        <v>-0.22768166089965403</v>
      </c>
    </row>
    <row r="733" spans="1:15" x14ac:dyDescent="0.25">
      <c r="A733" s="16" t="s">
        <v>16</v>
      </c>
      <c r="B733" s="29">
        <f t="shared" si="127"/>
        <v>39452</v>
      </c>
      <c r="C733" s="15">
        <v>288</v>
      </c>
      <c r="D733" s="15">
        <v>8</v>
      </c>
      <c r="E733" s="15">
        <v>72</v>
      </c>
      <c r="F733" s="21">
        <f t="shared" si="118"/>
        <v>368</v>
      </c>
      <c r="G733" s="18">
        <v>1</v>
      </c>
      <c r="H733" s="22">
        <f t="shared" si="139"/>
        <v>350</v>
      </c>
      <c r="I733" s="22">
        <f t="shared" ref="I733:J735" si="142">AVERAGE(D730:D733)</f>
        <v>6.5</v>
      </c>
      <c r="J733" s="22">
        <f t="shared" si="142"/>
        <v>77</v>
      </c>
      <c r="K733" s="23">
        <f t="shared" si="140"/>
        <v>433.5</v>
      </c>
      <c r="L733" s="23">
        <f t="shared" si="137"/>
        <v>507.75</v>
      </c>
      <c r="M733" s="23">
        <f t="shared" si="104"/>
        <v>404.66666666666669</v>
      </c>
      <c r="N733" s="25">
        <f t="shared" ref="N733:N740" si="143">(F733-F681)/F681</f>
        <v>2.5069637883008356E-2</v>
      </c>
      <c r="O733" s="25">
        <f t="shared" ref="O733:O740" si="144">(F733-L733)/L733</f>
        <v>-0.27523387493845397</v>
      </c>
    </row>
    <row r="734" spans="1:15" x14ac:dyDescent="0.25">
      <c r="A734" s="16" t="s">
        <v>16</v>
      </c>
      <c r="B734" s="29">
        <f t="shared" si="127"/>
        <v>39459</v>
      </c>
      <c r="C734" s="15">
        <v>188</v>
      </c>
      <c r="D734" s="15">
        <v>2</v>
      </c>
      <c r="E734" s="15">
        <v>72</v>
      </c>
      <c r="F734" s="21">
        <f t="shared" si="118"/>
        <v>262</v>
      </c>
      <c r="G734" s="18">
        <v>2</v>
      </c>
      <c r="H734" s="22">
        <f t="shared" ref="H734:H739" si="145">AVERAGE(C731:C734)</f>
        <v>277.25</v>
      </c>
      <c r="I734" s="22">
        <f t="shared" si="142"/>
        <v>3.75</v>
      </c>
      <c r="J734" s="22">
        <f t="shared" si="142"/>
        <v>59</v>
      </c>
      <c r="K734" s="23">
        <f t="shared" si="140"/>
        <v>340</v>
      </c>
      <c r="L734" s="23">
        <f t="shared" si="137"/>
        <v>424</v>
      </c>
      <c r="M734" s="23">
        <f t="shared" si="104"/>
        <v>374.66666666666669</v>
      </c>
      <c r="N734" s="25">
        <f t="shared" si="143"/>
        <v>-0.47070707070707068</v>
      </c>
      <c r="O734" s="25">
        <f t="shared" si="144"/>
        <v>-0.38207547169811323</v>
      </c>
    </row>
    <row r="735" spans="1:15" x14ac:dyDescent="0.25">
      <c r="A735" s="16" t="s">
        <v>16</v>
      </c>
      <c r="B735" s="29">
        <f t="shared" si="127"/>
        <v>39466</v>
      </c>
      <c r="C735" s="15">
        <v>173</v>
      </c>
      <c r="D735" s="15">
        <v>0</v>
      </c>
      <c r="E735" s="15">
        <v>54</v>
      </c>
      <c r="F735" s="21">
        <f t="shared" si="118"/>
        <v>227</v>
      </c>
      <c r="G735" s="18">
        <v>3</v>
      </c>
      <c r="H735" s="22">
        <f t="shared" si="145"/>
        <v>269.5</v>
      </c>
      <c r="I735" s="22">
        <f t="shared" si="142"/>
        <v>2.5</v>
      </c>
      <c r="J735" s="22">
        <f t="shared" si="142"/>
        <v>58.5</v>
      </c>
      <c r="K735" s="23">
        <f t="shared" ref="K735:K740" si="146">SUM(H735:J735)</f>
        <v>330.5</v>
      </c>
      <c r="L735" s="23">
        <f t="shared" si="137"/>
        <v>355.25</v>
      </c>
      <c r="M735" s="23">
        <f t="shared" si="104"/>
        <v>240.66666666666666</v>
      </c>
      <c r="N735" s="25">
        <f t="shared" si="143"/>
        <v>-0.32640949554896143</v>
      </c>
      <c r="O735" s="25">
        <f t="shared" si="144"/>
        <v>-0.3610133708655876</v>
      </c>
    </row>
    <row r="736" spans="1:15" x14ac:dyDescent="0.25">
      <c r="A736" s="16" t="s">
        <v>16</v>
      </c>
      <c r="B736" s="29">
        <f t="shared" si="127"/>
        <v>39473</v>
      </c>
      <c r="C736" s="15">
        <v>193</v>
      </c>
      <c r="D736" s="15">
        <v>0</v>
      </c>
      <c r="E736" s="15">
        <v>39</v>
      </c>
      <c r="F736" s="21">
        <f t="shared" si="118"/>
        <v>232</v>
      </c>
      <c r="G736" s="18">
        <v>4</v>
      </c>
      <c r="H736" s="22">
        <f t="shared" si="145"/>
        <v>210.5</v>
      </c>
      <c r="I736" s="22">
        <f t="shared" ref="I736:J738" si="147">AVERAGE(D733:D736)</f>
        <v>2.5</v>
      </c>
      <c r="J736" s="22">
        <f t="shared" si="147"/>
        <v>59.25</v>
      </c>
      <c r="K736" s="23">
        <f t="shared" si="146"/>
        <v>272.25</v>
      </c>
      <c r="L736" s="23">
        <f t="shared" si="137"/>
        <v>350.58333333333331</v>
      </c>
      <c r="M736" s="23">
        <f t="shared" si="104"/>
        <v>382.33333333333331</v>
      </c>
      <c r="N736" s="25">
        <f t="shared" si="143"/>
        <v>-0.45023696682464454</v>
      </c>
      <c r="O736" s="25">
        <f t="shared" si="144"/>
        <v>-0.33824578084145468</v>
      </c>
    </row>
    <row r="737" spans="1:15" x14ac:dyDescent="0.25">
      <c r="A737" s="16" t="s">
        <v>23</v>
      </c>
      <c r="B737" s="29">
        <f t="shared" si="127"/>
        <v>39480</v>
      </c>
      <c r="C737" s="15">
        <v>184</v>
      </c>
      <c r="D737" s="15">
        <v>0</v>
      </c>
      <c r="E737" s="15">
        <v>31</v>
      </c>
      <c r="F737" s="21">
        <f t="shared" si="118"/>
        <v>215</v>
      </c>
      <c r="G737" s="18">
        <v>5</v>
      </c>
      <c r="H737" s="22">
        <f t="shared" si="145"/>
        <v>184.5</v>
      </c>
      <c r="I737" s="22">
        <f t="shared" si="147"/>
        <v>0.5</v>
      </c>
      <c r="J737" s="22">
        <f t="shared" si="147"/>
        <v>49</v>
      </c>
      <c r="K737" s="23">
        <f t="shared" si="146"/>
        <v>234</v>
      </c>
      <c r="L737" s="23">
        <f t="shared" si="137"/>
        <v>322.83333333333331</v>
      </c>
      <c r="M737" s="23">
        <f t="shared" si="104"/>
        <v>293.66666666666669</v>
      </c>
      <c r="N737" s="25">
        <f t="shared" si="143"/>
        <v>0.28742514970059879</v>
      </c>
      <c r="O737" s="25">
        <f t="shared" si="144"/>
        <v>-0.33402168301497159</v>
      </c>
    </row>
    <row r="738" spans="1:15" x14ac:dyDescent="0.25">
      <c r="A738" s="16" t="s">
        <v>23</v>
      </c>
      <c r="B738" s="29">
        <f t="shared" si="127"/>
        <v>39487</v>
      </c>
      <c r="C738" s="15">
        <v>246</v>
      </c>
      <c r="D738" s="15">
        <v>2</v>
      </c>
      <c r="E738" s="15">
        <v>61</v>
      </c>
      <c r="F738" s="21">
        <f t="shared" si="118"/>
        <v>309</v>
      </c>
      <c r="G738" s="18">
        <v>6</v>
      </c>
      <c r="H738" s="22">
        <f t="shared" si="145"/>
        <v>199</v>
      </c>
      <c r="I738" s="22">
        <f t="shared" si="147"/>
        <v>0.5</v>
      </c>
      <c r="J738" s="22">
        <f t="shared" si="147"/>
        <v>46.25</v>
      </c>
      <c r="K738" s="23">
        <f t="shared" si="146"/>
        <v>245.75</v>
      </c>
      <c r="L738" s="23">
        <f t="shared" si="137"/>
        <v>309.91666666666669</v>
      </c>
      <c r="M738" s="23">
        <f t="shared" si="104"/>
        <v>323</v>
      </c>
      <c r="N738" s="25">
        <f t="shared" si="143"/>
        <v>0.42396313364055299</v>
      </c>
      <c r="O738" s="25">
        <f t="shared" si="144"/>
        <v>-2.9577843506319512E-3</v>
      </c>
    </row>
    <row r="739" spans="1:15" x14ac:dyDescent="0.25">
      <c r="A739" s="16" t="s">
        <v>23</v>
      </c>
      <c r="B739" s="29">
        <f t="shared" si="127"/>
        <v>39494</v>
      </c>
      <c r="C739" s="15">
        <v>96</v>
      </c>
      <c r="D739" s="15">
        <v>17</v>
      </c>
      <c r="E739" s="15">
        <v>58</v>
      </c>
      <c r="F739" s="21">
        <f t="shared" si="118"/>
        <v>171</v>
      </c>
      <c r="G739" s="18">
        <v>7</v>
      </c>
      <c r="H739" s="22">
        <f t="shared" si="145"/>
        <v>179.75</v>
      </c>
      <c r="I739" s="22">
        <f t="shared" ref="I739:J741" si="148">AVERAGE(D736:D739)</f>
        <v>4.75</v>
      </c>
      <c r="J739" s="22">
        <f t="shared" si="148"/>
        <v>47.25</v>
      </c>
      <c r="K739" s="23">
        <f t="shared" si="146"/>
        <v>231.75</v>
      </c>
      <c r="L739" s="23">
        <f t="shared" si="137"/>
        <v>297.83333333333331</v>
      </c>
      <c r="M739" s="23">
        <f t="shared" si="104"/>
        <v>192.33333333333334</v>
      </c>
      <c r="N739" s="25">
        <f t="shared" si="143"/>
        <v>3.75</v>
      </c>
      <c r="O739" s="25">
        <f t="shared" si="144"/>
        <v>-0.42585338556239505</v>
      </c>
    </row>
    <row r="740" spans="1:15" x14ac:dyDescent="0.25">
      <c r="A740" s="16" t="s">
        <v>23</v>
      </c>
      <c r="B740" s="29">
        <f t="shared" si="127"/>
        <v>39501</v>
      </c>
      <c r="C740" s="15">
        <v>168</v>
      </c>
      <c r="D740" s="15">
        <v>2</v>
      </c>
      <c r="E740" s="15">
        <v>89</v>
      </c>
      <c r="F740" s="21">
        <f t="shared" si="118"/>
        <v>259</v>
      </c>
      <c r="G740" s="18">
        <v>8</v>
      </c>
      <c r="H740" s="22">
        <f t="shared" ref="H740:H745" si="149">AVERAGE(C737:C740)</f>
        <v>173.5</v>
      </c>
      <c r="I740" s="22">
        <f t="shared" si="148"/>
        <v>5.25</v>
      </c>
      <c r="J740" s="22">
        <f t="shared" si="148"/>
        <v>59.75</v>
      </c>
      <c r="K740" s="23">
        <f t="shared" si="146"/>
        <v>238.5</v>
      </c>
      <c r="L740" s="23">
        <f t="shared" si="137"/>
        <v>256.08333333333331</v>
      </c>
      <c r="M740" s="23">
        <f t="shared" si="104"/>
        <v>215.33333333333334</v>
      </c>
      <c r="N740" s="25">
        <f t="shared" si="143"/>
        <v>6.1944444444444446</v>
      </c>
      <c r="O740" s="25">
        <f t="shared" si="144"/>
        <v>1.1389521640091192E-2</v>
      </c>
    </row>
    <row r="741" spans="1:15" x14ac:dyDescent="0.25">
      <c r="A741" s="16" t="s">
        <v>27</v>
      </c>
      <c r="B741" s="29">
        <f t="shared" si="127"/>
        <v>39508</v>
      </c>
      <c r="C741" s="15">
        <v>164</v>
      </c>
      <c r="D741" s="15">
        <v>2</v>
      </c>
      <c r="E741" s="15">
        <v>37</v>
      </c>
      <c r="F741" s="21">
        <f t="shared" si="118"/>
        <v>203</v>
      </c>
      <c r="G741" s="18">
        <v>9</v>
      </c>
      <c r="H741" s="22">
        <f t="shared" si="149"/>
        <v>168.5</v>
      </c>
      <c r="I741" s="22">
        <f t="shared" si="148"/>
        <v>5.75</v>
      </c>
      <c r="J741" s="22">
        <f t="shared" si="148"/>
        <v>61.25</v>
      </c>
      <c r="K741" s="23">
        <f t="shared" ref="K741:K746" si="150">SUM(H741:J741)</f>
        <v>235.5</v>
      </c>
      <c r="L741" s="23">
        <f>AVERAGE(K585+K637+K689)/3</f>
        <v>256</v>
      </c>
      <c r="M741" s="23">
        <f t="shared" si="104"/>
        <v>293.33333333333331</v>
      </c>
      <c r="N741" s="25">
        <f t="shared" ref="N741:N746" si="151">(F741-F689)/F689</f>
        <v>-0.35555555555555557</v>
      </c>
      <c r="O741" s="25">
        <f t="shared" ref="O741:O746" si="152">(F741-L741)/L741</f>
        <v>-0.20703125</v>
      </c>
    </row>
    <row r="742" spans="1:15" x14ac:dyDescent="0.25">
      <c r="A742" s="16" t="s">
        <v>27</v>
      </c>
      <c r="B742" s="29">
        <f t="shared" si="127"/>
        <v>39515</v>
      </c>
      <c r="C742" s="15">
        <v>262</v>
      </c>
      <c r="D742" s="15">
        <v>0</v>
      </c>
      <c r="E742" s="15">
        <v>100</v>
      </c>
      <c r="F742" s="21">
        <f t="shared" si="118"/>
        <v>362</v>
      </c>
      <c r="G742" s="18">
        <v>10</v>
      </c>
      <c r="H742" s="22">
        <f t="shared" si="149"/>
        <v>172.5</v>
      </c>
      <c r="I742" s="22">
        <f t="shared" ref="I742:J744" si="153">AVERAGE(D739:D742)</f>
        <v>5.25</v>
      </c>
      <c r="J742" s="22">
        <f t="shared" si="153"/>
        <v>71</v>
      </c>
      <c r="K742" s="23">
        <f t="shared" si="150"/>
        <v>248.75</v>
      </c>
      <c r="L742" s="23">
        <f>AVERAGE(K586+K638+K690)/3</f>
        <v>261.75</v>
      </c>
      <c r="M742" s="23">
        <f t="shared" si="104"/>
        <v>346</v>
      </c>
      <c r="N742" s="25">
        <f t="shared" si="151"/>
        <v>-0.12348668280871671</v>
      </c>
      <c r="O742" s="25">
        <f t="shared" si="152"/>
        <v>0.38299904489016234</v>
      </c>
    </row>
    <row r="743" spans="1:15" x14ac:dyDescent="0.25">
      <c r="A743" s="16" t="s">
        <v>27</v>
      </c>
      <c r="B743" s="29">
        <f t="shared" si="127"/>
        <v>39522</v>
      </c>
      <c r="C743" s="15">
        <v>206</v>
      </c>
      <c r="D743" s="15">
        <v>14</v>
      </c>
      <c r="E743" s="15">
        <v>76</v>
      </c>
      <c r="F743" s="21">
        <f t="shared" si="118"/>
        <v>296</v>
      </c>
      <c r="G743" s="18">
        <v>11</v>
      </c>
      <c r="H743" s="22">
        <f t="shared" si="149"/>
        <v>200</v>
      </c>
      <c r="I743" s="22">
        <f t="shared" si="153"/>
        <v>4.5</v>
      </c>
      <c r="J743" s="22">
        <f t="shared" si="153"/>
        <v>75.5</v>
      </c>
      <c r="K743" s="23">
        <f t="shared" si="150"/>
        <v>280</v>
      </c>
      <c r="L743" s="23">
        <f>AVERAGE(K587+K639+K691)/3</f>
        <v>303</v>
      </c>
      <c r="M743" s="23">
        <f t="shared" si="104"/>
        <v>357.33333333333331</v>
      </c>
      <c r="N743" s="25">
        <f t="shared" si="151"/>
        <v>-0.33632286995515698</v>
      </c>
      <c r="O743" s="25">
        <f t="shared" si="152"/>
        <v>-2.3102310231023101E-2</v>
      </c>
    </row>
    <row r="744" spans="1:15" x14ac:dyDescent="0.25">
      <c r="A744" s="16" t="s">
        <v>27</v>
      </c>
      <c r="B744" s="29">
        <f t="shared" si="127"/>
        <v>39529</v>
      </c>
      <c r="C744" s="15">
        <v>244</v>
      </c>
      <c r="D744" s="15">
        <v>9</v>
      </c>
      <c r="E744" s="15">
        <v>54</v>
      </c>
      <c r="F744" s="21">
        <f t="shared" si="118"/>
        <v>307</v>
      </c>
      <c r="G744" s="18">
        <v>12</v>
      </c>
      <c r="H744" s="22">
        <f t="shared" si="149"/>
        <v>219</v>
      </c>
      <c r="I744" s="22">
        <f t="shared" si="153"/>
        <v>6.25</v>
      </c>
      <c r="J744" s="22">
        <f t="shared" si="153"/>
        <v>66.75</v>
      </c>
      <c r="K744" s="23">
        <f t="shared" si="150"/>
        <v>292</v>
      </c>
      <c r="L744" s="23">
        <f>AVERAGE(K588+K640+K692)/3</f>
        <v>337.91666666666669</v>
      </c>
      <c r="M744" s="23">
        <f t="shared" si="104"/>
        <v>355</v>
      </c>
      <c r="N744" s="25">
        <f t="shared" si="151"/>
        <v>-0.35368421052631577</v>
      </c>
      <c r="O744" s="25">
        <f t="shared" si="152"/>
        <v>-9.1491985203452572E-2</v>
      </c>
    </row>
    <row r="745" spans="1:15" x14ac:dyDescent="0.25">
      <c r="A745" s="16" t="s">
        <v>27</v>
      </c>
      <c r="B745" s="29">
        <f t="shared" si="127"/>
        <v>39536</v>
      </c>
      <c r="C745" s="15">
        <v>298</v>
      </c>
      <c r="D745" s="15">
        <v>6</v>
      </c>
      <c r="E745" s="15">
        <v>104</v>
      </c>
      <c r="F745" s="21">
        <f t="shared" si="118"/>
        <v>408</v>
      </c>
      <c r="G745" s="18">
        <v>13</v>
      </c>
      <c r="H745" s="22">
        <f t="shared" si="149"/>
        <v>252.5</v>
      </c>
      <c r="I745" s="22">
        <f t="shared" ref="I745:J747" si="154">AVERAGE(D742:D745)</f>
        <v>7.25</v>
      </c>
      <c r="J745" s="22">
        <f t="shared" si="154"/>
        <v>83.5</v>
      </c>
      <c r="K745" s="23">
        <f t="shared" si="150"/>
        <v>343.25</v>
      </c>
      <c r="L745" s="23">
        <f t="shared" ref="L745:L751" si="155">AVERAGE(K589+K641+K693)/3</f>
        <v>369.83333333333331</v>
      </c>
      <c r="M745" s="23">
        <f t="shared" si="104"/>
        <v>421</v>
      </c>
      <c r="N745" s="25">
        <f t="shared" si="151"/>
        <v>0.18604651162790697</v>
      </c>
      <c r="O745" s="25">
        <f t="shared" si="152"/>
        <v>0.10319963947724206</v>
      </c>
    </row>
    <row r="746" spans="1:15" x14ac:dyDescent="0.25">
      <c r="A746" s="16" t="s">
        <v>14</v>
      </c>
      <c r="B746" s="29">
        <f t="shared" si="127"/>
        <v>39543</v>
      </c>
      <c r="C746" s="15">
        <v>360</v>
      </c>
      <c r="D746" s="15">
        <v>35</v>
      </c>
      <c r="E746" s="15">
        <v>130</v>
      </c>
      <c r="F746" s="21">
        <f t="shared" si="118"/>
        <v>525</v>
      </c>
      <c r="G746" s="18">
        <v>14</v>
      </c>
      <c r="H746" s="22">
        <f t="shared" ref="H746:H751" si="156">AVERAGE(C743:C746)</f>
        <v>277</v>
      </c>
      <c r="I746" s="22">
        <f t="shared" si="154"/>
        <v>16</v>
      </c>
      <c r="J746" s="22">
        <f t="shared" si="154"/>
        <v>91</v>
      </c>
      <c r="K746" s="23">
        <f t="shared" si="150"/>
        <v>384</v>
      </c>
      <c r="L746" s="23">
        <f t="shared" si="155"/>
        <v>395.25</v>
      </c>
      <c r="M746" s="23">
        <f t="shared" si="104"/>
        <v>447.66666666666669</v>
      </c>
      <c r="N746" s="25">
        <f t="shared" si="151"/>
        <v>0.171875</v>
      </c>
      <c r="O746" s="25">
        <f t="shared" si="152"/>
        <v>0.32827324478178366</v>
      </c>
    </row>
    <row r="747" spans="1:15" x14ac:dyDescent="0.25">
      <c r="A747" s="16" t="s">
        <v>14</v>
      </c>
      <c r="B747" s="29">
        <f t="shared" si="127"/>
        <v>39550</v>
      </c>
      <c r="C747" s="15">
        <v>334</v>
      </c>
      <c r="D747" s="15">
        <v>9</v>
      </c>
      <c r="E747" s="15">
        <v>89</v>
      </c>
      <c r="F747" s="21">
        <f t="shared" si="118"/>
        <v>432</v>
      </c>
      <c r="G747" s="18">
        <v>15</v>
      </c>
      <c r="H747" s="22">
        <f t="shared" si="156"/>
        <v>309</v>
      </c>
      <c r="I747" s="22">
        <f t="shared" si="154"/>
        <v>14.75</v>
      </c>
      <c r="J747" s="22">
        <f t="shared" si="154"/>
        <v>94.25</v>
      </c>
      <c r="K747" s="23">
        <f t="shared" ref="K747:K752" si="157">SUM(H747:J747)</f>
        <v>418</v>
      </c>
      <c r="L747" s="23">
        <f t="shared" si="155"/>
        <v>445.83333333333331</v>
      </c>
      <c r="M747" s="23">
        <f t="shared" si="104"/>
        <v>559.66666666666663</v>
      </c>
      <c r="N747" s="25">
        <f t="shared" ref="N747:N752" si="158">(F747-F695)/F695</f>
        <v>-1.5945330296127564E-2</v>
      </c>
      <c r="O747" s="25">
        <f t="shared" ref="O747:O752" si="159">(F747-L747)/L747</f>
        <v>-3.1028037383177529E-2</v>
      </c>
    </row>
    <row r="748" spans="1:15" x14ac:dyDescent="0.25">
      <c r="A748" s="16" t="s">
        <v>14</v>
      </c>
      <c r="B748" s="29">
        <f t="shared" si="127"/>
        <v>39557</v>
      </c>
      <c r="C748" s="15">
        <v>383</v>
      </c>
      <c r="D748" s="15">
        <v>2</v>
      </c>
      <c r="E748" s="15">
        <v>75</v>
      </c>
      <c r="F748" s="21">
        <f t="shared" si="118"/>
        <v>460</v>
      </c>
      <c r="G748" s="18">
        <v>16</v>
      </c>
      <c r="H748" s="22">
        <f t="shared" si="156"/>
        <v>343.75</v>
      </c>
      <c r="I748" s="22">
        <f t="shared" ref="I748:J750" si="160">AVERAGE(D745:D748)</f>
        <v>13</v>
      </c>
      <c r="J748" s="22">
        <f t="shared" si="160"/>
        <v>99.5</v>
      </c>
      <c r="K748" s="23">
        <f t="shared" si="157"/>
        <v>456.25</v>
      </c>
      <c r="L748" s="23">
        <f t="shared" si="155"/>
        <v>492.66666666666669</v>
      </c>
      <c r="M748" s="23">
        <f t="shared" si="104"/>
        <v>542.33333333333337</v>
      </c>
      <c r="N748" s="25">
        <f t="shared" si="158"/>
        <v>-0.19720767888307156</v>
      </c>
      <c r="O748" s="25">
        <f t="shared" si="159"/>
        <v>-6.630581867388366E-2</v>
      </c>
    </row>
    <row r="749" spans="1:15" x14ac:dyDescent="0.25">
      <c r="A749" s="16" t="s">
        <v>14</v>
      </c>
      <c r="B749" s="29">
        <f t="shared" si="127"/>
        <v>39564</v>
      </c>
      <c r="C749" s="15">
        <v>358</v>
      </c>
      <c r="D749" s="15">
        <v>10</v>
      </c>
      <c r="E749" s="15">
        <v>99</v>
      </c>
      <c r="F749" s="21">
        <f t="shared" si="118"/>
        <v>467</v>
      </c>
      <c r="G749" s="18">
        <v>17</v>
      </c>
      <c r="H749" s="22">
        <f t="shared" si="156"/>
        <v>358.75</v>
      </c>
      <c r="I749" s="22">
        <f t="shared" si="160"/>
        <v>14</v>
      </c>
      <c r="J749" s="22">
        <f t="shared" si="160"/>
        <v>98.25</v>
      </c>
      <c r="K749" s="23">
        <f t="shared" si="157"/>
        <v>471</v>
      </c>
      <c r="L749" s="23">
        <f t="shared" si="155"/>
        <v>523.91666666666663</v>
      </c>
      <c r="M749" s="23">
        <f t="shared" si="104"/>
        <v>546</v>
      </c>
      <c r="N749" s="25">
        <f t="shared" si="158"/>
        <v>-0.18641114982578397</v>
      </c>
      <c r="O749" s="25">
        <f t="shared" si="159"/>
        <v>-0.10863686973119129</v>
      </c>
    </row>
    <row r="750" spans="1:15" x14ac:dyDescent="0.25">
      <c r="A750" s="16" t="s">
        <v>5</v>
      </c>
      <c r="B750" s="29">
        <f t="shared" si="127"/>
        <v>39571</v>
      </c>
      <c r="C750" s="15">
        <v>191</v>
      </c>
      <c r="D750" s="15">
        <v>2</v>
      </c>
      <c r="E750" s="15">
        <v>53</v>
      </c>
      <c r="F750" s="21">
        <f t="shared" si="118"/>
        <v>246</v>
      </c>
      <c r="G750" s="18">
        <v>18</v>
      </c>
      <c r="H750" s="22">
        <f t="shared" si="156"/>
        <v>316.5</v>
      </c>
      <c r="I750" s="22">
        <f t="shared" si="160"/>
        <v>5.75</v>
      </c>
      <c r="J750" s="22">
        <f t="shared" si="160"/>
        <v>79</v>
      </c>
      <c r="K750" s="23">
        <f t="shared" si="157"/>
        <v>401.25</v>
      </c>
      <c r="L750" s="23">
        <f t="shared" si="155"/>
        <v>545.83333333333337</v>
      </c>
      <c r="M750" s="23">
        <f t="shared" si="104"/>
        <v>535.33333333333337</v>
      </c>
      <c r="N750" s="25">
        <f t="shared" si="158"/>
        <v>-0.44469525959367945</v>
      </c>
      <c r="O750" s="25">
        <f t="shared" si="159"/>
        <v>-0.54931297709923665</v>
      </c>
    </row>
    <row r="751" spans="1:15" x14ac:dyDescent="0.25">
      <c r="A751" s="16" t="s">
        <v>5</v>
      </c>
      <c r="B751" s="29">
        <f t="shared" si="127"/>
        <v>39578</v>
      </c>
      <c r="C751" s="15">
        <v>108</v>
      </c>
      <c r="D751" s="15">
        <v>11</v>
      </c>
      <c r="E751" s="15">
        <v>22</v>
      </c>
      <c r="F751" s="21">
        <f t="shared" si="118"/>
        <v>141</v>
      </c>
      <c r="G751" s="18">
        <v>19</v>
      </c>
      <c r="H751" s="22">
        <f t="shared" si="156"/>
        <v>260</v>
      </c>
      <c r="I751" s="22">
        <f t="shared" ref="I751:J753" si="161">AVERAGE(D748:D751)</f>
        <v>6.25</v>
      </c>
      <c r="J751" s="22">
        <f t="shared" si="161"/>
        <v>62.25</v>
      </c>
      <c r="K751" s="23">
        <f t="shared" si="157"/>
        <v>328.5</v>
      </c>
      <c r="L751" s="23">
        <f t="shared" si="155"/>
        <v>547.58333333333337</v>
      </c>
      <c r="M751" s="23">
        <f t="shared" si="104"/>
        <v>566.66666666666663</v>
      </c>
      <c r="N751" s="25">
        <f t="shared" si="158"/>
        <v>-0.70440251572327039</v>
      </c>
      <c r="O751" s="25">
        <f t="shared" si="159"/>
        <v>-0.74250494597473748</v>
      </c>
    </row>
    <row r="752" spans="1:15" x14ac:dyDescent="0.25">
      <c r="A752" s="16" t="s">
        <v>5</v>
      </c>
      <c r="B752" s="29">
        <f t="shared" si="127"/>
        <v>39585</v>
      </c>
      <c r="C752" s="15">
        <v>281</v>
      </c>
      <c r="D752" s="15">
        <v>18</v>
      </c>
      <c r="E752" s="15">
        <v>164</v>
      </c>
      <c r="F752" s="21">
        <f t="shared" si="118"/>
        <v>463</v>
      </c>
      <c r="G752" s="18">
        <v>20</v>
      </c>
      <c r="H752" s="22">
        <f t="shared" ref="H752:H757" si="162">AVERAGE(C749:C752)</f>
        <v>234.5</v>
      </c>
      <c r="I752" s="22">
        <f t="shared" si="161"/>
        <v>10.25</v>
      </c>
      <c r="J752" s="22">
        <f t="shared" si="161"/>
        <v>84.5</v>
      </c>
      <c r="K752" s="23">
        <f t="shared" si="157"/>
        <v>329.25</v>
      </c>
      <c r="L752" s="23">
        <f>AVERAGE(K596+K648+K700)/3</f>
        <v>573.58333333333337</v>
      </c>
      <c r="M752" s="23">
        <f t="shared" si="104"/>
        <v>646.33333333333337</v>
      </c>
      <c r="N752" s="25">
        <f t="shared" si="158"/>
        <v>-0.32408759124087594</v>
      </c>
      <c r="O752" s="25">
        <f t="shared" si="159"/>
        <v>-0.1927938398953945</v>
      </c>
    </row>
    <row r="753" spans="1:15" x14ac:dyDescent="0.25">
      <c r="A753" s="16" t="s">
        <v>5</v>
      </c>
      <c r="B753" s="29">
        <f t="shared" si="127"/>
        <v>39592</v>
      </c>
      <c r="C753" s="15">
        <v>407</v>
      </c>
      <c r="D753" s="15">
        <v>0</v>
      </c>
      <c r="E753" s="15">
        <v>155</v>
      </c>
      <c r="F753" s="21">
        <f t="shared" si="118"/>
        <v>562</v>
      </c>
      <c r="G753" s="18">
        <v>21</v>
      </c>
      <c r="H753" s="22">
        <f t="shared" si="162"/>
        <v>246.75</v>
      </c>
      <c r="I753" s="22">
        <f t="shared" si="161"/>
        <v>7.75</v>
      </c>
      <c r="J753" s="22">
        <f t="shared" si="161"/>
        <v>98.5</v>
      </c>
      <c r="K753" s="23">
        <f t="shared" ref="K753:K758" si="163">SUM(H753:J753)</f>
        <v>353</v>
      </c>
      <c r="L753" s="23">
        <f>AVERAGE(K597+K649+K701)/3</f>
        <v>595.91666666666663</v>
      </c>
      <c r="M753" s="23">
        <f t="shared" si="104"/>
        <v>635.33333333333337</v>
      </c>
      <c r="N753" s="25">
        <f t="shared" ref="N753:N758" si="164">(F753-F701)/F701</f>
        <v>-0.14198473282442747</v>
      </c>
      <c r="O753" s="25">
        <f t="shared" ref="O753:O758" si="165">(F753-L753)/L753</f>
        <v>-5.6915116766885689E-2</v>
      </c>
    </row>
    <row r="754" spans="1:15" x14ac:dyDescent="0.25">
      <c r="A754" s="16" t="s">
        <v>5</v>
      </c>
      <c r="B754" s="29">
        <f t="shared" si="127"/>
        <v>39599</v>
      </c>
      <c r="C754" s="15">
        <v>353</v>
      </c>
      <c r="D754" s="15">
        <v>8</v>
      </c>
      <c r="E754" s="15">
        <v>167</v>
      </c>
      <c r="F754" s="21">
        <f t="shared" si="118"/>
        <v>528</v>
      </c>
      <c r="G754" s="18">
        <v>22</v>
      </c>
      <c r="H754" s="22">
        <f t="shared" si="162"/>
        <v>287.25</v>
      </c>
      <c r="I754" s="22">
        <f t="shared" ref="I754:J756" si="166">AVERAGE(D751:D754)</f>
        <v>9.25</v>
      </c>
      <c r="J754" s="22">
        <f t="shared" si="166"/>
        <v>127</v>
      </c>
      <c r="K754" s="23">
        <f t="shared" si="163"/>
        <v>423.5</v>
      </c>
      <c r="L754" s="23">
        <f>AVERAGE(K598+K650+K702)/3</f>
        <v>616.66666666666663</v>
      </c>
      <c r="M754" s="23">
        <f t="shared" si="104"/>
        <v>618.33333333333337</v>
      </c>
      <c r="N754" s="25">
        <f t="shared" si="164"/>
        <v>-0.13157894736842105</v>
      </c>
      <c r="O754" s="25">
        <f t="shared" si="165"/>
        <v>-0.14378378378378373</v>
      </c>
    </row>
    <row r="755" spans="1:15" x14ac:dyDescent="0.25">
      <c r="A755" s="16" t="s">
        <v>30</v>
      </c>
      <c r="B755" s="29">
        <f t="shared" si="127"/>
        <v>39606</v>
      </c>
      <c r="C755" s="15">
        <v>326</v>
      </c>
      <c r="D755" s="15">
        <v>0</v>
      </c>
      <c r="E755" s="15">
        <v>180</v>
      </c>
      <c r="F755" s="21">
        <f t="shared" si="118"/>
        <v>506</v>
      </c>
      <c r="G755" s="18">
        <v>23</v>
      </c>
      <c r="H755" s="22">
        <f t="shared" si="162"/>
        <v>341.75</v>
      </c>
      <c r="I755" s="22">
        <f t="shared" si="166"/>
        <v>6.5</v>
      </c>
      <c r="J755" s="22">
        <f t="shared" si="166"/>
        <v>166.5</v>
      </c>
      <c r="K755" s="23">
        <f t="shared" si="163"/>
        <v>514.75</v>
      </c>
      <c r="L755" s="23">
        <f>AVERAGE(K599+K651+K703)/3</f>
        <v>638.41666666666663</v>
      </c>
      <c r="M755" s="23">
        <f t="shared" si="104"/>
        <v>653.66666666666663</v>
      </c>
      <c r="N755" s="25">
        <f t="shared" si="164"/>
        <v>-0.23795180722891565</v>
      </c>
      <c r="O755" s="25">
        <f t="shared" si="165"/>
        <v>-0.20741417569507892</v>
      </c>
    </row>
    <row r="756" spans="1:15" x14ac:dyDescent="0.25">
      <c r="A756" s="16" t="s">
        <v>30</v>
      </c>
      <c r="B756" s="29">
        <f t="shared" si="127"/>
        <v>39613</v>
      </c>
      <c r="C756" s="15">
        <v>312</v>
      </c>
      <c r="D756" s="15">
        <v>2</v>
      </c>
      <c r="E756" s="15">
        <v>75</v>
      </c>
      <c r="F756" s="21">
        <f t="shared" si="118"/>
        <v>389</v>
      </c>
      <c r="G756" s="18">
        <v>24</v>
      </c>
      <c r="H756" s="22">
        <f t="shared" si="162"/>
        <v>349.5</v>
      </c>
      <c r="I756" s="22">
        <f t="shared" si="166"/>
        <v>2.5</v>
      </c>
      <c r="J756" s="22">
        <f t="shared" si="166"/>
        <v>144.25</v>
      </c>
      <c r="K756" s="23">
        <f t="shared" si="163"/>
        <v>496.25</v>
      </c>
      <c r="L756" s="23">
        <f>AVERAGE(K600+K652+K704)/3</f>
        <v>639.58333333333337</v>
      </c>
      <c r="M756" s="23">
        <f t="shared" si="104"/>
        <v>651</v>
      </c>
      <c r="N756" s="25">
        <f t="shared" si="164"/>
        <v>-0.50128205128205128</v>
      </c>
      <c r="O756" s="25">
        <f t="shared" si="165"/>
        <v>-0.39179153094462543</v>
      </c>
    </row>
    <row r="757" spans="1:15" x14ac:dyDescent="0.25">
      <c r="A757" s="16" t="s">
        <v>30</v>
      </c>
      <c r="B757" s="29">
        <f t="shared" si="127"/>
        <v>39620</v>
      </c>
      <c r="C757" s="15">
        <v>197</v>
      </c>
      <c r="D757" s="15">
        <v>0</v>
      </c>
      <c r="E757" s="15">
        <v>14</v>
      </c>
      <c r="F757" s="21">
        <f t="shared" si="118"/>
        <v>211</v>
      </c>
      <c r="G757" s="18">
        <f>1+G756</f>
        <v>25</v>
      </c>
      <c r="H757" s="22">
        <f t="shared" si="162"/>
        <v>297</v>
      </c>
      <c r="I757" s="22">
        <f t="shared" ref="I757:J759" si="167">AVERAGE(D754:D757)</f>
        <v>2.5</v>
      </c>
      <c r="J757" s="22">
        <f t="shared" si="167"/>
        <v>109</v>
      </c>
      <c r="K757" s="23">
        <f t="shared" si="163"/>
        <v>408.5</v>
      </c>
      <c r="L757" s="23">
        <f t="shared" ref="L757:L762" si="168">AVERAGE(K601+K653+K705)/3</f>
        <v>649.66666666666663</v>
      </c>
      <c r="M757" s="23">
        <f t="shared" si="104"/>
        <v>675.66666666666663</v>
      </c>
      <c r="N757" s="25">
        <f t="shared" si="164"/>
        <v>-0.65857605177993528</v>
      </c>
      <c r="O757" s="25">
        <f t="shared" si="165"/>
        <v>-0.67521806054386868</v>
      </c>
    </row>
    <row r="758" spans="1:15" x14ac:dyDescent="0.25">
      <c r="A758" s="16" t="s">
        <v>30</v>
      </c>
      <c r="B758" s="29">
        <f t="shared" si="127"/>
        <v>39627</v>
      </c>
      <c r="C758" s="15">
        <v>101</v>
      </c>
      <c r="D758" s="15">
        <v>0</v>
      </c>
      <c r="E758" s="15">
        <v>9</v>
      </c>
      <c r="F758" s="21">
        <f t="shared" si="118"/>
        <v>110</v>
      </c>
      <c r="G758" s="18">
        <v>26</v>
      </c>
      <c r="H758" s="22">
        <f t="shared" ref="H758:H763" si="169">AVERAGE(C755:C758)</f>
        <v>234</v>
      </c>
      <c r="I758" s="22">
        <f t="shared" si="167"/>
        <v>0.5</v>
      </c>
      <c r="J758" s="22">
        <f t="shared" si="167"/>
        <v>69.5</v>
      </c>
      <c r="K758" s="23">
        <f t="shared" si="163"/>
        <v>304</v>
      </c>
      <c r="L758" s="23">
        <f t="shared" si="168"/>
        <v>680.41666666666663</v>
      </c>
      <c r="M758" s="23">
        <f t="shared" ref="M758:M821" si="170">AVERAGE(F602+F654+F706)/3</f>
        <v>741.33333333333337</v>
      </c>
      <c r="N758" s="25">
        <f t="shared" si="164"/>
        <v>-0.83557548579970109</v>
      </c>
      <c r="O758" s="25">
        <f t="shared" si="165"/>
        <v>-0.83833435394978562</v>
      </c>
    </row>
    <row r="759" spans="1:15" x14ac:dyDescent="0.25">
      <c r="A759" s="16" t="s">
        <v>11</v>
      </c>
      <c r="B759" s="29">
        <f t="shared" si="127"/>
        <v>39634</v>
      </c>
      <c r="C759" s="15">
        <v>93</v>
      </c>
      <c r="D759" s="15">
        <v>2</v>
      </c>
      <c r="E759" s="15">
        <v>13</v>
      </c>
      <c r="F759" s="21">
        <f t="shared" si="118"/>
        <v>108</v>
      </c>
      <c r="G759" s="18">
        <v>27</v>
      </c>
      <c r="H759" s="22">
        <f t="shared" si="169"/>
        <v>175.75</v>
      </c>
      <c r="I759" s="22">
        <f t="shared" si="167"/>
        <v>1</v>
      </c>
      <c r="J759" s="22">
        <f t="shared" si="167"/>
        <v>27.75</v>
      </c>
      <c r="K759" s="23">
        <f t="shared" ref="K759:K764" si="171">SUM(H759:J759)</f>
        <v>204.5</v>
      </c>
      <c r="L759" s="23">
        <f t="shared" si="168"/>
        <v>691.91666666666663</v>
      </c>
      <c r="M759" s="23">
        <f t="shared" si="170"/>
        <v>699.66666666666663</v>
      </c>
      <c r="N759" s="25">
        <f t="shared" ref="N759:N764" si="172">(F759-F707)/F707</f>
        <v>-0.86909090909090914</v>
      </c>
      <c r="O759" s="25">
        <f t="shared" ref="O759:O764" si="173">(F759-L759)/L759</f>
        <v>-0.84391183909430323</v>
      </c>
    </row>
    <row r="760" spans="1:15" x14ac:dyDescent="0.25">
      <c r="A760" s="16" t="s">
        <v>11</v>
      </c>
      <c r="B760" s="29">
        <f t="shared" si="127"/>
        <v>39641</v>
      </c>
      <c r="C760" s="15">
        <v>491</v>
      </c>
      <c r="D760" s="15">
        <v>2</v>
      </c>
      <c r="E760" s="15">
        <v>119</v>
      </c>
      <c r="F760" s="21">
        <f t="shared" si="118"/>
        <v>612</v>
      </c>
      <c r="G760" s="18">
        <v>28</v>
      </c>
      <c r="H760" s="22">
        <f t="shared" si="169"/>
        <v>220.5</v>
      </c>
      <c r="I760" s="22">
        <f t="shared" ref="I760:J763" si="174">AVERAGE(D757:D760)</f>
        <v>1</v>
      </c>
      <c r="J760" s="22">
        <f t="shared" si="174"/>
        <v>38.75</v>
      </c>
      <c r="K760" s="23">
        <f t="shared" si="171"/>
        <v>260.25</v>
      </c>
      <c r="L760" s="23">
        <f t="shared" si="168"/>
        <v>719.58333333333337</v>
      </c>
      <c r="M760" s="23">
        <f t="shared" si="170"/>
        <v>761.66666666666663</v>
      </c>
      <c r="N760" s="25">
        <f t="shared" si="172"/>
        <v>-0.25637910085054677</v>
      </c>
      <c r="O760" s="25">
        <f t="shared" si="173"/>
        <v>-0.14950781702374064</v>
      </c>
    </row>
    <row r="761" spans="1:15" x14ac:dyDescent="0.25">
      <c r="A761" s="16" t="s">
        <v>11</v>
      </c>
      <c r="B761" s="29">
        <f t="shared" si="127"/>
        <v>39648</v>
      </c>
      <c r="C761" s="15">
        <v>447</v>
      </c>
      <c r="D761" s="15">
        <v>2</v>
      </c>
      <c r="E761" s="15">
        <v>137</v>
      </c>
      <c r="F761" s="21">
        <f t="shared" si="118"/>
        <v>586</v>
      </c>
      <c r="G761" s="18">
        <v>29</v>
      </c>
      <c r="H761" s="22">
        <f t="shared" si="169"/>
        <v>283</v>
      </c>
      <c r="I761" s="22">
        <f t="shared" si="174"/>
        <v>1.5</v>
      </c>
      <c r="J761" s="22">
        <f t="shared" si="174"/>
        <v>69.5</v>
      </c>
      <c r="K761" s="23">
        <f t="shared" si="171"/>
        <v>354</v>
      </c>
      <c r="L761" s="23">
        <f t="shared" si="168"/>
        <v>708.91666666666663</v>
      </c>
      <c r="M761" s="23">
        <f t="shared" si="170"/>
        <v>633</v>
      </c>
      <c r="N761" s="25">
        <f t="shared" si="172"/>
        <v>-0.14452554744525548</v>
      </c>
      <c r="O761" s="25">
        <f t="shared" si="173"/>
        <v>-0.17338662278123892</v>
      </c>
    </row>
    <row r="762" spans="1:15" x14ac:dyDescent="0.25">
      <c r="A762" s="16" t="s">
        <v>11</v>
      </c>
      <c r="B762" s="29">
        <f t="shared" si="127"/>
        <v>39655</v>
      </c>
      <c r="C762" s="15">
        <v>595</v>
      </c>
      <c r="D762" s="15">
        <v>1</v>
      </c>
      <c r="E762" s="15">
        <v>114</v>
      </c>
      <c r="F762" s="21">
        <f t="shared" si="118"/>
        <v>710</v>
      </c>
      <c r="G762" s="18">
        <v>30</v>
      </c>
      <c r="H762" s="22">
        <f t="shared" si="169"/>
        <v>406.5</v>
      </c>
      <c r="I762" s="22">
        <f t="shared" si="174"/>
        <v>1.75</v>
      </c>
      <c r="J762" s="22">
        <f t="shared" si="174"/>
        <v>95.75</v>
      </c>
      <c r="K762" s="23">
        <f t="shared" si="171"/>
        <v>504</v>
      </c>
      <c r="L762" s="23">
        <f t="shared" si="168"/>
        <v>708.41666666666663</v>
      </c>
      <c r="M762" s="23">
        <f t="shared" si="170"/>
        <v>739.33333333333337</v>
      </c>
      <c r="N762" s="25">
        <f t="shared" si="172"/>
        <v>-4.9531459170013385E-2</v>
      </c>
      <c r="O762" s="25">
        <f t="shared" si="173"/>
        <v>2.2350311728032532E-3</v>
      </c>
    </row>
    <row r="763" spans="1:15" x14ac:dyDescent="0.25">
      <c r="A763" s="16" t="s">
        <v>19</v>
      </c>
      <c r="B763" s="29">
        <f t="shared" si="127"/>
        <v>39662</v>
      </c>
      <c r="C763" s="15">
        <v>511</v>
      </c>
      <c r="D763" s="15">
        <v>8</v>
      </c>
      <c r="E763" s="15">
        <v>144</v>
      </c>
      <c r="F763" s="21">
        <f t="shared" si="118"/>
        <v>663</v>
      </c>
      <c r="G763" s="18">
        <v>31</v>
      </c>
      <c r="H763" s="22">
        <f t="shared" si="169"/>
        <v>511</v>
      </c>
      <c r="I763" s="22">
        <f t="shared" si="174"/>
        <v>3.25</v>
      </c>
      <c r="J763" s="22">
        <f t="shared" si="174"/>
        <v>128.5</v>
      </c>
      <c r="K763" s="23">
        <f t="shared" si="171"/>
        <v>642.75</v>
      </c>
      <c r="L763" s="23">
        <f>AVERAGE(K607+K659+K711)/3</f>
        <v>711.08333333333337</v>
      </c>
      <c r="M763" s="23">
        <f t="shared" si="170"/>
        <v>710.33333333333337</v>
      </c>
      <c r="N763" s="25">
        <f t="shared" si="172"/>
        <v>-0.18450184501845018</v>
      </c>
      <c r="O763" s="25">
        <f t="shared" si="173"/>
        <v>-6.7619828899566442E-2</v>
      </c>
    </row>
    <row r="764" spans="1:15" x14ac:dyDescent="0.25">
      <c r="A764" s="16" t="s">
        <v>19</v>
      </c>
      <c r="B764" s="29">
        <f t="shared" si="127"/>
        <v>39669</v>
      </c>
      <c r="C764" s="15">
        <v>404</v>
      </c>
      <c r="D764" s="15">
        <v>6</v>
      </c>
      <c r="E764" s="15">
        <v>86</v>
      </c>
      <c r="F764" s="21">
        <f t="shared" si="118"/>
        <v>496</v>
      </c>
      <c r="G764" s="18">
        <v>32</v>
      </c>
      <c r="H764" s="22">
        <f t="shared" ref="H764:J765" si="175">AVERAGE(C761:C764)</f>
        <v>489.25</v>
      </c>
      <c r="I764" s="22">
        <f t="shared" si="175"/>
        <v>4.25</v>
      </c>
      <c r="J764" s="22">
        <f t="shared" si="175"/>
        <v>120.25</v>
      </c>
      <c r="K764" s="23">
        <f t="shared" si="171"/>
        <v>613.75</v>
      </c>
      <c r="L764" s="23">
        <f t="shared" ref="L764:L770" si="176">AVERAGE(K608+K660+K712)/3</f>
        <v>684.83333333333337</v>
      </c>
      <c r="M764" s="23">
        <f t="shared" si="170"/>
        <v>656.66666666666663</v>
      </c>
      <c r="N764" s="25">
        <f t="shared" si="172"/>
        <v>-0.1987075928917609</v>
      </c>
      <c r="O764" s="25">
        <f t="shared" si="173"/>
        <v>-0.27573618885373574</v>
      </c>
    </row>
    <row r="765" spans="1:15" x14ac:dyDescent="0.25">
      <c r="A765" s="16" t="s">
        <v>19</v>
      </c>
      <c r="B765" s="29">
        <f t="shared" si="127"/>
        <v>39676</v>
      </c>
      <c r="C765" s="15">
        <v>398</v>
      </c>
      <c r="D765" s="15">
        <v>3</v>
      </c>
      <c r="E765" s="15">
        <v>74</v>
      </c>
      <c r="F765" s="21">
        <f t="shared" si="118"/>
        <v>475</v>
      </c>
      <c r="G765" s="18">
        <v>33</v>
      </c>
      <c r="H765" s="22">
        <f t="shared" si="175"/>
        <v>477</v>
      </c>
      <c r="I765" s="22">
        <f t="shared" si="175"/>
        <v>4.5</v>
      </c>
      <c r="J765" s="22">
        <f t="shared" si="175"/>
        <v>104.5</v>
      </c>
      <c r="K765" s="23">
        <f t="shared" ref="K765:K770" si="177">SUM(H765:J765)</f>
        <v>586</v>
      </c>
      <c r="L765" s="23">
        <f t="shared" si="176"/>
        <v>682.08333333333337</v>
      </c>
      <c r="M765" s="23">
        <f t="shared" si="170"/>
        <v>622</v>
      </c>
      <c r="N765" s="25">
        <f t="shared" ref="N765:N770" si="178">(F765-F713)/F713</f>
        <v>-0.18664383561643835</v>
      </c>
      <c r="O765" s="25">
        <f t="shared" ref="O765:O770" si="179">(F765-L765)/L765</f>
        <v>-0.30360415394013446</v>
      </c>
    </row>
    <row r="766" spans="1:15" x14ac:dyDescent="0.25">
      <c r="A766" s="16" t="s">
        <v>19</v>
      </c>
      <c r="B766" s="29">
        <f t="shared" si="127"/>
        <v>39683</v>
      </c>
      <c r="C766" s="15">
        <v>432</v>
      </c>
      <c r="D766" s="15">
        <v>15</v>
      </c>
      <c r="E766" s="15">
        <v>112</v>
      </c>
      <c r="F766" s="21">
        <f t="shared" si="118"/>
        <v>559</v>
      </c>
      <c r="G766" s="18">
        <v>34</v>
      </c>
      <c r="H766" s="22">
        <f t="shared" ref="H766:J767" si="180">AVERAGE(C763:C766)</f>
        <v>436.25</v>
      </c>
      <c r="I766" s="22">
        <f t="shared" si="180"/>
        <v>8</v>
      </c>
      <c r="J766" s="22">
        <f t="shared" si="180"/>
        <v>104</v>
      </c>
      <c r="K766" s="23">
        <f t="shared" si="177"/>
        <v>548.25</v>
      </c>
      <c r="L766" s="23">
        <f t="shared" si="176"/>
        <v>619.08333333333337</v>
      </c>
      <c r="M766" s="23">
        <f t="shared" si="170"/>
        <v>487.33333333333331</v>
      </c>
      <c r="N766" s="25">
        <f t="shared" si="178"/>
        <v>0.23127753303964757</v>
      </c>
      <c r="O766" s="25">
        <f t="shared" si="179"/>
        <v>-9.7052093148472254E-2</v>
      </c>
    </row>
    <row r="767" spans="1:15" x14ac:dyDescent="0.25">
      <c r="A767" s="16" t="s">
        <v>19</v>
      </c>
      <c r="B767" s="29">
        <f t="shared" si="127"/>
        <v>39690</v>
      </c>
      <c r="C767" s="15">
        <v>258</v>
      </c>
      <c r="D767" s="15">
        <v>17</v>
      </c>
      <c r="E767" s="15">
        <v>30</v>
      </c>
      <c r="F767" s="21">
        <f t="shared" si="118"/>
        <v>305</v>
      </c>
      <c r="G767" s="18">
        <v>35</v>
      </c>
      <c r="H767" s="22">
        <f t="shared" si="180"/>
        <v>373</v>
      </c>
      <c r="I767" s="22">
        <f t="shared" si="180"/>
        <v>10.25</v>
      </c>
      <c r="J767" s="22">
        <f t="shared" si="180"/>
        <v>75.5</v>
      </c>
      <c r="K767" s="23">
        <f t="shared" si="177"/>
        <v>458.75</v>
      </c>
      <c r="L767" s="23">
        <f t="shared" si="176"/>
        <v>560.75</v>
      </c>
      <c r="M767" s="23">
        <f t="shared" si="170"/>
        <v>477</v>
      </c>
      <c r="N767" s="25">
        <f t="shared" si="178"/>
        <v>-0.12103746397694524</v>
      </c>
      <c r="O767" s="25">
        <f t="shared" si="179"/>
        <v>-0.45608559964333484</v>
      </c>
    </row>
    <row r="768" spans="1:15" x14ac:dyDescent="0.25">
      <c r="A768" s="16" t="s">
        <v>24</v>
      </c>
      <c r="B768" s="29">
        <f t="shared" si="127"/>
        <v>39697</v>
      </c>
      <c r="C768" s="15">
        <v>434</v>
      </c>
      <c r="D768" s="15">
        <v>39</v>
      </c>
      <c r="E768" s="15">
        <v>72</v>
      </c>
      <c r="F768" s="21">
        <f t="shared" si="118"/>
        <v>545</v>
      </c>
      <c r="G768" s="18">
        <v>36</v>
      </c>
      <c r="H768" s="22">
        <f t="shared" ref="H768:J769" si="181">AVERAGE(C765:C768)</f>
        <v>380.5</v>
      </c>
      <c r="I768" s="22">
        <f t="shared" si="181"/>
        <v>18.5</v>
      </c>
      <c r="J768" s="22">
        <f t="shared" si="181"/>
        <v>72</v>
      </c>
      <c r="K768" s="23">
        <f t="shared" si="177"/>
        <v>471</v>
      </c>
      <c r="L768" s="23">
        <f t="shared" si="176"/>
        <v>491.66666666666669</v>
      </c>
      <c r="M768" s="23">
        <f t="shared" si="170"/>
        <v>380.33333333333331</v>
      </c>
      <c r="N768" s="25">
        <f t="shared" si="178"/>
        <v>1.18</v>
      </c>
      <c r="O768" s="25">
        <f t="shared" si="179"/>
        <v>0.1084745762711864</v>
      </c>
    </row>
    <row r="769" spans="1:15" x14ac:dyDescent="0.25">
      <c r="A769" s="16" t="s">
        <v>24</v>
      </c>
      <c r="B769" s="29">
        <f t="shared" si="127"/>
        <v>39704</v>
      </c>
      <c r="C769" s="15">
        <v>357</v>
      </c>
      <c r="D769" s="15">
        <v>30</v>
      </c>
      <c r="E769" s="15">
        <v>34</v>
      </c>
      <c r="F769" s="21">
        <f t="shared" si="118"/>
        <v>421</v>
      </c>
      <c r="G769" s="18">
        <v>37</v>
      </c>
      <c r="H769" s="22">
        <f t="shared" si="181"/>
        <v>370.25</v>
      </c>
      <c r="I769" s="22">
        <f t="shared" si="181"/>
        <v>25.25</v>
      </c>
      <c r="J769" s="22">
        <f t="shared" si="181"/>
        <v>62</v>
      </c>
      <c r="K769" s="23">
        <f t="shared" si="177"/>
        <v>457.5</v>
      </c>
      <c r="L769" s="23">
        <f t="shared" si="176"/>
        <v>406.75</v>
      </c>
      <c r="M769" s="23">
        <f t="shared" si="170"/>
        <v>282.33333333333331</v>
      </c>
      <c r="N769" s="25">
        <f t="shared" si="178"/>
        <v>0.64453125</v>
      </c>
      <c r="O769" s="25">
        <f t="shared" si="179"/>
        <v>3.503380454824831E-2</v>
      </c>
    </row>
    <row r="770" spans="1:15" x14ac:dyDescent="0.25">
      <c r="A770" s="16" t="s">
        <v>24</v>
      </c>
      <c r="B770" s="29">
        <f t="shared" si="127"/>
        <v>39711</v>
      </c>
      <c r="C770" s="15">
        <v>273</v>
      </c>
      <c r="D770" s="15">
        <v>20</v>
      </c>
      <c r="E770" s="15">
        <v>22</v>
      </c>
      <c r="F770" s="21">
        <f t="shared" si="118"/>
        <v>315</v>
      </c>
      <c r="G770" s="18">
        <v>38</v>
      </c>
      <c r="H770" s="22">
        <f t="shared" ref="H770:J771" si="182">AVERAGE(C767:C770)</f>
        <v>330.5</v>
      </c>
      <c r="I770" s="22">
        <f t="shared" si="182"/>
        <v>26.5</v>
      </c>
      <c r="J770" s="22">
        <f t="shared" si="182"/>
        <v>39.5</v>
      </c>
      <c r="K770" s="23">
        <f t="shared" si="177"/>
        <v>396.5</v>
      </c>
      <c r="L770" s="23">
        <f t="shared" si="176"/>
        <v>368.33333333333331</v>
      </c>
      <c r="M770" s="23">
        <f t="shared" si="170"/>
        <v>333.66666666666669</v>
      </c>
      <c r="N770" s="25">
        <f t="shared" si="178"/>
        <v>0.23529411764705882</v>
      </c>
      <c r="O770" s="25">
        <f t="shared" si="179"/>
        <v>-0.14479638009049769</v>
      </c>
    </row>
    <row r="771" spans="1:15" x14ac:dyDescent="0.25">
      <c r="A771" s="16" t="s">
        <v>24</v>
      </c>
      <c r="B771" s="29">
        <f t="shared" si="127"/>
        <v>39718</v>
      </c>
      <c r="C771" s="15">
        <v>135</v>
      </c>
      <c r="D771" s="15">
        <v>11</v>
      </c>
      <c r="E771" s="15">
        <v>21</v>
      </c>
      <c r="F771" s="21">
        <f t="shared" si="118"/>
        <v>167</v>
      </c>
      <c r="G771" s="18">
        <v>39</v>
      </c>
      <c r="H771" s="22">
        <f t="shared" si="182"/>
        <v>299.75</v>
      </c>
      <c r="I771" s="22">
        <f t="shared" si="182"/>
        <v>25</v>
      </c>
      <c r="J771" s="22">
        <f t="shared" si="182"/>
        <v>37.25</v>
      </c>
      <c r="K771" s="23">
        <f t="shared" ref="K771:K776" si="183">SUM(H771:J771)</f>
        <v>362</v>
      </c>
      <c r="L771" s="23">
        <f>AVERAGE(K615+K667+K719)/3</f>
        <v>342.08333333333331</v>
      </c>
      <c r="M771" s="23">
        <f t="shared" si="170"/>
        <v>372</v>
      </c>
      <c r="N771" s="25">
        <f t="shared" ref="N771:N776" si="184">(F771-F719)/F719</f>
        <v>-0.48773006134969327</v>
      </c>
      <c r="O771" s="25">
        <f t="shared" ref="O771:O776" si="185">(F771-L771)/L771</f>
        <v>-0.51181485992691833</v>
      </c>
    </row>
    <row r="772" spans="1:15" x14ac:dyDescent="0.25">
      <c r="A772" s="16" t="s">
        <v>20</v>
      </c>
      <c r="B772" s="29">
        <f t="shared" si="127"/>
        <v>39725</v>
      </c>
      <c r="C772" s="15">
        <v>213</v>
      </c>
      <c r="D772" s="15">
        <v>8</v>
      </c>
      <c r="E772" s="15">
        <v>65</v>
      </c>
      <c r="F772" s="21">
        <f t="shared" si="118"/>
        <v>286</v>
      </c>
      <c r="G772" s="18">
        <v>40</v>
      </c>
      <c r="H772" s="22">
        <f t="shared" ref="H772:J773" si="186">AVERAGE(C769:C772)</f>
        <v>244.5</v>
      </c>
      <c r="I772" s="22">
        <f t="shared" si="186"/>
        <v>17.25</v>
      </c>
      <c r="J772" s="22">
        <f t="shared" si="186"/>
        <v>35.5</v>
      </c>
      <c r="K772" s="23">
        <f t="shared" si="183"/>
        <v>297.25</v>
      </c>
      <c r="L772" s="23">
        <f>AVERAGE(K616+K668+K720)/3</f>
        <v>352</v>
      </c>
      <c r="M772" s="23">
        <f t="shared" si="170"/>
        <v>420</v>
      </c>
      <c r="N772" s="25">
        <f t="shared" si="184"/>
        <v>-0.21428571428571427</v>
      </c>
      <c r="O772" s="25">
        <f t="shared" si="185"/>
        <v>-0.1875</v>
      </c>
    </row>
    <row r="773" spans="1:15" x14ac:dyDescent="0.25">
      <c r="A773" s="16" t="s">
        <v>20</v>
      </c>
      <c r="B773" s="29">
        <f t="shared" si="127"/>
        <v>39732</v>
      </c>
      <c r="C773" s="15">
        <v>85</v>
      </c>
      <c r="D773" s="15">
        <v>3</v>
      </c>
      <c r="E773" s="15">
        <v>91</v>
      </c>
      <c r="F773" s="21">
        <f t="shared" si="118"/>
        <v>179</v>
      </c>
      <c r="G773" s="18">
        <v>41</v>
      </c>
      <c r="H773" s="22">
        <f t="shared" si="186"/>
        <v>176.5</v>
      </c>
      <c r="I773" s="22">
        <f t="shared" si="186"/>
        <v>10.5</v>
      </c>
      <c r="J773" s="22">
        <f t="shared" si="186"/>
        <v>49.75</v>
      </c>
      <c r="K773" s="23">
        <f t="shared" si="183"/>
        <v>236.75</v>
      </c>
      <c r="L773" s="23">
        <f t="shared" ref="L773:L779" si="187">AVERAGE(K617+K669+K721)/3</f>
        <v>402.66666666666669</v>
      </c>
      <c r="M773" s="23">
        <f t="shared" si="170"/>
        <v>485</v>
      </c>
      <c r="N773" s="25">
        <f t="shared" si="184"/>
        <v>-0.65444015444015446</v>
      </c>
      <c r="O773" s="25">
        <f t="shared" si="185"/>
        <v>-0.55546357615894038</v>
      </c>
    </row>
    <row r="774" spans="1:15" x14ac:dyDescent="0.25">
      <c r="A774" s="16" t="s">
        <v>20</v>
      </c>
      <c r="B774" s="29">
        <f t="shared" si="127"/>
        <v>39739</v>
      </c>
      <c r="C774" s="15">
        <v>119</v>
      </c>
      <c r="D774" s="15">
        <v>6</v>
      </c>
      <c r="E774" s="15">
        <v>147</v>
      </c>
      <c r="F774" s="21">
        <f t="shared" si="118"/>
        <v>272</v>
      </c>
      <c r="G774" s="18">
        <v>42</v>
      </c>
      <c r="H774" s="22">
        <f t="shared" ref="H774:J775" si="188">AVERAGE(C771:C774)</f>
        <v>138</v>
      </c>
      <c r="I774" s="22">
        <f t="shared" si="188"/>
        <v>7</v>
      </c>
      <c r="J774" s="22">
        <f t="shared" si="188"/>
        <v>81</v>
      </c>
      <c r="K774" s="23">
        <f t="shared" si="183"/>
        <v>226</v>
      </c>
      <c r="L774" s="23">
        <f t="shared" si="187"/>
        <v>453.58333333333331</v>
      </c>
      <c r="M774" s="23">
        <f t="shared" si="170"/>
        <v>537.33333333333337</v>
      </c>
      <c r="N774" s="25">
        <f t="shared" si="184"/>
        <v>-0.53344768439108059</v>
      </c>
      <c r="O774" s="25">
        <f t="shared" si="185"/>
        <v>-0.40033069998162774</v>
      </c>
    </row>
    <row r="775" spans="1:15" x14ac:dyDescent="0.25">
      <c r="A775" s="16" t="s">
        <v>20</v>
      </c>
      <c r="B775" s="29">
        <f t="shared" si="127"/>
        <v>39746</v>
      </c>
      <c r="C775" s="15">
        <v>208</v>
      </c>
      <c r="D775" s="15">
        <v>8</v>
      </c>
      <c r="E775" s="15">
        <v>165</v>
      </c>
      <c r="F775" s="21">
        <f t="shared" si="118"/>
        <v>381</v>
      </c>
      <c r="G775" s="18">
        <v>43</v>
      </c>
      <c r="H775" s="22">
        <f t="shared" si="188"/>
        <v>156.25</v>
      </c>
      <c r="I775" s="22">
        <f t="shared" si="188"/>
        <v>6.25</v>
      </c>
      <c r="J775" s="22">
        <f t="shared" si="188"/>
        <v>117</v>
      </c>
      <c r="K775" s="23">
        <f t="shared" si="183"/>
        <v>279.5</v>
      </c>
      <c r="L775" s="23">
        <f t="shared" si="187"/>
        <v>487.08333333333331</v>
      </c>
      <c r="M775" s="23">
        <f t="shared" si="170"/>
        <v>506</v>
      </c>
      <c r="N775" s="25">
        <f t="shared" si="184"/>
        <v>-0.4330357142857143</v>
      </c>
      <c r="O775" s="25">
        <f t="shared" si="185"/>
        <v>-0.21779298545765607</v>
      </c>
    </row>
    <row r="776" spans="1:15" x14ac:dyDescent="0.25">
      <c r="A776" s="16" t="s">
        <v>26</v>
      </c>
      <c r="B776" s="29">
        <f t="shared" si="127"/>
        <v>39753</v>
      </c>
      <c r="C776" s="15">
        <v>162</v>
      </c>
      <c r="D776" s="15">
        <v>3</v>
      </c>
      <c r="E776" s="15">
        <v>174</v>
      </c>
      <c r="F776" s="21">
        <f t="shared" si="118"/>
        <v>339</v>
      </c>
      <c r="G776" s="18">
        <v>44</v>
      </c>
      <c r="H776" s="22">
        <f t="shared" ref="H776:J777" si="189">AVERAGE(C773:C776)</f>
        <v>143.5</v>
      </c>
      <c r="I776" s="22">
        <f t="shared" si="189"/>
        <v>5</v>
      </c>
      <c r="J776" s="22">
        <f t="shared" si="189"/>
        <v>144.25</v>
      </c>
      <c r="K776" s="23">
        <f t="shared" si="183"/>
        <v>292.75</v>
      </c>
      <c r="L776" s="23">
        <f t="shared" si="187"/>
        <v>517.41666666666663</v>
      </c>
      <c r="M776" s="23">
        <f t="shared" si="170"/>
        <v>541.33333333333337</v>
      </c>
      <c r="N776" s="25">
        <f t="shared" si="184"/>
        <v>-0.35305343511450382</v>
      </c>
      <c r="O776" s="25">
        <f t="shared" si="185"/>
        <v>-0.3448220325334192</v>
      </c>
    </row>
    <row r="777" spans="1:15" x14ac:dyDescent="0.25">
      <c r="A777" s="16" t="s">
        <v>26</v>
      </c>
      <c r="B777" s="29">
        <f t="shared" si="127"/>
        <v>39760</v>
      </c>
      <c r="C777" s="15">
        <v>356</v>
      </c>
      <c r="D777" s="15">
        <v>17</v>
      </c>
      <c r="E777" s="15">
        <v>158</v>
      </c>
      <c r="F777" s="21">
        <f t="shared" si="118"/>
        <v>531</v>
      </c>
      <c r="G777" s="18">
        <v>45</v>
      </c>
      <c r="H777" s="22">
        <f t="shared" si="189"/>
        <v>211.25</v>
      </c>
      <c r="I777" s="22">
        <f t="shared" si="189"/>
        <v>8.5</v>
      </c>
      <c r="J777" s="22">
        <f t="shared" si="189"/>
        <v>161</v>
      </c>
      <c r="K777" s="23">
        <f t="shared" ref="K777:K782" si="190">SUM(H777:J777)</f>
        <v>380.75</v>
      </c>
      <c r="L777" s="23">
        <f t="shared" si="187"/>
        <v>580</v>
      </c>
      <c r="M777" s="23">
        <f t="shared" si="170"/>
        <v>735.33333333333337</v>
      </c>
      <c r="N777" s="25">
        <f t="shared" ref="N777:N782" si="191">(F777-F725)/F725</f>
        <v>-0.44105263157894736</v>
      </c>
      <c r="O777" s="25">
        <f t="shared" ref="O777:O782" si="192">(F777-L777)/L777</f>
        <v>-8.4482758620689657E-2</v>
      </c>
    </row>
    <row r="778" spans="1:15" x14ac:dyDescent="0.25">
      <c r="A778" s="16" t="s">
        <v>26</v>
      </c>
      <c r="B778" s="29">
        <f t="shared" si="127"/>
        <v>39767</v>
      </c>
      <c r="C778" s="15">
        <v>386</v>
      </c>
      <c r="D778" s="15">
        <v>5</v>
      </c>
      <c r="E778" s="15">
        <v>68</v>
      </c>
      <c r="F778" s="21">
        <f t="shared" si="118"/>
        <v>459</v>
      </c>
      <c r="G778" s="18">
        <v>46</v>
      </c>
      <c r="H778" s="22">
        <f t="shared" ref="H778:J779" si="193">AVERAGE(C775:C778)</f>
        <v>278</v>
      </c>
      <c r="I778" s="22">
        <f t="shared" si="193"/>
        <v>8.25</v>
      </c>
      <c r="J778" s="22">
        <f t="shared" si="193"/>
        <v>141.25</v>
      </c>
      <c r="K778" s="23">
        <f t="shared" si="190"/>
        <v>427.5</v>
      </c>
      <c r="L778" s="23">
        <f t="shared" si="187"/>
        <v>634.41666666666663</v>
      </c>
      <c r="M778" s="23">
        <f t="shared" si="170"/>
        <v>755</v>
      </c>
      <c r="N778" s="25">
        <f t="shared" si="191"/>
        <v>-0.48018120045300111</v>
      </c>
      <c r="O778" s="25">
        <f t="shared" si="192"/>
        <v>-0.27650072244844343</v>
      </c>
    </row>
    <row r="779" spans="1:15" x14ac:dyDescent="0.25">
      <c r="A779" s="16" t="s">
        <v>26</v>
      </c>
      <c r="B779" s="29">
        <f t="shared" si="127"/>
        <v>39774</v>
      </c>
      <c r="C779" s="15">
        <v>436</v>
      </c>
      <c r="D779" s="15">
        <v>2</v>
      </c>
      <c r="E779" s="15">
        <v>59</v>
      </c>
      <c r="F779" s="21">
        <f t="shared" si="118"/>
        <v>497</v>
      </c>
      <c r="G779" s="18">
        <v>47</v>
      </c>
      <c r="H779" s="22">
        <f t="shared" si="193"/>
        <v>335</v>
      </c>
      <c r="I779" s="22">
        <f t="shared" si="193"/>
        <v>6.75</v>
      </c>
      <c r="J779" s="22">
        <f t="shared" si="193"/>
        <v>114.75</v>
      </c>
      <c r="K779" s="23">
        <f t="shared" si="190"/>
        <v>456.5</v>
      </c>
      <c r="L779" s="23">
        <f t="shared" si="187"/>
        <v>704.58333333333337</v>
      </c>
      <c r="M779" s="23">
        <f t="shared" si="170"/>
        <v>786.66666666666663</v>
      </c>
      <c r="N779" s="25">
        <f t="shared" si="191"/>
        <v>-0.40479041916167663</v>
      </c>
      <c r="O779" s="25">
        <f t="shared" si="192"/>
        <v>-0.2946185688941455</v>
      </c>
    </row>
    <row r="780" spans="1:15" x14ac:dyDescent="0.25">
      <c r="A780" s="16" t="s">
        <v>26</v>
      </c>
      <c r="B780" s="29">
        <f t="shared" si="127"/>
        <v>39781</v>
      </c>
      <c r="C780" s="15">
        <v>551</v>
      </c>
      <c r="D780" s="15">
        <v>2</v>
      </c>
      <c r="E780" s="15">
        <v>90</v>
      </c>
      <c r="F780" s="21">
        <f t="shared" si="118"/>
        <v>643</v>
      </c>
      <c r="G780" s="18">
        <v>48</v>
      </c>
      <c r="H780" s="22">
        <f t="shared" ref="H780:J781" si="194">AVERAGE(C777:C780)</f>
        <v>432.25</v>
      </c>
      <c r="I780" s="22">
        <f t="shared" si="194"/>
        <v>6.5</v>
      </c>
      <c r="J780" s="22">
        <f t="shared" si="194"/>
        <v>93.75</v>
      </c>
      <c r="K780" s="23">
        <f t="shared" si="190"/>
        <v>532.5</v>
      </c>
      <c r="L780" s="23">
        <f>AVERAGE(K624+K676+K728)/3</f>
        <v>735.59158333333335</v>
      </c>
      <c r="M780" s="23">
        <f t="shared" si="170"/>
        <v>665.36633333333327</v>
      </c>
      <c r="N780" s="25">
        <f t="shared" si="191"/>
        <v>-0.12647619409889152</v>
      </c>
      <c r="O780" s="25">
        <f t="shared" si="192"/>
        <v>-0.12587363073644015</v>
      </c>
    </row>
    <row r="781" spans="1:15" x14ac:dyDescent="0.25">
      <c r="A781" s="16" t="s">
        <v>15</v>
      </c>
      <c r="B781" s="29">
        <f t="shared" si="127"/>
        <v>39788</v>
      </c>
      <c r="C781" s="15">
        <v>416</v>
      </c>
      <c r="D781" s="15">
        <v>18</v>
      </c>
      <c r="E781" s="15">
        <v>152</v>
      </c>
      <c r="F781" s="21">
        <f t="shared" si="118"/>
        <v>586</v>
      </c>
      <c r="G781" s="18">
        <v>49</v>
      </c>
      <c r="H781" s="22">
        <f t="shared" si="194"/>
        <v>447.25</v>
      </c>
      <c r="I781" s="22">
        <f t="shared" si="194"/>
        <v>6.75</v>
      </c>
      <c r="J781" s="22">
        <f t="shared" si="194"/>
        <v>92.25</v>
      </c>
      <c r="K781" s="23">
        <f t="shared" si="190"/>
        <v>546.25</v>
      </c>
      <c r="L781" s="23">
        <f>AVERAGE(K625+K677+K729)/3</f>
        <v>731.17491666666672</v>
      </c>
      <c r="M781" s="23">
        <f t="shared" si="170"/>
        <v>717.66666666666663</v>
      </c>
      <c r="N781" s="25">
        <f t="shared" si="191"/>
        <v>-0.18270571827057183</v>
      </c>
      <c r="O781" s="25">
        <f t="shared" si="192"/>
        <v>-0.19855018731837884</v>
      </c>
    </row>
    <row r="782" spans="1:15" x14ac:dyDescent="0.25">
      <c r="A782" s="16" t="s">
        <v>15</v>
      </c>
      <c r="B782" s="29">
        <f t="shared" si="127"/>
        <v>39795</v>
      </c>
      <c r="C782" s="15">
        <v>360</v>
      </c>
      <c r="D782" s="15">
        <v>3</v>
      </c>
      <c r="E782" s="15">
        <v>114</v>
      </c>
      <c r="F782" s="21">
        <f t="shared" si="118"/>
        <v>477</v>
      </c>
      <c r="G782" s="18">
        <v>50</v>
      </c>
      <c r="H782" s="22">
        <f t="shared" ref="H782:J783" si="195">AVERAGE(C779:C782)</f>
        <v>440.75</v>
      </c>
      <c r="I782" s="22">
        <f t="shared" si="195"/>
        <v>6.25</v>
      </c>
      <c r="J782" s="22">
        <f t="shared" si="195"/>
        <v>103.75</v>
      </c>
      <c r="K782" s="23">
        <f t="shared" si="190"/>
        <v>550.75</v>
      </c>
      <c r="L782" s="23">
        <f>AVERAGE(K626+K678+K730)/3</f>
        <v>710.50824999999998</v>
      </c>
      <c r="M782" s="23">
        <f t="shared" si="170"/>
        <v>672.33333333333337</v>
      </c>
      <c r="N782" s="25">
        <f t="shared" si="191"/>
        <v>-0.25</v>
      </c>
      <c r="O782" s="25">
        <f t="shared" si="192"/>
        <v>-0.32864959696104862</v>
      </c>
    </row>
    <row r="783" spans="1:15" x14ac:dyDescent="0.25">
      <c r="A783" s="16" t="s">
        <v>15</v>
      </c>
      <c r="B783" s="29">
        <f t="shared" si="127"/>
        <v>39802</v>
      </c>
      <c r="C783" s="15">
        <v>254</v>
      </c>
      <c r="D783" s="15">
        <v>3</v>
      </c>
      <c r="E783" s="15">
        <v>90</v>
      </c>
      <c r="F783" s="21">
        <f t="shared" si="118"/>
        <v>347</v>
      </c>
      <c r="G783" s="18">
        <v>51</v>
      </c>
      <c r="H783" s="22">
        <f t="shared" si="195"/>
        <v>395.25</v>
      </c>
      <c r="I783" s="22">
        <f t="shared" si="195"/>
        <v>6.5</v>
      </c>
      <c r="J783" s="22">
        <f t="shared" si="195"/>
        <v>111.5</v>
      </c>
      <c r="K783" s="23">
        <f t="shared" ref="K783:K788" si="196">SUM(H783:J783)</f>
        <v>513.25</v>
      </c>
      <c r="L783" s="23">
        <f>AVERAGE(K627+K679+K731)/3</f>
        <v>615.25824999999998</v>
      </c>
      <c r="M783" s="23">
        <f t="shared" si="170"/>
        <v>405.66666666666669</v>
      </c>
      <c r="N783" s="25">
        <f t="shared" ref="N783:N788" si="197">(F783-F731)/F731</f>
        <v>0.30943396226415093</v>
      </c>
      <c r="O783" s="25">
        <f t="shared" ref="O783:O788" si="198">(F783-L783)/L783</f>
        <v>-0.43600918801170074</v>
      </c>
    </row>
    <row r="784" spans="1:15" x14ac:dyDescent="0.25">
      <c r="A784" s="16" t="s">
        <v>15</v>
      </c>
      <c r="B784" s="29">
        <f t="shared" ref="B784:B861" si="199">B783+7</f>
        <v>39809</v>
      </c>
      <c r="C784" s="15">
        <v>112</v>
      </c>
      <c r="D784" s="15">
        <v>0</v>
      </c>
      <c r="E784" s="15">
        <v>75</v>
      </c>
      <c r="F784" s="21">
        <f t="shared" si="118"/>
        <v>187</v>
      </c>
      <c r="G784" s="18">
        <v>52</v>
      </c>
      <c r="H784" s="22">
        <f t="shared" ref="H784:J785" si="200">AVERAGE(C781:C784)</f>
        <v>285.5</v>
      </c>
      <c r="I784" s="22">
        <f t="shared" si="200"/>
        <v>6</v>
      </c>
      <c r="J784" s="22">
        <f t="shared" si="200"/>
        <v>107.75</v>
      </c>
      <c r="K784" s="23">
        <f t="shared" si="196"/>
        <v>399.25</v>
      </c>
      <c r="L784" s="23">
        <f t="shared" ref="L784:L790" si="201">AVERAGE(K628+K680+K732)/3</f>
        <v>552.41666666666663</v>
      </c>
      <c r="M784" s="23">
        <f t="shared" si="170"/>
        <v>414</v>
      </c>
      <c r="N784" s="25">
        <f t="shared" si="197"/>
        <v>-0.59784946236559144</v>
      </c>
      <c r="O784" s="25">
        <f t="shared" si="198"/>
        <v>-0.66148740383164883</v>
      </c>
    </row>
    <row r="785" spans="1:15" x14ac:dyDescent="0.25">
      <c r="A785" s="16" t="s">
        <v>16</v>
      </c>
      <c r="B785" s="29">
        <f t="shared" si="199"/>
        <v>39816</v>
      </c>
      <c r="C785" s="15">
        <v>170</v>
      </c>
      <c r="D785" s="15">
        <v>5</v>
      </c>
      <c r="E785" s="15">
        <v>81</v>
      </c>
      <c r="F785" s="21">
        <f t="shared" si="118"/>
        <v>256</v>
      </c>
      <c r="G785" s="18">
        <v>1</v>
      </c>
      <c r="H785" s="22">
        <f t="shared" si="200"/>
        <v>224</v>
      </c>
      <c r="I785" s="22">
        <f t="shared" si="200"/>
        <v>2.75</v>
      </c>
      <c r="J785" s="22">
        <f t="shared" si="200"/>
        <v>90</v>
      </c>
      <c r="K785" s="23">
        <f t="shared" si="196"/>
        <v>316.75</v>
      </c>
      <c r="L785" s="23">
        <f t="shared" si="201"/>
        <v>457.08333333333331</v>
      </c>
      <c r="M785" s="23">
        <f t="shared" si="170"/>
        <v>336.33333333333331</v>
      </c>
      <c r="N785" s="25">
        <f t="shared" si="197"/>
        <v>-0.30434782608695654</v>
      </c>
      <c r="O785" s="25">
        <f t="shared" si="198"/>
        <v>-0.43992707383773927</v>
      </c>
    </row>
    <row r="786" spans="1:15" x14ac:dyDescent="0.25">
      <c r="A786" s="16" t="s">
        <v>16</v>
      </c>
      <c r="B786" s="29">
        <f t="shared" si="199"/>
        <v>39823</v>
      </c>
      <c r="C786" s="15">
        <v>82</v>
      </c>
      <c r="D786" s="15">
        <v>0</v>
      </c>
      <c r="E786" s="15">
        <v>48</v>
      </c>
      <c r="F786" s="21">
        <f t="shared" si="118"/>
        <v>130</v>
      </c>
      <c r="G786" s="18">
        <v>2</v>
      </c>
      <c r="H786" s="22">
        <f t="shared" ref="H786:J787" si="202">AVERAGE(C783:C786)</f>
        <v>154.5</v>
      </c>
      <c r="I786" s="22">
        <f t="shared" si="202"/>
        <v>2</v>
      </c>
      <c r="J786" s="22">
        <f t="shared" si="202"/>
        <v>73.5</v>
      </c>
      <c r="K786" s="23">
        <f t="shared" si="196"/>
        <v>230</v>
      </c>
      <c r="L786" s="23">
        <f t="shared" si="201"/>
        <v>373.5</v>
      </c>
      <c r="M786" s="23">
        <f t="shared" si="170"/>
        <v>338</v>
      </c>
      <c r="N786" s="25">
        <f t="shared" si="197"/>
        <v>-0.50381679389312972</v>
      </c>
      <c r="O786" s="25">
        <f t="shared" si="198"/>
        <v>-0.65194109772423026</v>
      </c>
    </row>
    <row r="787" spans="1:15" x14ac:dyDescent="0.25">
      <c r="A787" s="16" t="s">
        <v>16</v>
      </c>
      <c r="B787" s="29">
        <f t="shared" si="199"/>
        <v>39830</v>
      </c>
      <c r="C787" s="15">
        <v>242</v>
      </c>
      <c r="D787" s="15">
        <v>0</v>
      </c>
      <c r="E787" s="15">
        <v>108</v>
      </c>
      <c r="F787" s="21">
        <f t="shared" si="118"/>
        <v>350</v>
      </c>
      <c r="G787" s="18">
        <v>3</v>
      </c>
      <c r="H787" s="22">
        <f t="shared" si="202"/>
        <v>151.5</v>
      </c>
      <c r="I787" s="22">
        <f t="shared" si="202"/>
        <v>1.25</v>
      </c>
      <c r="J787" s="22">
        <f t="shared" si="202"/>
        <v>78</v>
      </c>
      <c r="K787" s="23">
        <f t="shared" si="196"/>
        <v>230.75</v>
      </c>
      <c r="L787" s="23">
        <f t="shared" si="201"/>
        <v>339</v>
      </c>
      <c r="M787" s="23">
        <f t="shared" si="170"/>
        <v>267.66666666666669</v>
      </c>
      <c r="N787" s="25">
        <f t="shared" si="197"/>
        <v>0.54185022026431717</v>
      </c>
      <c r="O787" s="25">
        <f t="shared" si="198"/>
        <v>3.2448377581120944E-2</v>
      </c>
    </row>
    <row r="788" spans="1:15" x14ac:dyDescent="0.25">
      <c r="A788" s="16" t="s">
        <v>16</v>
      </c>
      <c r="B788" s="29">
        <f t="shared" si="199"/>
        <v>39837</v>
      </c>
      <c r="C788" s="15">
        <v>227</v>
      </c>
      <c r="D788" s="15">
        <v>0</v>
      </c>
      <c r="E788" s="15">
        <v>113</v>
      </c>
      <c r="F788" s="21">
        <f t="shared" si="118"/>
        <v>340</v>
      </c>
      <c r="G788" s="18">
        <v>4</v>
      </c>
      <c r="H788" s="22">
        <f t="shared" ref="H788:J789" si="203">AVERAGE(C785:C788)</f>
        <v>180.25</v>
      </c>
      <c r="I788" s="22">
        <f t="shared" si="203"/>
        <v>1.25</v>
      </c>
      <c r="J788" s="22">
        <f t="shared" si="203"/>
        <v>87.5</v>
      </c>
      <c r="K788" s="23">
        <f t="shared" si="196"/>
        <v>269</v>
      </c>
      <c r="L788" s="23">
        <f t="shared" si="201"/>
        <v>316.83333333333331</v>
      </c>
      <c r="M788" s="23">
        <f t="shared" si="170"/>
        <v>325.33333333333331</v>
      </c>
      <c r="N788" s="25">
        <f t="shared" si="197"/>
        <v>0.46551724137931033</v>
      </c>
      <c r="O788" s="25">
        <f t="shared" si="198"/>
        <v>7.3119410836401957E-2</v>
      </c>
    </row>
    <row r="789" spans="1:15" x14ac:dyDescent="0.25">
      <c r="A789" s="16" t="s">
        <v>16</v>
      </c>
      <c r="B789" s="29">
        <f t="shared" si="199"/>
        <v>39844</v>
      </c>
      <c r="C789" s="15">
        <v>84</v>
      </c>
      <c r="D789" s="15">
        <v>0</v>
      </c>
      <c r="E789" s="15">
        <v>50</v>
      </c>
      <c r="F789" s="21">
        <f t="shared" si="118"/>
        <v>134</v>
      </c>
      <c r="G789" s="18">
        <v>5</v>
      </c>
      <c r="H789" s="22">
        <f t="shared" si="203"/>
        <v>158.75</v>
      </c>
      <c r="I789" s="22">
        <f t="shared" si="203"/>
        <v>0</v>
      </c>
      <c r="J789" s="22">
        <f t="shared" si="203"/>
        <v>79.75</v>
      </c>
      <c r="K789" s="23">
        <f t="shared" ref="K789:K794" si="204">SUM(H789:J789)</f>
        <v>238.5</v>
      </c>
      <c r="L789" s="23">
        <f t="shared" si="201"/>
        <v>291.58333333333331</v>
      </c>
      <c r="M789" s="23">
        <f t="shared" si="170"/>
        <v>235.33333333333334</v>
      </c>
      <c r="N789" s="25">
        <f t="shared" ref="N789:N794" si="205">(F789-F737)/F737</f>
        <v>-0.37674418604651161</v>
      </c>
      <c r="O789" s="25">
        <f t="shared" ref="O789:O794" si="206">(F789-L789)/L789</f>
        <v>-0.54044012575021427</v>
      </c>
    </row>
    <row r="790" spans="1:15" x14ac:dyDescent="0.25">
      <c r="A790" s="16" t="s">
        <v>23</v>
      </c>
      <c r="B790" s="29">
        <f t="shared" si="199"/>
        <v>39851</v>
      </c>
      <c r="C790" s="15">
        <v>126</v>
      </c>
      <c r="D790" s="15">
        <v>0</v>
      </c>
      <c r="E790" s="15">
        <v>47</v>
      </c>
      <c r="F790" s="21">
        <f t="shared" si="118"/>
        <v>173</v>
      </c>
      <c r="G790" s="18">
        <v>6</v>
      </c>
      <c r="H790" s="22">
        <f t="shared" ref="H790:J791" si="207">AVERAGE(C787:C790)</f>
        <v>169.75</v>
      </c>
      <c r="I790" s="22">
        <f t="shared" si="207"/>
        <v>0</v>
      </c>
      <c r="J790" s="22">
        <f t="shared" si="207"/>
        <v>79.5</v>
      </c>
      <c r="K790" s="23">
        <f t="shared" si="204"/>
        <v>249.25</v>
      </c>
      <c r="L790" s="23">
        <f t="shared" si="201"/>
        <v>280.91666666666669</v>
      </c>
      <c r="M790" s="23">
        <f t="shared" si="170"/>
        <v>295.33333333333331</v>
      </c>
      <c r="N790" s="25">
        <f t="shared" si="205"/>
        <v>-0.44012944983818769</v>
      </c>
      <c r="O790" s="25">
        <f t="shared" si="206"/>
        <v>-0.38415900326312669</v>
      </c>
    </row>
    <row r="791" spans="1:15" x14ac:dyDescent="0.25">
      <c r="A791" s="16" t="s">
        <v>23</v>
      </c>
      <c r="B791" s="29">
        <f t="shared" si="199"/>
        <v>39858</v>
      </c>
      <c r="C791" s="15">
        <v>184</v>
      </c>
      <c r="D791" s="15">
        <v>2</v>
      </c>
      <c r="E791" s="15">
        <v>47</v>
      </c>
      <c r="F791" s="21">
        <f t="shared" si="118"/>
        <v>233</v>
      </c>
      <c r="G791" s="18">
        <v>7</v>
      </c>
      <c r="H791" s="22">
        <f t="shared" si="207"/>
        <v>155.25</v>
      </c>
      <c r="I791" s="22">
        <f t="shared" si="207"/>
        <v>0.5</v>
      </c>
      <c r="J791" s="22">
        <f t="shared" si="207"/>
        <v>64.25</v>
      </c>
      <c r="K791" s="23">
        <f t="shared" si="204"/>
        <v>220</v>
      </c>
      <c r="L791" s="23">
        <f t="shared" ref="L791:L858" si="208">AVERAGE(K635+K687+K739)/3</f>
        <v>257.83333333333331</v>
      </c>
      <c r="M791" s="23">
        <f t="shared" si="170"/>
        <v>175.33333333333334</v>
      </c>
      <c r="N791" s="25">
        <f t="shared" si="205"/>
        <v>0.36257309941520466</v>
      </c>
      <c r="O791" s="25">
        <f t="shared" si="206"/>
        <v>-9.6315449256625663E-2</v>
      </c>
    </row>
    <row r="792" spans="1:15" x14ac:dyDescent="0.25">
      <c r="A792" s="16" t="s">
        <v>23</v>
      </c>
      <c r="B792" s="29">
        <f t="shared" si="199"/>
        <v>39865</v>
      </c>
      <c r="C792" s="15">
        <v>334</v>
      </c>
      <c r="D792" s="15">
        <v>8</v>
      </c>
      <c r="E792" s="15">
        <v>42</v>
      </c>
      <c r="F792" s="21">
        <f t="shared" si="118"/>
        <v>384</v>
      </c>
      <c r="G792" s="18">
        <v>8</v>
      </c>
      <c r="H792" s="22">
        <f t="shared" ref="H792:J793" si="209">AVERAGE(C789:C792)</f>
        <v>182</v>
      </c>
      <c r="I792" s="22">
        <f t="shared" si="209"/>
        <v>2.5</v>
      </c>
      <c r="J792" s="22">
        <f t="shared" si="209"/>
        <v>46.5</v>
      </c>
      <c r="K792" s="23">
        <f t="shared" si="204"/>
        <v>231</v>
      </c>
      <c r="L792" s="23">
        <f t="shared" si="208"/>
        <v>223.33333333333334</v>
      </c>
      <c r="M792" s="23">
        <f t="shared" si="170"/>
        <v>187.33333333333334</v>
      </c>
      <c r="N792" s="25">
        <f t="shared" si="205"/>
        <v>0.4826254826254826</v>
      </c>
      <c r="O792" s="25">
        <f t="shared" si="206"/>
        <v>0.71940298507462674</v>
      </c>
    </row>
    <row r="793" spans="1:15" x14ac:dyDescent="0.25">
      <c r="A793" s="16" t="s">
        <v>23</v>
      </c>
      <c r="B793" s="29">
        <f t="shared" si="199"/>
        <v>39872</v>
      </c>
      <c r="C793" s="15">
        <v>362</v>
      </c>
      <c r="D793" s="15">
        <v>2</v>
      </c>
      <c r="E793" s="15">
        <v>225</v>
      </c>
      <c r="F793" s="21">
        <f t="shared" si="118"/>
        <v>589</v>
      </c>
      <c r="G793" s="18">
        <v>9</v>
      </c>
      <c r="H793" s="22">
        <f t="shared" si="209"/>
        <v>251.5</v>
      </c>
      <c r="I793" s="22">
        <f t="shared" si="209"/>
        <v>3</v>
      </c>
      <c r="J793" s="22">
        <f t="shared" si="209"/>
        <v>90.25</v>
      </c>
      <c r="K793" s="23">
        <f t="shared" si="204"/>
        <v>344.75</v>
      </c>
      <c r="L793" s="23">
        <f t="shared" si="208"/>
        <v>232.25</v>
      </c>
      <c r="M793" s="23">
        <f t="shared" si="170"/>
        <v>271</v>
      </c>
      <c r="N793" s="25">
        <f t="shared" si="205"/>
        <v>1.9014778325123152</v>
      </c>
      <c r="O793" s="25">
        <f t="shared" si="206"/>
        <v>1.5360602798708289</v>
      </c>
    </row>
    <row r="794" spans="1:15" x14ac:dyDescent="0.25">
      <c r="A794" s="16" t="s">
        <v>27</v>
      </c>
      <c r="B794" s="29">
        <f t="shared" si="199"/>
        <v>39879</v>
      </c>
      <c r="C794" s="15">
        <v>381</v>
      </c>
      <c r="D794" s="15">
        <v>5</v>
      </c>
      <c r="E794" s="15">
        <v>104</v>
      </c>
      <c r="F794" s="21">
        <f t="shared" si="118"/>
        <v>490</v>
      </c>
      <c r="G794" s="18">
        <v>10</v>
      </c>
      <c r="H794" s="22">
        <f t="shared" ref="H794:J795" si="210">AVERAGE(C791:C794)</f>
        <v>315.25</v>
      </c>
      <c r="I794" s="22">
        <f t="shared" si="210"/>
        <v>4.25</v>
      </c>
      <c r="J794" s="22">
        <f t="shared" si="210"/>
        <v>104.5</v>
      </c>
      <c r="K794" s="23">
        <f t="shared" si="204"/>
        <v>424</v>
      </c>
      <c r="L794" s="23">
        <f t="shared" si="208"/>
        <v>254.25</v>
      </c>
      <c r="M794" s="23">
        <f t="shared" si="170"/>
        <v>383.33333333333331</v>
      </c>
      <c r="N794" s="25">
        <f t="shared" si="205"/>
        <v>0.35359116022099446</v>
      </c>
      <c r="O794" s="25">
        <f t="shared" si="206"/>
        <v>0.92723697148475914</v>
      </c>
    </row>
    <row r="795" spans="1:15" x14ac:dyDescent="0.25">
      <c r="A795" s="16" t="s">
        <v>27</v>
      </c>
      <c r="B795" s="29">
        <f t="shared" si="199"/>
        <v>39886</v>
      </c>
      <c r="C795" s="15">
        <v>462</v>
      </c>
      <c r="D795" s="15">
        <v>17</v>
      </c>
      <c r="E795" s="15">
        <v>71</v>
      </c>
      <c r="F795" s="21">
        <f t="shared" si="118"/>
        <v>550</v>
      </c>
      <c r="G795" s="18">
        <v>11</v>
      </c>
      <c r="H795" s="22">
        <f t="shared" si="210"/>
        <v>384.75</v>
      </c>
      <c r="I795" s="22">
        <f t="shared" si="210"/>
        <v>8</v>
      </c>
      <c r="J795" s="22">
        <f t="shared" si="210"/>
        <v>110.5</v>
      </c>
      <c r="K795" s="23">
        <f t="shared" ref="K795:K800" si="211">SUM(H795:J795)</f>
        <v>503.25</v>
      </c>
      <c r="L795" s="23">
        <f t="shared" si="208"/>
        <v>291.16666666666669</v>
      </c>
      <c r="M795" s="23">
        <f t="shared" si="170"/>
        <v>323</v>
      </c>
      <c r="N795" s="25">
        <f t="shared" ref="N795:N800" si="212">(F795-F743)/F743</f>
        <v>0.85810810810810811</v>
      </c>
      <c r="O795" s="25">
        <f t="shared" ref="O795:O800" si="213">(F795-L795)/L795</f>
        <v>0.88895248998282761</v>
      </c>
    </row>
    <row r="796" spans="1:15" x14ac:dyDescent="0.25">
      <c r="A796" s="16" t="s">
        <v>27</v>
      </c>
      <c r="B796" s="29">
        <f t="shared" si="199"/>
        <v>39893</v>
      </c>
      <c r="C796" s="15">
        <v>333</v>
      </c>
      <c r="D796" s="15">
        <v>3</v>
      </c>
      <c r="E796" s="15">
        <v>101</v>
      </c>
      <c r="F796" s="21">
        <f t="shared" si="118"/>
        <v>437</v>
      </c>
      <c r="G796" s="18">
        <v>12</v>
      </c>
      <c r="H796" s="22">
        <f t="shared" ref="H796:J797" si="214">AVERAGE(C793:C796)</f>
        <v>384.5</v>
      </c>
      <c r="I796" s="22">
        <f t="shared" si="214"/>
        <v>6.75</v>
      </c>
      <c r="J796" s="22">
        <f t="shared" si="214"/>
        <v>125.25</v>
      </c>
      <c r="K796" s="23">
        <f t="shared" si="211"/>
        <v>516.5</v>
      </c>
      <c r="L796" s="23">
        <f t="shared" si="208"/>
        <v>329.83333333333331</v>
      </c>
      <c r="M796" s="23">
        <f t="shared" si="170"/>
        <v>342</v>
      </c>
      <c r="N796" s="25">
        <f t="shared" si="212"/>
        <v>0.42345276872964172</v>
      </c>
      <c r="O796" s="25">
        <f t="shared" si="213"/>
        <v>0.32491157150075806</v>
      </c>
    </row>
    <row r="797" spans="1:15" x14ac:dyDescent="0.25">
      <c r="A797" s="16" t="s">
        <v>27</v>
      </c>
      <c r="B797" s="29">
        <f t="shared" si="199"/>
        <v>39900</v>
      </c>
      <c r="C797" s="15">
        <v>329</v>
      </c>
      <c r="D797" s="15">
        <v>12</v>
      </c>
      <c r="E797" s="15">
        <v>77</v>
      </c>
      <c r="F797" s="21">
        <f t="shared" si="118"/>
        <v>418</v>
      </c>
      <c r="G797" s="18">
        <v>13</v>
      </c>
      <c r="H797" s="22">
        <f t="shared" si="214"/>
        <v>376.25</v>
      </c>
      <c r="I797" s="22">
        <f t="shared" si="214"/>
        <v>9.25</v>
      </c>
      <c r="J797" s="22">
        <f t="shared" si="214"/>
        <v>88.25</v>
      </c>
      <c r="K797" s="23">
        <f t="shared" si="211"/>
        <v>473.75</v>
      </c>
      <c r="L797" s="23">
        <f t="shared" ref="L797" si="215">AVERAGE(K641+K693+K745)/3</f>
        <v>369.33333333333331</v>
      </c>
      <c r="M797" s="23">
        <f t="shared" si="170"/>
        <v>429</v>
      </c>
      <c r="N797" s="25">
        <f t="shared" si="212"/>
        <v>2.4509803921568627E-2</v>
      </c>
      <c r="O797" s="25">
        <f t="shared" si="213"/>
        <v>0.13176895306859213</v>
      </c>
    </row>
    <row r="798" spans="1:15" x14ac:dyDescent="0.25">
      <c r="A798" s="16" t="s">
        <v>14</v>
      </c>
      <c r="B798" s="29">
        <f t="shared" si="199"/>
        <v>39907</v>
      </c>
      <c r="C798" s="15">
        <v>361</v>
      </c>
      <c r="D798" s="15">
        <v>9</v>
      </c>
      <c r="E798" s="15">
        <v>191</v>
      </c>
      <c r="F798" s="21">
        <f t="shared" si="118"/>
        <v>561</v>
      </c>
      <c r="G798" s="18">
        <v>14</v>
      </c>
      <c r="H798" s="22">
        <f t="shared" ref="H798" si="216">AVERAGE(C795:C798)</f>
        <v>371.25</v>
      </c>
      <c r="I798" s="22">
        <f t="shared" ref="I798" si="217">AVERAGE(D795:D798)</f>
        <v>10.25</v>
      </c>
      <c r="J798" s="22">
        <f t="shared" ref="J798" si="218">AVERAGE(E795:E798)</f>
        <v>110</v>
      </c>
      <c r="K798" s="23">
        <f t="shared" si="211"/>
        <v>491.5</v>
      </c>
      <c r="L798" s="23">
        <f t="shared" ref="L798" si="219">AVERAGE(K642+K694+K746)/3</f>
        <v>392.08333333333331</v>
      </c>
      <c r="M798" s="23">
        <f t="shared" si="170"/>
        <v>474.33333333333331</v>
      </c>
      <c r="N798" s="25">
        <f t="shared" si="212"/>
        <v>6.8571428571428575E-2</v>
      </c>
      <c r="O798" s="25">
        <f t="shared" si="213"/>
        <v>0.43081827842720516</v>
      </c>
    </row>
    <row r="799" spans="1:15" x14ac:dyDescent="0.25">
      <c r="A799" s="16" t="s">
        <v>14</v>
      </c>
      <c r="B799" s="29">
        <f t="shared" si="199"/>
        <v>39914</v>
      </c>
      <c r="C799" s="15">
        <v>380</v>
      </c>
      <c r="D799" s="15">
        <v>20</v>
      </c>
      <c r="E799" s="15">
        <v>109</v>
      </c>
      <c r="F799" s="21">
        <f t="shared" si="118"/>
        <v>509</v>
      </c>
      <c r="G799" s="18">
        <v>15</v>
      </c>
      <c r="H799" s="22">
        <f t="shared" ref="H799" si="220">AVERAGE(C796:C799)</f>
        <v>350.75</v>
      </c>
      <c r="I799" s="22">
        <f t="shared" ref="I799" si="221">AVERAGE(D796:D799)</f>
        <v>11</v>
      </c>
      <c r="J799" s="22">
        <f t="shared" ref="J799" si="222">AVERAGE(E796:E799)</f>
        <v>119.5</v>
      </c>
      <c r="K799" s="23">
        <f t="shared" si="211"/>
        <v>481.25</v>
      </c>
      <c r="L799" s="23">
        <f t="shared" ref="L799" si="223">AVERAGE(K643+K695+K747)/3</f>
        <v>434.5</v>
      </c>
      <c r="M799" s="23">
        <f t="shared" si="170"/>
        <v>492.66666666666669</v>
      </c>
      <c r="N799" s="25">
        <f t="shared" si="212"/>
        <v>0.17824074074074073</v>
      </c>
      <c r="O799" s="25">
        <f t="shared" si="213"/>
        <v>0.1714614499424626</v>
      </c>
    </row>
    <row r="800" spans="1:15" x14ac:dyDescent="0.25">
      <c r="A800" s="16" t="s">
        <v>14</v>
      </c>
      <c r="B800" s="29">
        <f t="shared" si="199"/>
        <v>39921</v>
      </c>
      <c r="C800" s="15">
        <v>511</v>
      </c>
      <c r="D800" s="15">
        <v>22</v>
      </c>
      <c r="E800" s="15">
        <v>108</v>
      </c>
      <c r="F800" s="21">
        <f t="shared" si="118"/>
        <v>641</v>
      </c>
      <c r="G800" s="18">
        <v>16</v>
      </c>
      <c r="H800" s="22">
        <f t="shared" ref="H800" si="224">AVERAGE(C797:C800)</f>
        <v>395.25</v>
      </c>
      <c r="I800" s="22">
        <f t="shared" ref="I800" si="225">AVERAGE(D797:D800)</f>
        <v>15.75</v>
      </c>
      <c r="J800" s="22">
        <f t="shared" ref="J800" si="226">AVERAGE(E797:E800)</f>
        <v>121.25</v>
      </c>
      <c r="K800" s="23">
        <f t="shared" si="211"/>
        <v>532.25</v>
      </c>
      <c r="L800" s="23">
        <f t="shared" ref="L800" si="227">AVERAGE(K644+K696+K748)/3</f>
        <v>478.25</v>
      </c>
      <c r="M800" s="23">
        <f t="shared" si="170"/>
        <v>517</v>
      </c>
      <c r="N800" s="25">
        <f t="shared" si="212"/>
        <v>0.39347826086956522</v>
      </c>
      <c r="O800" s="25">
        <f t="shared" si="213"/>
        <v>0.3403031887088343</v>
      </c>
    </row>
    <row r="801" spans="1:15" x14ac:dyDescent="0.25">
      <c r="A801" s="16" t="s">
        <v>14</v>
      </c>
      <c r="B801" s="29">
        <f t="shared" si="199"/>
        <v>39928</v>
      </c>
      <c r="C801" s="15">
        <v>424</v>
      </c>
      <c r="D801" s="15">
        <v>15</v>
      </c>
      <c r="E801" s="15">
        <v>149</v>
      </c>
      <c r="F801" s="21">
        <f t="shared" si="118"/>
        <v>588</v>
      </c>
      <c r="G801" s="18">
        <v>17</v>
      </c>
      <c r="H801" s="22">
        <f t="shared" ref="H801" si="228">AVERAGE(C798:C801)</f>
        <v>419</v>
      </c>
      <c r="I801" s="22">
        <f t="shared" ref="I801" si="229">AVERAGE(D798:D801)</f>
        <v>16.5</v>
      </c>
      <c r="J801" s="22">
        <f t="shared" ref="J801" si="230">AVERAGE(E798:E801)</f>
        <v>139.25</v>
      </c>
      <c r="K801" s="23">
        <f t="shared" ref="K801" si="231">SUM(H801:J801)</f>
        <v>574.75</v>
      </c>
      <c r="L801" s="23">
        <f t="shared" ref="L801" si="232">AVERAGE(K645+K697+K749)/3</f>
        <v>506.16666666666669</v>
      </c>
      <c r="M801" s="23">
        <f t="shared" si="170"/>
        <v>540.66666666666663</v>
      </c>
      <c r="N801" s="25">
        <f t="shared" ref="N801" si="233">(F801-F749)/F749</f>
        <v>0.25910064239828695</v>
      </c>
      <c r="O801" s="25">
        <f t="shared" ref="O801" si="234">(F801-L801)/L801</f>
        <v>0.16167270332565026</v>
      </c>
    </row>
    <row r="802" spans="1:15" x14ac:dyDescent="0.25">
      <c r="A802" s="16" t="s">
        <v>5</v>
      </c>
      <c r="B802" s="29">
        <f t="shared" si="199"/>
        <v>39935</v>
      </c>
      <c r="C802" s="15">
        <v>333</v>
      </c>
      <c r="D802" s="15">
        <v>12</v>
      </c>
      <c r="E802" s="15">
        <v>110</v>
      </c>
      <c r="F802" s="21">
        <f t="shared" si="118"/>
        <v>455</v>
      </c>
      <c r="G802" s="18">
        <v>18</v>
      </c>
      <c r="H802" s="22">
        <f t="shared" ref="H802" si="235">AVERAGE(C799:C802)</f>
        <v>412</v>
      </c>
      <c r="I802" s="22">
        <f t="shared" ref="I802" si="236">AVERAGE(D799:D802)</f>
        <v>17.25</v>
      </c>
      <c r="J802" s="22">
        <f t="shared" ref="J802" si="237">AVERAGE(E799:E802)</f>
        <v>119</v>
      </c>
      <c r="K802" s="23">
        <f t="shared" ref="K802" si="238">SUM(H802:J802)</f>
        <v>548.25</v>
      </c>
      <c r="L802" s="23">
        <f t="shared" ref="L802" si="239">AVERAGE(K646+K698+K750)/3</f>
        <v>490.75</v>
      </c>
      <c r="M802" s="23">
        <f t="shared" si="170"/>
        <v>412.66666666666669</v>
      </c>
      <c r="N802" s="25">
        <f t="shared" ref="N802" si="240">(F802-F750)/F750</f>
        <v>0.84959349593495936</v>
      </c>
      <c r="O802" s="25">
        <f t="shared" ref="O802" si="241">(F802-L802)/L802</f>
        <v>-7.2847682119205295E-2</v>
      </c>
    </row>
    <row r="803" spans="1:15" x14ac:dyDescent="0.25">
      <c r="A803" s="16" t="s">
        <v>5</v>
      </c>
      <c r="B803" s="29">
        <f t="shared" si="199"/>
        <v>39942</v>
      </c>
      <c r="C803" s="15">
        <v>385</v>
      </c>
      <c r="D803" s="15">
        <v>14</v>
      </c>
      <c r="E803" s="15">
        <v>101</v>
      </c>
      <c r="F803" s="21">
        <f t="shared" si="118"/>
        <v>500</v>
      </c>
      <c r="G803" s="18">
        <v>19</v>
      </c>
      <c r="H803" s="22">
        <f t="shared" ref="H803" si="242">AVERAGE(C800:C803)</f>
        <v>413.25</v>
      </c>
      <c r="I803" s="22">
        <f t="shared" ref="I803" si="243">AVERAGE(D800:D803)</f>
        <v>15.75</v>
      </c>
      <c r="J803" s="22">
        <f t="shared" ref="J803" si="244">AVERAGE(E800:E803)</f>
        <v>117</v>
      </c>
      <c r="K803" s="23">
        <f t="shared" ref="K803" si="245">SUM(H803:J803)</f>
        <v>546</v>
      </c>
      <c r="L803" s="23">
        <f t="shared" ref="L803" si="246">AVERAGE(K647+K699+K751)/3</f>
        <v>476.16666666666669</v>
      </c>
      <c r="M803" s="23">
        <f t="shared" si="170"/>
        <v>434.33333333333331</v>
      </c>
      <c r="N803" s="25">
        <f t="shared" ref="N803" si="247">(F803-F751)/F751</f>
        <v>2.5460992907801416</v>
      </c>
      <c r="O803" s="25">
        <f t="shared" ref="O803" si="248">(F803-L803)/L803</f>
        <v>5.0052502625131216E-2</v>
      </c>
    </row>
    <row r="804" spans="1:15" x14ac:dyDescent="0.25">
      <c r="A804" s="16" t="s">
        <v>5</v>
      </c>
      <c r="B804" s="29">
        <f t="shared" si="199"/>
        <v>39949</v>
      </c>
      <c r="C804" s="15">
        <v>518</v>
      </c>
      <c r="D804" s="15">
        <v>15</v>
      </c>
      <c r="E804" s="15">
        <v>114</v>
      </c>
      <c r="F804" s="21">
        <f t="shared" si="118"/>
        <v>647</v>
      </c>
      <c r="G804" s="18">
        <v>20</v>
      </c>
      <c r="H804" s="22">
        <f t="shared" ref="H804" si="249">AVERAGE(C801:C804)</f>
        <v>415</v>
      </c>
      <c r="I804" s="22">
        <f t="shared" ref="I804" si="250">AVERAGE(D801:D804)</f>
        <v>14</v>
      </c>
      <c r="J804" s="22">
        <f t="shared" ref="J804" si="251">AVERAGE(E801:E804)</f>
        <v>118.5</v>
      </c>
      <c r="K804" s="23">
        <f t="shared" ref="K804" si="252">SUM(H804:J804)</f>
        <v>547.5</v>
      </c>
      <c r="L804" s="23">
        <f t="shared" ref="L804" si="253">AVERAGE(K648+K700+K752)/3</f>
        <v>505.58333333333331</v>
      </c>
      <c r="M804" s="23">
        <f t="shared" si="170"/>
        <v>634.66666666666663</v>
      </c>
      <c r="N804" s="25">
        <f t="shared" ref="N804" si="254">(F804-F752)/F752</f>
        <v>0.39740820734341253</v>
      </c>
      <c r="O804" s="25">
        <f t="shared" ref="O804" si="255">(F804-L804)/L804</f>
        <v>0.27970990604911822</v>
      </c>
    </row>
    <row r="805" spans="1:15" x14ac:dyDescent="0.25">
      <c r="A805" s="16" t="s">
        <v>5</v>
      </c>
      <c r="B805" s="29">
        <f t="shared" si="199"/>
        <v>39956</v>
      </c>
      <c r="C805" s="15">
        <v>423</v>
      </c>
      <c r="D805" s="15">
        <v>8</v>
      </c>
      <c r="E805" s="15">
        <v>196</v>
      </c>
      <c r="F805" s="21">
        <f t="shared" si="118"/>
        <v>627</v>
      </c>
      <c r="G805" s="18">
        <v>21</v>
      </c>
      <c r="H805" s="22">
        <f t="shared" ref="H805" si="256">AVERAGE(C802:C805)</f>
        <v>414.75</v>
      </c>
      <c r="I805" s="22">
        <f t="shared" ref="I805" si="257">AVERAGE(D802:D805)</f>
        <v>12.25</v>
      </c>
      <c r="J805" s="22">
        <f t="shared" ref="J805" si="258">AVERAGE(E802:E805)</f>
        <v>130.25</v>
      </c>
      <c r="K805" s="23">
        <f t="shared" ref="K805" si="259">SUM(H805:J805)</f>
        <v>557.25</v>
      </c>
      <c r="L805" s="23">
        <f t="shared" ref="L805" si="260">AVERAGE(K649+K701+K753)/3</f>
        <v>527.41666666666663</v>
      </c>
      <c r="M805" s="23">
        <f t="shared" si="170"/>
        <v>628</v>
      </c>
      <c r="N805" s="25">
        <f t="shared" ref="N805:N806" si="261">(F805-F753)/F753</f>
        <v>0.11565836298932385</v>
      </c>
      <c r="O805" s="25">
        <f t="shared" ref="O805:O806" si="262">(F805-L805)/L805</f>
        <v>0.18881339864117563</v>
      </c>
    </row>
    <row r="806" spans="1:15" x14ac:dyDescent="0.25">
      <c r="A806" s="16" t="s">
        <v>5</v>
      </c>
      <c r="B806" s="29">
        <f t="shared" si="199"/>
        <v>39963</v>
      </c>
      <c r="C806" s="15">
        <v>428</v>
      </c>
      <c r="D806" s="15">
        <v>11</v>
      </c>
      <c r="E806" s="15">
        <v>160</v>
      </c>
      <c r="F806" s="21">
        <f t="shared" si="118"/>
        <v>599</v>
      </c>
      <c r="G806" s="18">
        <v>22</v>
      </c>
      <c r="H806" s="22">
        <f t="shared" ref="H806" si="263">AVERAGE(C803:C806)</f>
        <v>438.5</v>
      </c>
      <c r="I806" s="22">
        <f t="shared" ref="I806" si="264">AVERAGE(D803:D806)</f>
        <v>12</v>
      </c>
      <c r="J806" s="22">
        <f t="shared" ref="J806" si="265">AVERAGE(E803:E806)</f>
        <v>142.75</v>
      </c>
      <c r="K806" s="23">
        <f t="shared" ref="K806" si="266">SUM(H806:J806)</f>
        <v>593.25</v>
      </c>
      <c r="L806" s="23">
        <f t="shared" si="208"/>
        <v>571</v>
      </c>
      <c r="M806" s="23">
        <f t="shared" si="170"/>
        <v>587</v>
      </c>
      <c r="N806" s="25">
        <f t="shared" si="261"/>
        <v>0.13446969696969696</v>
      </c>
      <c r="O806" s="25">
        <f t="shared" si="262"/>
        <v>4.9036777583187391E-2</v>
      </c>
    </row>
    <row r="807" spans="1:15" x14ac:dyDescent="0.25">
      <c r="A807" s="16" t="s">
        <v>30</v>
      </c>
      <c r="B807" s="29">
        <f t="shared" si="199"/>
        <v>39970</v>
      </c>
      <c r="C807" s="15">
        <v>500</v>
      </c>
      <c r="D807" s="15">
        <v>14</v>
      </c>
      <c r="E807" s="15">
        <v>164</v>
      </c>
      <c r="F807" s="21">
        <f t="shared" si="118"/>
        <v>678</v>
      </c>
      <c r="G807" s="18">
        <v>23</v>
      </c>
      <c r="H807" s="22">
        <f t="shared" ref="H807" si="267">AVERAGE(C804:C807)</f>
        <v>467.25</v>
      </c>
      <c r="I807" s="22">
        <f t="shared" ref="I807" si="268">AVERAGE(D804:D807)</f>
        <v>12</v>
      </c>
      <c r="J807" s="22">
        <f t="shared" ref="J807" si="269">AVERAGE(E804:E807)</f>
        <v>158.5</v>
      </c>
      <c r="K807" s="23">
        <f t="shared" ref="K807" si="270">SUM(H807:J807)</f>
        <v>637.75</v>
      </c>
      <c r="L807" s="23">
        <f t="shared" ref="L807" si="271">AVERAGE(K651+K703+K755)/3</f>
        <v>605.91666666666663</v>
      </c>
      <c r="M807" s="23">
        <f t="shared" si="170"/>
        <v>574</v>
      </c>
      <c r="N807" s="25">
        <f t="shared" ref="N807" si="272">(F807-F755)/F755</f>
        <v>0.33992094861660077</v>
      </c>
      <c r="O807" s="25">
        <f t="shared" ref="O807" si="273">(F807-L807)/L807</f>
        <v>0.11896575436666215</v>
      </c>
    </row>
    <row r="808" spans="1:15" x14ac:dyDescent="0.25">
      <c r="A808" s="16" t="s">
        <v>30</v>
      </c>
      <c r="B808" s="29">
        <f t="shared" si="199"/>
        <v>39977</v>
      </c>
      <c r="C808" s="15">
        <v>525</v>
      </c>
      <c r="D808" s="15">
        <v>42</v>
      </c>
      <c r="E808" s="15">
        <v>130</v>
      </c>
      <c r="F808" s="21">
        <f t="shared" si="118"/>
        <v>697</v>
      </c>
      <c r="G808" s="18">
        <v>24</v>
      </c>
      <c r="H808" s="22">
        <f t="shared" ref="H808" si="274">AVERAGE(C805:C808)</f>
        <v>469</v>
      </c>
      <c r="I808" s="22">
        <f t="shared" ref="I808" si="275">AVERAGE(D805:D808)</f>
        <v>18.75</v>
      </c>
      <c r="J808" s="22">
        <f t="shared" ref="J808" si="276">AVERAGE(E805:E808)</f>
        <v>162.5</v>
      </c>
      <c r="K808" s="23">
        <f t="shared" ref="K808" si="277">SUM(H808:J808)</f>
        <v>650.25</v>
      </c>
      <c r="L808" s="23">
        <f t="shared" ref="L808" si="278">AVERAGE(K652+K704+K756)/3</f>
        <v>600.33333333333337</v>
      </c>
      <c r="M808" s="23">
        <f t="shared" si="170"/>
        <v>612.33333333333337</v>
      </c>
      <c r="N808" s="25">
        <f t="shared" ref="N808" si="279">(F808-F756)/F756</f>
        <v>0.79177377892030854</v>
      </c>
      <c r="O808" s="25">
        <f t="shared" ref="O808" si="280">(F808-L808)/L808</f>
        <v>0.1610216546363131</v>
      </c>
    </row>
    <row r="809" spans="1:15" x14ac:dyDescent="0.25">
      <c r="A809" s="16" t="s">
        <v>30</v>
      </c>
      <c r="B809" s="29">
        <f t="shared" si="199"/>
        <v>39984</v>
      </c>
      <c r="C809" s="15">
        <v>782</v>
      </c>
      <c r="D809" s="15">
        <v>21</v>
      </c>
      <c r="E809" s="15">
        <v>140</v>
      </c>
      <c r="F809" s="21">
        <f t="shared" si="118"/>
        <v>943</v>
      </c>
      <c r="G809" s="18">
        <v>25</v>
      </c>
      <c r="H809" s="22">
        <f t="shared" ref="H809" si="281">AVERAGE(C806:C809)</f>
        <v>558.75</v>
      </c>
      <c r="I809" s="22">
        <f t="shared" ref="I809" si="282">AVERAGE(D806:D809)</f>
        <v>22</v>
      </c>
      <c r="J809" s="22">
        <f t="shared" ref="J809" si="283">AVERAGE(E806:E809)</f>
        <v>148.5</v>
      </c>
      <c r="K809" s="23">
        <f t="shared" ref="K809" si="284">SUM(H809:J809)</f>
        <v>729.25</v>
      </c>
      <c r="L809" s="23">
        <f t="shared" ref="L809" si="285">AVERAGE(K653+K705+K757)/3</f>
        <v>577.83333333333337</v>
      </c>
      <c r="M809" s="23">
        <f t="shared" si="170"/>
        <v>538</v>
      </c>
      <c r="N809" s="25">
        <f t="shared" ref="N809" si="286">(F809-F757)/F757</f>
        <v>3.4691943127962084</v>
      </c>
      <c r="O809" s="25">
        <f t="shared" ref="O809" si="287">(F809-L809)/L809</f>
        <v>0.63195846553216029</v>
      </c>
    </row>
    <row r="810" spans="1:15" x14ac:dyDescent="0.25">
      <c r="A810" s="16" t="s">
        <v>30</v>
      </c>
      <c r="B810" s="29">
        <f t="shared" si="199"/>
        <v>39991</v>
      </c>
      <c r="C810" s="15">
        <v>589</v>
      </c>
      <c r="D810" s="15">
        <v>2</v>
      </c>
      <c r="E810" s="15">
        <v>154</v>
      </c>
      <c r="F810" s="21">
        <f t="shared" si="118"/>
        <v>745</v>
      </c>
      <c r="G810" s="18">
        <v>26</v>
      </c>
      <c r="H810" s="22">
        <f t="shared" ref="H810" si="288">AVERAGE(C807:C810)</f>
        <v>599</v>
      </c>
      <c r="I810" s="22">
        <f t="shared" ref="I810" si="289">AVERAGE(D807:D810)</f>
        <v>19.75</v>
      </c>
      <c r="J810" s="22">
        <f t="shared" ref="J810" si="290">AVERAGE(E807:E810)</f>
        <v>147</v>
      </c>
      <c r="K810" s="23">
        <f t="shared" ref="K810" si="291">SUM(H810:J810)</f>
        <v>765.75</v>
      </c>
      <c r="L810" s="23">
        <f t="shared" ref="L810" si="292">AVERAGE(K654+K706+K758)/3</f>
        <v>570.66666666666663</v>
      </c>
      <c r="M810" s="23">
        <f t="shared" si="170"/>
        <v>558.33333333333337</v>
      </c>
      <c r="N810" s="25">
        <f t="shared" ref="N810" si="293">(F810-F758)/F758</f>
        <v>5.7727272727272725</v>
      </c>
      <c r="O810" s="25">
        <f t="shared" ref="O810" si="294">(F810-L810)/L810</f>
        <v>0.30549065420560756</v>
      </c>
    </row>
    <row r="811" spans="1:15" x14ac:dyDescent="0.25">
      <c r="A811" s="16" t="s">
        <v>11</v>
      </c>
      <c r="B811" s="29">
        <f t="shared" si="199"/>
        <v>39998</v>
      </c>
      <c r="C811" s="15">
        <v>671</v>
      </c>
      <c r="D811" s="15">
        <v>27</v>
      </c>
      <c r="E811" s="15">
        <v>123</v>
      </c>
      <c r="F811" s="21">
        <f t="shared" si="118"/>
        <v>821</v>
      </c>
      <c r="G811" s="18">
        <v>27</v>
      </c>
      <c r="H811" s="22">
        <f t="shared" ref="H811" si="295">AVERAGE(C808:C811)</f>
        <v>641.75</v>
      </c>
      <c r="I811" s="22">
        <f t="shared" ref="I811" si="296">AVERAGE(D808:D811)</f>
        <v>23</v>
      </c>
      <c r="J811" s="22">
        <f t="shared" ref="J811" si="297">AVERAGE(E808:E811)</f>
        <v>136.75</v>
      </c>
      <c r="K811" s="23">
        <f t="shared" ref="K811" si="298">SUM(H811:J811)</f>
        <v>801.5</v>
      </c>
      <c r="L811" s="23">
        <f t="shared" ref="L811" si="299">AVERAGE(K655+K707+K759)/3</f>
        <v>570.08333333333337</v>
      </c>
      <c r="M811" s="23">
        <f t="shared" si="170"/>
        <v>571.66666666666663</v>
      </c>
      <c r="N811" s="25">
        <f t="shared" ref="N811" si="300">(F811-F759)/F759</f>
        <v>6.6018518518518521</v>
      </c>
      <c r="O811" s="25">
        <f t="shared" ref="O811" si="301">(F811-L811)/L811</f>
        <v>0.44014033036105821</v>
      </c>
    </row>
    <row r="812" spans="1:15" x14ac:dyDescent="0.25">
      <c r="A812" s="16" t="s">
        <v>11</v>
      </c>
      <c r="B812" s="29">
        <f t="shared" si="199"/>
        <v>40005</v>
      </c>
      <c r="C812" s="15">
        <v>524</v>
      </c>
      <c r="D812" s="15">
        <v>15</v>
      </c>
      <c r="E812" s="15">
        <v>102</v>
      </c>
      <c r="F812" s="21">
        <f t="shared" si="118"/>
        <v>641</v>
      </c>
      <c r="G812" s="18">
        <v>28</v>
      </c>
      <c r="H812" s="22">
        <f t="shared" ref="H812" si="302">AVERAGE(C809:C812)</f>
        <v>641.5</v>
      </c>
      <c r="I812" s="22">
        <f t="shared" ref="I812" si="303">AVERAGE(D809:D812)</f>
        <v>16.25</v>
      </c>
      <c r="J812" s="22">
        <f t="shared" ref="J812" si="304">AVERAGE(E809:E812)</f>
        <v>129.75</v>
      </c>
      <c r="K812" s="23">
        <f t="shared" ref="K812" si="305">SUM(H812:J812)</f>
        <v>787.5</v>
      </c>
      <c r="L812" s="23">
        <f t="shared" ref="L812" si="306">AVERAGE(K656+K708+K760)/3</f>
        <v>593.91666666666663</v>
      </c>
      <c r="M812" s="23">
        <f t="shared" si="170"/>
        <v>707.66666666666663</v>
      </c>
      <c r="N812" s="25">
        <f t="shared" ref="N812" si="307">(F812-F760)/F760</f>
        <v>4.7385620915032678E-2</v>
      </c>
      <c r="O812" s="25">
        <f t="shared" ref="O812" si="308">(F812-L812)/L812</f>
        <v>7.9275992703802506E-2</v>
      </c>
    </row>
    <row r="813" spans="1:15" x14ac:dyDescent="0.25">
      <c r="A813" s="16" t="s">
        <v>11</v>
      </c>
      <c r="B813" s="29">
        <f t="shared" si="199"/>
        <v>40012</v>
      </c>
      <c r="C813" s="15">
        <v>523</v>
      </c>
      <c r="D813" s="15">
        <v>5</v>
      </c>
      <c r="E813" s="15">
        <v>89</v>
      </c>
      <c r="F813" s="21">
        <f t="shared" si="118"/>
        <v>617</v>
      </c>
      <c r="G813" s="18">
        <v>29</v>
      </c>
      <c r="H813" s="22">
        <f t="shared" ref="H813" si="309">AVERAGE(C810:C813)</f>
        <v>576.75</v>
      </c>
      <c r="I813" s="22">
        <f t="shared" ref="I813" si="310">AVERAGE(D810:D813)</f>
        <v>12.25</v>
      </c>
      <c r="J813" s="22">
        <f t="shared" ref="J813" si="311">AVERAGE(E810:E813)</f>
        <v>117</v>
      </c>
      <c r="K813" s="23">
        <f t="shared" ref="K813" si="312">SUM(H813:J813)</f>
        <v>706</v>
      </c>
      <c r="L813" s="23">
        <f t="shared" ref="L813" si="313">AVERAGE(K657+K709+K761)/3</f>
        <v>625.83333333333337</v>
      </c>
      <c r="M813" s="23">
        <f t="shared" si="170"/>
        <v>665.66666666666663</v>
      </c>
      <c r="N813" s="25">
        <f t="shared" ref="N813" si="314">(F813-F761)/F761</f>
        <v>5.2901023890784986E-2</v>
      </c>
      <c r="O813" s="25">
        <f t="shared" ref="O813" si="315">(F813-L813)/L813</f>
        <v>-1.4114513981358249E-2</v>
      </c>
    </row>
    <row r="814" spans="1:15" x14ac:dyDescent="0.25">
      <c r="A814" s="16" t="s">
        <v>11</v>
      </c>
      <c r="B814" s="29">
        <f t="shared" si="199"/>
        <v>40019</v>
      </c>
      <c r="C814" s="15">
        <v>704</v>
      </c>
      <c r="D814" s="15">
        <v>8</v>
      </c>
      <c r="E814" s="15">
        <v>95</v>
      </c>
      <c r="F814" s="21">
        <f t="shared" si="118"/>
        <v>807</v>
      </c>
      <c r="G814" s="18">
        <v>30</v>
      </c>
      <c r="H814" s="22">
        <f t="shared" ref="H814" si="316">AVERAGE(C811:C814)</f>
        <v>605.5</v>
      </c>
      <c r="I814" s="22">
        <f t="shared" ref="I814" si="317">AVERAGE(D811:D814)</f>
        <v>13.75</v>
      </c>
      <c r="J814" s="22">
        <f t="shared" ref="J814" si="318">AVERAGE(E811:E814)</f>
        <v>102.25</v>
      </c>
      <c r="K814" s="23">
        <f t="shared" ref="K814" si="319">SUM(H814:J814)</f>
        <v>721.5</v>
      </c>
      <c r="L814" s="23">
        <f t="shared" ref="L814" si="320">AVERAGE(K658+K710+K762)/3</f>
        <v>669</v>
      </c>
      <c r="M814" s="23">
        <f t="shared" si="170"/>
        <v>731</v>
      </c>
      <c r="N814" s="25">
        <f t="shared" ref="N814" si="321">(F814-F762)/F762</f>
        <v>0.13661971830985917</v>
      </c>
      <c r="O814" s="25">
        <f t="shared" ref="O814" si="322">(F814-L814)/L814</f>
        <v>0.20627802690582961</v>
      </c>
    </row>
    <row r="815" spans="1:15" x14ac:dyDescent="0.25">
      <c r="A815" s="16" t="s">
        <v>11</v>
      </c>
      <c r="B815" s="29">
        <f t="shared" si="199"/>
        <v>40026</v>
      </c>
      <c r="C815" s="15">
        <v>831</v>
      </c>
      <c r="D815" s="15">
        <v>5</v>
      </c>
      <c r="E815" s="15">
        <v>150</v>
      </c>
      <c r="F815" s="21">
        <f t="shared" si="118"/>
        <v>986</v>
      </c>
      <c r="G815" s="18">
        <v>31</v>
      </c>
      <c r="H815" s="22">
        <f t="shared" ref="H815" si="323">AVERAGE(C812:C815)</f>
        <v>645.5</v>
      </c>
      <c r="I815" s="22">
        <f t="shared" ref="I815" si="324">AVERAGE(D812:D815)</f>
        <v>8.25</v>
      </c>
      <c r="J815" s="22">
        <f t="shared" ref="J815" si="325">AVERAGE(E812:E815)</f>
        <v>109</v>
      </c>
      <c r="K815" s="23">
        <f t="shared" ref="K815" si="326">SUM(H815:J815)</f>
        <v>762.75</v>
      </c>
      <c r="L815" s="23">
        <f t="shared" ref="L815" si="327">AVERAGE(K659+K711+K763)/3</f>
        <v>708.5</v>
      </c>
      <c r="M815" s="23">
        <f t="shared" si="170"/>
        <v>729.66666666666663</v>
      </c>
      <c r="N815" s="25">
        <f t="shared" ref="N815" si="328">(F815-F763)/F763</f>
        <v>0.48717948717948717</v>
      </c>
      <c r="O815" s="25">
        <f t="shared" ref="O815" si="329">(F815-L815)/L815</f>
        <v>0.39167254763585041</v>
      </c>
    </row>
    <row r="816" spans="1:15" x14ac:dyDescent="0.25">
      <c r="A816" s="16" t="s">
        <v>19</v>
      </c>
      <c r="B816" s="29">
        <f t="shared" si="199"/>
        <v>40033</v>
      </c>
      <c r="C816" s="15">
        <v>580</v>
      </c>
      <c r="D816" s="15">
        <v>3</v>
      </c>
      <c r="E816" s="15">
        <v>101</v>
      </c>
      <c r="F816" s="21">
        <f t="shared" si="118"/>
        <v>684</v>
      </c>
      <c r="G816" s="18">
        <v>32</v>
      </c>
      <c r="H816" s="22">
        <f t="shared" ref="H816" si="330">AVERAGE(C813:C816)</f>
        <v>659.5</v>
      </c>
      <c r="I816" s="22">
        <f t="shared" ref="I816" si="331">AVERAGE(D813:D816)</f>
        <v>5.25</v>
      </c>
      <c r="J816" s="22">
        <f t="shared" ref="J816" si="332">AVERAGE(E813:E816)</f>
        <v>108.75</v>
      </c>
      <c r="K816" s="23">
        <f t="shared" ref="K816" si="333">SUM(H816:J816)</f>
        <v>773.5</v>
      </c>
      <c r="L816" s="23">
        <f t="shared" ref="L816" si="334">AVERAGE(K660+K712+K764)/3</f>
        <v>680.16666666666663</v>
      </c>
      <c r="M816" s="23">
        <f t="shared" si="170"/>
        <v>594.33333333333337</v>
      </c>
      <c r="N816" s="25">
        <f t="shared" ref="N816" si="335">(F816-F764)/F764</f>
        <v>0.37903225806451613</v>
      </c>
      <c r="O816" s="25">
        <f t="shared" ref="O816" si="336">(F816-L816)/L816</f>
        <v>5.635873560401918E-3</v>
      </c>
    </row>
    <row r="817" spans="1:15" x14ac:dyDescent="0.25">
      <c r="A817" s="16" t="s">
        <v>19</v>
      </c>
      <c r="B817" s="29">
        <f t="shared" si="199"/>
        <v>40040</v>
      </c>
      <c r="C817" s="15">
        <v>641</v>
      </c>
      <c r="D817" s="15">
        <v>6</v>
      </c>
      <c r="E817" s="15">
        <v>156</v>
      </c>
      <c r="F817" s="21">
        <f t="shared" si="118"/>
        <v>803</v>
      </c>
      <c r="G817" s="18">
        <v>33</v>
      </c>
      <c r="H817" s="22">
        <f t="shared" ref="H817" si="337">AVERAGE(C814:C817)</f>
        <v>689</v>
      </c>
      <c r="I817" s="22">
        <f t="shared" ref="I817" si="338">AVERAGE(D814:D817)</f>
        <v>5.5</v>
      </c>
      <c r="J817" s="22">
        <f t="shared" ref="J817" si="339">AVERAGE(E814:E817)</f>
        <v>125.5</v>
      </c>
      <c r="K817" s="23">
        <f t="shared" ref="K817" si="340">SUM(H817:J817)</f>
        <v>820</v>
      </c>
      <c r="L817" s="23">
        <f t="shared" ref="L817" si="341">AVERAGE(K661+K713+K765)/3</f>
        <v>658.41666666666663</v>
      </c>
      <c r="M817" s="23">
        <f t="shared" si="170"/>
        <v>578.66666666666663</v>
      </c>
      <c r="N817" s="25">
        <f t="shared" ref="N817" si="342">(F817-F765)/F765</f>
        <v>0.69052631578947365</v>
      </c>
      <c r="O817" s="25">
        <f t="shared" ref="O817" si="343">(F817-L817)/L817</f>
        <v>0.21959245665105689</v>
      </c>
    </row>
    <row r="818" spans="1:15" x14ac:dyDescent="0.25">
      <c r="A818" s="16" t="s">
        <v>19</v>
      </c>
      <c r="B818" s="29">
        <f t="shared" si="199"/>
        <v>40047</v>
      </c>
      <c r="C818" s="15">
        <v>532</v>
      </c>
      <c r="D818" s="15">
        <v>8</v>
      </c>
      <c r="E818" s="15">
        <v>93</v>
      </c>
      <c r="F818" s="21">
        <f t="shared" si="118"/>
        <v>633</v>
      </c>
      <c r="G818" s="18">
        <v>34</v>
      </c>
      <c r="H818" s="22">
        <f t="shared" ref="H818" si="344">AVERAGE(C815:C818)</f>
        <v>646</v>
      </c>
      <c r="I818" s="22">
        <f t="shared" ref="I818" si="345">AVERAGE(D815:D818)</f>
        <v>5.5</v>
      </c>
      <c r="J818" s="22">
        <f t="shared" ref="J818" si="346">AVERAGE(E815:E818)</f>
        <v>125</v>
      </c>
      <c r="K818" s="23">
        <f t="shared" ref="K818" si="347">SUM(H818:J818)</f>
        <v>776.5</v>
      </c>
      <c r="L818" s="23">
        <f t="shared" ref="L818" si="348">AVERAGE(K662+K714+K766)/3</f>
        <v>593.25</v>
      </c>
      <c r="M818" s="23">
        <f t="shared" si="170"/>
        <v>470.33333333333331</v>
      </c>
      <c r="N818" s="25">
        <f t="shared" ref="N818" si="349">(F818-F766)/F766</f>
        <v>0.13237924865831843</v>
      </c>
      <c r="O818" s="25">
        <f t="shared" ref="O818" si="350">(F818-L818)/L818</f>
        <v>6.7003792667509485E-2</v>
      </c>
    </row>
    <row r="819" spans="1:15" x14ac:dyDescent="0.25">
      <c r="A819" s="16" t="s">
        <v>19</v>
      </c>
      <c r="B819" s="29">
        <f t="shared" si="199"/>
        <v>40054</v>
      </c>
      <c r="C819" s="15">
        <v>483</v>
      </c>
      <c r="D819" s="15">
        <v>11</v>
      </c>
      <c r="E819" s="15">
        <v>108</v>
      </c>
      <c r="F819" s="21">
        <f t="shared" si="118"/>
        <v>602</v>
      </c>
      <c r="G819" s="18">
        <v>35</v>
      </c>
      <c r="H819" s="22">
        <f t="shared" ref="H819" si="351">AVERAGE(C816:C819)</f>
        <v>559</v>
      </c>
      <c r="I819" s="22">
        <f t="shared" ref="I819" si="352">AVERAGE(D816:D819)</f>
        <v>7</v>
      </c>
      <c r="J819" s="22">
        <f t="shared" ref="J819" si="353">AVERAGE(E816:E819)</f>
        <v>114.5</v>
      </c>
      <c r="K819" s="23">
        <f t="shared" ref="K819" si="354">SUM(H819:J819)</f>
        <v>680.5</v>
      </c>
      <c r="L819" s="23">
        <f t="shared" ref="L819" si="355">AVERAGE(K663+K715+K767)/3</f>
        <v>511.83333333333331</v>
      </c>
      <c r="M819" s="23">
        <f t="shared" si="170"/>
        <v>404</v>
      </c>
      <c r="N819" s="25">
        <f t="shared" ref="N819" si="356">(F819-F767)/F767</f>
        <v>0.97377049180327868</v>
      </c>
      <c r="O819" s="25">
        <f t="shared" ref="O819" si="357">(F819-L819)/L819</f>
        <v>0.17616411592315212</v>
      </c>
    </row>
    <row r="820" spans="1:15" x14ac:dyDescent="0.25">
      <c r="A820" s="16" t="s">
        <v>24</v>
      </c>
      <c r="B820" s="29">
        <f t="shared" si="199"/>
        <v>40061</v>
      </c>
      <c r="C820" s="28">
        <v>273</v>
      </c>
      <c r="D820" s="15">
        <v>7</v>
      </c>
      <c r="E820" s="15">
        <v>35</v>
      </c>
      <c r="F820" s="21">
        <f t="shared" si="118"/>
        <v>315</v>
      </c>
      <c r="G820" s="18">
        <v>36</v>
      </c>
      <c r="H820" s="22">
        <f t="shared" ref="H820" si="358">AVERAGE(C817:C820)</f>
        <v>482.25</v>
      </c>
      <c r="I820" s="22">
        <f t="shared" ref="I820" si="359">AVERAGE(D817:D820)</f>
        <v>8</v>
      </c>
      <c r="J820" s="22">
        <f t="shared" ref="J820" si="360">AVERAGE(E817:E820)</f>
        <v>98</v>
      </c>
      <c r="K820" s="23">
        <f t="shared" ref="K820" si="361">SUM(H820:J820)</f>
        <v>588.25</v>
      </c>
      <c r="L820" s="23">
        <f t="shared" ref="L820" si="362">AVERAGE(K664+K716+K768)/3</f>
        <v>466.33333333333331</v>
      </c>
      <c r="M820" s="23">
        <f t="shared" si="170"/>
        <v>412.33333333333331</v>
      </c>
      <c r="N820" s="25">
        <f t="shared" ref="N820" si="363">(F820-F768)/F768</f>
        <v>-0.42201834862385323</v>
      </c>
      <c r="O820" s="25">
        <f t="shared" ref="O820" si="364">(F820-L820)/L820</f>
        <v>-0.3245175125089349</v>
      </c>
    </row>
    <row r="821" spans="1:15" x14ac:dyDescent="0.25">
      <c r="A821" s="16" t="s">
        <v>24</v>
      </c>
      <c r="B821" s="29">
        <f t="shared" si="199"/>
        <v>40068</v>
      </c>
      <c r="C821" s="15">
        <v>205</v>
      </c>
      <c r="D821" s="15">
        <v>17</v>
      </c>
      <c r="E821" s="15">
        <v>33</v>
      </c>
      <c r="F821" s="21">
        <f t="shared" si="118"/>
        <v>255</v>
      </c>
      <c r="G821" s="18">
        <v>37</v>
      </c>
      <c r="H821" s="22">
        <f t="shared" ref="H821" si="365">AVERAGE(C818:C821)</f>
        <v>373.25</v>
      </c>
      <c r="I821" s="22">
        <f t="shared" ref="I821" si="366">AVERAGE(D818:D821)</f>
        <v>10.75</v>
      </c>
      <c r="J821" s="22">
        <f t="shared" ref="J821" si="367">AVERAGE(E818:E821)</f>
        <v>67.25</v>
      </c>
      <c r="K821" s="23">
        <f t="shared" ref="K821" si="368">SUM(H821:J821)</f>
        <v>451.25</v>
      </c>
      <c r="L821" s="23">
        <f t="shared" ref="L821" si="369">AVERAGE(K665+K717+K769)/3</f>
        <v>407.25</v>
      </c>
      <c r="M821" s="23">
        <f t="shared" si="170"/>
        <v>342.33333333333331</v>
      </c>
      <c r="N821" s="25">
        <f t="shared" ref="N821" si="370">(F821-F769)/F769</f>
        <v>-0.39429928741092635</v>
      </c>
      <c r="O821" s="25">
        <f t="shared" ref="O821" si="371">(F821-L821)/L821</f>
        <v>-0.37384898710865561</v>
      </c>
    </row>
    <row r="822" spans="1:15" x14ac:dyDescent="0.25">
      <c r="A822" s="16" t="s">
        <v>24</v>
      </c>
      <c r="B822" s="29">
        <f t="shared" si="199"/>
        <v>40075</v>
      </c>
      <c r="C822" s="15">
        <v>152</v>
      </c>
      <c r="D822" s="15">
        <v>8</v>
      </c>
      <c r="E822" s="15">
        <v>23</v>
      </c>
      <c r="F822" s="21">
        <f t="shared" si="118"/>
        <v>183</v>
      </c>
      <c r="G822" s="18">
        <v>38</v>
      </c>
      <c r="H822" s="22">
        <f t="shared" ref="H822" si="372">AVERAGE(C819:C822)</f>
        <v>278.25</v>
      </c>
      <c r="I822" s="22">
        <f t="shared" ref="I822" si="373">AVERAGE(D819:D822)</f>
        <v>10.75</v>
      </c>
      <c r="J822" s="22">
        <f t="shared" ref="J822" si="374">AVERAGE(E819:E822)</f>
        <v>49.75</v>
      </c>
      <c r="K822" s="23">
        <f t="shared" ref="K822" si="375">SUM(H822:J822)</f>
        <v>338.75</v>
      </c>
      <c r="L822" s="23">
        <f t="shared" ref="L822" si="376">AVERAGE(K666+K718+K770)/3</f>
        <v>377.5</v>
      </c>
      <c r="M822" s="23">
        <f t="shared" ref="M822:M885" si="377">AVERAGE(F666+F718+F770)/3</f>
        <v>351.33333333333331</v>
      </c>
      <c r="N822" s="25">
        <f t="shared" ref="N822" si="378">(F822-F770)/F770</f>
        <v>-0.41904761904761906</v>
      </c>
      <c r="O822" s="25">
        <f t="shared" ref="O822" si="379">(F822-L822)/L822</f>
        <v>-0.51523178807947023</v>
      </c>
    </row>
    <row r="823" spans="1:15" x14ac:dyDescent="0.25">
      <c r="A823" s="16" t="s">
        <v>24</v>
      </c>
      <c r="B823" s="29">
        <f t="shared" si="199"/>
        <v>40082</v>
      </c>
      <c r="C823" s="15">
        <v>149</v>
      </c>
      <c r="D823" s="15">
        <v>27</v>
      </c>
      <c r="E823" s="15">
        <v>11</v>
      </c>
      <c r="F823" s="21">
        <f t="shared" si="118"/>
        <v>187</v>
      </c>
      <c r="G823" s="18">
        <v>39</v>
      </c>
      <c r="H823" s="22">
        <f t="shared" ref="H823" si="380">AVERAGE(C820:C823)</f>
        <v>194.75</v>
      </c>
      <c r="I823" s="22">
        <f t="shared" ref="I823" si="381">AVERAGE(D820:D823)</f>
        <v>14.75</v>
      </c>
      <c r="J823" s="22">
        <f t="shared" ref="J823" si="382">AVERAGE(E820:E823)</f>
        <v>25.5</v>
      </c>
      <c r="K823" s="23">
        <f t="shared" ref="K823" si="383">SUM(H823:J823)</f>
        <v>235</v>
      </c>
      <c r="L823" s="23">
        <f t="shared" ref="L823" si="384">AVERAGE(K667+K719+K771)/3</f>
        <v>367.83333333333331</v>
      </c>
      <c r="M823" s="23">
        <f t="shared" si="377"/>
        <v>365.33333333333331</v>
      </c>
      <c r="N823" s="25">
        <f t="shared" ref="N823" si="385">(F823-F771)/F771</f>
        <v>0.11976047904191617</v>
      </c>
      <c r="O823" s="25">
        <f t="shared" ref="O823" si="386">(F823-L823)/L823</f>
        <v>-0.49161758042591752</v>
      </c>
    </row>
    <row r="824" spans="1:15" x14ac:dyDescent="0.25">
      <c r="A824" s="16" t="s">
        <v>20</v>
      </c>
      <c r="B824" s="29">
        <f t="shared" si="199"/>
        <v>40089</v>
      </c>
      <c r="C824" s="15">
        <v>221</v>
      </c>
      <c r="D824" s="15">
        <v>18</v>
      </c>
      <c r="E824" s="15">
        <v>3</v>
      </c>
      <c r="F824" s="21">
        <f t="shared" si="118"/>
        <v>242</v>
      </c>
      <c r="G824" s="18">
        <v>40</v>
      </c>
      <c r="H824" s="22">
        <f t="shared" ref="H824" si="387">AVERAGE(C821:C824)</f>
        <v>181.75</v>
      </c>
      <c r="I824" s="22">
        <f t="shared" ref="I824" si="388">AVERAGE(D821:D824)</f>
        <v>17.5</v>
      </c>
      <c r="J824" s="22">
        <f t="shared" ref="J824" si="389">AVERAGE(E821:E824)</f>
        <v>17.5</v>
      </c>
      <c r="K824" s="23">
        <f t="shared" ref="K824" si="390">SUM(H824:J824)</f>
        <v>216.75</v>
      </c>
      <c r="L824" s="23">
        <f t="shared" ref="L824" si="391">AVERAGE(K668+K720+K772)/3</f>
        <v>367.58333333333331</v>
      </c>
      <c r="M824" s="23">
        <f t="shared" si="377"/>
        <v>411.33333333333331</v>
      </c>
      <c r="N824" s="25">
        <f t="shared" ref="N824" si="392">(F824-F772)/F772</f>
        <v>-0.15384615384615385</v>
      </c>
      <c r="O824" s="25">
        <f t="shared" ref="O824" si="393">(F824-L824)/L824</f>
        <v>-0.34164588528678302</v>
      </c>
    </row>
    <row r="825" spans="1:15" x14ac:dyDescent="0.25">
      <c r="A825" s="16" t="s">
        <v>20</v>
      </c>
      <c r="B825" s="29">
        <f t="shared" si="199"/>
        <v>40096</v>
      </c>
      <c r="C825" s="15">
        <v>251</v>
      </c>
      <c r="D825" s="15">
        <v>19</v>
      </c>
      <c r="E825" s="15">
        <v>45</v>
      </c>
      <c r="F825" s="21">
        <f t="shared" si="118"/>
        <v>315</v>
      </c>
      <c r="G825" s="18">
        <v>41</v>
      </c>
      <c r="H825" s="22">
        <f t="shared" ref="H825" si="394">AVERAGE(C822:C825)</f>
        <v>193.25</v>
      </c>
      <c r="I825" s="22">
        <f t="shared" ref="I825" si="395">AVERAGE(D822:D825)</f>
        <v>18</v>
      </c>
      <c r="J825" s="22">
        <f t="shared" ref="J825" si="396">AVERAGE(E822:E825)</f>
        <v>20.5</v>
      </c>
      <c r="K825" s="23">
        <f t="shared" ref="K825" si="397">SUM(H825:J825)</f>
        <v>231.75</v>
      </c>
      <c r="L825" s="23">
        <f t="shared" ref="L825" si="398">AVERAGE(K669+K721+K773)/3</f>
        <v>383.41666666666669</v>
      </c>
      <c r="M825" s="23">
        <f t="shared" si="377"/>
        <v>405.66666666666669</v>
      </c>
      <c r="N825" s="25">
        <f t="shared" ref="N825" si="399">(F825-F773)/F773</f>
        <v>0.75977653631284914</v>
      </c>
      <c r="O825" s="25">
        <f t="shared" ref="O825" si="400">(F825-L825)/L825</f>
        <v>-0.17843946968050428</v>
      </c>
    </row>
    <row r="826" spans="1:15" x14ac:dyDescent="0.25">
      <c r="A826" s="16" t="s">
        <v>20</v>
      </c>
      <c r="B826" s="29">
        <f t="shared" si="199"/>
        <v>40103</v>
      </c>
      <c r="C826" s="15">
        <v>174</v>
      </c>
      <c r="D826" s="15">
        <v>3</v>
      </c>
      <c r="E826" s="15">
        <v>75</v>
      </c>
      <c r="F826" s="21">
        <f t="shared" si="118"/>
        <v>252</v>
      </c>
      <c r="G826" s="18">
        <v>42</v>
      </c>
      <c r="H826" s="22">
        <f t="shared" ref="H826" si="401">AVERAGE(C823:C826)</f>
        <v>198.75</v>
      </c>
      <c r="I826" s="22">
        <f t="shared" ref="I826" si="402">AVERAGE(D823:D826)</f>
        <v>16.75</v>
      </c>
      <c r="J826" s="22">
        <f t="shared" ref="J826" si="403">AVERAGE(E823:E826)</f>
        <v>33.5</v>
      </c>
      <c r="K826" s="23">
        <f t="shared" ref="K826" si="404">SUM(H826:J826)</f>
        <v>249</v>
      </c>
      <c r="L826" s="23">
        <f t="shared" ref="L826" si="405">AVERAGE(K670+K722+K774)/3</f>
        <v>412.33333333333331</v>
      </c>
      <c r="M826" s="23">
        <f t="shared" si="377"/>
        <v>467</v>
      </c>
      <c r="N826" s="25">
        <f t="shared" ref="N826" si="406">(F826-F774)/F774</f>
        <v>-7.3529411764705885E-2</v>
      </c>
      <c r="O826" s="25">
        <f t="shared" ref="O826" si="407">(F826-L826)/L826</f>
        <v>-0.38884397736459175</v>
      </c>
    </row>
    <row r="827" spans="1:15" x14ac:dyDescent="0.25">
      <c r="A827" s="16" t="s">
        <v>20</v>
      </c>
      <c r="B827" s="29">
        <f t="shared" si="199"/>
        <v>40110</v>
      </c>
      <c r="C827" s="15">
        <v>192</v>
      </c>
      <c r="D827" s="15">
        <v>19</v>
      </c>
      <c r="E827" s="15">
        <v>148</v>
      </c>
      <c r="F827" s="21">
        <f t="shared" si="118"/>
        <v>359</v>
      </c>
      <c r="G827" s="18">
        <v>43</v>
      </c>
      <c r="H827" s="22">
        <f t="shared" ref="H827" si="408">AVERAGE(C824:C827)</f>
        <v>209.5</v>
      </c>
      <c r="I827" s="22">
        <f t="shared" ref="I827" si="409">AVERAGE(D824:D827)</f>
        <v>14.75</v>
      </c>
      <c r="J827" s="22">
        <f t="shared" ref="J827" si="410">AVERAGE(E824:E827)</f>
        <v>67.75</v>
      </c>
      <c r="K827" s="23">
        <f t="shared" ref="K827" si="411">SUM(H827:J827)</f>
        <v>292</v>
      </c>
      <c r="L827" s="23">
        <f t="shared" ref="L827" si="412">AVERAGE(K671+K723+K775)/3</f>
        <v>448</v>
      </c>
      <c r="M827" s="23">
        <f t="shared" si="377"/>
        <v>508</v>
      </c>
      <c r="N827" s="25">
        <f t="shared" ref="N827" si="413">(F827-F775)/F775</f>
        <v>-5.774278215223097E-2</v>
      </c>
      <c r="O827" s="25">
        <f t="shared" ref="O827" si="414">(F827-L827)/L827</f>
        <v>-0.19866071428571427</v>
      </c>
    </row>
    <row r="828" spans="1:15" x14ac:dyDescent="0.25">
      <c r="A828" s="16" t="s">
        <v>20</v>
      </c>
      <c r="B828" s="29">
        <f t="shared" si="199"/>
        <v>40117</v>
      </c>
      <c r="C828" s="15">
        <v>174</v>
      </c>
      <c r="D828" s="15">
        <v>5</v>
      </c>
      <c r="E828" s="15">
        <v>308</v>
      </c>
      <c r="F828" s="21">
        <f t="shared" si="118"/>
        <v>487</v>
      </c>
      <c r="G828" s="18">
        <v>44</v>
      </c>
      <c r="H828" s="22">
        <f t="shared" ref="H828" si="415">AVERAGE(C825:C828)</f>
        <v>197.75</v>
      </c>
      <c r="I828" s="22">
        <f t="shared" ref="I828" si="416">AVERAGE(D825:D828)</f>
        <v>11.5</v>
      </c>
      <c r="J828" s="22">
        <f t="shared" ref="J828" si="417">AVERAGE(E825:E828)</f>
        <v>144</v>
      </c>
      <c r="K828" s="23">
        <f t="shared" ref="K828" si="418">SUM(H828:J828)</f>
        <v>353.25</v>
      </c>
      <c r="L828" s="23">
        <f t="shared" ref="L828" si="419">AVERAGE(K672+K724+K776)/3</f>
        <v>468.41666666666669</v>
      </c>
      <c r="M828" s="23">
        <f t="shared" si="377"/>
        <v>493</v>
      </c>
      <c r="N828" s="25">
        <f t="shared" ref="N828" si="420">(F828-F776)/F776</f>
        <v>0.43657817109144542</v>
      </c>
      <c r="O828" s="25">
        <f t="shared" ref="O828" si="421">(F828-L828)/L828</f>
        <v>3.9672656111012235E-2</v>
      </c>
    </row>
    <row r="829" spans="1:15" x14ac:dyDescent="0.25">
      <c r="A829" s="16" t="s">
        <v>26</v>
      </c>
      <c r="B829" s="29">
        <f t="shared" si="199"/>
        <v>40124</v>
      </c>
      <c r="C829" s="15">
        <v>152</v>
      </c>
      <c r="D829" s="15">
        <v>5</v>
      </c>
      <c r="E829" s="15">
        <v>241</v>
      </c>
      <c r="F829" s="21">
        <f t="shared" si="118"/>
        <v>398</v>
      </c>
      <c r="G829" s="18">
        <v>45</v>
      </c>
      <c r="H829" s="22">
        <f t="shared" ref="H829" si="422">AVERAGE(C826:C829)</f>
        <v>173</v>
      </c>
      <c r="I829" s="22">
        <f t="shared" ref="I829" si="423">AVERAGE(D826:D829)</f>
        <v>8</v>
      </c>
      <c r="J829" s="22">
        <f t="shared" ref="J829" si="424">AVERAGE(E826:E829)</f>
        <v>193</v>
      </c>
      <c r="K829" s="23">
        <f t="shared" ref="K829" si="425">SUM(H829:J829)</f>
        <v>374</v>
      </c>
      <c r="L829" s="23">
        <f t="shared" ref="L829" si="426">AVERAGE(K673+K725+K777)/3</f>
        <v>548.58333333333337</v>
      </c>
      <c r="M829" s="23">
        <f t="shared" si="377"/>
        <v>726.33333333333337</v>
      </c>
      <c r="N829" s="25">
        <f t="shared" ref="N829" si="427">(F829-F777)/F777</f>
        <v>-0.2504708097928437</v>
      </c>
      <c r="O829" s="25">
        <f t="shared" ref="O829" si="428">(F829-L829)/L829</f>
        <v>-0.27449491113474106</v>
      </c>
    </row>
    <row r="830" spans="1:15" x14ac:dyDescent="0.25">
      <c r="A830" s="16" t="s">
        <v>26</v>
      </c>
      <c r="B830" s="29">
        <f t="shared" si="199"/>
        <v>40131</v>
      </c>
      <c r="C830" s="15">
        <v>322</v>
      </c>
      <c r="D830" s="15">
        <v>9</v>
      </c>
      <c r="E830" s="15">
        <v>440</v>
      </c>
      <c r="F830" s="21">
        <f t="shared" si="118"/>
        <v>771</v>
      </c>
      <c r="G830" s="18">
        <v>46</v>
      </c>
      <c r="H830" s="22">
        <f t="shared" ref="H830" si="429">AVERAGE(C827:C830)</f>
        <v>210</v>
      </c>
      <c r="I830" s="22">
        <f t="shared" ref="I830" si="430">AVERAGE(D827:D830)</f>
        <v>9.5</v>
      </c>
      <c r="J830" s="22">
        <f t="shared" ref="J830" si="431">AVERAGE(E827:E830)</f>
        <v>284.25</v>
      </c>
      <c r="K830" s="23">
        <f t="shared" ref="K830" si="432">SUM(H830:J830)</f>
        <v>503.75</v>
      </c>
      <c r="L830" s="23">
        <f t="shared" ref="L830" si="433">AVERAGE(K674+K726+K778)/3</f>
        <v>605.66666666666663</v>
      </c>
      <c r="M830" s="23">
        <f t="shared" si="377"/>
        <v>695.33333333333337</v>
      </c>
      <c r="N830" s="25">
        <f t="shared" ref="N830" si="434">(F830-F778)/F778</f>
        <v>0.6797385620915033</v>
      </c>
      <c r="O830" s="25">
        <f t="shared" ref="O830" si="435">(F830-L830)/L830</f>
        <v>0.27297743533296653</v>
      </c>
    </row>
    <row r="831" spans="1:15" x14ac:dyDescent="0.25">
      <c r="A831" s="16" t="s">
        <v>26</v>
      </c>
      <c r="B831" s="29">
        <f t="shared" si="199"/>
        <v>40138</v>
      </c>
      <c r="C831" s="15">
        <v>218</v>
      </c>
      <c r="D831" s="15">
        <v>3</v>
      </c>
      <c r="E831" s="15">
        <v>392</v>
      </c>
      <c r="F831" s="21">
        <f t="shared" si="118"/>
        <v>613</v>
      </c>
      <c r="G831" s="18">
        <v>47</v>
      </c>
      <c r="H831" s="22">
        <f t="shared" ref="H831" si="436">AVERAGE(C828:C831)</f>
        <v>216.5</v>
      </c>
      <c r="I831" s="22">
        <f t="shared" ref="I831" si="437">AVERAGE(D828:D831)</f>
        <v>5.5</v>
      </c>
      <c r="J831" s="22">
        <f t="shared" ref="J831" si="438">AVERAGE(E828:E831)</f>
        <v>345.25</v>
      </c>
      <c r="K831" s="23">
        <f t="shared" ref="K831" si="439">SUM(H831:J831)</f>
        <v>567.25</v>
      </c>
      <c r="L831" s="23">
        <f t="shared" ref="L831" si="440">AVERAGE(K675+K727+K779)/3</f>
        <v>659.66666666666663</v>
      </c>
      <c r="M831" s="23">
        <f t="shared" si="377"/>
        <v>724</v>
      </c>
      <c r="N831" s="25">
        <f t="shared" ref="N831" si="441">(F831-F779)/F779</f>
        <v>0.23340040241448692</v>
      </c>
      <c r="O831" s="25">
        <f t="shared" ref="O831" si="442">(F831-L831)/L831</f>
        <v>-7.0742799393633093E-2</v>
      </c>
    </row>
    <row r="832" spans="1:15" x14ac:dyDescent="0.25">
      <c r="A832" s="16" t="s">
        <v>26</v>
      </c>
      <c r="B832" s="29">
        <f t="shared" si="199"/>
        <v>40145</v>
      </c>
      <c r="C832" s="15">
        <v>389</v>
      </c>
      <c r="D832" s="15">
        <v>0</v>
      </c>
      <c r="E832" s="15">
        <v>273</v>
      </c>
      <c r="F832" s="21">
        <f t="shared" si="118"/>
        <v>662</v>
      </c>
      <c r="G832" s="18">
        <v>48</v>
      </c>
      <c r="H832" s="22">
        <f t="shared" ref="H832" si="443">AVERAGE(C829:C832)</f>
        <v>270.25</v>
      </c>
      <c r="I832" s="22">
        <f t="shared" ref="I832" si="444">AVERAGE(D829:D832)</f>
        <v>4.25</v>
      </c>
      <c r="J832" s="22">
        <f t="shared" ref="J832" si="445">AVERAGE(E829:E832)</f>
        <v>336.5</v>
      </c>
      <c r="K832" s="23">
        <f t="shared" ref="K832" si="446">SUM(H832:J832)</f>
        <v>611</v>
      </c>
      <c r="L832" s="23">
        <f t="shared" ref="L832" si="447">AVERAGE(K676+K728+K780)/3</f>
        <v>703.25824999999998</v>
      </c>
      <c r="M832" s="23">
        <f t="shared" si="377"/>
        <v>667.36633333333327</v>
      </c>
      <c r="N832" s="25">
        <f t="shared" ref="N832" si="448">(F832-F780)/F780</f>
        <v>2.9548989113530325E-2</v>
      </c>
      <c r="O832" s="25">
        <f t="shared" ref="O832" si="449">(F832-L832)/L832</f>
        <v>-5.8667281898221568E-2</v>
      </c>
    </row>
    <row r="833" spans="1:15" x14ac:dyDescent="0.25">
      <c r="A833" s="16" t="s">
        <v>15</v>
      </c>
      <c r="B833" s="29">
        <f t="shared" si="199"/>
        <v>40152</v>
      </c>
      <c r="C833" s="15">
        <v>523</v>
      </c>
      <c r="D833" s="15">
        <v>10</v>
      </c>
      <c r="E833" s="15">
        <v>228</v>
      </c>
      <c r="F833" s="21">
        <f t="shared" si="118"/>
        <v>761</v>
      </c>
      <c r="G833" s="18">
        <v>49</v>
      </c>
      <c r="H833" s="22">
        <f t="shared" ref="H833" si="450">AVERAGE(C830:C833)</f>
        <v>363</v>
      </c>
      <c r="I833" s="22">
        <f t="shared" ref="I833" si="451">AVERAGE(D830:D833)</f>
        <v>5.5</v>
      </c>
      <c r="J833" s="22">
        <f t="shared" ref="J833" si="452">AVERAGE(E830:E833)</f>
        <v>333.25</v>
      </c>
      <c r="K833" s="23">
        <f t="shared" ref="K833" si="453">SUM(H833:J833)</f>
        <v>701.75</v>
      </c>
      <c r="L833" s="23">
        <f t="shared" ref="L833" si="454">AVERAGE(K677+K729+K781)/3</f>
        <v>697.25824999999998</v>
      </c>
      <c r="M833" s="23">
        <f t="shared" si="377"/>
        <v>702.33333333333337</v>
      </c>
      <c r="N833" s="25">
        <f t="shared" ref="N833" si="455">(F833-F781)/F781</f>
        <v>0.29863481228668942</v>
      </c>
      <c r="O833" s="25">
        <f t="shared" ref="O833" si="456">(F833-L833)/L833</f>
        <v>9.1417706423695996E-2</v>
      </c>
    </row>
    <row r="834" spans="1:15" x14ac:dyDescent="0.25">
      <c r="A834" s="16" t="s">
        <v>15</v>
      </c>
      <c r="B834" s="29">
        <f t="shared" si="199"/>
        <v>40159</v>
      </c>
      <c r="C834" s="15">
        <v>511</v>
      </c>
      <c r="D834" s="15">
        <v>0</v>
      </c>
      <c r="E834" s="15">
        <v>209</v>
      </c>
      <c r="F834" s="21">
        <f t="shared" si="118"/>
        <v>720</v>
      </c>
      <c r="G834" s="18">
        <v>50</v>
      </c>
      <c r="H834" s="22">
        <f t="shared" ref="H834" si="457">AVERAGE(C831:C834)</f>
        <v>410.25</v>
      </c>
      <c r="I834" s="22">
        <f t="shared" ref="I834" si="458">AVERAGE(D831:D834)</f>
        <v>3.25</v>
      </c>
      <c r="J834" s="22">
        <f t="shared" ref="J834" si="459">AVERAGE(E831:E834)</f>
        <v>275.5</v>
      </c>
      <c r="K834" s="23">
        <f t="shared" ref="K834" si="460">SUM(H834:J834)</f>
        <v>689</v>
      </c>
      <c r="L834" s="23">
        <f t="shared" ref="L834" si="461">AVERAGE(K678+K730+K782)/3</f>
        <v>686.17491666666672</v>
      </c>
      <c r="M834" s="23">
        <f t="shared" si="377"/>
        <v>651</v>
      </c>
      <c r="N834" s="25">
        <f t="shared" ref="N834" si="462">(F834-F782)/F782</f>
        <v>0.50943396226415094</v>
      </c>
      <c r="O834" s="25">
        <f t="shared" ref="O834" si="463">(F834-L834)/L834</f>
        <v>4.9295132351456952E-2</v>
      </c>
    </row>
    <row r="835" spans="1:15" x14ac:dyDescent="0.25">
      <c r="A835" s="16" t="s">
        <v>15</v>
      </c>
      <c r="B835" s="29">
        <f t="shared" si="199"/>
        <v>40166</v>
      </c>
      <c r="C835" s="15">
        <v>444</v>
      </c>
      <c r="D835" s="15">
        <v>15</v>
      </c>
      <c r="E835" s="15">
        <v>124</v>
      </c>
      <c r="F835" s="21">
        <f t="shared" si="118"/>
        <v>583</v>
      </c>
      <c r="G835" s="18">
        <v>51</v>
      </c>
      <c r="H835" s="22">
        <f t="shared" ref="H835" si="464">AVERAGE(C832:C835)</f>
        <v>466.75</v>
      </c>
      <c r="I835" s="22">
        <f t="shared" ref="I835" si="465">AVERAGE(D832:D835)</f>
        <v>6.25</v>
      </c>
      <c r="J835" s="22">
        <f t="shared" ref="J835" si="466">AVERAGE(E832:E835)</f>
        <v>208.5</v>
      </c>
      <c r="K835" s="23">
        <f t="shared" ref="K835" si="467">SUM(H835:J835)</f>
        <v>681.5</v>
      </c>
      <c r="L835" s="23">
        <f t="shared" ref="L835" si="468">AVERAGE(K679+K731+K783)/3</f>
        <v>608.42491666666672</v>
      </c>
      <c r="M835" s="23">
        <f t="shared" si="377"/>
        <v>413</v>
      </c>
      <c r="N835" s="25">
        <f t="shared" ref="N835" si="469">(F835-F783)/F783</f>
        <v>0.68011527377521619</v>
      </c>
      <c r="O835" s="25">
        <f t="shared" ref="O835" si="470">(F835-L835)/L835</f>
        <v>-4.178809245019148E-2</v>
      </c>
    </row>
    <row r="836" spans="1:15" x14ac:dyDescent="0.25">
      <c r="A836" s="16" t="s">
        <v>15</v>
      </c>
      <c r="B836" s="29">
        <f t="shared" si="199"/>
        <v>40173</v>
      </c>
      <c r="C836" s="15">
        <v>270</v>
      </c>
      <c r="D836" s="15">
        <v>15</v>
      </c>
      <c r="E836" s="15">
        <v>109</v>
      </c>
      <c r="F836" s="21">
        <f t="shared" si="118"/>
        <v>394</v>
      </c>
      <c r="G836" s="18">
        <v>52</v>
      </c>
      <c r="H836" s="22">
        <f t="shared" ref="H836" si="471">AVERAGE(C833:C836)</f>
        <v>437</v>
      </c>
      <c r="I836" s="22">
        <f t="shared" ref="I836" si="472">AVERAGE(D833:D836)</f>
        <v>10</v>
      </c>
      <c r="J836" s="22">
        <f t="shared" ref="J836" si="473">AVERAGE(E833:E836)</f>
        <v>167.5</v>
      </c>
      <c r="K836" s="23">
        <f t="shared" ref="K836" si="474">SUM(H836:J836)</f>
        <v>614.5</v>
      </c>
      <c r="L836" s="23">
        <f t="shared" ref="L836" si="475">AVERAGE(K680+K732+K784)/3</f>
        <v>526.91666666666663</v>
      </c>
      <c r="M836" s="23">
        <f t="shared" si="377"/>
        <v>341.33333333333331</v>
      </c>
      <c r="N836" s="25">
        <f t="shared" ref="N836" si="476">(F836-F784)/F784</f>
        <v>1.106951871657754</v>
      </c>
      <c r="O836" s="25">
        <f t="shared" ref="O836" si="477">(F836-L836)/L836</f>
        <v>-0.25225367705203222</v>
      </c>
    </row>
    <row r="837" spans="1:15" x14ac:dyDescent="0.25">
      <c r="A837" s="16" t="s">
        <v>16</v>
      </c>
      <c r="B837" s="29">
        <f t="shared" si="199"/>
        <v>40180</v>
      </c>
      <c r="C837" s="15">
        <v>104</v>
      </c>
      <c r="D837" s="15">
        <v>0</v>
      </c>
      <c r="E837" s="15">
        <v>58</v>
      </c>
      <c r="F837" s="21">
        <f t="shared" si="118"/>
        <v>162</v>
      </c>
      <c r="G837" s="18">
        <v>53</v>
      </c>
      <c r="H837" s="22">
        <f t="shared" ref="H837" si="478">AVERAGE(C834:C837)</f>
        <v>332.25</v>
      </c>
      <c r="I837" s="22">
        <f t="shared" ref="I837" si="479">AVERAGE(D834:D837)</f>
        <v>7.5</v>
      </c>
      <c r="J837" s="22">
        <f t="shared" ref="J837" si="480">AVERAGE(E834:E837)</f>
        <v>125</v>
      </c>
      <c r="K837" s="23">
        <f t="shared" ref="K837" si="481">SUM(H837:J837)</f>
        <v>464.75</v>
      </c>
      <c r="L837" s="23">
        <f t="shared" ref="L837" si="482">AVERAGE(K681+K733+K785)/3</f>
        <v>433.25</v>
      </c>
      <c r="M837" s="23">
        <f t="shared" si="377"/>
        <v>327.66666666666669</v>
      </c>
      <c r="N837" s="25">
        <f t="shared" ref="N837" si="483">(F837-F785)/F785</f>
        <v>-0.3671875</v>
      </c>
      <c r="O837" s="25">
        <f t="shared" ref="O837" si="484">(F837-L837)/L837</f>
        <v>-0.62608193883439123</v>
      </c>
    </row>
    <row r="838" spans="1:15" x14ac:dyDescent="0.25">
      <c r="A838" s="16" t="s">
        <v>16</v>
      </c>
      <c r="B838" s="29">
        <f t="shared" si="199"/>
        <v>40187</v>
      </c>
      <c r="C838" s="15">
        <v>93</v>
      </c>
      <c r="D838" s="15">
        <v>2</v>
      </c>
      <c r="E838" s="15">
        <v>39</v>
      </c>
      <c r="F838" s="21">
        <f t="shared" si="118"/>
        <v>134</v>
      </c>
      <c r="G838" s="18">
        <v>1</v>
      </c>
      <c r="H838" s="22">
        <f t="shared" ref="H838" si="485">AVERAGE(C835:C838)</f>
        <v>227.75</v>
      </c>
      <c r="I838" s="22">
        <f t="shared" ref="I838" si="486">AVERAGE(D835:D838)</f>
        <v>8</v>
      </c>
      <c r="J838" s="22">
        <f t="shared" ref="J838:J839" si="487">AVERAGE(E835:E838)</f>
        <v>82.5</v>
      </c>
      <c r="K838" s="23">
        <f t="shared" ref="K838:K839" si="488">SUM(H838:J838)</f>
        <v>318.25</v>
      </c>
      <c r="L838" s="23">
        <f t="shared" ref="L838" si="489">AVERAGE(K682+K734+K786)/3</f>
        <v>344.41666666666669</v>
      </c>
      <c r="M838" s="23">
        <f t="shared" si="377"/>
        <v>295.66666666666669</v>
      </c>
      <c r="N838" s="25">
        <f t="shared" ref="N838:N839" si="490">(F838-F786)/F786</f>
        <v>3.0769230769230771E-2</v>
      </c>
      <c r="O838" s="25">
        <f t="shared" ref="O838:O839" si="491">(F838-L838)/L838</f>
        <v>-0.61093636583595456</v>
      </c>
    </row>
    <row r="839" spans="1:15" x14ac:dyDescent="0.25">
      <c r="A839" s="16" t="s">
        <v>16</v>
      </c>
      <c r="B839" s="29">
        <f t="shared" si="199"/>
        <v>40194</v>
      </c>
      <c r="C839" s="23">
        <v>66.8</v>
      </c>
      <c r="D839" s="23">
        <v>13.9</v>
      </c>
      <c r="E839" s="23">
        <v>47.548000000000002</v>
      </c>
      <c r="F839" s="30">
        <f t="shared" si="118"/>
        <v>128.24799999999999</v>
      </c>
      <c r="G839" s="18">
        <v>2</v>
      </c>
      <c r="H839" s="22">
        <f t="shared" ref="H839" si="492">AVERAGE(C836:C839)</f>
        <v>133.44999999999999</v>
      </c>
      <c r="I839" s="22">
        <f t="shared" ref="I839" si="493">AVERAGE(D836:D839)</f>
        <v>7.7249999999999996</v>
      </c>
      <c r="J839" s="22">
        <f t="shared" si="487"/>
        <v>63.387</v>
      </c>
      <c r="K839" s="23">
        <f t="shared" si="488"/>
        <v>204.56199999999998</v>
      </c>
      <c r="L839" s="23">
        <f t="shared" si="208"/>
        <v>317.33333333333331</v>
      </c>
      <c r="M839" s="23">
        <f t="shared" si="377"/>
        <v>304.66666666666669</v>
      </c>
      <c r="N839" s="25">
        <f t="shared" si="490"/>
        <v>-0.63357714285714284</v>
      </c>
      <c r="O839" s="25">
        <f t="shared" si="491"/>
        <v>-0.59585714285714286</v>
      </c>
    </row>
    <row r="840" spans="1:15" x14ac:dyDescent="0.25">
      <c r="A840" s="16" t="s">
        <v>16</v>
      </c>
      <c r="B840" s="29">
        <f t="shared" si="199"/>
        <v>40201</v>
      </c>
      <c r="C840" s="15">
        <v>164</v>
      </c>
      <c r="D840" s="15">
        <v>5</v>
      </c>
      <c r="E840" s="15">
        <v>143</v>
      </c>
      <c r="F840" s="21">
        <f t="shared" si="118"/>
        <v>312</v>
      </c>
      <c r="G840" s="18">
        <v>3</v>
      </c>
      <c r="H840" s="22">
        <f t="shared" ref="H840" si="494">AVERAGE(C837:C840)</f>
        <v>106.95</v>
      </c>
      <c r="I840" s="22">
        <f t="shared" ref="I840" si="495">AVERAGE(D837:D840)</f>
        <v>5.2249999999999996</v>
      </c>
      <c r="J840" s="22">
        <f t="shared" ref="J840" si="496">AVERAGE(E837:E840)</f>
        <v>71.887</v>
      </c>
      <c r="K840" s="23">
        <f t="shared" ref="K840" si="497">SUM(H840:J840)</f>
        <v>184.06200000000001</v>
      </c>
      <c r="L840" s="23">
        <f t="shared" ref="L840" si="498">AVERAGE(K684+K736+K788)/3</f>
        <v>314.83333333333331</v>
      </c>
      <c r="M840" s="23">
        <f t="shared" si="377"/>
        <v>331.33333333333331</v>
      </c>
      <c r="N840" s="25">
        <f t="shared" ref="N840" si="499">(F840-F788)/F788</f>
        <v>-8.2352941176470587E-2</v>
      </c>
      <c r="O840" s="25">
        <f t="shared" ref="O840" si="500">(F840-L840)/L840</f>
        <v>-8.9994706193752706E-3</v>
      </c>
    </row>
    <row r="841" spans="1:15" x14ac:dyDescent="0.25">
      <c r="A841" s="16" t="s">
        <v>16</v>
      </c>
      <c r="B841" s="29">
        <f t="shared" si="199"/>
        <v>40208</v>
      </c>
      <c r="C841" s="15">
        <v>195</v>
      </c>
      <c r="D841" s="15">
        <v>6</v>
      </c>
      <c r="E841" s="15">
        <v>107</v>
      </c>
      <c r="F841" s="21">
        <f t="shared" si="118"/>
        <v>308</v>
      </c>
      <c r="G841" s="18">
        <v>4</v>
      </c>
      <c r="H841" s="22">
        <f t="shared" ref="H841" si="501">AVERAGE(C838:C841)</f>
        <v>129.69999999999999</v>
      </c>
      <c r="I841" s="22">
        <f t="shared" ref="I841" si="502">AVERAGE(D838:D841)</f>
        <v>6.7249999999999996</v>
      </c>
      <c r="J841" s="22">
        <f t="shared" ref="J841" si="503">AVERAGE(E838:E841)</f>
        <v>84.137</v>
      </c>
      <c r="K841" s="23">
        <f t="shared" ref="K841" si="504">SUM(H841:J841)</f>
        <v>220.56199999999998</v>
      </c>
      <c r="L841" s="23">
        <f t="shared" ref="L841" si="505">AVERAGE(K685+K737+K789)/3</f>
        <v>275.91666666666669</v>
      </c>
      <c r="M841" s="23">
        <f t="shared" si="377"/>
        <v>172</v>
      </c>
      <c r="N841" s="25">
        <f t="shared" ref="N841" si="506">(F841-F789)/F789</f>
        <v>1.2985074626865671</v>
      </c>
      <c r="O841" s="25">
        <f t="shared" ref="O841" si="507">(F841-L841)/L841</f>
        <v>0.11627906976744179</v>
      </c>
    </row>
    <row r="842" spans="1:15" x14ac:dyDescent="0.25">
      <c r="A842" s="16" t="s">
        <v>23</v>
      </c>
      <c r="B842" s="29">
        <f t="shared" si="199"/>
        <v>40215</v>
      </c>
      <c r="C842" s="15">
        <v>160</v>
      </c>
      <c r="D842" s="15">
        <v>39</v>
      </c>
      <c r="E842" s="15">
        <v>103</v>
      </c>
      <c r="F842" s="21">
        <f t="shared" si="118"/>
        <v>302</v>
      </c>
      <c r="G842" s="18">
        <v>5</v>
      </c>
      <c r="H842" s="22">
        <f t="shared" ref="H842" si="508">AVERAGE(C839:C842)</f>
        <v>146.44999999999999</v>
      </c>
      <c r="I842" s="22">
        <f t="shared" ref="I842" si="509">AVERAGE(D839:D842)</f>
        <v>15.975</v>
      </c>
      <c r="J842" s="22">
        <f t="shared" ref="J842" si="510">AVERAGE(E839:E842)</f>
        <v>100.137</v>
      </c>
      <c r="K842" s="23">
        <f t="shared" ref="K842" si="511">SUM(H842:J842)</f>
        <v>262.56200000000001</v>
      </c>
      <c r="L842" s="23">
        <f t="shared" ref="L842" si="512">AVERAGE(K686+K738+K790)/3</f>
        <v>260.25</v>
      </c>
      <c r="M842" s="23">
        <f t="shared" si="377"/>
        <v>233</v>
      </c>
      <c r="N842" s="25">
        <f t="shared" ref="N842" si="513">(F842-F790)/F790</f>
        <v>0.74566473988439308</v>
      </c>
      <c r="O842" s="25">
        <f t="shared" ref="O842" si="514">(F842-L842)/L842</f>
        <v>0.16042267050912584</v>
      </c>
    </row>
    <row r="843" spans="1:15" x14ac:dyDescent="0.25">
      <c r="A843" s="16" t="s">
        <v>23</v>
      </c>
      <c r="B843" s="29">
        <f t="shared" si="199"/>
        <v>40222</v>
      </c>
      <c r="C843" s="15">
        <v>191</v>
      </c>
      <c r="D843" s="15">
        <v>16</v>
      </c>
      <c r="E843" s="15">
        <v>134</v>
      </c>
      <c r="F843" s="21">
        <f t="shared" si="118"/>
        <v>341</v>
      </c>
      <c r="G843" s="18">
        <v>6</v>
      </c>
      <c r="H843" s="22">
        <f t="shared" ref="H843" si="515">AVERAGE(C840:C843)</f>
        <v>177.5</v>
      </c>
      <c r="I843" s="22">
        <f t="shared" ref="I843" si="516">AVERAGE(D840:D843)</f>
        <v>16.5</v>
      </c>
      <c r="J843" s="22">
        <f t="shared" ref="J843" si="517">AVERAGE(E840:E843)</f>
        <v>121.75</v>
      </c>
      <c r="K843" s="23">
        <f t="shared" ref="K843" si="518">SUM(H843:J843)</f>
        <v>315.75</v>
      </c>
      <c r="L843" s="23">
        <f t="shared" ref="L843" si="519">AVERAGE(K687+K739+K791)/3</f>
        <v>220.75</v>
      </c>
      <c r="M843" s="23">
        <f t="shared" si="377"/>
        <v>146.66666666666666</v>
      </c>
      <c r="N843" s="25">
        <f t="shared" ref="N843" si="520">(F843-F791)/F791</f>
        <v>0.46351931330472101</v>
      </c>
      <c r="O843" s="25">
        <f t="shared" ref="O843" si="521">(F843-L843)/L843</f>
        <v>0.54473386183465455</v>
      </c>
    </row>
    <row r="844" spans="1:15" x14ac:dyDescent="0.25">
      <c r="A844" s="16" t="s">
        <v>23</v>
      </c>
      <c r="B844" s="29">
        <f t="shared" si="199"/>
        <v>40229</v>
      </c>
      <c r="C844" s="15">
        <v>155</v>
      </c>
      <c r="D844" s="15">
        <v>4</v>
      </c>
      <c r="E844" s="15">
        <v>91</v>
      </c>
      <c r="F844" s="21">
        <f t="shared" si="118"/>
        <v>250</v>
      </c>
      <c r="G844" s="18">
        <v>7</v>
      </c>
      <c r="H844" s="22">
        <f t="shared" ref="H844" si="522">AVERAGE(C841:C844)</f>
        <v>175.25</v>
      </c>
      <c r="I844" s="22">
        <f t="shared" ref="I844" si="523">AVERAGE(D841:D844)</f>
        <v>16.25</v>
      </c>
      <c r="J844" s="22">
        <f t="shared" ref="J844" si="524">AVERAGE(E841:E844)</f>
        <v>108.75</v>
      </c>
      <c r="K844" s="23">
        <f t="shared" ref="K844" si="525">SUM(H844:J844)</f>
        <v>300.25</v>
      </c>
      <c r="L844" s="23">
        <f t="shared" ref="L844" si="526">AVERAGE(K688+K740+K792)/3</f>
        <v>194.5</v>
      </c>
      <c r="M844" s="23">
        <f t="shared" si="377"/>
        <v>226.33333333333334</v>
      </c>
      <c r="N844" s="25">
        <f t="shared" ref="N844" si="527">(F844-F792)/F792</f>
        <v>-0.34895833333333331</v>
      </c>
      <c r="O844" s="25">
        <f t="shared" ref="O844" si="528">(F844-L844)/L844</f>
        <v>0.28534704370179947</v>
      </c>
    </row>
    <row r="845" spans="1:15" x14ac:dyDescent="0.25">
      <c r="A845" s="16" t="s">
        <v>23</v>
      </c>
      <c r="B845" s="29">
        <f t="shared" si="199"/>
        <v>40236</v>
      </c>
      <c r="C845" s="15">
        <v>250</v>
      </c>
      <c r="D845" s="15">
        <v>3</v>
      </c>
      <c r="E845" s="15">
        <v>121</v>
      </c>
      <c r="F845" s="21">
        <f t="shared" si="118"/>
        <v>374</v>
      </c>
      <c r="G845" s="18">
        <v>8</v>
      </c>
      <c r="H845" s="22">
        <f t="shared" ref="H845" si="529">AVERAGE(C842:C845)</f>
        <v>189</v>
      </c>
      <c r="I845" s="22">
        <f t="shared" ref="I845" si="530">AVERAGE(D842:D845)</f>
        <v>15.5</v>
      </c>
      <c r="J845" s="22">
        <f t="shared" ref="J845" si="531">AVERAGE(E842:E845)</f>
        <v>112.25</v>
      </c>
      <c r="K845" s="23">
        <f t="shared" ref="K845" si="532">SUM(H845:J845)</f>
        <v>316.75</v>
      </c>
      <c r="L845" s="23">
        <f t="shared" ref="L845" si="533">AVERAGE(K689+K741+K793)/3</f>
        <v>243.75</v>
      </c>
      <c r="M845" s="23">
        <f t="shared" si="377"/>
        <v>369</v>
      </c>
      <c r="N845" s="25">
        <f t="shared" ref="N845" si="534">(F845-F793)/F793</f>
        <v>-0.36502546689303905</v>
      </c>
      <c r="O845" s="25">
        <f t="shared" ref="O845" si="535">(F845-L845)/L845</f>
        <v>0.53435897435897439</v>
      </c>
    </row>
    <row r="846" spans="1:15" x14ac:dyDescent="0.25">
      <c r="A846" s="16" t="s">
        <v>27</v>
      </c>
      <c r="B846" s="29">
        <f t="shared" si="199"/>
        <v>40243</v>
      </c>
      <c r="C846" s="15">
        <v>400</v>
      </c>
      <c r="D846" s="15">
        <v>6</v>
      </c>
      <c r="E846" s="15">
        <v>115</v>
      </c>
      <c r="F846" s="21">
        <f t="shared" si="118"/>
        <v>521</v>
      </c>
      <c r="G846" s="18">
        <v>9</v>
      </c>
      <c r="H846" s="22">
        <f t="shared" ref="H846" si="536">AVERAGE(C843:C846)</f>
        <v>249</v>
      </c>
      <c r="I846" s="22">
        <f t="shared" ref="I846" si="537">AVERAGE(D843:D846)</f>
        <v>7.25</v>
      </c>
      <c r="J846" s="22">
        <f t="shared" ref="J846" si="538">AVERAGE(E843:E846)</f>
        <v>115.25</v>
      </c>
      <c r="K846" s="23">
        <f t="shared" ref="K846" si="539">SUM(H846:J846)</f>
        <v>371.5</v>
      </c>
      <c r="L846" s="23">
        <f t="shared" ref="L846" si="540">AVERAGE(K690+K742+K794)/3</f>
        <v>290.91666666666669</v>
      </c>
      <c r="M846" s="23">
        <f t="shared" si="377"/>
        <v>421.66666666666669</v>
      </c>
      <c r="N846" s="25">
        <f t="shared" ref="N846" si="541">(F846-F794)/F794</f>
        <v>6.3265306122448975E-2</v>
      </c>
      <c r="O846" s="25">
        <f t="shared" ref="O846" si="542">(F846-L846)/L846</f>
        <v>0.79089086221712968</v>
      </c>
    </row>
    <row r="847" spans="1:15" x14ac:dyDescent="0.25">
      <c r="A847" s="16" t="s">
        <v>27</v>
      </c>
      <c r="B847" s="29">
        <f t="shared" si="199"/>
        <v>40250</v>
      </c>
      <c r="C847" s="15">
        <v>391</v>
      </c>
      <c r="D847" s="15">
        <v>3</v>
      </c>
      <c r="E847" s="15">
        <v>69</v>
      </c>
      <c r="F847" s="21">
        <f t="shared" si="118"/>
        <v>463</v>
      </c>
      <c r="G847" s="18">
        <v>10</v>
      </c>
      <c r="H847" s="22">
        <f t="shared" ref="H847" si="543">AVERAGE(C844:C847)</f>
        <v>299</v>
      </c>
      <c r="I847" s="22">
        <f t="shared" ref="I847" si="544">AVERAGE(D844:D847)</f>
        <v>4</v>
      </c>
      <c r="J847" s="22">
        <f t="shared" ref="J847" si="545">AVERAGE(E844:E847)</f>
        <v>99</v>
      </c>
      <c r="K847" s="23">
        <f t="shared" ref="K847" si="546">SUM(H847:J847)</f>
        <v>402</v>
      </c>
      <c r="L847" s="23">
        <f t="shared" ref="L847" si="547">AVERAGE(K691+K743+K795)/3</f>
        <v>361.91666666666669</v>
      </c>
      <c r="M847" s="23">
        <f t="shared" si="377"/>
        <v>430.66666666666669</v>
      </c>
      <c r="N847" s="25">
        <f t="shared" ref="N847" si="548">(F847-F795)/F795</f>
        <v>-0.15818181818181817</v>
      </c>
      <c r="O847" s="25">
        <f t="shared" ref="O847" si="549">(F847-L847)/L847</f>
        <v>0.27930002302555829</v>
      </c>
    </row>
    <row r="848" spans="1:15" x14ac:dyDescent="0.25">
      <c r="A848" s="16" t="s">
        <v>27</v>
      </c>
      <c r="B848" s="29">
        <f t="shared" si="199"/>
        <v>40257</v>
      </c>
      <c r="C848" s="15">
        <v>130</v>
      </c>
      <c r="D848" s="15">
        <v>2</v>
      </c>
      <c r="E848" s="15">
        <v>58</v>
      </c>
      <c r="F848" s="21">
        <f t="shared" si="118"/>
        <v>190</v>
      </c>
      <c r="G848" s="18">
        <v>11</v>
      </c>
      <c r="H848" s="22">
        <f t="shared" ref="H848" si="550">AVERAGE(C845:C848)</f>
        <v>292.75</v>
      </c>
      <c r="I848" s="22">
        <f t="shared" ref="I848" si="551">AVERAGE(D845:D848)</f>
        <v>3.5</v>
      </c>
      <c r="J848" s="22">
        <f t="shared" ref="J848" si="552">AVERAGE(E845:E848)</f>
        <v>90.75</v>
      </c>
      <c r="K848" s="23">
        <f t="shared" ref="K848" si="553">SUM(H848:J848)</f>
        <v>387</v>
      </c>
      <c r="L848" s="23">
        <f t="shared" ref="L848" si="554">AVERAGE(K692+K744+K796)/3</f>
        <v>406.91666666666669</v>
      </c>
      <c r="M848" s="23">
        <f t="shared" si="377"/>
        <v>406.33333333333331</v>
      </c>
      <c r="N848" s="25">
        <f t="shared" ref="N848" si="555">(F848-F796)/F796</f>
        <v>-0.56521739130434778</v>
      </c>
      <c r="O848" s="25">
        <f t="shared" ref="O848" si="556">(F848-L848)/L848</f>
        <v>-0.53307392996108949</v>
      </c>
    </row>
    <row r="849" spans="1:15" x14ac:dyDescent="0.25">
      <c r="A849" s="16" t="s">
        <v>27</v>
      </c>
      <c r="B849" s="29">
        <f t="shared" si="199"/>
        <v>40264</v>
      </c>
      <c r="C849" s="15">
        <v>163</v>
      </c>
      <c r="D849" s="15">
        <v>5</v>
      </c>
      <c r="E849" s="15">
        <v>66</v>
      </c>
      <c r="F849" s="21">
        <f t="shared" si="118"/>
        <v>234</v>
      </c>
      <c r="G849" s="18">
        <v>12</v>
      </c>
      <c r="H849" s="22">
        <f t="shared" ref="H849" si="557">AVERAGE(C846:C849)</f>
        <v>271</v>
      </c>
      <c r="I849" s="22">
        <f t="shared" ref="I849" si="558">AVERAGE(D846:D849)</f>
        <v>4</v>
      </c>
      <c r="J849" s="22">
        <f t="shared" ref="J849" si="559">AVERAGE(E846:E849)</f>
        <v>77</v>
      </c>
      <c r="K849" s="23">
        <f t="shared" ref="K849" si="560">SUM(H849:J849)</f>
        <v>352</v>
      </c>
      <c r="L849" s="23">
        <f t="shared" ref="L849" si="561">AVERAGE(K693+K745+K797)/3</f>
        <v>412.16666666666669</v>
      </c>
      <c r="M849" s="23">
        <f t="shared" si="377"/>
        <v>390</v>
      </c>
      <c r="N849" s="25">
        <f t="shared" ref="N849" si="562">(F849-F797)/F797</f>
        <v>-0.44019138755980863</v>
      </c>
      <c r="O849" s="25">
        <f t="shared" ref="O849" si="563">(F849-L849)/L849</f>
        <v>-0.43226849979781645</v>
      </c>
    </row>
    <row r="850" spans="1:15" x14ac:dyDescent="0.25">
      <c r="A850" s="16" t="s">
        <v>14</v>
      </c>
      <c r="B850" s="29">
        <f t="shared" si="199"/>
        <v>40271</v>
      </c>
      <c r="C850" s="15">
        <v>260</v>
      </c>
      <c r="D850" s="15">
        <v>0</v>
      </c>
      <c r="E850" s="15">
        <v>74</v>
      </c>
      <c r="F850" s="21">
        <f t="shared" si="118"/>
        <v>334</v>
      </c>
      <c r="G850" s="18">
        <v>13</v>
      </c>
      <c r="H850" s="22">
        <f t="shared" ref="H850" si="564">AVERAGE(C847:C850)</f>
        <v>236</v>
      </c>
      <c r="I850" s="22">
        <f t="shared" ref="I850" si="565">AVERAGE(D847:D850)</f>
        <v>2.5</v>
      </c>
      <c r="J850" s="22">
        <f t="shared" ref="J850" si="566">AVERAGE(E847:E850)</f>
        <v>66.75</v>
      </c>
      <c r="K850" s="23">
        <f t="shared" ref="K850" si="567">SUM(H850:J850)</f>
        <v>305.25</v>
      </c>
      <c r="L850" s="23">
        <f t="shared" ref="L850" si="568">AVERAGE(K694+K746+K798)/3</f>
        <v>434.58333333333331</v>
      </c>
      <c r="M850" s="23">
        <f t="shared" si="377"/>
        <v>511.33333333333331</v>
      </c>
      <c r="N850" s="25">
        <f t="shared" ref="N850" si="569">(F850-F798)/F798</f>
        <v>-0.40463458110516937</v>
      </c>
      <c r="O850" s="25">
        <f t="shared" ref="O850" si="570">(F850-L850)/L850</f>
        <v>-0.23144774688398845</v>
      </c>
    </row>
    <row r="851" spans="1:15" x14ac:dyDescent="0.25">
      <c r="A851" s="16" t="s">
        <v>14</v>
      </c>
      <c r="B851" s="29">
        <f t="shared" si="199"/>
        <v>40278</v>
      </c>
      <c r="C851" s="15">
        <v>189</v>
      </c>
      <c r="D851" s="15">
        <v>0</v>
      </c>
      <c r="E851" s="15">
        <v>42</v>
      </c>
      <c r="F851" s="21">
        <f t="shared" si="118"/>
        <v>231</v>
      </c>
      <c r="G851" s="18">
        <v>14</v>
      </c>
      <c r="H851" s="22">
        <f t="shared" ref="H851" si="571">AVERAGE(C848:C851)</f>
        <v>185.5</v>
      </c>
      <c r="I851" s="22">
        <f t="shared" ref="I851" si="572">AVERAGE(D848:D851)</f>
        <v>1.75</v>
      </c>
      <c r="J851" s="22">
        <f t="shared" ref="J851" si="573">AVERAGE(E848:E851)</f>
        <v>60</v>
      </c>
      <c r="K851" s="23">
        <f t="shared" ref="K851" si="574">SUM(H851:J851)</f>
        <v>247.25</v>
      </c>
      <c r="L851" s="23">
        <f t="shared" ref="L851" si="575">AVERAGE(K695+K747+K799)/3</f>
        <v>441.91666666666669</v>
      </c>
      <c r="M851" s="23">
        <f t="shared" si="377"/>
        <v>460</v>
      </c>
      <c r="N851" s="25">
        <f t="shared" ref="N851" si="576">(F851-F799)/F799</f>
        <v>-0.5461689587426326</v>
      </c>
      <c r="O851" s="25">
        <f t="shared" ref="O851" si="577">(F851-L851)/L851</f>
        <v>-0.47727701301150294</v>
      </c>
    </row>
    <row r="852" spans="1:15" x14ac:dyDescent="0.25">
      <c r="A852" s="16" t="s">
        <v>14</v>
      </c>
      <c r="B852" s="29">
        <f t="shared" si="199"/>
        <v>40285</v>
      </c>
      <c r="C852" s="15">
        <v>285</v>
      </c>
      <c r="D852" s="15">
        <v>5</v>
      </c>
      <c r="E852" s="15">
        <v>65</v>
      </c>
      <c r="F852" s="21">
        <f t="shared" si="118"/>
        <v>355</v>
      </c>
      <c r="G852" s="18">
        <v>15</v>
      </c>
      <c r="H852" s="22">
        <f t="shared" ref="H852" si="578">AVERAGE(C849:C852)</f>
        <v>224.25</v>
      </c>
      <c r="I852" s="22">
        <f t="shared" ref="I852" si="579">AVERAGE(D849:D852)</f>
        <v>2.5</v>
      </c>
      <c r="J852" s="22">
        <f t="shared" ref="J852" si="580">AVERAGE(E849:E852)</f>
        <v>61.75</v>
      </c>
      <c r="K852" s="23">
        <f t="shared" ref="K852" si="581">SUM(H852:J852)</f>
        <v>288.5</v>
      </c>
      <c r="L852" s="23">
        <f t="shared" ref="L852" si="582">AVERAGE(K696+K748+K800)/3</f>
        <v>479.83333333333331</v>
      </c>
      <c r="M852" s="23">
        <f t="shared" si="377"/>
        <v>558</v>
      </c>
      <c r="N852" s="25">
        <f t="shared" ref="N852" si="583">(F852-F800)/F800</f>
        <v>-0.44617784711388453</v>
      </c>
      <c r="O852" s="25">
        <f t="shared" ref="O852" si="584">(F852-L852)/L852</f>
        <v>-0.26015977770059046</v>
      </c>
    </row>
    <row r="853" spans="1:15" x14ac:dyDescent="0.25">
      <c r="A853" s="16" t="s">
        <v>14</v>
      </c>
      <c r="B853" s="29">
        <f t="shared" si="199"/>
        <v>40292</v>
      </c>
      <c r="C853" s="15">
        <v>418</v>
      </c>
      <c r="D853" s="15">
        <v>24</v>
      </c>
      <c r="E853" s="15">
        <v>56</v>
      </c>
      <c r="F853" s="21">
        <f t="shared" si="118"/>
        <v>498</v>
      </c>
      <c r="G853" s="18">
        <v>16</v>
      </c>
      <c r="H853" s="22">
        <f t="shared" ref="H853" si="585">AVERAGE(C850:C853)</f>
        <v>288</v>
      </c>
      <c r="I853" s="22">
        <f t="shared" ref="I853" si="586">AVERAGE(D850:D853)</f>
        <v>7.25</v>
      </c>
      <c r="J853" s="22">
        <f t="shared" ref="J853" si="587">AVERAGE(E850:E853)</f>
        <v>59.25</v>
      </c>
      <c r="K853" s="23">
        <f t="shared" ref="K853" si="588">SUM(H853:J853)</f>
        <v>354.5</v>
      </c>
      <c r="L853" s="23">
        <f t="shared" ref="L853" si="589">AVERAGE(K697+K749+K801)/3</f>
        <v>518.08333333333337</v>
      </c>
      <c r="M853" s="23">
        <f t="shared" si="377"/>
        <v>543</v>
      </c>
      <c r="N853" s="25">
        <f t="shared" ref="N853" si="590">(F853-F801)/F801</f>
        <v>-0.15306122448979592</v>
      </c>
      <c r="O853" s="25">
        <f t="shared" ref="O853" si="591">(F853-L853)/L853</f>
        <v>-3.8764677497185207E-2</v>
      </c>
    </row>
    <row r="854" spans="1:15" x14ac:dyDescent="0.25">
      <c r="A854" s="16" t="s">
        <v>14</v>
      </c>
      <c r="B854" s="29">
        <f t="shared" si="199"/>
        <v>40299</v>
      </c>
      <c r="C854" s="15">
        <v>336</v>
      </c>
      <c r="D854" s="15">
        <v>8</v>
      </c>
      <c r="E854" s="15">
        <v>59</v>
      </c>
      <c r="F854" s="21">
        <f t="shared" si="118"/>
        <v>403</v>
      </c>
      <c r="G854" s="18">
        <v>17</v>
      </c>
      <c r="H854" s="22">
        <f t="shared" ref="H854" si="592">AVERAGE(C851:C854)</f>
        <v>307</v>
      </c>
      <c r="I854" s="22">
        <f t="shared" ref="I854" si="593">AVERAGE(D851:D854)</f>
        <v>9.25</v>
      </c>
      <c r="J854" s="22">
        <f t="shared" ref="J854" si="594">AVERAGE(E851:E854)</f>
        <v>55.5</v>
      </c>
      <c r="K854" s="23">
        <f t="shared" ref="K854" si="595">SUM(H854:J854)</f>
        <v>371.75</v>
      </c>
      <c r="L854" s="23">
        <f t="shared" ref="L854" si="596">AVERAGE(K698+K750+K802)/3</f>
        <v>485.58333333333331</v>
      </c>
      <c r="M854" s="23">
        <f t="shared" si="377"/>
        <v>381.33333333333331</v>
      </c>
      <c r="N854" s="25">
        <f t="shared" ref="N854" si="597">(F854-F802)/F802</f>
        <v>-0.11428571428571428</v>
      </c>
      <c r="O854" s="25">
        <f t="shared" ref="O854" si="598">(F854-L854)/L854</f>
        <v>-0.1700703621074309</v>
      </c>
    </row>
    <row r="855" spans="1:15" x14ac:dyDescent="0.25">
      <c r="A855" s="16" t="s">
        <v>5</v>
      </c>
      <c r="B855" s="29">
        <f t="shared" si="199"/>
        <v>40306</v>
      </c>
      <c r="C855" s="15">
        <v>525</v>
      </c>
      <c r="D855" s="15">
        <v>8</v>
      </c>
      <c r="E855" s="15">
        <v>128</v>
      </c>
      <c r="F855" s="21">
        <f t="shared" si="118"/>
        <v>661</v>
      </c>
      <c r="G855" s="18">
        <v>18</v>
      </c>
      <c r="H855" s="22">
        <f t="shared" ref="H855" si="599">AVERAGE(C852:C855)</f>
        <v>391</v>
      </c>
      <c r="I855" s="22">
        <f t="shared" ref="I855" si="600">AVERAGE(D852:D855)</f>
        <v>11.25</v>
      </c>
      <c r="J855" s="22">
        <f t="shared" ref="J855" si="601">AVERAGE(E852:E855)</f>
        <v>77</v>
      </c>
      <c r="K855" s="23">
        <f t="shared" ref="K855" si="602">SUM(H855:J855)</f>
        <v>479.25</v>
      </c>
      <c r="L855" s="23">
        <f t="shared" ref="L855" si="603">AVERAGE(K699+K751+K803)/3</f>
        <v>463.75</v>
      </c>
      <c r="M855" s="23">
        <f t="shared" si="377"/>
        <v>372.66666666666669</v>
      </c>
      <c r="N855" s="25">
        <f t="shared" ref="N855" si="604">(F855-F803)/F803</f>
        <v>0.32200000000000001</v>
      </c>
      <c r="O855" s="25">
        <f t="shared" ref="O855" si="605">(F855-L855)/L855</f>
        <v>0.42533692722371969</v>
      </c>
    </row>
    <row r="856" spans="1:15" x14ac:dyDescent="0.25">
      <c r="A856" s="16" t="s">
        <v>5</v>
      </c>
      <c r="B856" s="29">
        <f t="shared" si="199"/>
        <v>40313</v>
      </c>
      <c r="C856" s="15">
        <v>559</v>
      </c>
      <c r="D856" s="15">
        <v>17</v>
      </c>
      <c r="E856" s="15">
        <v>96</v>
      </c>
      <c r="F856" s="21">
        <f t="shared" si="118"/>
        <v>672</v>
      </c>
      <c r="G856" s="18">
        <v>19</v>
      </c>
      <c r="H856" s="22">
        <f t="shared" ref="H856" si="606">AVERAGE(C853:C856)</f>
        <v>459.5</v>
      </c>
      <c r="I856" s="22">
        <f t="shared" ref="I856" si="607">AVERAGE(D853:D856)</f>
        <v>14.25</v>
      </c>
      <c r="J856" s="22">
        <f t="shared" ref="J856" si="608">AVERAGE(E853:E856)</f>
        <v>84.75</v>
      </c>
      <c r="K856" s="23">
        <f t="shared" ref="K856" si="609">SUM(H856:J856)</f>
        <v>558.5</v>
      </c>
      <c r="L856" s="23">
        <f t="shared" ref="L856" si="610">AVERAGE(K700+K752+K804)/3</f>
        <v>473.83333333333331</v>
      </c>
      <c r="M856" s="23">
        <f t="shared" si="377"/>
        <v>598.33333333333337</v>
      </c>
      <c r="N856" s="25">
        <f t="shared" ref="N856" si="611">(F856-F804)/F804</f>
        <v>3.8639876352395672E-2</v>
      </c>
      <c r="O856" s="25">
        <f t="shared" ref="O856" si="612">(F856-L856)/L856</f>
        <v>0.41822018994020405</v>
      </c>
    </row>
    <row r="857" spans="1:15" x14ac:dyDescent="0.25">
      <c r="A857" s="16" t="s">
        <v>5</v>
      </c>
      <c r="B857" s="29">
        <f t="shared" si="199"/>
        <v>40320</v>
      </c>
      <c r="C857" s="15">
        <v>537</v>
      </c>
      <c r="D857" s="15">
        <v>6</v>
      </c>
      <c r="E857" s="15">
        <v>96</v>
      </c>
      <c r="F857" s="21">
        <f t="shared" si="118"/>
        <v>639</v>
      </c>
      <c r="G857" s="18">
        <v>20</v>
      </c>
      <c r="H857" s="22">
        <f t="shared" ref="H857" si="613">AVERAGE(C854:C857)</f>
        <v>489.25</v>
      </c>
      <c r="I857" s="22">
        <f t="shared" ref="I857" si="614">AVERAGE(D854:D857)</f>
        <v>9.75</v>
      </c>
      <c r="J857" s="22">
        <f t="shared" ref="J857" si="615">AVERAGE(E854:E857)</f>
        <v>94.75</v>
      </c>
      <c r="K857" s="23">
        <f t="shared" ref="K857:K858" si="616">SUM(H857:J857)</f>
        <v>593.75</v>
      </c>
      <c r="L857" s="23">
        <f t="shared" ref="L857" si="617">AVERAGE(K701+K753+K805)/3</f>
        <v>491.75</v>
      </c>
      <c r="M857" s="23">
        <f t="shared" si="377"/>
        <v>614.66666666666663</v>
      </c>
      <c r="N857" s="25">
        <f t="shared" ref="N857:N858" si="618">(F857-F805)/F805</f>
        <v>1.9138755980861243E-2</v>
      </c>
      <c r="O857" s="25">
        <f t="shared" ref="O857:O858" si="619">(F857-L857)/L857</f>
        <v>0.29944077275038128</v>
      </c>
    </row>
    <row r="858" spans="1:15" x14ac:dyDescent="0.25">
      <c r="A858" s="16" t="s">
        <v>5</v>
      </c>
      <c r="B858" s="29">
        <f t="shared" si="199"/>
        <v>40327</v>
      </c>
      <c r="C858" s="15">
        <v>708</v>
      </c>
      <c r="D858" s="15">
        <v>10</v>
      </c>
      <c r="E858" s="15">
        <v>53</v>
      </c>
      <c r="F858" s="21">
        <f t="shared" si="118"/>
        <v>771</v>
      </c>
      <c r="G858" s="18">
        <v>21</v>
      </c>
      <c r="H858" s="22">
        <f t="shared" ref="H858" si="620">AVERAGE(C855:C858)</f>
        <v>582.25</v>
      </c>
      <c r="I858" s="22">
        <f t="shared" ref="I858" si="621">AVERAGE(D855:D858)</f>
        <v>10.25</v>
      </c>
      <c r="J858" s="22">
        <f t="shared" ref="J858" si="622">AVERAGE(E855:E858)</f>
        <v>93.25</v>
      </c>
      <c r="K858" s="23">
        <f t="shared" si="616"/>
        <v>685.75</v>
      </c>
      <c r="L858" s="23">
        <f t="shared" si="208"/>
        <v>541</v>
      </c>
      <c r="M858" s="23">
        <f t="shared" si="377"/>
        <v>578.33333333333337</v>
      </c>
      <c r="N858" s="25">
        <f t="shared" si="618"/>
        <v>0.28714524207011688</v>
      </c>
      <c r="O858" s="25">
        <f t="shared" si="619"/>
        <v>0.42513863216266173</v>
      </c>
    </row>
    <row r="859" spans="1:15" x14ac:dyDescent="0.25">
      <c r="A859" s="16" t="s">
        <v>30</v>
      </c>
      <c r="B859" s="29">
        <f t="shared" si="199"/>
        <v>40334</v>
      </c>
      <c r="C859" s="15">
        <v>541</v>
      </c>
      <c r="D859" s="15">
        <v>6</v>
      </c>
      <c r="E859" s="15">
        <v>67</v>
      </c>
      <c r="F859" s="21">
        <f t="shared" si="118"/>
        <v>614</v>
      </c>
      <c r="G859" s="18">
        <v>22</v>
      </c>
      <c r="H859" s="22">
        <f t="shared" ref="H859" si="623">AVERAGE(C856:C859)</f>
        <v>586.25</v>
      </c>
      <c r="I859" s="22">
        <f t="shared" ref="I859" si="624">AVERAGE(D856:D859)</f>
        <v>9.75</v>
      </c>
      <c r="J859" s="22">
        <f t="shared" ref="J859" si="625">AVERAGE(E856:E859)</f>
        <v>78</v>
      </c>
      <c r="K859" s="23">
        <f t="shared" ref="K859" si="626">SUM(H859:J859)</f>
        <v>674</v>
      </c>
      <c r="L859" s="23">
        <f t="shared" ref="L859" si="627">AVERAGE(K703+K755+K807)/3</f>
        <v>601.83333333333337</v>
      </c>
      <c r="M859" s="23">
        <f t="shared" si="377"/>
        <v>616</v>
      </c>
      <c r="N859" s="25">
        <f t="shared" ref="N859" si="628">(F859-F807)/F807</f>
        <v>-9.4395280235988199E-2</v>
      </c>
      <c r="O859" s="25">
        <f t="shared" ref="O859" si="629">(F859-L859)/L859</f>
        <v>2.0216006646358285E-2</v>
      </c>
    </row>
    <row r="860" spans="1:15" x14ac:dyDescent="0.25">
      <c r="A860" s="16" t="s">
        <v>30</v>
      </c>
      <c r="B860" s="29">
        <f t="shared" si="199"/>
        <v>40341</v>
      </c>
      <c r="C860" s="15">
        <v>577</v>
      </c>
      <c r="D860" s="15">
        <v>14</v>
      </c>
      <c r="E860" s="15">
        <v>94</v>
      </c>
      <c r="F860" s="21">
        <f t="shared" si="118"/>
        <v>685</v>
      </c>
      <c r="G860" s="18">
        <v>23</v>
      </c>
      <c r="H860" s="22">
        <f t="shared" ref="H860" si="630">AVERAGE(C857:C860)</f>
        <v>590.75</v>
      </c>
      <c r="I860" s="22">
        <f t="shared" ref="I860" si="631">AVERAGE(D857:D860)</f>
        <v>9</v>
      </c>
      <c r="J860" s="22">
        <f t="shared" ref="J860" si="632">AVERAGE(E857:E860)</f>
        <v>77.5</v>
      </c>
      <c r="K860" s="23">
        <f t="shared" ref="K860" si="633">SUM(H860:J860)</f>
        <v>677.25</v>
      </c>
      <c r="L860" s="23">
        <f t="shared" ref="L860" si="634">AVERAGE(K704+K756+K808)/3</f>
        <v>607.75</v>
      </c>
      <c r="M860" s="23">
        <f t="shared" si="377"/>
        <v>622</v>
      </c>
      <c r="N860" s="25">
        <f t="shared" ref="N860" si="635">(F860-F808)/F808</f>
        <v>-1.721664275466284E-2</v>
      </c>
      <c r="O860" s="25">
        <f t="shared" ref="O860" si="636">(F860-L860)/L860</f>
        <v>0.12710818593171536</v>
      </c>
    </row>
    <row r="861" spans="1:15" x14ac:dyDescent="0.25">
      <c r="A861" s="16" t="s">
        <v>30</v>
      </c>
      <c r="B861" s="29">
        <f t="shared" si="199"/>
        <v>40348</v>
      </c>
      <c r="C861" s="15">
        <v>581</v>
      </c>
      <c r="D861" s="15">
        <v>14</v>
      </c>
      <c r="E861" s="15">
        <v>102</v>
      </c>
      <c r="F861" s="21">
        <f t="shared" si="118"/>
        <v>697</v>
      </c>
      <c r="G861" s="18">
        <v>24</v>
      </c>
      <c r="H861" s="22">
        <f t="shared" ref="H861" si="637">AVERAGE(C858:C861)</f>
        <v>601.75</v>
      </c>
      <c r="I861" s="22">
        <f t="shared" ref="I861" si="638">AVERAGE(D858:D861)</f>
        <v>11</v>
      </c>
      <c r="J861" s="22">
        <f t="shared" ref="J861" si="639">AVERAGE(E858:E861)</f>
        <v>79</v>
      </c>
      <c r="K861" s="23">
        <f t="shared" ref="K861" si="640">SUM(H861:J861)</f>
        <v>691.75</v>
      </c>
      <c r="L861" s="23">
        <f t="shared" ref="L861" si="641">AVERAGE(K705+K757+K809)/3</f>
        <v>601.75</v>
      </c>
      <c r="M861" s="23">
        <f t="shared" si="377"/>
        <v>590.66666666666663</v>
      </c>
      <c r="N861" s="25">
        <f t="shared" ref="N861" si="642">(F861-F809)/F809</f>
        <v>-0.2608695652173913</v>
      </c>
      <c r="O861" s="25">
        <f t="shared" ref="O861" si="643">(F861-L861)/L861</f>
        <v>0.15828832571665974</v>
      </c>
    </row>
    <row r="862" spans="1:15" x14ac:dyDescent="0.25">
      <c r="A862" s="16" t="s">
        <v>30</v>
      </c>
      <c r="B862" s="29">
        <f t="shared" ref="B862:B927" si="644">B861+7</f>
        <v>40355</v>
      </c>
      <c r="C862" s="15">
        <v>543</v>
      </c>
      <c r="D862" s="15">
        <v>6</v>
      </c>
      <c r="E862" s="15">
        <v>45</v>
      </c>
      <c r="F862" s="21">
        <f t="shared" si="118"/>
        <v>594</v>
      </c>
      <c r="G862" s="18">
        <v>25</v>
      </c>
      <c r="H862" s="22">
        <f t="shared" ref="H862" si="645">AVERAGE(C859:C862)</f>
        <v>560.5</v>
      </c>
      <c r="I862" s="22">
        <f t="shared" ref="I862" si="646">AVERAGE(D859:D862)</f>
        <v>10</v>
      </c>
      <c r="J862" s="22">
        <f t="shared" ref="J862" si="647">AVERAGE(E859:E862)</f>
        <v>77</v>
      </c>
      <c r="K862" s="23">
        <f t="shared" ref="K862" si="648">SUM(H862:J862)</f>
        <v>647.5</v>
      </c>
      <c r="L862" s="23">
        <f t="shared" ref="L862" si="649">AVERAGE(K706+K758+K810)/3</f>
        <v>584.16666666666663</v>
      </c>
      <c r="M862" s="23">
        <f t="shared" si="377"/>
        <v>508</v>
      </c>
      <c r="N862" s="25">
        <f t="shared" ref="N862" si="650">(F862-F810)/F810</f>
        <v>-0.20268456375838925</v>
      </c>
      <c r="O862" s="25">
        <f t="shared" ref="O862" si="651">(F862-L862)/L862</f>
        <v>1.6833095577746142E-2</v>
      </c>
    </row>
    <row r="863" spans="1:15" x14ac:dyDescent="0.25">
      <c r="A863" s="16" t="s">
        <v>31</v>
      </c>
      <c r="B863" s="29">
        <f t="shared" si="644"/>
        <v>40362</v>
      </c>
      <c r="C863" s="15">
        <v>550</v>
      </c>
      <c r="D863" s="15">
        <v>0</v>
      </c>
      <c r="E863" s="15">
        <v>132</v>
      </c>
      <c r="F863" s="21">
        <f t="shared" si="118"/>
        <v>682</v>
      </c>
      <c r="G863" s="18">
        <v>26</v>
      </c>
      <c r="H863" s="22">
        <f t="shared" ref="H863" si="652">AVERAGE(C860:C863)</f>
        <v>562.75</v>
      </c>
      <c r="I863" s="22">
        <f t="shared" ref="I863" si="653">AVERAGE(D860:D863)</f>
        <v>8.5</v>
      </c>
      <c r="J863" s="22">
        <f t="shared" ref="J863" si="654">AVERAGE(E860:E863)</f>
        <v>93.25</v>
      </c>
      <c r="K863" s="23">
        <f t="shared" ref="K863" si="655">SUM(H863:J863)</f>
        <v>664.5</v>
      </c>
      <c r="L863" s="23">
        <f t="shared" ref="L863" si="656">AVERAGE(K707+K759+K811)/3</f>
        <v>576.33333333333337</v>
      </c>
      <c r="M863" s="23">
        <f t="shared" si="377"/>
        <v>584.66666666666663</v>
      </c>
      <c r="N863" s="25">
        <f t="shared" ref="N863" si="657">(F863-F811)/F811</f>
        <v>-0.16930572472594396</v>
      </c>
      <c r="O863" s="25">
        <f t="shared" ref="O863" si="658">(F863-L863)/L863</f>
        <v>0.18334297281665696</v>
      </c>
    </row>
    <row r="864" spans="1:15" x14ac:dyDescent="0.25">
      <c r="A864" s="16" t="s">
        <v>31</v>
      </c>
      <c r="B864" s="29">
        <f t="shared" si="644"/>
        <v>40369</v>
      </c>
      <c r="C864" s="15">
        <v>475</v>
      </c>
      <c r="D864" s="15">
        <v>8</v>
      </c>
      <c r="E864" s="15">
        <v>108</v>
      </c>
      <c r="F864" s="21">
        <f t="shared" si="118"/>
        <v>591</v>
      </c>
      <c r="G864" s="18">
        <v>27</v>
      </c>
      <c r="H864" s="22">
        <f t="shared" ref="H864" si="659">AVERAGE(C861:C864)</f>
        <v>537.25</v>
      </c>
      <c r="I864" s="22">
        <f t="shared" ref="I864" si="660">AVERAGE(D861:D864)</f>
        <v>7</v>
      </c>
      <c r="J864" s="22">
        <f t="shared" ref="J864" si="661">AVERAGE(E861:E864)</f>
        <v>96.75</v>
      </c>
      <c r="K864" s="23">
        <f t="shared" ref="K864" si="662">SUM(H864:J864)</f>
        <v>641</v>
      </c>
      <c r="L864" s="23">
        <f t="shared" ref="L864" si="663">AVERAGE(K708+K760+K812)/3</f>
        <v>593.83333333333337</v>
      </c>
      <c r="M864" s="23">
        <f t="shared" si="377"/>
        <v>692</v>
      </c>
      <c r="N864" s="25">
        <f t="shared" ref="N864" si="664">(F864-F812)/F812</f>
        <v>-7.8003120124804995E-2</v>
      </c>
      <c r="O864" s="25">
        <f t="shared" ref="O864" si="665">(F864-L864)/L864</f>
        <v>-4.7712601740107288E-3</v>
      </c>
    </row>
    <row r="865" spans="1:15" x14ac:dyDescent="0.25">
      <c r="A865" s="16" t="s">
        <v>31</v>
      </c>
      <c r="B865" s="29">
        <f t="shared" si="644"/>
        <v>40376</v>
      </c>
      <c r="C865" s="15">
        <v>599</v>
      </c>
      <c r="D865" s="15">
        <v>11</v>
      </c>
      <c r="E865" s="15">
        <v>82</v>
      </c>
      <c r="F865" s="21">
        <f t="shared" si="118"/>
        <v>692</v>
      </c>
      <c r="G865" s="18">
        <v>28</v>
      </c>
      <c r="H865" s="22">
        <f t="shared" ref="H865" si="666">AVERAGE(C862:C865)</f>
        <v>541.75</v>
      </c>
      <c r="I865" s="22">
        <f t="shared" ref="I865" si="667">AVERAGE(D862:D865)</f>
        <v>6.25</v>
      </c>
      <c r="J865" s="22">
        <f t="shared" ref="J865" si="668">AVERAGE(E862:E865)</f>
        <v>91.75</v>
      </c>
      <c r="K865" s="23">
        <f t="shared" ref="K865" si="669">SUM(H865:J865)</f>
        <v>639.75</v>
      </c>
      <c r="L865" s="23">
        <f t="shared" ref="L865" si="670">AVERAGE(K709+K761+K813)/3</f>
        <v>603.5</v>
      </c>
      <c r="M865" s="23">
        <f t="shared" si="377"/>
        <v>629.33333333333337</v>
      </c>
      <c r="N865" s="25">
        <f t="shared" ref="N865" si="671">(F865-F813)/F813</f>
        <v>0.12155591572123177</v>
      </c>
      <c r="O865" s="25">
        <f t="shared" ref="O865" si="672">(F865-L865)/L865</f>
        <v>0.14664457332228667</v>
      </c>
    </row>
    <row r="866" spans="1:15" x14ac:dyDescent="0.25">
      <c r="A866" s="16" t="s">
        <v>31</v>
      </c>
      <c r="B866" s="29">
        <f t="shared" si="644"/>
        <v>40383</v>
      </c>
      <c r="C866" s="15">
        <v>671</v>
      </c>
      <c r="D866" s="15">
        <v>8</v>
      </c>
      <c r="E866" s="15">
        <v>72</v>
      </c>
      <c r="F866" s="21">
        <f t="shared" si="118"/>
        <v>751</v>
      </c>
      <c r="G866" s="18">
        <v>29</v>
      </c>
      <c r="H866" s="22">
        <f t="shared" ref="H866" si="673">AVERAGE(C863:C866)</f>
        <v>573.75</v>
      </c>
      <c r="I866" s="22">
        <f t="shared" ref="I866" si="674">AVERAGE(D863:D866)</f>
        <v>6.75</v>
      </c>
      <c r="J866" s="22">
        <f t="shared" ref="J866" si="675">AVERAGE(E863:E866)</f>
        <v>98.5</v>
      </c>
      <c r="K866" s="23">
        <f t="shared" ref="K866" si="676">SUM(H866:J866)</f>
        <v>679</v>
      </c>
      <c r="L866" s="23">
        <f t="shared" ref="L866" si="677">AVERAGE(K710+K762+K814)/3</f>
        <v>665.16666666666663</v>
      </c>
      <c r="M866" s="23">
        <f t="shared" si="377"/>
        <v>754.66666666666663</v>
      </c>
      <c r="N866" s="25">
        <f t="shared" ref="N866:N867" si="678">(F866-F814)/F814</f>
        <v>-6.9392812887236685E-2</v>
      </c>
      <c r="O866" s="25">
        <f t="shared" ref="O866:O867" si="679">(F866-L866)/L866</f>
        <v>0.12904034076672519</v>
      </c>
    </row>
    <row r="867" spans="1:15" x14ac:dyDescent="0.25">
      <c r="A867" s="16" t="s">
        <v>31</v>
      </c>
      <c r="B867" s="29">
        <f t="shared" si="644"/>
        <v>40390</v>
      </c>
      <c r="C867" s="15">
        <v>546</v>
      </c>
      <c r="D867" s="15">
        <v>3</v>
      </c>
      <c r="E867" s="15">
        <v>103</v>
      </c>
      <c r="F867" s="21">
        <f t="shared" si="118"/>
        <v>652</v>
      </c>
      <c r="G867" s="18">
        <v>30</v>
      </c>
      <c r="H867" s="22">
        <f t="shared" ref="H867" si="680">AVERAGE(C864:C867)</f>
        <v>572.75</v>
      </c>
      <c r="I867" s="22">
        <f t="shared" ref="I867" si="681">AVERAGE(D864:D867)</f>
        <v>7.5</v>
      </c>
      <c r="J867" s="22">
        <f t="shared" ref="J867" si="682">AVERAGE(E864:E867)</f>
        <v>91.25</v>
      </c>
      <c r="K867" s="23">
        <f t="shared" ref="K867" si="683">SUM(H867:J867)</f>
        <v>671.5</v>
      </c>
      <c r="L867" s="23">
        <f t="shared" ref="L867:L922" si="684">AVERAGE(K711+K763+K815)/3</f>
        <v>724.16666666666663</v>
      </c>
      <c r="M867" s="23">
        <f t="shared" si="377"/>
        <v>820.66666666666663</v>
      </c>
      <c r="N867" s="25">
        <f t="shared" si="678"/>
        <v>-0.33874239350912777</v>
      </c>
      <c r="O867" s="25">
        <f t="shared" si="679"/>
        <v>-9.965477560414264E-2</v>
      </c>
    </row>
    <row r="868" spans="1:15" x14ac:dyDescent="0.25">
      <c r="A868" s="16" t="s">
        <v>19</v>
      </c>
      <c r="B868" s="29">
        <f t="shared" si="644"/>
        <v>40397</v>
      </c>
      <c r="C868" s="15">
        <v>531</v>
      </c>
      <c r="D868" s="15">
        <v>8</v>
      </c>
      <c r="E868" s="15">
        <v>95</v>
      </c>
      <c r="F868" s="21">
        <f t="shared" si="118"/>
        <v>634</v>
      </c>
      <c r="G868" s="18">
        <v>31</v>
      </c>
      <c r="H868" s="22">
        <f t="shared" ref="H868" si="685">AVERAGE(C865:C868)</f>
        <v>586.75</v>
      </c>
      <c r="I868" s="22">
        <f t="shared" ref="I868" si="686">AVERAGE(D865:D868)</f>
        <v>7.5</v>
      </c>
      <c r="J868" s="22">
        <f t="shared" ref="J868" si="687">AVERAGE(E865:E868)</f>
        <v>88</v>
      </c>
      <c r="K868" s="23">
        <f t="shared" ref="K868" si="688">SUM(H868:J868)</f>
        <v>682.25</v>
      </c>
      <c r="L868" s="23">
        <f t="shared" si="684"/>
        <v>701.08333333333337</v>
      </c>
      <c r="M868" s="23">
        <f t="shared" si="377"/>
        <v>599.66666666666663</v>
      </c>
      <c r="N868" s="25">
        <f t="shared" ref="N868" si="689">(F868-F816)/F816</f>
        <v>-7.3099415204678359E-2</v>
      </c>
      <c r="O868" s="25">
        <f t="shared" ref="O868" si="690">(F868-L868)/L868</f>
        <v>-9.5685249019374821E-2</v>
      </c>
    </row>
    <row r="869" spans="1:15" x14ac:dyDescent="0.25">
      <c r="A869" s="16" t="s">
        <v>19</v>
      </c>
      <c r="B869" s="29">
        <f t="shared" si="644"/>
        <v>40404</v>
      </c>
      <c r="C869" s="15">
        <v>520</v>
      </c>
      <c r="D869" s="15">
        <v>5</v>
      </c>
      <c r="E869" s="15">
        <v>92</v>
      </c>
      <c r="F869" s="21">
        <f t="shared" si="118"/>
        <v>617</v>
      </c>
      <c r="G869" s="18">
        <v>32</v>
      </c>
      <c r="H869" s="22">
        <f t="shared" ref="H869" si="691">AVERAGE(C866:C869)</f>
        <v>567</v>
      </c>
      <c r="I869" s="22">
        <f t="shared" ref="I869" si="692">AVERAGE(D866:D869)</f>
        <v>6</v>
      </c>
      <c r="J869" s="22">
        <f t="shared" ref="J869" si="693">AVERAGE(E866:E869)</f>
        <v>90.5</v>
      </c>
      <c r="K869" s="23">
        <f t="shared" ref="K869" si="694">SUM(H869:J869)</f>
        <v>663.5</v>
      </c>
      <c r="L869" s="23">
        <f t="shared" ref="L869" si="695">AVERAGE(K713+K765+K817)/3</f>
        <v>698.91666666666663</v>
      </c>
      <c r="M869" s="23">
        <f t="shared" si="377"/>
        <v>620.66666666666663</v>
      </c>
      <c r="N869" s="25">
        <f t="shared" ref="N869" si="696">(F869-F817)/F817</f>
        <v>-0.23163138231631383</v>
      </c>
      <c r="O869" s="25">
        <f t="shared" ref="O869" si="697">(F869-L869)/L869</f>
        <v>-0.11720519852152135</v>
      </c>
    </row>
    <row r="870" spans="1:15" x14ac:dyDescent="0.25">
      <c r="A870" s="16" t="s">
        <v>19</v>
      </c>
      <c r="B870" s="29">
        <f t="shared" si="644"/>
        <v>40411</v>
      </c>
      <c r="C870" s="15">
        <v>231</v>
      </c>
      <c r="D870" s="15">
        <v>9</v>
      </c>
      <c r="E870" s="15">
        <v>95</v>
      </c>
      <c r="F870" s="21">
        <f t="shared" si="118"/>
        <v>335</v>
      </c>
      <c r="G870" s="18">
        <v>33</v>
      </c>
      <c r="H870" s="22">
        <f t="shared" ref="H870" si="698">AVERAGE(C867:C870)</f>
        <v>457</v>
      </c>
      <c r="I870" s="22">
        <f t="shared" ref="I870" si="699">AVERAGE(D867:D870)</f>
        <v>6.25</v>
      </c>
      <c r="J870" s="22">
        <f t="shared" ref="J870" si="700">AVERAGE(E867:E870)</f>
        <v>96.25</v>
      </c>
      <c r="K870" s="23">
        <f t="shared" ref="K870" si="701">SUM(H870:J870)</f>
        <v>559.5</v>
      </c>
      <c r="L870" s="23">
        <f t="shared" ref="L870" si="702">AVERAGE(K714+K766+K818)/3</f>
        <v>647.41666666666663</v>
      </c>
      <c r="M870" s="23">
        <f t="shared" si="377"/>
        <v>548.66666666666663</v>
      </c>
      <c r="N870" s="25">
        <f t="shared" ref="N870" si="703">(F870-F818)/F818</f>
        <v>-0.47077409162717221</v>
      </c>
      <c r="O870" s="25">
        <f t="shared" ref="O870" si="704">(F870-L870)/L870</f>
        <v>-0.48255888788775902</v>
      </c>
    </row>
    <row r="871" spans="1:15" x14ac:dyDescent="0.25">
      <c r="A871" s="16" t="s">
        <v>19</v>
      </c>
      <c r="B871" s="29">
        <f t="shared" si="644"/>
        <v>40418</v>
      </c>
      <c r="C871" s="15">
        <v>237</v>
      </c>
      <c r="D871" s="15">
        <v>8</v>
      </c>
      <c r="E871" s="15">
        <v>32</v>
      </c>
      <c r="F871" s="21">
        <f t="shared" si="118"/>
        <v>277</v>
      </c>
      <c r="G871" s="18">
        <v>34</v>
      </c>
      <c r="H871" s="22">
        <f t="shared" ref="H871" si="705">AVERAGE(C868:C871)</f>
        <v>379.75</v>
      </c>
      <c r="I871" s="22">
        <f t="shared" ref="I871" si="706">AVERAGE(D868:D871)</f>
        <v>7.5</v>
      </c>
      <c r="J871" s="22">
        <f t="shared" ref="J871" si="707">AVERAGE(E868:E871)</f>
        <v>78.5</v>
      </c>
      <c r="K871" s="23">
        <f t="shared" ref="K871" si="708">SUM(H871:J871)</f>
        <v>465.75</v>
      </c>
      <c r="L871" s="23">
        <f t="shared" ref="L871" si="709">AVERAGE(K715+K767+K819)/3</f>
        <v>546.75</v>
      </c>
      <c r="M871" s="23">
        <f t="shared" si="377"/>
        <v>418</v>
      </c>
      <c r="N871" s="25">
        <f t="shared" ref="N871" si="710">(F871-F819)/F819</f>
        <v>-0.53986710963455153</v>
      </c>
      <c r="O871" s="25">
        <f t="shared" ref="O871" si="711">(F871-L871)/L871</f>
        <v>-0.49336991312299955</v>
      </c>
    </row>
    <row r="872" spans="1:15" x14ac:dyDescent="0.25">
      <c r="A872" s="16" t="s">
        <v>24</v>
      </c>
      <c r="B872" s="29">
        <f t="shared" si="644"/>
        <v>40425</v>
      </c>
      <c r="C872" s="15">
        <v>312</v>
      </c>
      <c r="D872" s="15">
        <v>12</v>
      </c>
      <c r="E872" s="15">
        <v>42</v>
      </c>
      <c r="F872" s="21">
        <f t="shared" si="118"/>
        <v>366</v>
      </c>
      <c r="G872" s="18">
        <v>35</v>
      </c>
      <c r="H872" s="22">
        <f t="shared" ref="H872" si="712">AVERAGE(C869:C872)</f>
        <v>325</v>
      </c>
      <c r="I872" s="22">
        <f t="shared" ref="I872" si="713">AVERAGE(D869:D872)</f>
        <v>8.5</v>
      </c>
      <c r="J872" s="22">
        <f t="shared" ref="J872" si="714">AVERAGE(E869:E872)</f>
        <v>65.25</v>
      </c>
      <c r="K872" s="23">
        <f t="shared" ref="K872" si="715">SUM(H872:J872)</f>
        <v>398.75</v>
      </c>
      <c r="L872" s="23">
        <f t="shared" ref="L872" si="716">AVERAGE(K716+K768+K820)/3</f>
        <v>489.33333333333331</v>
      </c>
      <c r="M872" s="23">
        <f t="shared" si="377"/>
        <v>370</v>
      </c>
      <c r="N872" s="25">
        <f t="shared" ref="N872" si="717">(F872-F820)/F820</f>
        <v>0.16190476190476191</v>
      </c>
      <c r="O872" s="25">
        <f t="shared" ref="O872" si="718">(F872-L872)/L872</f>
        <v>-0.25204359673024518</v>
      </c>
    </row>
    <row r="873" spans="1:15" x14ac:dyDescent="0.25">
      <c r="A873" s="16" t="s">
        <v>24</v>
      </c>
      <c r="B873" s="29">
        <f t="shared" si="644"/>
        <v>40432</v>
      </c>
      <c r="C873" s="15">
        <v>294</v>
      </c>
      <c r="D873" s="15">
        <v>11</v>
      </c>
      <c r="E873" s="15">
        <v>30</v>
      </c>
      <c r="F873" s="21">
        <f t="shared" si="118"/>
        <v>335</v>
      </c>
      <c r="G873" s="18">
        <v>36</v>
      </c>
      <c r="H873" s="22">
        <f t="shared" ref="H873" si="719">AVERAGE(C870:C873)</f>
        <v>268.5</v>
      </c>
      <c r="I873" s="22">
        <f t="shared" ref="I873" si="720">AVERAGE(D870:D873)</f>
        <v>10</v>
      </c>
      <c r="J873" s="22">
        <f t="shared" ref="J873" si="721">AVERAGE(E870:E873)</f>
        <v>49.75</v>
      </c>
      <c r="K873" s="23">
        <f t="shared" ref="K873" si="722">SUM(H873:J873)</f>
        <v>328.25</v>
      </c>
      <c r="L873" s="23">
        <f t="shared" ref="L873" si="723">AVERAGE(K717+K769+K821)/3</f>
        <v>411.83333333333331</v>
      </c>
      <c r="M873" s="23">
        <f t="shared" si="377"/>
        <v>310.66666666666669</v>
      </c>
      <c r="N873" s="25">
        <f t="shared" ref="N873" si="724">(F873-F821)/F821</f>
        <v>0.31372549019607843</v>
      </c>
      <c r="O873" s="25">
        <f t="shared" ref="O873" si="725">(F873-L873)/L873</f>
        <v>-0.18656414407122618</v>
      </c>
    </row>
    <row r="874" spans="1:15" x14ac:dyDescent="0.25">
      <c r="A874" s="16" t="s">
        <v>24</v>
      </c>
      <c r="B874" s="29">
        <f t="shared" si="644"/>
        <v>40439</v>
      </c>
      <c r="C874" s="15">
        <v>200</v>
      </c>
      <c r="D874" s="15">
        <v>14</v>
      </c>
      <c r="E874" s="15">
        <v>25</v>
      </c>
      <c r="F874" s="21">
        <f t="shared" si="118"/>
        <v>239</v>
      </c>
      <c r="G874" s="18">
        <v>37</v>
      </c>
      <c r="H874" s="22">
        <f t="shared" ref="H874" si="726">AVERAGE(C871:C874)</f>
        <v>260.75</v>
      </c>
      <c r="I874" s="22">
        <f t="shared" ref="I874" si="727">AVERAGE(D871:D874)</f>
        <v>11.25</v>
      </c>
      <c r="J874" s="22">
        <f t="shared" ref="J874" si="728">AVERAGE(E871:E874)</f>
        <v>32.25</v>
      </c>
      <c r="K874" s="23">
        <f t="shared" ref="K874" si="729">SUM(H874:J874)</f>
        <v>304.25</v>
      </c>
      <c r="L874" s="23">
        <f t="shared" ref="L874" si="730">AVERAGE(K718+K770+K822)/3</f>
        <v>337.41666666666669</v>
      </c>
      <c r="M874" s="23">
        <f t="shared" si="377"/>
        <v>251</v>
      </c>
      <c r="N874" s="25">
        <f t="shared" ref="N874" si="731">(F874-F822)/F822</f>
        <v>0.30601092896174864</v>
      </c>
      <c r="O874" s="25">
        <f t="shared" ref="O874" si="732">(F874-L874)/L874</f>
        <v>-0.29167695727340087</v>
      </c>
    </row>
    <row r="875" spans="1:15" x14ac:dyDescent="0.25">
      <c r="A875" s="16" t="s">
        <v>24</v>
      </c>
      <c r="B875" s="29">
        <f t="shared" si="644"/>
        <v>40446</v>
      </c>
      <c r="C875" s="15">
        <v>298</v>
      </c>
      <c r="D875" s="15">
        <v>13</v>
      </c>
      <c r="E875" s="15">
        <v>21</v>
      </c>
      <c r="F875" s="21">
        <f t="shared" si="118"/>
        <v>332</v>
      </c>
      <c r="G875" s="18">
        <v>38</v>
      </c>
      <c r="H875" s="22">
        <f t="shared" ref="H875" si="733">AVERAGE(C872:C875)</f>
        <v>276</v>
      </c>
      <c r="I875" s="22">
        <f t="shared" ref="I875" si="734">AVERAGE(D872:D875)</f>
        <v>12.5</v>
      </c>
      <c r="J875" s="22">
        <f t="shared" ref="J875" si="735">AVERAGE(E872:E875)</f>
        <v>29.5</v>
      </c>
      <c r="K875" s="23">
        <f t="shared" ref="K875" si="736">SUM(H875:J875)</f>
        <v>318</v>
      </c>
      <c r="L875" s="23">
        <f t="shared" ref="L875" si="737">AVERAGE(K719+K771+K823)/3</f>
        <v>289.58333333333331</v>
      </c>
      <c r="M875" s="23">
        <f t="shared" si="377"/>
        <v>226.66666666666666</v>
      </c>
      <c r="N875" s="25">
        <f t="shared" ref="N875" si="738">(F875-F823)/F823</f>
        <v>0.77540106951871657</v>
      </c>
      <c r="O875" s="25">
        <f t="shared" ref="O875" si="739">(F875-L875)/L875</f>
        <v>0.14647482014388497</v>
      </c>
    </row>
    <row r="876" spans="1:15" x14ac:dyDescent="0.25">
      <c r="A876" s="16" t="s">
        <v>20</v>
      </c>
      <c r="B876" s="29">
        <f t="shared" si="644"/>
        <v>40453</v>
      </c>
      <c r="C876" s="15">
        <v>238</v>
      </c>
      <c r="D876" s="15">
        <v>3</v>
      </c>
      <c r="E876" s="15">
        <v>19</v>
      </c>
      <c r="F876" s="21">
        <f t="shared" si="118"/>
        <v>260</v>
      </c>
      <c r="G876" s="18">
        <v>39</v>
      </c>
      <c r="H876" s="22">
        <f t="shared" ref="H876" si="740">AVERAGE(C873:C876)</f>
        <v>257.5</v>
      </c>
      <c r="I876" s="22">
        <f t="shared" ref="I876" si="741">AVERAGE(D873:D876)</f>
        <v>10.25</v>
      </c>
      <c r="J876" s="22">
        <f t="shared" ref="J876" si="742">AVERAGE(E873:E876)</f>
        <v>23.75</v>
      </c>
      <c r="K876" s="23">
        <f t="shared" ref="K876" si="743">SUM(H876:J876)</f>
        <v>291.5</v>
      </c>
      <c r="L876" s="23">
        <f t="shared" ref="L876" si="744">AVERAGE(K720+K772+K824)/3</f>
        <v>271.41666666666669</v>
      </c>
      <c r="M876" s="23">
        <f t="shared" si="377"/>
        <v>297.33333333333331</v>
      </c>
      <c r="N876" s="25">
        <f t="shared" ref="N876" si="745">(F876-F824)/F824</f>
        <v>7.43801652892562E-2</v>
      </c>
      <c r="O876" s="25">
        <f t="shared" ref="O876" si="746">(F876-L876)/L876</f>
        <v>-4.2063248388087261E-2</v>
      </c>
    </row>
    <row r="877" spans="1:15" x14ac:dyDescent="0.25">
      <c r="A877" s="16" t="s">
        <v>20</v>
      </c>
      <c r="B877" s="29">
        <f t="shared" si="644"/>
        <v>40460</v>
      </c>
      <c r="C877" s="15">
        <v>232</v>
      </c>
      <c r="D877" s="15">
        <v>15</v>
      </c>
      <c r="E877" s="15">
        <v>114</v>
      </c>
      <c r="F877" s="21">
        <f t="shared" si="118"/>
        <v>361</v>
      </c>
      <c r="G877" s="18">
        <v>40</v>
      </c>
      <c r="H877" s="22">
        <f t="shared" ref="H877" si="747">AVERAGE(C874:C877)</f>
        <v>242</v>
      </c>
      <c r="I877" s="22">
        <f t="shared" ref="I877" si="748">AVERAGE(D874:D877)</f>
        <v>11.25</v>
      </c>
      <c r="J877" s="22">
        <f t="shared" ref="J877" si="749">AVERAGE(E874:E877)</f>
        <v>44.75</v>
      </c>
      <c r="K877" s="23">
        <f t="shared" ref="K877" si="750">SUM(H877:J877)</f>
        <v>298</v>
      </c>
      <c r="L877" s="23">
        <f t="shared" ref="L877" si="751">AVERAGE(K721+K773+K825)/3</f>
        <v>278.08333333333331</v>
      </c>
      <c r="M877" s="23">
        <f t="shared" si="377"/>
        <v>337.33333333333331</v>
      </c>
      <c r="N877" s="25">
        <f t="shared" ref="N877" si="752">(F877-F825)/F825</f>
        <v>0.14603174603174604</v>
      </c>
      <c r="O877" s="25">
        <f t="shared" ref="O877" si="753">(F877-L877)/L877</f>
        <v>0.29817201078813316</v>
      </c>
    </row>
    <row r="878" spans="1:15" x14ac:dyDescent="0.25">
      <c r="A878" s="16" t="s">
        <v>20</v>
      </c>
      <c r="B878" s="29">
        <f t="shared" si="644"/>
        <v>40467</v>
      </c>
      <c r="C878" s="15">
        <v>191</v>
      </c>
      <c r="D878" s="15">
        <v>10</v>
      </c>
      <c r="E878" s="15">
        <v>465</v>
      </c>
      <c r="F878" s="21">
        <f t="shared" si="118"/>
        <v>666</v>
      </c>
      <c r="G878" s="18">
        <v>41</v>
      </c>
      <c r="H878" s="22">
        <f t="shared" ref="H878" si="754">AVERAGE(C875:C878)</f>
        <v>239.75</v>
      </c>
      <c r="I878" s="22">
        <f t="shared" ref="I878" si="755">AVERAGE(D875:D878)</f>
        <v>10.25</v>
      </c>
      <c r="J878" s="22">
        <f t="shared" ref="J878" si="756">AVERAGE(E875:E878)</f>
        <v>154.75</v>
      </c>
      <c r="K878" s="23">
        <f t="shared" ref="K878" si="757">SUM(H878:J878)</f>
        <v>404.75</v>
      </c>
      <c r="L878" s="23">
        <f t="shared" ref="L878" si="758">AVERAGE(K722+K774+K826)/3</f>
        <v>307.58333333333331</v>
      </c>
      <c r="M878" s="23">
        <f t="shared" si="377"/>
        <v>369</v>
      </c>
      <c r="N878" s="25">
        <f t="shared" ref="N878" si="759">(F878-F826)/F826</f>
        <v>1.6428571428571428</v>
      </c>
      <c r="O878" s="25">
        <f t="shared" ref="O878" si="760">(F878-L878)/L878</f>
        <v>1.1652668653481442</v>
      </c>
    </row>
    <row r="879" spans="1:15" x14ac:dyDescent="0.25">
      <c r="A879" s="16" t="s">
        <v>20</v>
      </c>
      <c r="B879" s="29">
        <f t="shared" si="644"/>
        <v>40474</v>
      </c>
      <c r="C879" s="15">
        <v>210</v>
      </c>
      <c r="D879" s="15">
        <v>8</v>
      </c>
      <c r="E879" s="15">
        <v>314</v>
      </c>
      <c r="F879" s="21">
        <f t="shared" si="118"/>
        <v>532</v>
      </c>
      <c r="G879" s="18">
        <v>42</v>
      </c>
      <c r="H879" s="22">
        <f t="shared" ref="H879" si="761">AVERAGE(C876:C879)</f>
        <v>217.75</v>
      </c>
      <c r="I879" s="22">
        <f t="shared" ref="I879" si="762">AVERAGE(D876:D879)</f>
        <v>9</v>
      </c>
      <c r="J879" s="22">
        <f t="shared" ref="J879" si="763">AVERAGE(E876:E879)</f>
        <v>228</v>
      </c>
      <c r="K879" s="23">
        <f t="shared" ref="K879" si="764">SUM(H879:J879)</f>
        <v>454.75</v>
      </c>
      <c r="L879" s="23">
        <f t="shared" ref="L879" si="765">AVERAGE(K723+K775+K827)/3</f>
        <v>368.58333333333331</v>
      </c>
      <c r="M879" s="23">
        <f t="shared" si="377"/>
        <v>470.66666666666669</v>
      </c>
      <c r="N879" s="25">
        <f t="shared" ref="N879" si="766">(F879-F827)/F827</f>
        <v>0.48189415041782729</v>
      </c>
      <c r="O879" s="25">
        <f t="shared" ref="O879" si="767">(F879-L879)/L879</f>
        <v>0.44336423242143347</v>
      </c>
    </row>
    <row r="880" spans="1:15" x14ac:dyDescent="0.25">
      <c r="A880" s="16" t="s">
        <v>20</v>
      </c>
      <c r="B880" s="29">
        <f t="shared" si="644"/>
        <v>40481</v>
      </c>
      <c r="C880" s="15">
        <v>287</v>
      </c>
      <c r="D880" s="15">
        <v>14</v>
      </c>
      <c r="E880" s="15">
        <v>198</v>
      </c>
      <c r="F880" s="21">
        <f t="shared" si="118"/>
        <v>499</v>
      </c>
      <c r="G880" s="18">
        <v>43</v>
      </c>
      <c r="H880" s="22">
        <f t="shared" ref="H880" si="768">AVERAGE(C877:C880)</f>
        <v>230</v>
      </c>
      <c r="I880" s="22">
        <f t="shared" ref="I880" si="769">AVERAGE(D877:D880)</f>
        <v>11.75</v>
      </c>
      <c r="J880" s="22">
        <f t="shared" ref="J880" si="770">AVERAGE(E877:E880)</f>
        <v>272.75</v>
      </c>
      <c r="K880" s="23">
        <f t="shared" ref="K880" si="771">SUM(H880:J880)</f>
        <v>514.5</v>
      </c>
      <c r="L880" s="23">
        <f t="shared" ref="L880" si="772">AVERAGE(K724+K776+K828)/3</f>
        <v>406.75</v>
      </c>
      <c r="M880" s="23">
        <f t="shared" si="377"/>
        <v>450</v>
      </c>
      <c r="N880" s="25">
        <f t="shared" ref="N880" si="773">(F880-F828)/F828</f>
        <v>2.4640657084188913E-2</v>
      </c>
      <c r="O880" s="25">
        <f t="shared" ref="O880" si="774">(F880-L880)/L880</f>
        <v>0.2267977873386601</v>
      </c>
    </row>
    <row r="881" spans="1:15" x14ac:dyDescent="0.25">
      <c r="A881" s="16" t="s">
        <v>26</v>
      </c>
      <c r="B881" s="29">
        <f t="shared" si="644"/>
        <v>40488</v>
      </c>
      <c r="C881" s="15">
        <v>238</v>
      </c>
      <c r="D881" s="15">
        <v>8</v>
      </c>
      <c r="E881" s="15">
        <v>133</v>
      </c>
      <c r="F881" s="21">
        <f t="shared" si="118"/>
        <v>379</v>
      </c>
      <c r="G881" s="18">
        <v>44</v>
      </c>
      <c r="H881" s="22">
        <f t="shared" ref="H881" si="775">AVERAGE(C878:C881)</f>
        <v>231.5</v>
      </c>
      <c r="I881" s="22">
        <f t="shared" ref="I881" si="776">AVERAGE(D878:D881)</f>
        <v>10</v>
      </c>
      <c r="J881" s="22">
        <f t="shared" ref="J881" si="777">AVERAGE(E878:E881)</f>
        <v>277.5</v>
      </c>
      <c r="K881" s="23">
        <f t="shared" ref="K881" si="778">SUM(H881:J881)</f>
        <v>519</v>
      </c>
      <c r="L881" s="23">
        <f t="shared" ref="L881" si="779">AVERAGE(K725+K777+K829)/3</f>
        <v>479</v>
      </c>
      <c r="M881" s="23">
        <f t="shared" si="377"/>
        <v>626.33333333333337</v>
      </c>
      <c r="N881" s="25">
        <f t="shared" ref="N881" si="780">(F881-F829)/F829</f>
        <v>-4.7738693467336682E-2</v>
      </c>
      <c r="O881" s="25">
        <f t="shared" ref="O881" si="781">(F881-L881)/L881</f>
        <v>-0.20876826722338204</v>
      </c>
    </row>
    <row r="882" spans="1:15" x14ac:dyDescent="0.25">
      <c r="A882" s="16" t="s">
        <v>26</v>
      </c>
      <c r="B882" s="29">
        <f t="shared" si="644"/>
        <v>40495</v>
      </c>
      <c r="C882" s="15">
        <v>407</v>
      </c>
      <c r="D882" s="15">
        <v>2</v>
      </c>
      <c r="E882" s="15">
        <v>284</v>
      </c>
      <c r="F882" s="21">
        <f t="shared" si="118"/>
        <v>693</v>
      </c>
      <c r="G882" s="18">
        <v>45</v>
      </c>
      <c r="H882" s="22">
        <f t="shared" ref="H882" si="782">AVERAGE(C879:C882)</f>
        <v>285.5</v>
      </c>
      <c r="I882" s="22">
        <f t="shared" ref="I882" si="783">AVERAGE(D879:D882)</f>
        <v>8</v>
      </c>
      <c r="J882" s="22">
        <f t="shared" ref="J882" si="784">AVERAGE(E879:E882)</f>
        <v>232.25</v>
      </c>
      <c r="K882" s="23">
        <f t="shared" ref="K882" si="785">SUM(H882:J882)</f>
        <v>525.75</v>
      </c>
      <c r="L882" s="23">
        <f t="shared" ref="L882" si="786">AVERAGE(K726+K778+K830)/3</f>
        <v>562.83333333333337</v>
      </c>
      <c r="M882" s="23">
        <f t="shared" si="377"/>
        <v>704.33333333333337</v>
      </c>
      <c r="N882" s="25">
        <f t="shared" ref="N882" si="787">(F882-F830)/F830</f>
        <v>-0.10116731517509728</v>
      </c>
      <c r="O882" s="25">
        <f t="shared" ref="O882" si="788">(F882-L882)/L882</f>
        <v>0.23127035830618883</v>
      </c>
    </row>
    <row r="883" spans="1:15" x14ac:dyDescent="0.25">
      <c r="A883" s="16" t="s">
        <v>26</v>
      </c>
      <c r="B883" s="29">
        <f t="shared" si="644"/>
        <v>40502</v>
      </c>
      <c r="C883" s="15">
        <v>377</v>
      </c>
      <c r="D883" s="15">
        <v>5</v>
      </c>
      <c r="E883" s="15">
        <v>136</v>
      </c>
      <c r="F883" s="21">
        <f t="shared" si="118"/>
        <v>518</v>
      </c>
      <c r="G883" s="18">
        <v>46</v>
      </c>
      <c r="H883" s="22">
        <f t="shared" ref="H883" si="789">AVERAGE(C880:C883)</f>
        <v>327.25</v>
      </c>
      <c r="I883" s="22">
        <f t="shared" ref="I883" si="790">AVERAGE(D880:D883)</f>
        <v>7.25</v>
      </c>
      <c r="J883" s="22">
        <f t="shared" ref="J883" si="791">AVERAGE(E880:E883)</f>
        <v>187.75</v>
      </c>
      <c r="K883" s="23">
        <f t="shared" ref="K883" si="792">SUM(H883:J883)</f>
        <v>522.25</v>
      </c>
      <c r="L883" s="23">
        <f t="shared" ref="L883" si="793">AVERAGE(K727+K779+K831)/3</f>
        <v>607.25</v>
      </c>
      <c r="M883" s="23">
        <f t="shared" si="377"/>
        <v>648.33333333333337</v>
      </c>
      <c r="N883" s="25">
        <f t="shared" ref="N883" si="794">(F883-F831)/F831</f>
        <v>-0.15497553017944535</v>
      </c>
      <c r="O883" s="25">
        <f t="shared" ref="O883" si="795">(F883-L883)/L883</f>
        <v>-0.14697406340057637</v>
      </c>
    </row>
    <row r="884" spans="1:15" x14ac:dyDescent="0.25">
      <c r="A884" s="16" t="s">
        <v>26</v>
      </c>
      <c r="B884" s="29">
        <f t="shared" si="644"/>
        <v>40509</v>
      </c>
      <c r="C884" s="15">
        <v>379</v>
      </c>
      <c r="D884" s="15">
        <v>9</v>
      </c>
      <c r="E884" s="15">
        <v>188</v>
      </c>
      <c r="F884" s="21">
        <f t="shared" si="118"/>
        <v>576</v>
      </c>
      <c r="G884" s="18">
        <v>47</v>
      </c>
      <c r="H884" s="22">
        <f t="shared" ref="H884" si="796">AVERAGE(C881:C884)</f>
        <v>350.25</v>
      </c>
      <c r="I884" s="22">
        <f t="shared" ref="I884" si="797">AVERAGE(D881:D884)</f>
        <v>6</v>
      </c>
      <c r="J884" s="22">
        <f t="shared" ref="J884" si="798">AVERAGE(E881:E884)</f>
        <v>185.25</v>
      </c>
      <c r="K884" s="23">
        <f t="shared" ref="K884" si="799">SUM(H884:J884)</f>
        <v>541.5</v>
      </c>
      <c r="L884" s="23">
        <f t="shared" ref="L884" si="800">AVERAGE(K728+K780+K832)/3</f>
        <v>664.84158333333335</v>
      </c>
      <c r="M884" s="23">
        <f t="shared" si="377"/>
        <v>680.36633333333327</v>
      </c>
      <c r="N884" s="25">
        <f t="shared" ref="N884" si="801">(F884-F832)/F832</f>
        <v>-0.12990936555891239</v>
      </c>
      <c r="O884" s="25">
        <f t="shared" ref="O884" si="802">(F884-L884)/L884</f>
        <v>-0.13362819889800817</v>
      </c>
    </row>
    <row r="885" spans="1:15" x14ac:dyDescent="0.25">
      <c r="A885" s="16" t="s">
        <v>15</v>
      </c>
      <c r="B885" s="29">
        <f t="shared" si="644"/>
        <v>40516</v>
      </c>
      <c r="C885" s="15">
        <v>486</v>
      </c>
      <c r="D885" s="15">
        <v>5</v>
      </c>
      <c r="E885" s="15">
        <v>439</v>
      </c>
      <c r="F885" s="21">
        <f t="shared" si="118"/>
        <v>930</v>
      </c>
      <c r="G885" s="18">
        <v>48</v>
      </c>
      <c r="H885" s="22">
        <f t="shared" ref="H885" si="803">AVERAGE(C882:C885)</f>
        <v>412.25</v>
      </c>
      <c r="I885" s="22">
        <f t="shared" ref="I885" si="804">AVERAGE(D882:D885)</f>
        <v>5.25</v>
      </c>
      <c r="J885" s="22">
        <f t="shared" ref="J885" si="805">AVERAGE(E882:E885)</f>
        <v>261.75</v>
      </c>
      <c r="K885" s="23">
        <f t="shared" ref="K885" si="806">SUM(H885:J885)</f>
        <v>679.25</v>
      </c>
      <c r="L885" s="23">
        <f t="shared" ref="L885" si="807">AVERAGE(K729+K781+K833)/3</f>
        <v>680.25824999999998</v>
      </c>
      <c r="M885" s="23">
        <f t="shared" si="377"/>
        <v>688</v>
      </c>
      <c r="N885" s="25">
        <f t="shared" ref="N885" si="808">(F885-F833)/F833</f>
        <v>0.22207621550591328</v>
      </c>
      <c r="O885" s="25">
        <f t="shared" ref="O885" si="809">(F885-L885)/L885</f>
        <v>0.36712785181216107</v>
      </c>
    </row>
    <row r="886" spans="1:15" x14ac:dyDescent="0.25">
      <c r="A886" s="16" t="s">
        <v>15</v>
      </c>
      <c r="B886" s="29">
        <f t="shared" si="644"/>
        <v>40523</v>
      </c>
      <c r="C886" s="15">
        <v>274</v>
      </c>
      <c r="D886" s="15">
        <v>22</v>
      </c>
      <c r="E886" s="15">
        <v>286</v>
      </c>
      <c r="F886" s="21">
        <f t="shared" si="118"/>
        <v>582</v>
      </c>
      <c r="G886" s="18">
        <v>49</v>
      </c>
      <c r="H886" s="22">
        <f t="shared" ref="H886" si="810">AVERAGE(C883:C886)</f>
        <v>379</v>
      </c>
      <c r="I886" s="22">
        <f t="shared" ref="I886" si="811">AVERAGE(D883:D886)</f>
        <v>10.25</v>
      </c>
      <c r="J886" s="22">
        <f t="shared" ref="J886" si="812">AVERAGE(E883:E886)</f>
        <v>262.25</v>
      </c>
      <c r="K886" s="23">
        <f t="shared" ref="K886" si="813">SUM(H886:J886)</f>
        <v>651.5</v>
      </c>
      <c r="L886" s="23">
        <f t="shared" ref="L886" si="814">AVERAGE(K730+K782+K834)/3</f>
        <v>656.92491666666672</v>
      </c>
      <c r="M886" s="23">
        <f t="shared" ref="M886:M949" si="815">AVERAGE(F730+F782+F834)/3</f>
        <v>611</v>
      </c>
      <c r="N886" s="25">
        <f t="shared" ref="N886" si="816">(F886-F834)/F834</f>
        <v>-0.19166666666666668</v>
      </c>
      <c r="O886" s="25">
        <f t="shared" ref="O886" si="817">(F886-L886)/L886</f>
        <v>-0.11405400338115766</v>
      </c>
    </row>
    <row r="887" spans="1:15" x14ac:dyDescent="0.25">
      <c r="A887" s="16" t="s">
        <v>15</v>
      </c>
      <c r="B887" s="29">
        <f t="shared" si="644"/>
        <v>40530</v>
      </c>
      <c r="C887" s="15">
        <v>278</v>
      </c>
      <c r="D887" s="15">
        <v>0</v>
      </c>
      <c r="E887" s="15">
        <v>157</v>
      </c>
      <c r="F887" s="21">
        <f t="shared" si="118"/>
        <v>435</v>
      </c>
      <c r="G887" s="18">
        <v>50</v>
      </c>
      <c r="H887" s="22">
        <f t="shared" ref="H887" si="818">AVERAGE(C884:C887)</f>
        <v>354.25</v>
      </c>
      <c r="I887" s="22">
        <f t="shared" ref="I887" si="819">AVERAGE(D884:D887)</f>
        <v>9</v>
      </c>
      <c r="J887" s="22">
        <f t="shared" ref="J887" si="820">AVERAGE(E884:E887)</f>
        <v>267.5</v>
      </c>
      <c r="K887" s="23">
        <f t="shared" ref="K887" si="821">SUM(H887:J887)</f>
        <v>630.75</v>
      </c>
      <c r="L887" s="23">
        <f t="shared" ref="L887" si="822">AVERAGE(K731+K783+K835)/3</f>
        <v>594.42491666666672</v>
      </c>
      <c r="M887" s="23">
        <f t="shared" si="815"/>
        <v>398.33333333333331</v>
      </c>
      <c r="N887" s="25">
        <f t="shared" ref="N887" si="823">(F887-F835)/F835</f>
        <v>-0.25385934819897082</v>
      </c>
      <c r="O887" s="25">
        <f t="shared" ref="O887" si="824">(F887-L887)/L887</f>
        <v>-0.26820025910196965</v>
      </c>
    </row>
    <row r="888" spans="1:15" x14ac:dyDescent="0.25">
      <c r="A888" s="16" t="s">
        <v>15</v>
      </c>
      <c r="B888" s="29">
        <f t="shared" si="644"/>
        <v>40537</v>
      </c>
      <c r="C888" s="15">
        <v>345</v>
      </c>
      <c r="D888" s="15">
        <v>8</v>
      </c>
      <c r="E888" s="15">
        <v>198</v>
      </c>
      <c r="F888" s="21">
        <f t="shared" si="118"/>
        <v>551</v>
      </c>
      <c r="G888" s="18">
        <v>51</v>
      </c>
      <c r="H888" s="22">
        <f t="shared" ref="H888" si="825">AVERAGE(C885:C888)</f>
        <v>345.75</v>
      </c>
      <c r="I888" s="22">
        <f t="shared" ref="I888" si="826">AVERAGE(D885:D888)</f>
        <v>8.75</v>
      </c>
      <c r="J888" s="22">
        <f t="shared" ref="J888" si="827">AVERAGE(E885:E888)</f>
        <v>270</v>
      </c>
      <c r="K888" s="23">
        <f t="shared" ref="K888" si="828">SUM(H888:J888)</f>
        <v>624.5</v>
      </c>
      <c r="L888" s="23">
        <f t="shared" ref="L888" si="829">AVERAGE(K732+K784+K836)/3</f>
        <v>511.5</v>
      </c>
      <c r="M888" s="23">
        <f t="shared" si="815"/>
        <v>348.66666666666669</v>
      </c>
      <c r="N888" s="25">
        <f t="shared" ref="N888" si="830">(F888-F836)/F836</f>
        <v>0.39847715736040606</v>
      </c>
      <c r="O888" s="25">
        <f t="shared" ref="O888" si="831">(F888-L888)/L888</f>
        <v>7.7223851417399805E-2</v>
      </c>
    </row>
    <row r="889" spans="1:15" x14ac:dyDescent="0.25">
      <c r="A889" s="16" t="s">
        <v>15</v>
      </c>
      <c r="B889" s="29">
        <f t="shared" si="644"/>
        <v>40544</v>
      </c>
      <c r="C889" s="15">
        <v>285</v>
      </c>
      <c r="D889" s="15">
        <v>3</v>
      </c>
      <c r="E889" s="15">
        <v>67</v>
      </c>
      <c r="F889" s="21">
        <f t="shared" si="118"/>
        <v>355</v>
      </c>
      <c r="G889" s="18">
        <v>52</v>
      </c>
      <c r="H889" s="22">
        <f t="shared" ref="H889" si="832">AVERAGE(C886:C889)</f>
        <v>295.5</v>
      </c>
      <c r="I889" s="22">
        <f t="shared" ref="I889" si="833">AVERAGE(D886:D889)</f>
        <v>8.25</v>
      </c>
      <c r="J889" s="22">
        <f t="shared" ref="J889" si="834">AVERAGE(E886:E889)</f>
        <v>177</v>
      </c>
      <c r="K889" s="23">
        <f t="shared" ref="K889" si="835">SUM(H889:J889)</f>
        <v>480.75</v>
      </c>
      <c r="L889" s="23">
        <f t="shared" ref="L889" si="836">AVERAGE(K733+K785+K837)/3</f>
        <v>405</v>
      </c>
      <c r="M889" s="23">
        <f t="shared" si="815"/>
        <v>262</v>
      </c>
      <c r="N889" s="25">
        <f t="shared" ref="N889" si="837">(F889-F837)/F837</f>
        <v>1.191358024691358</v>
      </c>
      <c r="O889" s="25">
        <f t="shared" ref="O889" si="838">(F889-L889)/L889</f>
        <v>-0.12345679012345678</v>
      </c>
    </row>
    <row r="890" spans="1:15" x14ac:dyDescent="0.25">
      <c r="A890" s="16" t="s">
        <v>16</v>
      </c>
      <c r="B890" s="29">
        <f t="shared" si="644"/>
        <v>40551</v>
      </c>
      <c r="C890" s="15">
        <v>180</v>
      </c>
      <c r="D890" s="15">
        <v>5</v>
      </c>
      <c r="E890" s="15">
        <v>137</v>
      </c>
      <c r="F890" s="21">
        <f t="shared" si="118"/>
        <v>322</v>
      </c>
      <c r="G890" s="18">
        <v>1</v>
      </c>
      <c r="H890" s="22">
        <f t="shared" ref="H890" si="839">AVERAGE(C887:C890)</f>
        <v>272</v>
      </c>
      <c r="I890" s="22">
        <f t="shared" ref="I890" si="840">AVERAGE(D887:D890)</f>
        <v>4</v>
      </c>
      <c r="J890" s="22">
        <f t="shared" ref="J890" si="841">AVERAGE(E887:E890)</f>
        <v>139.75</v>
      </c>
      <c r="K890" s="23">
        <f t="shared" ref="K890" si="842">SUM(H890:J890)</f>
        <v>415.75</v>
      </c>
      <c r="L890" s="23">
        <f t="shared" ref="L890" si="843">AVERAGE(K734+K786+K838)/3</f>
        <v>296.08333333333331</v>
      </c>
      <c r="M890" s="23">
        <f t="shared" si="815"/>
        <v>175.33333333333334</v>
      </c>
      <c r="N890" s="25">
        <f t="shared" ref="N890:N891" si="844">(F890-F838)/F838</f>
        <v>1.4029850746268657</v>
      </c>
      <c r="O890" s="25">
        <f t="shared" ref="O890:O891" si="845">(F890-L890)/L890</f>
        <v>8.7531663383056638E-2</v>
      </c>
    </row>
    <row r="891" spans="1:15" x14ac:dyDescent="0.25">
      <c r="A891" s="16" t="s">
        <v>16</v>
      </c>
      <c r="B891" s="29">
        <f t="shared" si="644"/>
        <v>40558</v>
      </c>
      <c r="C891" s="15">
        <v>123</v>
      </c>
      <c r="D891" s="15">
        <v>3</v>
      </c>
      <c r="E891" s="15">
        <v>81</v>
      </c>
      <c r="F891" s="21">
        <f t="shared" si="118"/>
        <v>207</v>
      </c>
      <c r="G891" s="18">
        <v>2</v>
      </c>
      <c r="H891" s="22">
        <f t="shared" ref="H891" si="846">AVERAGE(C888:C891)</f>
        <v>233.25</v>
      </c>
      <c r="I891" s="22">
        <f t="shared" ref="I891" si="847">AVERAGE(D888:D891)</f>
        <v>4.75</v>
      </c>
      <c r="J891" s="22">
        <f t="shared" ref="J891" si="848">AVERAGE(E888:E891)</f>
        <v>120.75</v>
      </c>
      <c r="K891" s="23">
        <f t="shared" ref="K891" si="849">SUM(H891:J891)</f>
        <v>358.75</v>
      </c>
      <c r="L891" s="23">
        <f t="shared" si="684"/>
        <v>255.27066666666667</v>
      </c>
      <c r="M891" s="23">
        <f t="shared" si="815"/>
        <v>235.08266666666668</v>
      </c>
      <c r="N891" s="25">
        <f t="shared" si="844"/>
        <v>0.61406025824964139</v>
      </c>
      <c r="O891" s="25">
        <f t="shared" si="845"/>
        <v>-0.18909601834392775</v>
      </c>
    </row>
    <row r="892" spans="1:15" x14ac:dyDescent="0.25">
      <c r="A892" s="16" t="s">
        <v>16</v>
      </c>
      <c r="B892" s="29">
        <f t="shared" si="644"/>
        <v>40565</v>
      </c>
      <c r="C892" s="15">
        <v>148</v>
      </c>
      <c r="D892" s="15">
        <v>3</v>
      </c>
      <c r="E892" s="15">
        <v>97</v>
      </c>
      <c r="F892" s="21">
        <f t="shared" si="118"/>
        <v>248</v>
      </c>
      <c r="G892" s="18">
        <v>3</v>
      </c>
      <c r="H892" s="22">
        <f t="shared" ref="H892" si="850">AVERAGE(C889:C892)</f>
        <v>184</v>
      </c>
      <c r="I892" s="22">
        <f t="shared" ref="I892" si="851">AVERAGE(D889:D892)</f>
        <v>3.5</v>
      </c>
      <c r="J892" s="22">
        <f t="shared" ref="J892" si="852">AVERAGE(E889:E892)</f>
        <v>95.5</v>
      </c>
      <c r="K892" s="23">
        <f t="shared" ref="K892" si="853">SUM(H892:J892)</f>
        <v>283</v>
      </c>
      <c r="L892" s="23">
        <f t="shared" ref="L892" si="854">AVERAGE(K736+K788+K840)/3</f>
        <v>241.77066666666667</v>
      </c>
      <c r="M892" s="23">
        <f t="shared" si="815"/>
        <v>294.66666666666669</v>
      </c>
      <c r="N892" s="25">
        <f t="shared" ref="N892" si="855">(F892-F840)/F840</f>
        <v>-0.20512820512820512</v>
      </c>
      <c r="O892" s="25">
        <f t="shared" ref="O892" si="856">(F892-L892)/L892</f>
        <v>2.5765463690108514E-2</v>
      </c>
    </row>
    <row r="893" spans="1:15" x14ac:dyDescent="0.25">
      <c r="A893" s="16" t="s">
        <v>16</v>
      </c>
      <c r="B893" s="29">
        <f t="shared" si="644"/>
        <v>40572</v>
      </c>
      <c r="C893" s="15">
        <v>194</v>
      </c>
      <c r="D893" s="15">
        <v>3</v>
      </c>
      <c r="E893" s="15">
        <v>80</v>
      </c>
      <c r="F893" s="21">
        <f t="shared" si="118"/>
        <v>277</v>
      </c>
      <c r="G893" s="18">
        <v>4</v>
      </c>
      <c r="H893" s="22">
        <f t="shared" ref="H893" si="857">AVERAGE(C890:C893)</f>
        <v>161.25</v>
      </c>
      <c r="I893" s="22">
        <f t="shared" ref="I893" si="858">AVERAGE(D890:D893)</f>
        <v>3.5</v>
      </c>
      <c r="J893" s="22">
        <f t="shared" ref="J893" si="859">AVERAGE(E890:E893)</f>
        <v>98.75</v>
      </c>
      <c r="K893" s="23">
        <f t="shared" ref="K893" si="860">SUM(H893:J893)</f>
        <v>263.5</v>
      </c>
      <c r="L893" s="23">
        <f t="shared" ref="L893" si="861">AVERAGE(K737+K789+K841)/3</f>
        <v>231.02066666666667</v>
      </c>
      <c r="M893" s="23">
        <f t="shared" si="815"/>
        <v>219</v>
      </c>
      <c r="N893" s="25">
        <f t="shared" ref="N893" si="862">(F893-F841)/F841</f>
        <v>-0.10064935064935066</v>
      </c>
      <c r="O893" s="25">
        <f t="shared" ref="O893" si="863">(F893-L893)/L893</f>
        <v>0.19902692688388626</v>
      </c>
    </row>
    <row r="894" spans="1:15" x14ac:dyDescent="0.25">
      <c r="A894" s="16" t="s">
        <v>23</v>
      </c>
      <c r="B894" s="29">
        <f t="shared" si="644"/>
        <v>40579</v>
      </c>
      <c r="C894" s="15">
        <v>95</v>
      </c>
      <c r="D894" s="15">
        <v>0</v>
      </c>
      <c r="E894" s="15">
        <v>61</v>
      </c>
      <c r="F894" s="21">
        <f t="shared" si="118"/>
        <v>156</v>
      </c>
      <c r="G894" s="18">
        <v>5</v>
      </c>
      <c r="H894" s="22">
        <f t="shared" ref="H894" si="864">AVERAGE(C891:C894)</f>
        <v>140</v>
      </c>
      <c r="I894" s="22">
        <f t="shared" ref="I894" si="865">AVERAGE(D891:D894)</f>
        <v>2.25</v>
      </c>
      <c r="J894" s="22">
        <f t="shared" ref="J894" si="866">AVERAGE(E891:E894)</f>
        <v>79.75</v>
      </c>
      <c r="K894" s="23">
        <f t="shared" ref="K894" si="867">SUM(H894:J894)</f>
        <v>222</v>
      </c>
      <c r="L894" s="23">
        <f t="shared" ref="L894" si="868">AVERAGE(K738+K790+K842)/3</f>
        <v>252.52066666666667</v>
      </c>
      <c r="M894" s="23">
        <f t="shared" si="815"/>
        <v>261.33333333333331</v>
      </c>
      <c r="N894" s="25">
        <f t="shared" ref="N894" si="869">(F894-F842)/F842</f>
        <v>-0.48344370860927155</v>
      </c>
      <c r="O894" s="25">
        <f t="shared" ref="O894" si="870">(F894-L894)/L894</f>
        <v>-0.38222878127466797</v>
      </c>
    </row>
    <row r="895" spans="1:15" x14ac:dyDescent="0.25">
      <c r="A895" s="16" t="s">
        <v>23</v>
      </c>
      <c r="B895" s="29">
        <f t="shared" si="644"/>
        <v>40586</v>
      </c>
      <c r="C895" s="15">
        <v>72</v>
      </c>
      <c r="D895" s="15">
        <v>0</v>
      </c>
      <c r="E895" s="15">
        <v>94</v>
      </c>
      <c r="F895" s="21">
        <f t="shared" si="118"/>
        <v>166</v>
      </c>
      <c r="G895" s="18">
        <v>6</v>
      </c>
      <c r="H895" s="22">
        <f t="shared" ref="H895" si="871">AVERAGE(C892:C895)</f>
        <v>127.25</v>
      </c>
      <c r="I895" s="22">
        <f t="shared" ref="I895" si="872">AVERAGE(D892:D895)</f>
        <v>1.5</v>
      </c>
      <c r="J895" s="22">
        <f t="shared" ref="J895" si="873">AVERAGE(E892:E895)</f>
        <v>83</v>
      </c>
      <c r="K895" s="23">
        <f t="shared" ref="K895" si="874">SUM(H895:J895)</f>
        <v>211.75</v>
      </c>
      <c r="L895" s="23">
        <f t="shared" ref="L895" si="875">AVERAGE(K739+K791+K843)/3</f>
        <v>255.83333333333334</v>
      </c>
      <c r="M895" s="23">
        <f t="shared" si="815"/>
        <v>248.33333333333334</v>
      </c>
      <c r="N895" s="25">
        <f t="shared" ref="N895" si="876">(F895-F843)/F843</f>
        <v>-0.51319648093841641</v>
      </c>
      <c r="O895" s="25">
        <f t="shared" ref="O895" si="877">(F895-L895)/L895</f>
        <v>-0.35114006514657981</v>
      </c>
    </row>
    <row r="896" spans="1:15" x14ac:dyDescent="0.25">
      <c r="A896" s="16" t="s">
        <v>23</v>
      </c>
      <c r="B896" s="29">
        <f t="shared" si="644"/>
        <v>40593</v>
      </c>
      <c r="C896" s="15">
        <v>188</v>
      </c>
      <c r="D896" s="15">
        <v>6</v>
      </c>
      <c r="E896" s="15">
        <v>137</v>
      </c>
      <c r="F896" s="21">
        <f t="shared" si="118"/>
        <v>331</v>
      </c>
      <c r="G896" s="18">
        <v>7</v>
      </c>
      <c r="H896" s="22">
        <f t="shared" ref="H896" si="878">AVERAGE(C893:C896)</f>
        <v>137.25</v>
      </c>
      <c r="I896" s="22">
        <f t="shared" ref="I896" si="879">AVERAGE(D893:D896)</f>
        <v>2.25</v>
      </c>
      <c r="J896" s="22">
        <f t="shared" ref="J896" si="880">AVERAGE(E893:E896)</f>
        <v>93</v>
      </c>
      <c r="K896" s="23">
        <f t="shared" ref="K896" si="881">SUM(H896:J896)</f>
        <v>232.5</v>
      </c>
      <c r="L896" s="23">
        <f t="shared" ref="L896" si="882">AVERAGE(K740+K792+K844)/3</f>
        <v>256.58333333333331</v>
      </c>
      <c r="M896" s="23">
        <f t="shared" si="815"/>
        <v>297.66666666666669</v>
      </c>
      <c r="N896" s="25">
        <f t="shared" ref="N896" si="883">(F896-F844)/F844</f>
        <v>0.32400000000000001</v>
      </c>
      <c r="O896" s="25">
        <f t="shared" ref="O896" si="884">(F896-L896)/L896</f>
        <v>0.29002923026956812</v>
      </c>
    </row>
    <row r="897" spans="1:15" x14ac:dyDescent="0.25">
      <c r="A897" s="16" t="s">
        <v>23</v>
      </c>
      <c r="B897" s="29">
        <f t="shared" si="644"/>
        <v>40600</v>
      </c>
      <c r="C897" s="15">
        <v>213</v>
      </c>
      <c r="D897" s="15">
        <v>8</v>
      </c>
      <c r="E897" s="15">
        <v>114</v>
      </c>
      <c r="F897" s="21">
        <f t="shared" si="118"/>
        <v>335</v>
      </c>
      <c r="G897" s="18">
        <v>8</v>
      </c>
      <c r="H897" s="22">
        <f t="shared" ref="H897" si="885">AVERAGE(C894:C897)</f>
        <v>142</v>
      </c>
      <c r="I897" s="22">
        <f t="shared" ref="I897" si="886">AVERAGE(D894:D897)</f>
        <v>3.5</v>
      </c>
      <c r="J897" s="22">
        <f t="shared" ref="J897" si="887">AVERAGE(E894:E897)</f>
        <v>101.5</v>
      </c>
      <c r="K897" s="23">
        <f t="shared" ref="K897" si="888">SUM(H897:J897)</f>
        <v>247</v>
      </c>
      <c r="L897" s="23">
        <f t="shared" ref="L897" si="889">AVERAGE(K741+K793+K845)/3</f>
        <v>299</v>
      </c>
      <c r="M897" s="23">
        <f t="shared" si="815"/>
        <v>388.66666666666669</v>
      </c>
      <c r="N897" s="25">
        <f t="shared" ref="N897" si="890">(F897-F845)/F845</f>
        <v>-0.10427807486631016</v>
      </c>
      <c r="O897" s="25">
        <f t="shared" ref="O897" si="891">(F897-L897)/L897</f>
        <v>0.12040133779264214</v>
      </c>
    </row>
    <row r="898" spans="1:15" x14ac:dyDescent="0.25">
      <c r="A898" s="16" t="s">
        <v>27</v>
      </c>
      <c r="B898" s="29">
        <f t="shared" si="644"/>
        <v>40607</v>
      </c>
      <c r="C898" s="15">
        <v>151</v>
      </c>
      <c r="D898" s="15">
        <v>13</v>
      </c>
      <c r="E898" s="15">
        <v>58</v>
      </c>
      <c r="F898" s="21">
        <f t="shared" si="118"/>
        <v>222</v>
      </c>
      <c r="G898" s="18">
        <v>9</v>
      </c>
      <c r="H898" s="22">
        <f t="shared" ref="H898" si="892">AVERAGE(C895:C898)</f>
        <v>156</v>
      </c>
      <c r="I898" s="22">
        <f t="shared" ref="I898" si="893">AVERAGE(D895:D898)</f>
        <v>6.75</v>
      </c>
      <c r="J898" s="22">
        <f t="shared" ref="J898" si="894">AVERAGE(E895:E898)</f>
        <v>100.75</v>
      </c>
      <c r="K898" s="23">
        <f t="shared" ref="K898" si="895">SUM(H898:J898)</f>
        <v>263.5</v>
      </c>
      <c r="L898" s="23">
        <f t="shared" ref="L898" si="896">AVERAGE(K742+K794+K846)/3</f>
        <v>348.08333333333331</v>
      </c>
      <c r="M898" s="23">
        <f t="shared" si="815"/>
        <v>457.66666666666669</v>
      </c>
      <c r="N898" s="25">
        <f t="shared" ref="N898" si="897">(F898-F846)/F846</f>
        <v>-0.57389635316698662</v>
      </c>
      <c r="O898" s="25">
        <f t="shared" ref="O898" si="898">(F898-L898)/L898</f>
        <v>-0.36222169020828343</v>
      </c>
    </row>
    <row r="899" spans="1:15" x14ac:dyDescent="0.25">
      <c r="A899" s="16" t="s">
        <v>27</v>
      </c>
      <c r="B899" s="29">
        <f t="shared" si="644"/>
        <v>40614</v>
      </c>
      <c r="C899" s="15">
        <v>263</v>
      </c>
      <c r="D899" s="15">
        <v>8</v>
      </c>
      <c r="E899" s="15">
        <v>77</v>
      </c>
      <c r="F899" s="21">
        <f t="shared" si="118"/>
        <v>348</v>
      </c>
      <c r="G899" s="18">
        <v>10</v>
      </c>
      <c r="H899" s="22">
        <f t="shared" ref="H899" si="899">AVERAGE(C896:C899)</f>
        <v>203.75</v>
      </c>
      <c r="I899" s="22">
        <f t="shared" ref="I899" si="900">AVERAGE(D896:D899)</f>
        <v>8.75</v>
      </c>
      <c r="J899" s="22">
        <f t="shared" ref="J899" si="901">AVERAGE(E896:E899)</f>
        <v>96.5</v>
      </c>
      <c r="K899" s="23">
        <f t="shared" ref="K899" si="902">SUM(H899:J899)</f>
        <v>309</v>
      </c>
      <c r="L899" s="23">
        <f t="shared" ref="L899" si="903">AVERAGE(K743+K795+K847)/3</f>
        <v>395.08333333333331</v>
      </c>
      <c r="M899" s="23">
        <f t="shared" si="815"/>
        <v>436.33333333333331</v>
      </c>
      <c r="N899" s="25">
        <f t="shared" ref="N899" si="904">(F899-F847)/F847</f>
        <v>-0.24838012958963282</v>
      </c>
      <c r="O899" s="25">
        <f t="shared" ref="O899" si="905">(F899-L899)/L899</f>
        <v>-0.1191731702172537</v>
      </c>
    </row>
    <row r="900" spans="1:15" x14ac:dyDescent="0.25">
      <c r="A900" s="16" t="s">
        <v>27</v>
      </c>
      <c r="B900" s="29">
        <f t="shared" si="644"/>
        <v>40621</v>
      </c>
      <c r="C900" s="15">
        <v>301</v>
      </c>
      <c r="D900" s="15">
        <v>12</v>
      </c>
      <c r="E900" s="15">
        <v>117</v>
      </c>
      <c r="F900" s="21">
        <f t="shared" si="118"/>
        <v>430</v>
      </c>
      <c r="G900" s="18">
        <v>11</v>
      </c>
      <c r="H900" s="22">
        <f t="shared" ref="H900" si="906">AVERAGE(C897:C900)</f>
        <v>232</v>
      </c>
      <c r="I900" s="22">
        <f t="shared" ref="I900" si="907">AVERAGE(D897:D900)</f>
        <v>10.25</v>
      </c>
      <c r="J900" s="22">
        <f t="shared" ref="J900" si="908">AVERAGE(E897:E900)</f>
        <v>91.5</v>
      </c>
      <c r="K900" s="23">
        <f t="shared" ref="K900" si="909">SUM(H900:J900)</f>
        <v>333.75</v>
      </c>
      <c r="L900" s="23">
        <f t="shared" ref="L900" si="910">AVERAGE(K744+K796+K848)/3</f>
        <v>398.5</v>
      </c>
      <c r="M900" s="23">
        <f t="shared" si="815"/>
        <v>311.33333333333331</v>
      </c>
      <c r="N900" s="25">
        <f t="shared" ref="N900" si="911">(F900-F848)/F848</f>
        <v>1.263157894736842</v>
      </c>
      <c r="O900" s="25">
        <f t="shared" ref="O900" si="912">(F900-L900)/L900</f>
        <v>7.9046424090338768E-2</v>
      </c>
    </row>
    <row r="901" spans="1:15" x14ac:dyDescent="0.25">
      <c r="A901" s="16" t="s">
        <v>27</v>
      </c>
      <c r="B901" s="29">
        <f t="shared" si="644"/>
        <v>40628</v>
      </c>
      <c r="C901" s="15">
        <v>334</v>
      </c>
      <c r="D901" s="15">
        <v>3</v>
      </c>
      <c r="E901" s="15">
        <v>113</v>
      </c>
      <c r="F901" s="21">
        <f t="shared" si="118"/>
        <v>450</v>
      </c>
      <c r="G901" s="18">
        <v>12</v>
      </c>
      <c r="H901" s="22">
        <f t="shared" ref="H901" si="913">AVERAGE(C898:C901)</f>
        <v>262.25</v>
      </c>
      <c r="I901" s="22">
        <f t="shared" ref="I901" si="914">AVERAGE(D898:D901)</f>
        <v>9</v>
      </c>
      <c r="J901" s="22">
        <f t="shared" ref="J901" si="915">AVERAGE(E898:E901)</f>
        <v>91.25</v>
      </c>
      <c r="K901" s="23">
        <f t="shared" ref="K901" si="916">SUM(H901:J901)</f>
        <v>362.5</v>
      </c>
      <c r="L901" s="23">
        <f t="shared" ref="L901" si="917">AVERAGE(K745+K797+K849)/3</f>
        <v>389.66666666666669</v>
      </c>
      <c r="M901" s="23">
        <f t="shared" si="815"/>
        <v>353.33333333333331</v>
      </c>
      <c r="N901" s="25">
        <f t="shared" ref="N901" si="918">(F901-F849)/F849</f>
        <v>0.92307692307692313</v>
      </c>
      <c r="O901" s="25">
        <f t="shared" ref="O901" si="919">(F901-L901)/L901</f>
        <v>0.15483319076133442</v>
      </c>
    </row>
    <row r="902" spans="1:15" x14ac:dyDescent="0.25">
      <c r="A902" s="16" t="s">
        <v>27</v>
      </c>
      <c r="B902" s="29">
        <f t="shared" si="644"/>
        <v>40635</v>
      </c>
      <c r="C902" s="15">
        <v>326</v>
      </c>
      <c r="D902" s="15">
        <v>6</v>
      </c>
      <c r="E902" s="15">
        <v>98</v>
      </c>
      <c r="F902" s="21">
        <f t="shared" si="118"/>
        <v>430</v>
      </c>
      <c r="G902" s="18">
        <v>13</v>
      </c>
      <c r="H902" s="22">
        <f t="shared" ref="H902" si="920">AVERAGE(C899:C902)</f>
        <v>306</v>
      </c>
      <c r="I902" s="22">
        <f t="shared" ref="I902" si="921">AVERAGE(D899:D902)</f>
        <v>7.25</v>
      </c>
      <c r="J902" s="22">
        <f t="shared" ref="J902" si="922">AVERAGE(E899:E902)</f>
        <v>101.25</v>
      </c>
      <c r="K902" s="23">
        <f t="shared" ref="K902" si="923">SUM(H902:J902)</f>
        <v>414.5</v>
      </c>
      <c r="L902" s="23">
        <f t="shared" ref="L902" si="924">AVERAGE(K746+K798+K850)/3</f>
        <v>393.58333333333331</v>
      </c>
      <c r="M902" s="23">
        <f t="shared" si="815"/>
        <v>473.33333333333331</v>
      </c>
      <c r="N902" s="25">
        <f t="shared" ref="N902" si="925">(F902-F850)/F850</f>
        <v>0.28742514970059879</v>
      </c>
      <c r="O902" s="25">
        <f t="shared" ref="O902" si="926">(F902-L902)/L902</f>
        <v>9.2525936904509901E-2</v>
      </c>
    </row>
    <row r="903" spans="1:15" x14ac:dyDescent="0.25">
      <c r="A903" s="16" t="s">
        <v>14</v>
      </c>
      <c r="B903" s="29">
        <f t="shared" si="644"/>
        <v>40642</v>
      </c>
      <c r="C903" s="15">
        <v>267</v>
      </c>
      <c r="D903" s="15">
        <v>17</v>
      </c>
      <c r="E903" s="15">
        <v>47</v>
      </c>
      <c r="F903" s="21">
        <f t="shared" si="118"/>
        <v>331</v>
      </c>
      <c r="G903" s="18">
        <v>14</v>
      </c>
      <c r="H903" s="22">
        <f t="shared" ref="H903" si="927">AVERAGE(C900:C903)</f>
        <v>307</v>
      </c>
      <c r="I903" s="22">
        <f t="shared" ref="I903" si="928">AVERAGE(D900:D903)</f>
        <v>9.5</v>
      </c>
      <c r="J903" s="22">
        <f t="shared" ref="J903" si="929">AVERAGE(E900:E903)</f>
        <v>93.75</v>
      </c>
      <c r="K903" s="23">
        <f t="shared" ref="K903" si="930">SUM(H903:J903)</f>
        <v>410.25</v>
      </c>
      <c r="L903" s="23">
        <f t="shared" ref="L903" si="931">AVERAGE(K747+K799+K851)/3</f>
        <v>382.16666666666669</v>
      </c>
      <c r="M903" s="23">
        <f t="shared" si="815"/>
        <v>390.66666666666669</v>
      </c>
      <c r="N903" s="25">
        <f t="shared" ref="N903" si="932">(F903-F851)/F851</f>
        <v>0.4329004329004329</v>
      </c>
      <c r="O903" s="25">
        <f t="shared" ref="O903" si="933">(F903-L903)/L903</f>
        <v>-0.13388573920628002</v>
      </c>
    </row>
    <row r="904" spans="1:15" x14ac:dyDescent="0.25">
      <c r="A904" s="16" t="s">
        <v>14</v>
      </c>
      <c r="B904" s="29">
        <f t="shared" si="644"/>
        <v>40649</v>
      </c>
      <c r="C904" s="15">
        <v>360</v>
      </c>
      <c r="D904" s="15">
        <v>2</v>
      </c>
      <c r="E904" s="15">
        <v>76</v>
      </c>
      <c r="F904" s="21">
        <f t="shared" si="118"/>
        <v>438</v>
      </c>
      <c r="G904" s="18">
        <v>15</v>
      </c>
      <c r="H904" s="22">
        <f t="shared" ref="H904" si="934">AVERAGE(C901:C904)</f>
        <v>321.75</v>
      </c>
      <c r="I904" s="22">
        <f t="shared" ref="I904" si="935">AVERAGE(D901:D904)</f>
        <v>7</v>
      </c>
      <c r="J904" s="22">
        <f t="shared" ref="J904" si="936">AVERAGE(E901:E904)</f>
        <v>83.5</v>
      </c>
      <c r="K904" s="23">
        <f t="shared" ref="K904" si="937">SUM(H904:J904)</f>
        <v>412.25</v>
      </c>
      <c r="L904" s="23">
        <f t="shared" ref="L904" si="938">AVERAGE(K748+K800+K852)/3</f>
        <v>425.66666666666669</v>
      </c>
      <c r="M904" s="23">
        <f t="shared" si="815"/>
        <v>485.33333333333331</v>
      </c>
      <c r="N904" s="25">
        <f t="shared" ref="N904" si="939">(F904-F852)/F852</f>
        <v>0.23380281690140844</v>
      </c>
      <c r="O904" s="25">
        <f t="shared" ref="O904" si="940">(F904-L904)/L904</f>
        <v>2.8974158183241928E-2</v>
      </c>
    </row>
    <row r="905" spans="1:15" x14ac:dyDescent="0.25">
      <c r="A905" s="16" t="s">
        <v>14</v>
      </c>
      <c r="B905" s="29">
        <f t="shared" si="644"/>
        <v>40656</v>
      </c>
      <c r="C905" s="15">
        <v>241</v>
      </c>
      <c r="D905" s="15">
        <v>10</v>
      </c>
      <c r="E905" s="15">
        <v>63</v>
      </c>
      <c r="F905" s="21">
        <f t="shared" si="118"/>
        <v>314</v>
      </c>
      <c r="G905" s="18">
        <v>16</v>
      </c>
      <c r="H905" s="22">
        <f t="shared" ref="H905" si="941">AVERAGE(C902:C905)</f>
        <v>298.5</v>
      </c>
      <c r="I905" s="22">
        <f t="shared" ref="I905" si="942">AVERAGE(D902:D905)</f>
        <v>8.75</v>
      </c>
      <c r="J905" s="22">
        <f t="shared" ref="J905" si="943">AVERAGE(E902:E905)</f>
        <v>71</v>
      </c>
      <c r="K905" s="23">
        <f t="shared" ref="K905" si="944">SUM(H905:J905)</f>
        <v>378.25</v>
      </c>
      <c r="L905" s="23">
        <f t="shared" ref="L905" si="945">AVERAGE(K749+K801+K853)/3</f>
        <v>466.75</v>
      </c>
      <c r="M905" s="23">
        <f t="shared" si="815"/>
        <v>517.66666666666663</v>
      </c>
      <c r="N905" s="25">
        <f t="shared" ref="N905" si="946">(F905-F853)/F853</f>
        <v>-0.36947791164658633</v>
      </c>
      <c r="O905" s="25">
        <f t="shared" ref="O905" si="947">(F905-L905)/L905</f>
        <v>-0.32726298875200854</v>
      </c>
    </row>
    <row r="906" spans="1:15" x14ac:dyDescent="0.25">
      <c r="A906" s="16" t="s">
        <v>14</v>
      </c>
      <c r="B906" s="29">
        <f t="shared" si="644"/>
        <v>40663</v>
      </c>
      <c r="C906" s="15">
        <v>193</v>
      </c>
      <c r="D906" s="15">
        <v>0</v>
      </c>
      <c r="E906" s="15">
        <v>23</v>
      </c>
      <c r="F906" s="21">
        <f t="shared" si="118"/>
        <v>216</v>
      </c>
      <c r="G906" s="18">
        <v>17</v>
      </c>
      <c r="H906" s="22">
        <f t="shared" ref="H906" si="948">AVERAGE(C903:C906)</f>
        <v>265.25</v>
      </c>
      <c r="I906" s="22">
        <f t="shared" ref="I906" si="949">AVERAGE(D903:D906)</f>
        <v>7.25</v>
      </c>
      <c r="J906" s="22">
        <f t="shared" ref="J906" si="950">AVERAGE(E903:E906)</f>
        <v>52.25</v>
      </c>
      <c r="K906" s="23">
        <f t="shared" ref="K906" si="951">SUM(H906:J906)</f>
        <v>324.75</v>
      </c>
      <c r="L906" s="23">
        <f t="shared" ref="L906" si="952">AVERAGE(K750+K802+K854)/3</f>
        <v>440.41666666666669</v>
      </c>
      <c r="M906" s="23">
        <f t="shared" si="815"/>
        <v>368</v>
      </c>
      <c r="N906" s="25">
        <f t="shared" ref="N906" si="953">(F906-F854)/F854</f>
        <v>-0.4640198511166253</v>
      </c>
      <c r="O906" s="25">
        <f t="shared" ref="O906" si="954">(F906-L906)/L906</f>
        <v>-0.50955534531693469</v>
      </c>
    </row>
    <row r="907" spans="1:15" x14ac:dyDescent="0.25">
      <c r="A907" s="16" t="s">
        <v>5</v>
      </c>
      <c r="B907" s="29">
        <f t="shared" si="644"/>
        <v>40670</v>
      </c>
      <c r="C907" s="15">
        <v>234</v>
      </c>
      <c r="D907" s="15">
        <v>0</v>
      </c>
      <c r="E907" s="15">
        <v>46</v>
      </c>
      <c r="F907" s="21">
        <f t="shared" si="118"/>
        <v>280</v>
      </c>
      <c r="G907" s="18">
        <v>18</v>
      </c>
      <c r="H907" s="22">
        <f t="shared" ref="H907" si="955">AVERAGE(C904:C907)</f>
        <v>257</v>
      </c>
      <c r="I907" s="22">
        <f t="shared" ref="I907" si="956">AVERAGE(D904:D907)</f>
        <v>3</v>
      </c>
      <c r="J907" s="22">
        <f t="shared" ref="J907" si="957">AVERAGE(E904:E907)</f>
        <v>52</v>
      </c>
      <c r="K907" s="23">
        <f t="shared" ref="K907" si="958">SUM(H907:J907)</f>
        <v>312</v>
      </c>
      <c r="L907" s="23">
        <f t="shared" ref="L907" si="959">AVERAGE(K751+K803+K855)/3</f>
        <v>451.25</v>
      </c>
      <c r="M907" s="23">
        <f t="shared" si="815"/>
        <v>434</v>
      </c>
      <c r="N907" s="25">
        <f t="shared" ref="N907" si="960">(F907-F855)/F855</f>
        <v>-0.57639939485627834</v>
      </c>
      <c r="O907" s="25">
        <f t="shared" ref="O907" si="961">(F907-L907)/L907</f>
        <v>-0.37950138504155123</v>
      </c>
    </row>
    <row r="908" spans="1:15" x14ac:dyDescent="0.25">
      <c r="A908" s="16" t="s">
        <v>5</v>
      </c>
      <c r="B908" s="29">
        <f t="shared" si="644"/>
        <v>40677</v>
      </c>
      <c r="C908" s="15">
        <v>394</v>
      </c>
      <c r="D908" s="15">
        <v>2</v>
      </c>
      <c r="E908" s="15">
        <v>100</v>
      </c>
      <c r="F908" s="21">
        <f t="shared" si="118"/>
        <v>496</v>
      </c>
      <c r="G908" s="18">
        <v>19</v>
      </c>
      <c r="H908" s="22">
        <f t="shared" ref="H908" si="962">AVERAGE(C905:C908)</f>
        <v>265.5</v>
      </c>
      <c r="I908" s="22">
        <f t="shared" ref="I908" si="963">AVERAGE(D905:D908)</f>
        <v>3</v>
      </c>
      <c r="J908" s="22">
        <f t="shared" ref="J908" si="964">AVERAGE(E905:E908)</f>
        <v>58</v>
      </c>
      <c r="K908" s="23">
        <f t="shared" ref="K908" si="965">SUM(H908:J908)</f>
        <v>326.5</v>
      </c>
      <c r="L908" s="23">
        <f t="shared" ref="L908" si="966">AVERAGE(K752+K804+K856)/3</f>
        <v>478.41666666666669</v>
      </c>
      <c r="M908" s="23">
        <f t="shared" si="815"/>
        <v>594</v>
      </c>
      <c r="N908" s="25">
        <f t="shared" ref="N908" si="967">(F908-F856)/F856</f>
        <v>-0.26190476190476192</v>
      </c>
      <c r="O908" s="25">
        <f t="shared" ref="O908" si="968">(F908-L908)/L908</f>
        <v>3.6753178888695309E-2</v>
      </c>
    </row>
    <row r="909" spans="1:15" x14ac:dyDescent="0.25">
      <c r="A909" s="16" t="s">
        <v>5</v>
      </c>
      <c r="B909" s="29">
        <f t="shared" si="644"/>
        <v>40684</v>
      </c>
      <c r="C909" s="15">
        <v>480</v>
      </c>
      <c r="D909" s="15">
        <v>20</v>
      </c>
      <c r="E909" s="15">
        <v>75</v>
      </c>
      <c r="F909" s="21">
        <f t="shared" si="118"/>
        <v>575</v>
      </c>
      <c r="G909" s="18">
        <v>20</v>
      </c>
      <c r="H909" s="22">
        <f t="shared" ref="H909" si="969">AVERAGE(C906:C909)</f>
        <v>325.25</v>
      </c>
      <c r="I909" s="22">
        <f t="shared" ref="I909" si="970">AVERAGE(D906:D909)</f>
        <v>5.5</v>
      </c>
      <c r="J909" s="22">
        <f t="shared" ref="J909" si="971">AVERAGE(E906:E909)</f>
        <v>61</v>
      </c>
      <c r="K909" s="23">
        <f t="shared" ref="K909" si="972">SUM(H909:J909)</f>
        <v>391.75</v>
      </c>
      <c r="L909" s="23">
        <f t="shared" ref="L909" si="973">AVERAGE(K753+K805+K857)/3</f>
        <v>501.33333333333331</v>
      </c>
      <c r="M909" s="23">
        <f t="shared" si="815"/>
        <v>609.33333333333337</v>
      </c>
      <c r="N909" s="25">
        <f t="shared" ref="N909" si="974">(F909-F857)/F857</f>
        <v>-0.10015649452269171</v>
      </c>
      <c r="O909" s="25">
        <f t="shared" ref="O909" si="975">(F909-L909)/L909</f>
        <v>0.14694148936170218</v>
      </c>
    </row>
    <row r="910" spans="1:15" x14ac:dyDescent="0.25">
      <c r="A910" s="16" t="s">
        <v>5</v>
      </c>
      <c r="B910" s="29">
        <f t="shared" si="644"/>
        <v>40691</v>
      </c>
      <c r="C910" s="15">
        <v>445</v>
      </c>
      <c r="D910" s="15">
        <v>3</v>
      </c>
      <c r="E910" s="15">
        <v>53</v>
      </c>
      <c r="F910" s="21">
        <f t="shared" si="118"/>
        <v>501</v>
      </c>
      <c r="G910" s="18">
        <v>21</v>
      </c>
      <c r="H910" s="22">
        <f t="shared" ref="H910" si="976">AVERAGE(C907:C910)</f>
        <v>388.25</v>
      </c>
      <c r="I910" s="22">
        <f t="shared" ref="I910" si="977">AVERAGE(D907:D910)</f>
        <v>6.25</v>
      </c>
      <c r="J910" s="22">
        <f t="shared" ref="J910" si="978">AVERAGE(E907:E910)</f>
        <v>68.5</v>
      </c>
      <c r="K910" s="23">
        <f t="shared" ref="K910" si="979">SUM(H910:J910)</f>
        <v>463</v>
      </c>
      <c r="L910" s="23">
        <f t="shared" ref="L910" si="980">AVERAGE(K754+K806+K858)/3</f>
        <v>567.5</v>
      </c>
      <c r="M910" s="23">
        <f t="shared" si="815"/>
        <v>632.66666666666663</v>
      </c>
      <c r="N910" s="25">
        <f t="shared" ref="N910" si="981">(F910-F858)/F858</f>
        <v>-0.35019455252918286</v>
      </c>
      <c r="O910" s="25">
        <f t="shared" ref="O910" si="982">(F910-L910)/L910</f>
        <v>-0.1171806167400881</v>
      </c>
    </row>
    <row r="911" spans="1:15" x14ac:dyDescent="0.25">
      <c r="A911" s="16" t="s">
        <v>34</v>
      </c>
      <c r="B911" s="29">
        <f t="shared" si="644"/>
        <v>40698</v>
      </c>
      <c r="C911" s="15">
        <v>352</v>
      </c>
      <c r="D911" s="15">
        <v>17</v>
      </c>
      <c r="E911" s="15">
        <v>66</v>
      </c>
      <c r="F911" s="21">
        <f t="shared" si="118"/>
        <v>435</v>
      </c>
      <c r="G911" s="18">
        <v>22</v>
      </c>
      <c r="H911" s="22">
        <f t="shared" ref="H911" si="983">AVERAGE(C908:C911)</f>
        <v>417.75</v>
      </c>
      <c r="I911" s="22">
        <f t="shared" ref="I911" si="984">AVERAGE(D908:D911)</f>
        <v>10.5</v>
      </c>
      <c r="J911" s="22">
        <f t="shared" ref="J911" si="985">AVERAGE(E908:E911)</f>
        <v>73.5</v>
      </c>
      <c r="K911" s="23">
        <f t="shared" ref="K911" si="986">SUM(H911:J911)</f>
        <v>501.75</v>
      </c>
      <c r="L911" s="23">
        <f t="shared" ref="L911" si="987">AVERAGE(K755+K807+K859)/3</f>
        <v>608.83333333333337</v>
      </c>
      <c r="M911" s="23">
        <f t="shared" si="815"/>
        <v>599.33333333333337</v>
      </c>
      <c r="N911" s="25">
        <f t="shared" ref="N911" si="988">(F911-F859)/F859</f>
        <v>-0.29153094462540718</v>
      </c>
      <c r="O911" s="25">
        <f t="shared" ref="O911" si="989">(F911-L911)/L911</f>
        <v>-0.28551875171092256</v>
      </c>
    </row>
    <row r="912" spans="1:15" x14ac:dyDescent="0.25">
      <c r="A912" s="16" t="s">
        <v>34</v>
      </c>
      <c r="B912" s="29">
        <f t="shared" si="644"/>
        <v>40705</v>
      </c>
      <c r="C912" s="15">
        <v>390</v>
      </c>
      <c r="D912" s="15">
        <v>5</v>
      </c>
      <c r="E912" s="15">
        <v>79</v>
      </c>
      <c r="F912" s="21">
        <f t="shared" si="118"/>
        <v>474</v>
      </c>
      <c r="G912" s="18">
        <v>23</v>
      </c>
      <c r="H912" s="22">
        <f t="shared" ref="H912" si="990">AVERAGE(C909:C912)</f>
        <v>416.75</v>
      </c>
      <c r="I912" s="22">
        <f t="shared" ref="I912" si="991">AVERAGE(D909:D912)</f>
        <v>11.25</v>
      </c>
      <c r="J912" s="22">
        <f t="shared" ref="J912" si="992">AVERAGE(E909:E912)</f>
        <v>68.25</v>
      </c>
      <c r="K912" s="23">
        <f t="shared" ref="K912" si="993">SUM(H912:J912)</f>
        <v>496.25</v>
      </c>
      <c r="L912" s="23">
        <f t="shared" ref="L912" si="994">AVERAGE(K756+K808+K860)/3</f>
        <v>607.91666666666663</v>
      </c>
      <c r="M912" s="23">
        <f t="shared" si="815"/>
        <v>590.33333333333337</v>
      </c>
      <c r="N912" s="25">
        <f t="shared" ref="N912" si="995">(F912-F860)/F860</f>
        <v>-0.30802919708029197</v>
      </c>
      <c r="O912" s="25">
        <f t="shared" ref="O912" si="996">(F912-L912)/L912</f>
        <v>-0.2202878684030157</v>
      </c>
    </row>
    <row r="913" spans="1:15" x14ac:dyDescent="0.25">
      <c r="A913" s="16" t="s">
        <v>34</v>
      </c>
      <c r="B913" s="29">
        <f t="shared" si="644"/>
        <v>40712</v>
      </c>
      <c r="C913" s="15">
        <v>224</v>
      </c>
      <c r="D913" s="15">
        <v>2</v>
      </c>
      <c r="E913" s="15">
        <v>61</v>
      </c>
      <c r="F913" s="21">
        <f t="shared" si="118"/>
        <v>287</v>
      </c>
      <c r="G913" s="18">
        <v>24</v>
      </c>
      <c r="H913" s="22">
        <f t="shared" ref="H913" si="997">AVERAGE(C910:C913)</f>
        <v>352.75</v>
      </c>
      <c r="I913" s="22">
        <f t="shared" ref="I913" si="998">AVERAGE(D910:D913)</f>
        <v>6.75</v>
      </c>
      <c r="J913" s="22">
        <f t="shared" ref="J913" si="999">AVERAGE(E910:E913)</f>
        <v>64.75</v>
      </c>
      <c r="K913" s="23">
        <f t="shared" ref="K913" si="1000">SUM(H913:J913)</f>
        <v>424.25</v>
      </c>
      <c r="L913" s="23">
        <f t="shared" ref="L913" si="1001">AVERAGE(K757+K809+K861)/3</f>
        <v>609.83333333333337</v>
      </c>
      <c r="M913" s="23">
        <f t="shared" si="815"/>
        <v>617</v>
      </c>
      <c r="N913" s="25">
        <f t="shared" ref="N913" si="1002">(F913-F861)/F861</f>
        <v>-0.58823529411764708</v>
      </c>
      <c r="O913" s="25">
        <f t="shared" ref="O913" si="1003">(F913-L913)/L913</f>
        <v>-0.52937961191582406</v>
      </c>
    </row>
    <row r="914" spans="1:15" x14ac:dyDescent="0.25">
      <c r="A914" s="16" t="s">
        <v>34</v>
      </c>
      <c r="B914" s="29">
        <f t="shared" si="644"/>
        <v>40719</v>
      </c>
      <c r="C914" s="15">
        <v>324</v>
      </c>
      <c r="D914" s="15">
        <v>0</v>
      </c>
      <c r="E914" s="15">
        <v>95</v>
      </c>
      <c r="F914" s="21">
        <f t="shared" si="118"/>
        <v>419</v>
      </c>
      <c r="G914" s="18">
        <v>25</v>
      </c>
      <c r="H914" s="22">
        <f t="shared" ref="H914" si="1004">AVERAGE(C911:C914)</f>
        <v>322.5</v>
      </c>
      <c r="I914" s="22">
        <f t="shared" ref="I914" si="1005">AVERAGE(D911:D914)</f>
        <v>6</v>
      </c>
      <c r="J914" s="22">
        <f t="shared" ref="J914" si="1006">AVERAGE(E911:E914)</f>
        <v>75.25</v>
      </c>
      <c r="K914" s="23">
        <f t="shared" ref="K914" si="1007">SUM(H914:J914)</f>
        <v>403.75</v>
      </c>
      <c r="L914" s="23">
        <f t="shared" ref="L914" si="1008">AVERAGE(K758+K810+K862)/3</f>
        <v>572.41666666666663</v>
      </c>
      <c r="M914" s="23">
        <f t="shared" si="815"/>
        <v>483</v>
      </c>
      <c r="N914" s="25">
        <f t="shared" ref="N914" si="1009">(F914-F862)/F862</f>
        <v>-0.2946127946127946</v>
      </c>
      <c r="O914" s="25">
        <f t="shared" ref="O914" si="1010">(F914-L914)/L914</f>
        <v>-0.26801572281263641</v>
      </c>
    </row>
    <row r="915" spans="1:15" x14ac:dyDescent="0.25">
      <c r="A915" s="16" t="s">
        <v>35</v>
      </c>
      <c r="B915" s="29">
        <f t="shared" si="644"/>
        <v>40726</v>
      </c>
      <c r="C915" s="15">
        <v>467</v>
      </c>
      <c r="D915" s="15">
        <v>8</v>
      </c>
      <c r="E915" s="15">
        <v>102</v>
      </c>
      <c r="F915" s="21">
        <f t="shared" si="118"/>
        <v>577</v>
      </c>
      <c r="G915" s="18">
        <v>26</v>
      </c>
      <c r="H915" s="22">
        <f t="shared" ref="H915" si="1011">AVERAGE(C912:C915)</f>
        <v>351.25</v>
      </c>
      <c r="I915" s="22">
        <f t="shared" ref="I915" si="1012">AVERAGE(D912:D915)</f>
        <v>3.75</v>
      </c>
      <c r="J915" s="22">
        <f t="shared" ref="J915" si="1013">AVERAGE(E912:E915)</f>
        <v>84.25</v>
      </c>
      <c r="K915" s="23">
        <f t="shared" ref="K915" si="1014">SUM(H915:J915)</f>
        <v>439.25</v>
      </c>
      <c r="L915" s="23">
        <f t="shared" ref="L915" si="1015">AVERAGE(K759+K811+K863)/3</f>
        <v>556.83333333333337</v>
      </c>
      <c r="M915" s="23">
        <f t="shared" si="815"/>
        <v>537</v>
      </c>
      <c r="N915" s="25">
        <f t="shared" ref="N915" si="1016">(F915-F863)/F863</f>
        <v>-0.15395894428152493</v>
      </c>
      <c r="O915" s="25">
        <f t="shared" ref="O915" si="1017">(F915-L915)/L915</f>
        <v>3.6216701586351319E-2</v>
      </c>
    </row>
    <row r="916" spans="1:15" x14ac:dyDescent="0.25">
      <c r="A916" s="16" t="s">
        <v>11</v>
      </c>
      <c r="B916" s="29">
        <f t="shared" si="644"/>
        <v>40733</v>
      </c>
      <c r="C916" s="15">
        <v>470</v>
      </c>
      <c r="D916" s="15">
        <v>9</v>
      </c>
      <c r="E916" s="15">
        <v>51</v>
      </c>
      <c r="F916" s="21">
        <f t="shared" si="118"/>
        <v>530</v>
      </c>
      <c r="G916" s="18">
        <v>27</v>
      </c>
      <c r="H916" s="22">
        <f t="shared" ref="H916" si="1018">AVERAGE(C913:C916)</f>
        <v>371.25</v>
      </c>
      <c r="I916" s="22">
        <f t="shared" ref="I916" si="1019">AVERAGE(D913:D916)</f>
        <v>4.75</v>
      </c>
      <c r="J916" s="22">
        <f t="shared" ref="J916" si="1020">AVERAGE(E913:E916)</f>
        <v>77.25</v>
      </c>
      <c r="K916" s="23">
        <f t="shared" ref="K916" si="1021">SUM(H916:J916)</f>
        <v>453.25</v>
      </c>
      <c r="L916" s="23">
        <f t="shared" ref="L916" si="1022">AVERAGE(K760+K812+K864)/3</f>
        <v>562.91666666666663</v>
      </c>
      <c r="M916" s="23">
        <f t="shared" si="815"/>
        <v>614.66666666666663</v>
      </c>
      <c r="N916" s="25">
        <f t="shared" ref="N916" si="1023">(F916-F864)/F864</f>
        <v>-0.10321489001692047</v>
      </c>
      <c r="O916" s="25">
        <f t="shared" ref="O916" si="1024">(F916-L916)/L916</f>
        <v>-5.8475203552923696E-2</v>
      </c>
    </row>
    <row r="917" spans="1:15" x14ac:dyDescent="0.25">
      <c r="A917" s="16" t="s">
        <v>11</v>
      </c>
      <c r="B917" s="29">
        <f t="shared" si="644"/>
        <v>40740</v>
      </c>
      <c r="C917" s="15">
        <v>512</v>
      </c>
      <c r="D917" s="15">
        <v>0</v>
      </c>
      <c r="E917" s="15">
        <v>95</v>
      </c>
      <c r="F917" s="21">
        <f t="shared" si="118"/>
        <v>607</v>
      </c>
      <c r="G917" s="18">
        <v>28</v>
      </c>
      <c r="H917" s="22">
        <f t="shared" ref="H917" si="1025">AVERAGE(C914:C917)</f>
        <v>443.25</v>
      </c>
      <c r="I917" s="22">
        <f t="shared" ref="I917" si="1026">AVERAGE(D914:D917)</f>
        <v>4.25</v>
      </c>
      <c r="J917" s="22">
        <f t="shared" ref="J917" si="1027">AVERAGE(E914:E917)</f>
        <v>85.75</v>
      </c>
      <c r="K917" s="23">
        <f t="shared" ref="K917" si="1028">SUM(H917:J917)</f>
        <v>533.25</v>
      </c>
      <c r="L917" s="23">
        <f t="shared" ref="L917" si="1029">AVERAGE(K761+K813+K865)/3</f>
        <v>566.58333333333337</v>
      </c>
      <c r="M917" s="23">
        <f t="shared" si="815"/>
        <v>631.66666666666663</v>
      </c>
      <c r="N917" s="25">
        <f t="shared" ref="N917" si="1030">(F917-F865)/F865</f>
        <v>-0.12283236994219653</v>
      </c>
      <c r="O917" s="25">
        <f t="shared" ref="O917" si="1031">(F917-L917)/L917</f>
        <v>7.133401970878063E-2</v>
      </c>
    </row>
    <row r="918" spans="1:15" x14ac:dyDescent="0.25">
      <c r="A918" s="16" t="s">
        <v>11</v>
      </c>
      <c r="B918" s="29">
        <f t="shared" si="644"/>
        <v>40747</v>
      </c>
      <c r="C918" s="15">
        <v>456</v>
      </c>
      <c r="D918" s="15">
        <v>8</v>
      </c>
      <c r="E918" s="15">
        <v>103</v>
      </c>
      <c r="F918" s="21">
        <f t="shared" si="118"/>
        <v>567</v>
      </c>
      <c r="G918" s="18">
        <v>29</v>
      </c>
      <c r="H918" s="22">
        <f t="shared" ref="H918" si="1032">AVERAGE(C915:C918)</f>
        <v>476.25</v>
      </c>
      <c r="I918" s="22">
        <f t="shared" ref="I918" si="1033">AVERAGE(D915:D918)</f>
        <v>6.25</v>
      </c>
      <c r="J918" s="22">
        <f t="shared" ref="J918" si="1034">AVERAGE(E915:E918)</f>
        <v>87.75</v>
      </c>
      <c r="K918" s="23">
        <f t="shared" ref="K918" si="1035">SUM(H918:J918)</f>
        <v>570.25</v>
      </c>
      <c r="L918" s="23">
        <f t="shared" ref="L918" si="1036">AVERAGE(K762+K814+K866)/3</f>
        <v>634.83333333333337</v>
      </c>
      <c r="M918" s="23">
        <f t="shared" si="815"/>
        <v>756</v>
      </c>
      <c r="N918" s="25">
        <f t="shared" ref="N918" si="1037">(F918-F866)/F866</f>
        <v>-0.24500665778961384</v>
      </c>
      <c r="O918" s="25">
        <f t="shared" ref="O918" si="1038">(F918-L918)/L918</f>
        <v>-0.10685219217642432</v>
      </c>
    </row>
    <row r="919" spans="1:15" x14ac:dyDescent="0.25">
      <c r="A919" s="16" t="s">
        <v>11</v>
      </c>
      <c r="B919" s="29">
        <f t="shared" si="644"/>
        <v>40754</v>
      </c>
      <c r="C919" s="15">
        <v>560</v>
      </c>
      <c r="D919" s="15">
        <v>3</v>
      </c>
      <c r="E919" s="15">
        <v>106</v>
      </c>
      <c r="F919" s="21">
        <f t="shared" si="118"/>
        <v>669</v>
      </c>
      <c r="G919" s="18">
        <v>30</v>
      </c>
      <c r="H919" s="22">
        <f t="shared" ref="H919" si="1039">AVERAGE(C916:C919)</f>
        <v>499.5</v>
      </c>
      <c r="I919" s="22">
        <f t="shared" ref="I919" si="1040">AVERAGE(D916:D919)</f>
        <v>5</v>
      </c>
      <c r="J919" s="22">
        <f t="shared" ref="J919" si="1041">AVERAGE(E916:E919)</f>
        <v>88.75</v>
      </c>
      <c r="K919" s="23">
        <f t="shared" ref="K919" si="1042">SUM(H919:J919)</f>
        <v>593.25</v>
      </c>
      <c r="L919" s="23">
        <f t="shared" ref="L919" si="1043">AVERAGE(K763+K815+K867)/3</f>
        <v>692.33333333333337</v>
      </c>
      <c r="M919" s="23">
        <f t="shared" si="815"/>
        <v>767</v>
      </c>
      <c r="N919" s="25">
        <f t="shared" ref="N919" si="1044">(F919-F867)/F867</f>
        <v>2.6073619631901839E-2</v>
      </c>
      <c r="O919" s="25">
        <f t="shared" ref="O919" si="1045">(F919-L919)/L919</f>
        <v>-3.3702455464612473E-2</v>
      </c>
    </row>
    <row r="920" spans="1:15" x14ac:dyDescent="0.25">
      <c r="A920" s="16" t="s">
        <v>19</v>
      </c>
      <c r="B920" s="29">
        <f t="shared" si="644"/>
        <v>40761</v>
      </c>
      <c r="C920" s="15">
        <v>470</v>
      </c>
      <c r="D920" s="15">
        <v>0</v>
      </c>
      <c r="E920" s="15">
        <v>69</v>
      </c>
      <c r="F920" s="21">
        <f t="shared" si="118"/>
        <v>539</v>
      </c>
      <c r="G920" s="18">
        <v>31</v>
      </c>
      <c r="H920" s="22">
        <f t="shared" ref="H920" si="1046">AVERAGE(C917:C920)</f>
        <v>499.5</v>
      </c>
      <c r="I920" s="22">
        <f t="shared" ref="I920" si="1047">AVERAGE(D917:D920)</f>
        <v>2.75</v>
      </c>
      <c r="J920" s="22">
        <f t="shared" ref="J920" si="1048">AVERAGE(E917:E920)</f>
        <v>93.25</v>
      </c>
      <c r="K920" s="23">
        <f t="shared" ref="K920" si="1049">SUM(H920:J920)</f>
        <v>595.5</v>
      </c>
      <c r="L920" s="23">
        <f t="shared" ref="L920" si="1050">AVERAGE(K764+K816+K868)/3</f>
        <v>689.83333333333337</v>
      </c>
      <c r="M920" s="23">
        <f t="shared" si="815"/>
        <v>604.66666666666663</v>
      </c>
      <c r="N920" s="25">
        <f t="shared" ref="N920" si="1051">(F920-F868)/F868</f>
        <v>-0.14984227129337541</v>
      </c>
      <c r="O920" s="25">
        <f t="shared" ref="O920" si="1052">(F920-L920)/L920</f>
        <v>-0.21865184827252965</v>
      </c>
    </row>
    <row r="921" spans="1:15" x14ac:dyDescent="0.25">
      <c r="A921" s="16" t="s">
        <v>19</v>
      </c>
      <c r="B921" s="29">
        <f t="shared" si="644"/>
        <v>40768</v>
      </c>
      <c r="C921" s="15">
        <v>392</v>
      </c>
      <c r="D921" s="15">
        <v>0</v>
      </c>
      <c r="E921" s="15">
        <v>96</v>
      </c>
      <c r="F921" s="21">
        <f t="shared" si="118"/>
        <v>488</v>
      </c>
      <c r="G921" s="18">
        <v>32</v>
      </c>
      <c r="H921" s="22">
        <f t="shared" ref="H921:H922" si="1053">AVERAGE(C918:C921)</f>
        <v>469.5</v>
      </c>
      <c r="I921" s="22">
        <f t="shared" ref="I921" si="1054">AVERAGE(D918:D921)</f>
        <v>2.75</v>
      </c>
      <c r="J921" s="22">
        <f t="shared" ref="J921" si="1055">AVERAGE(E918:E921)</f>
        <v>93.5</v>
      </c>
      <c r="K921" s="23">
        <f t="shared" ref="K921" si="1056">SUM(H921:J921)</f>
        <v>565.75</v>
      </c>
      <c r="L921" s="23">
        <f t="shared" ref="L921" si="1057">AVERAGE(K765+K817+K869)/3</f>
        <v>689.83333333333337</v>
      </c>
      <c r="M921" s="23">
        <f t="shared" si="815"/>
        <v>631.66666666666663</v>
      </c>
      <c r="N921" s="25">
        <f t="shared" ref="N921:N922" si="1058">(F921-F869)/F869</f>
        <v>-0.20907617504051865</v>
      </c>
      <c r="O921" s="25">
        <f t="shared" ref="O921:O922" si="1059">(F921-L921)/L921</f>
        <v>-0.29258274945639046</v>
      </c>
    </row>
    <row r="922" spans="1:15" x14ac:dyDescent="0.25">
      <c r="A922" s="16" t="s">
        <v>19</v>
      </c>
      <c r="B922" s="29">
        <f t="shared" si="644"/>
        <v>40775</v>
      </c>
      <c r="C922" s="15">
        <v>379</v>
      </c>
      <c r="D922" s="15">
        <v>0</v>
      </c>
      <c r="E922" s="15">
        <v>72</v>
      </c>
      <c r="F922" s="21">
        <f t="shared" si="118"/>
        <v>451</v>
      </c>
      <c r="G922" s="18">
        <v>33</v>
      </c>
      <c r="H922" s="22">
        <f t="shared" si="1053"/>
        <v>450.25</v>
      </c>
      <c r="I922" s="22">
        <f t="shared" ref="I922" si="1060">AVERAGE(D919:D922)</f>
        <v>0.75</v>
      </c>
      <c r="J922" s="22">
        <f t="shared" ref="J922" si="1061">AVERAGE(E919:E922)</f>
        <v>85.75</v>
      </c>
      <c r="K922" s="23">
        <f t="shared" ref="K922" si="1062">SUM(H922:J922)</f>
        <v>536.75</v>
      </c>
      <c r="L922" s="23">
        <f t="shared" si="684"/>
        <v>628.08333333333337</v>
      </c>
      <c r="M922" s="23">
        <f t="shared" si="815"/>
        <v>509</v>
      </c>
      <c r="N922" s="25">
        <f t="shared" si="1058"/>
        <v>0.34626865671641793</v>
      </c>
      <c r="O922" s="25">
        <f t="shared" si="1059"/>
        <v>-0.28194241740745657</v>
      </c>
    </row>
    <row r="923" spans="1:15" x14ac:dyDescent="0.25">
      <c r="A923" s="16" t="s">
        <v>19</v>
      </c>
      <c r="B923" s="29">
        <f t="shared" si="644"/>
        <v>40782</v>
      </c>
      <c r="C923" s="15">
        <v>290</v>
      </c>
      <c r="D923" s="15">
        <v>2</v>
      </c>
      <c r="E923" s="15">
        <v>63</v>
      </c>
      <c r="F923" s="21">
        <f t="shared" si="118"/>
        <v>355</v>
      </c>
      <c r="G923" s="18">
        <v>34</v>
      </c>
      <c r="H923" s="22">
        <f t="shared" ref="H923" si="1063">AVERAGE(C920:C923)</f>
        <v>382.75</v>
      </c>
      <c r="I923" s="22">
        <f t="shared" ref="I923" si="1064">AVERAGE(D920:D923)</f>
        <v>0.5</v>
      </c>
      <c r="J923" s="22">
        <f t="shared" ref="J923" si="1065">AVERAGE(E920:E923)</f>
        <v>75</v>
      </c>
      <c r="K923" s="23">
        <f t="shared" ref="K923" si="1066">SUM(H923:J923)</f>
        <v>458.25</v>
      </c>
      <c r="L923" s="23">
        <f t="shared" ref="L923" si="1067">AVERAGE(K767+K819+K871)/3</f>
        <v>535</v>
      </c>
      <c r="M923" s="23">
        <f t="shared" si="815"/>
        <v>394.66666666666669</v>
      </c>
      <c r="N923" s="25">
        <f t="shared" ref="N923" si="1068">(F923-F871)/F871</f>
        <v>0.28158844765342961</v>
      </c>
      <c r="O923" s="25">
        <f t="shared" ref="O923" si="1069">(F923-L923)/L923</f>
        <v>-0.3364485981308411</v>
      </c>
    </row>
    <row r="924" spans="1:15" x14ac:dyDescent="0.25">
      <c r="A924" s="16" t="s">
        <v>19</v>
      </c>
      <c r="B924" s="29">
        <f t="shared" si="644"/>
        <v>40789</v>
      </c>
      <c r="C924" s="15">
        <v>207</v>
      </c>
      <c r="D924" s="15">
        <v>6</v>
      </c>
      <c r="E924" s="15">
        <v>41</v>
      </c>
      <c r="F924" s="21">
        <f t="shared" si="118"/>
        <v>254</v>
      </c>
      <c r="G924" s="18">
        <v>35</v>
      </c>
      <c r="H924" s="22">
        <f t="shared" ref="H924" si="1070">AVERAGE(C921:C924)</f>
        <v>317</v>
      </c>
      <c r="I924" s="22">
        <f t="shared" ref="I924" si="1071">AVERAGE(D921:D924)</f>
        <v>2</v>
      </c>
      <c r="J924" s="22">
        <f t="shared" ref="J924" si="1072">AVERAGE(E921:E924)</f>
        <v>68</v>
      </c>
      <c r="K924" s="23">
        <f t="shared" ref="K924" si="1073">SUM(H924:J924)</f>
        <v>387</v>
      </c>
      <c r="L924" s="23">
        <f t="shared" ref="L924" si="1074">AVERAGE(K768+K820+K872)/3</f>
        <v>486</v>
      </c>
      <c r="M924" s="23">
        <f t="shared" si="815"/>
        <v>408.66666666666669</v>
      </c>
      <c r="N924" s="25">
        <f t="shared" ref="N924" si="1075">(F924-F872)/F872</f>
        <v>-0.30601092896174864</v>
      </c>
      <c r="O924" s="25">
        <f t="shared" ref="O924" si="1076">(F924-L924)/L924</f>
        <v>-0.47736625514403291</v>
      </c>
    </row>
    <row r="925" spans="1:15" x14ac:dyDescent="0.25">
      <c r="A925" s="16" t="s">
        <v>24</v>
      </c>
      <c r="B925" s="29">
        <f t="shared" si="644"/>
        <v>40796</v>
      </c>
      <c r="C925" s="15">
        <v>216</v>
      </c>
      <c r="D925" s="15">
        <v>2</v>
      </c>
      <c r="E925" s="15">
        <v>38</v>
      </c>
      <c r="F925" s="21">
        <f t="shared" si="118"/>
        <v>256</v>
      </c>
      <c r="G925" s="18">
        <v>36</v>
      </c>
      <c r="H925" s="22">
        <f t="shared" ref="H925" si="1077">AVERAGE(C922:C925)</f>
        <v>273</v>
      </c>
      <c r="I925" s="22">
        <f t="shared" ref="I925" si="1078">AVERAGE(D922:D925)</f>
        <v>2.5</v>
      </c>
      <c r="J925" s="22">
        <f t="shared" ref="J925" si="1079">AVERAGE(E922:E925)</f>
        <v>53.5</v>
      </c>
      <c r="K925" s="23">
        <f t="shared" ref="K925" si="1080">SUM(H925:J925)</f>
        <v>329</v>
      </c>
      <c r="L925" s="23">
        <f t="shared" ref="L925" si="1081">AVERAGE(K769+K821+K873)/3</f>
        <v>412.33333333333331</v>
      </c>
      <c r="M925" s="23">
        <f t="shared" si="815"/>
        <v>337</v>
      </c>
      <c r="N925" s="25">
        <f t="shared" ref="N925" si="1082">(F925-F873)/F873</f>
        <v>-0.23582089552238805</v>
      </c>
      <c r="O925" s="25">
        <f t="shared" ref="O925" si="1083">(F925-L925)/L925</f>
        <v>-0.37914308811641062</v>
      </c>
    </row>
    <row r="926" spans="1:15" x14ac:dyDescent="0.25">
      <c r="A926" s="16" t="s">
        <v>24</v>
      </c>
      <c r="B926" s="29">
        <f t="shared" si="644"/>
        <v>40803</v>
      </c>
      <c r="C926" s="15">
        <v>115</v>
      </c>
      <c r="D926" s="15">
        <v>3</v>
      </c>
      <c r="E926" s="15">
        <v>28</v>
      </c>
      <c r="F926" s="21">
        <f t="shared" si="118"/>
        <v>146</v>
      </c>
      <c r="G926" s="18">
        <v>37</v>
      </c>
      <c r="H926" s="22">
        <f t="shared" ref="H926" si="1084">AVERAGE(C923:C926)</f>
        <v>207</v>
      </c>
      <c r="I926" s="22">
        <f t="shared" ref="I926" si="1085">AVERAGE(D923:D926)</f>
        <v>3.25</v>
      </c>
      <c r="J926" s="22">
        <f t="shared" ref="J926" si="1086">AVERAGE(E923:E926)</f>
        <v>42.5</v>
      </c>
      <c r="K926" s="23">
        <f t="shared" ref="K926" si="1087">SUM(H926:J926)</f>
        <v>252.75</v>
      </c>
      <c r="L926" s="23">
        <f t="shared" ref="L926" si="1088">AVERAGE(K770+K822+K874)/3</f>
        <v>346.5</v>
      </c>
      <c r="M926" s="23">
        <f t="shared" si="815"/>
        <v>245.66666666666666</v>
      </c>
      <c r="N926" s="25">
        <f t="shared" ref="N926" si="1089">(F926-F874)/F874</f>
        <v>-0.38912133891213391</v>
      </c>
      <c r="O926" s="25">
        <f t="shared" ref="O926" si="1090">(F926-L926)/L926</f>
        <v>-0.57864357864357863</v>
      </c>
    </row>
    <row r="927" spans="1:15" x14ac:dyDescent="0.25">
      <c r="A927" s="16" t="s">
        <v>24</v>
      </c>
      <c r="B927" s="29">
        <f t="shared" si="644"/>
        <v>40810</v>
      </c>
      <c r="C927" s="15">
        <v>126</v>
      </c>
      <c r="D927" s="15">
        <v>2</v>
      </c>
      <c r="E927" s="15">
        <v>11</v>
      </c>
      <c r="F927" s="21">
        <f t="shared" si="118"/>
        <v>139</v>
      </c>
      <c r="G927" s="18">
        <v>38</v>
      </c>
      <c r="H927" s="22">
        <f t="shared" ref="H927" si="1091">AVERAGE(C924:C927)</f>
        <v>166</v>
      </c>
      <c r="I927" s="22">
        <f t="shared" ref="I927" si="1092">AVERAGE(D924:D927)</f>
        <v>3.25</v>
      </c>
      <c r="J927" s="22">
        <f t="shared" ref="J927" si="1093">AVERAGE(E924:E927)</f>
        <v>29.5</v>
      </c>
      <c r="K927" s="23">
        <f t="shared" ref="K927" si="1094">SUM(H927:J927)</f>
        <v>198.75</v>
      </c>
      <c r="L927" s="23">
        <f t="shared" ref="L927" si="1095">AVERAGE(K771+K823+K875)/3</f>
        <v>305</v>
      </c>
      <c r="M927" s="23">
        <f t="shared" si="815"/>
        <v>228.66666666666666</v>
      </c>
      <c r="N927" s="25">
        <f t="shared" ref="N927" si="1096">(F927-F875)/F875</f>
        <v>-0.58132530120481929</v>
      </c>
      <c r="O927" s="25">
        <f t="shared" ref="O927" si="1097">(F927-L927)/L927</f>
        <v>-0.54426229508196722</v>
      </c>
    </row>
    <row r="928" spans="1:15" x14ac:dyDescent="0.25">
      <c r="A928" s="16" t="s">
        <v>24</v>
      </c>
      <c r="B928" s="29">
        <f t="shared" ref="B928:B992" si="1098">B927+7</f>
        <v>40817</v>
      </c>
      <c r="C928" s="15">
        <v>217</v>
      </c>
      <c r="D928" s="15">
        <v>5</v>
      </c>
      <c r="E928" s="15">
        <v>6</v>
      </c>
      <c r="F928" s="21">
        <f t="shared" si="118"/>
        <v>228</v>
      </c>
      <c r="G928" s="18">
        <v>39</v>
      </c>
      <c r="H928" s="22">
        <f t="shared" ref="H928" si="1099">AVERAGE(C925:C928)</f>
        <v>168.5</v>
      </c>
      <c r="I928" s="22">
        <f t="shared" ref="I928" si="1100">AVERAGE(D925:D928)</f>
        <v>3</v>
      </c>
      <c r="J928" s="22">
        <f t="shared" ref="J928" si="1101">AVERAGE(E925:E928)</f>
        <v>20.75</v>
      </c>
      <c r="K928" s="23">
        <f t="shared" ref="K928" si="1102">SUM(H928:J928)</f>
        <v>192.25</v>
      </c>
      <c r="L928" s="23">
        <f t="shared" ref="L928" si="1103">AVERAGE(K772+K824+K876)/3</f>
        <v>268.5</v>
      </c>
      <c r="M928" s="23">
        <f t="shared" si="815"/>
        <v>262.66666666666669</v>
      </c>
      <c r="N928" s="25">
        <f t="shared" ref="N928" si="1104">(F928-F876)/F876</f>
        <v>-0.12307692307692308</v>
      </c>
      <c r="O928" s="25">
        <f t="shared" ref="O928" si="1105">(F928-L928)/L928</f>
        <v>-0.15083798882681565</v>
      </c>
    </row>
    <row r="929" spans="1:15" x14ac:dyDescent="0.25">
      <c r="A929" s="16" t="s">
        <v>20</v>
      </c>
      <c r="B929" s="29">
        <f t="shared" si="1098"/>
        <v>40824</v>
      </c>
      <c r="C929" s="15">
        <v>189</v>
      </c>
      <c r="D929" s="15">
        <v>2</v>
      </c>
      <c r="E929" s="15">
        <v>16</v>
      </c>
      <c r="F929" s="21">
        <f t="shared" si="118"/>
        <v>207</v>
      </c>
      <c r="G929" s="18">
        <v>40</v>
      </c>
      <c r="H929" s="22">
        <f t="shared" ref="H929" si="1106">AVERAGE(C926:C929)</f>
        <v>161.75</v>
      </c>
      <c r="I929" s="22">
        <f t="shared" ref="I929" si="1107">AVERAGE(D926:D929)</f>
        <v>3</v>
      </c>
      <c r="J929" s="22">
        <f t="shared" ref="J929" si="1108">AVERAGE(E926:E929)</f>
        <v>15.25</v>
      </c>
      <c r="K929" s="23">
        <f t="shared" ref="K929" si="1109">SUM(H929:J929)</f>
        <v>180</v>
      </c>
      <c r="L929" s="23">
        <f t="shared" ref="L929" si="1110">AVERAGE(K773+K825+K877)/3</f>
        <v>255.5</v>
      </c>
      <c r="M929" s="23">
        <f t="shared" si="815"/>
        <v>285</v>
      </c>
      <c r="N929" s="25">
        <f t="shared" ref="N929" si="1111">(F929-F877)/F877</f>
        <v>-0.4265927977839335</v>
      </c>
      <c r="O929" s="25">
        <f t="shared" ref="O929" si="1112">(F929-L929)/L929</f>
        <v>-0.18982387475538159</v>
      </c>
    </row>
    <row r="930" spans="1:15" x14ac:dyDescent="0.25">
      <c r="A930" s="16" t="s">
        <v>20</v>
      </c>
      <c r="B930" s="29">
        <f t="shared" si="1098"/>
        <v>40831</v>
      </c>
      <c r="C930" s="15">
        <v>221</v>
      </c>
      <c r="D930" s="15">
        <v>6</v>
      </c>
      <c r="E930" s="15">
        <v>151</v>
      </c>
      <c r="F930" s="21">
        <f t="shared" si="118"/>
        <v>378</v>
      </c>
      <c r="G930" s="18">
        <v>41</v>
      </c>
      <c r="H930" s="22">
        <f t="shared" ref="H930" si="1113">AVERAGE(C927:C930)</f>
        <v>188.25</v>
      </c>
      <c r="I930" s="22">
        <f t="shared" ref="I930" si="1114">AVERAGE(D927:D930)</f>
        <v>3.75</v>
      </c>
      <c r="J930" s="22">
        <f t="shared" ref="J930" si="1115">AVERAGE(E927:E930)</f>
        <v>46</v>
      </c>
      <c r="K930" s="23">
        <f t="shared" ref="K930" si="1116">SUM(H930:J930)</f>
        <v>238</v>
      </c>
      <c r="L930" s="23">
        <f t="shared" ref="L930" si="1117">AVERAGE(K774+K826+K878)/3</f>
        <v>293.25</v>
      </c>
      <c r="M930" s="23">
        <f t="shared" si="815"/>
        <v>396.66666666666669</v>
      </c>
      <c r="N930" s="25">
        <f t="shared" ref="N930" si="1118">(F930-F878)/F878</f>
        <v>-0.43243243243243246</v>
      </c>
      <c r="O930" s="25">
        <f t="shared" ref="O930" si="1119">(F930-L930)/L930</f>
        <v>0.28900255754475701</v>
      </c>
    </row>
    <row r="931" spans="1:15" x14ac:dyDescent="0.25">
      <c r="A931" s="16" t="s">
        <v>20</v>
      </c>
      <c r="B931" s="29">
        <f t="shared" si="1098"/>
        <v>40838</v>
      </c>
      <c r="C931" s="15">
        <v>170</v>
      </c>
      <c r="D931" s="15">
        <v>0</v>
      </c>
      <c r="E931" s="15">
        <v>247</v>
      </c>
      <c r="F931" s="21">
        <f t="shared" si="118"/>
        <v>417</v>
      </c>
      <c r="G931" s="18">
        <v>42</v>
      </c>
      <c r="H931" s="22">
        <f t="shared" ref="H931" si="1120">AVERAGE(C928:C931)</f>
        <v>199.25</v>
      </c>
      <c r="I931" s="22">
        <f t="shared" ref="I931" si="1121">AVERAGE(D928:D931)</f>
        <v>3.25</v>
      </c>
      <c r="J931" s="22">
        <f t="shared" ref="J931" si="1122">AVERAGE(E928:E931)</f>
        <v>105</v>
      </c>
      <c r="K931" s="23">
        <f t="shared" ref="K931" si="1123">SUM(H931:J931)</f>
        <v>307.5</v>
      </c>
      <c r="L931" s="23">
        <f t="shared" ref="L931" si="1124">AVERAGE(K775+K827+K879)/3</f>
        <v>342.08333333333331</v>
      </c>
      <c r="M931" s="23">
        <f t="shared" si="815"/>
        <v>424</v>
      </c>
      <c r="N931" s="25">
        <f t="shared" ref="N931" si="1125">(F931-F879)/F879</f>
        <v>-0.21616541353383459</v>
      </c>
      <c r="O931" s="25">
        <f t="shared" ref="O931" si="1126">(F931-L931)/L931</f>
        <v>0.21900121802679665</v>
      </c>
    </row>
    <row r="932" spans="1:15" x14ac:dyDescent="0.25">
      <c r="A932" s="16" t="s">
        <v>20</v>
      </c>
      <c r="B932" s="29">
        <f t="shared" si="1098"/>
        <v>40845</v>
      </c>
      <c r="C932" s="15">
        <v>167</v>
      </c>
      <c r="D932" s="15">
        <v>0</v>
      </c>
      <c r="E932" s="15">
        <v>142</v>
      </c>
      <c r="F932" s="21">
        <f t="shared" si="118"/>
        <v>309</v>
      </c>
      <c r="G932" s="18">
        <v>43</v>
      </c>
      <c r="H932" s="22">
        <f t="shared" ref="H932" si="1127">AVERAGE(C929:C932)</f>
        <v>186.75</v>
      </c>
      <c r="I932" s="22">
        <f t="shared" ref="I932" si="1128">AVERAGE(D929:D932)</f>
        <v>2</v>
      </c>
      <c r="J932" s="22">
        <f t="shared" ref="J932" si="1129">AVERAGE(E929:E932)</f>
        <v>139</v>
      </c>
      <c r="K932" s="23">
        <f t="shared" ref="K932" si="1130">SUM(H932:J932)</f>
        <v>327.75</v>
      </c>
      <c r="L932" s="23">
        <f t="shared" ref="L932" si="1131">AVERAGE(K776+K828+K880)/3</f>
        <v>386.83333333333331</v>
      </c>
      <c r="M932" s="23">
        <f t="shared" si="815"/>
        <v>441.66666666666669</v>
      </c>
      <c r="N932" s="25">
        <f t="shared" ref="N932" si="1132">(F932-F880)/F880</f>
        <v>-0.38076152304609218</v>
      </c>
      <c r="O932" s="25">
        <f t="shared" ref="O932" si="1133">(F932-L932)/L932</f>
        <v>-0.20120637656182677</v>
      </c>
    </row>
    <row r="933" spans="1:15" x14ac:dyDescent="0.25">
      <c r="A933" s="16" t="s">
        <v>26</v>
      </c>
      <c r="B933" s="29">
        <f t="shared" si="1098"/>
        <v>40852</v>
      </c>
      <c r="C933" s="15">
        <v>323</v>
      </c>
      <c r="D933" s="15">
        <v>0</v>
      </c>
      <c r="E933" s="15">
        <v>151</v>
      </c>
      <c r="F933" s="21">
        <f t="shared" si="118"/>
        <v>474</v>
      </c>
      <c r="G933" s="18">
        <v>44</v>
      </c>
      <c r="H933" s="22">
        <f t="shared" ref="H933" si="1134">AVERAGE(C930:C933)</f>
        <v>220.25</v>
      </c>
      <c r="I933" s="22">
        <f t="shared" ref="I933" si="1135">AVERAGE(D930:D933)</f>
        <v>1.5</v>
      </c>
      <c r="J933" s="22">
        <f t="shared" ref="J933" si="1136">AVERAGE(E930:E933)</f>
        <v>172.75</v>
      </c>
      <c r="K933" s="23">
        <f t="shared" ref="K933" si="1137">SUM(H933:J933)</f>
        <v>394.5</v>
      </c>
      <c r="L933" s="23">
        <f t="shared" ref="L933" si="1138">AVERAGE(K777+K829+K881)/3</f>
        <v>424.58333333333331</v>
      </c>
      <c r="M933" s="23">
        <f t="shared" si="815"/>
        <v>436</v>
      </c>
      <c r="N933" s="25">
        <f t="shared" ref="N933" si="1139">(F933-F881)/F881</f>
        <v>0.25065963060686014</v>
      </c>
      <c r="O933" s="25">
        <f t="shared" ref="O933" si="1140">(F933-L933)/L933</f>
        <v>0.11638861629048092</v>
      </c>
    </row>
    <row r="934" spans="1:15" x14ac:dyDescent="0.25">
      <c r="A934" s="16" t="s">
        <v>26</v>
      </c>
      <c r="B934" s="29">
        <f t="shared" si="1098"/>
        <v>40859</v>
      </c>
      <c r="C934" s="15">
        <v>293</v>
      </c>
      <c r="D934" s="15">
        <v>0</v>
      </c>
      <c r="E934" s="15">
        <v>138</v>
      </c>
      <c r="F934" s="21">
        <f t="shared" si="118"/>
        <v>431</v>
      </c>
      <c r="G934" s="18">
        <v>45</v>
      </c>
      <c r="H934" s="22">
        <f t="shared" ref="H934" si="1141">AVERAGE(C931:C934)</f>
        <v>238.25</v>
      </c>
      <c r="I934" s="22">
        <f t="shared" ref="I934" si="1142">AVERAGE(D931:D934)</f>
        <v>0</v>
      </c>
      <c r="J934" s="22">
        <f t="shared" ref="J934" si="1143">AVERAGE(E931:E934)</f>
        <v>169.5</v>
      </c>
      <c r="K934" s="23">
        <f t="shared" ref="K934" si="1144">SUM(H934:J934)</f>
        <v>407.75</v>
      </c>
      <c r="L934" s="23">
        <f t="shared" ref="L934" si="1145">AVERAGE(K778+K830+K882)/3</f>
        <v>485.66666666666669</v>
      </c>
      <c r="M934" s="23">
        <f t="shared" si="815"/>
        <v>641</v>
      </c>
      <c r="N934" s="25">
        <f t="shared" ref="N934" si="1146">(F934-F882)/F882</f>
        <v>-0.37806637806637805</v>
      </c>
      <c r="O934" s="25">
        <f t="shared" ref="O934" si="1147">(F934-L934)/L934</f>
        <v>-0.11256005490734389</v>
      </c>
    </row>
    <row r="935" spans="1:15" x14ac:dyDescent="0.25">
      <c r="A935" s="16" t="s">
        <v>26</v>
      </c>
      <c r="B935" s="29">
        <f t="shared" si="1098"/>
        <v>40866</v>
      </c>
      <c r="C935" s="15">
        <v>525</v>
      </c>
      <c r="D935" s="15">
        <v>3</v>
      </c>
      <c r="E935" s="15">
        <v>158</v>
      </c>
      <c r="F935" s="21">
        <f t="shared" si="118"/>
        <v>686</v>
      </c>
      <c r="G935" s="18">
        <v>46</v>
      </c>
      <c r="H935" s="22">
        <f t="shared" ref="H935" si="1148">AVERAGE(C932:C935)</f>
        <v>327</v>
      </c>
      <c r="I935" s="22">
        <f t="shared" ref="I935" si="1149">AVERAGE(D932:D935)</f>
        <v>0.75</v>
      </c>
      <c r="J935" s="22">
        <f t="shared" ref="J935" si="1150">AVERAGE(E932:E935)</f>
        <v>147.25</v>
      </c>
      <c r="K935" s="23">
        <f t="shared" ref="K935" si="1151">SUM(H935:J935)</f>
        <v>475</v>
      </c>
      <c r="L935" s="23">
        <f t="shared" ref="L935" si="1152">AVERAGE(K779+K831+K883)/3</f>
        <v>515.33333333333337</v>
      </c>
      <c r="M935" s="23">
        <f t="shared" si="815"/>
        <v>542.66666666666663</v>
      </c>
      <c r="N935" s="25">
        <f t="shared" ref="N935" si="1153">(F935-F883)/F883</f>
        <v>0.32432432432432434</v>
      </c>
      <c r="O935" s="25">
        <f t="shared" ref="O935" si="1154">(F935-L935)/L935</f>
        <v>0.3311772315653298</v>
      </c>
    </row>
    <row r="936" spans="1:15" x14ac:dyDescent="0.25">
      <c r="A936" s="16" t="s">
        <v>26</v>
      </c>
      <c r="B936" s="29">
        <f t="shared" si="1098"/>
        <v>40873</v>
      </c>
      <c r="C936" s="15">
        <v>662</v>
      </c>
      <c r="D936" s="15">
        <v>16</v>
      </c>
      <c r="E936" s="15">
        <v>179</v>
      </c>
      <c r="F936" s="21">
        <f t="shared" si="118"/>
        <v>857</v>
      </c>
      <c r="G936" s="18">
        <v>47</v>
      </c>
      <c r="H936" s="22">
        <f t="shared" ref="H936" si="1155">AVERAGE(C933:C936)</f>
        <v>450.75</v>
      </c>
      <c r="I936" s="22">
        <f t="shared" ref="I936" si="1156">AVERAGE(D933:D936)</f>
        <v>4.75</v>
      </c>
      <c r="J936" s="22">
        <f t="shared" ref="J936" si="1157">AVERAGE(E933:E936)</f>
        <v>156.5</v>
      </c>
      <c r="K936" s="23">
        <f t="shared" ref="K936" si="1158">SUM(H936:J936)</f>
        <v>612</v>
      </c>
      <c r="L936" s="23">
        <f t="shared" ref="L936" si="1159">AVERAGE(K780+K832+K884)/3</f>
        <v>561.66666666666663</v>
      </c>
      <c r="M936" s="23">
        <f t="shared" si="815"/>
        <v>627</v>
      </c>
      <c r="N936" s="25">
        <f t="shared" ref="N936" si="1160">(F936-F884)/F884</f>
        <v>0.48784722222222221</v>
      </c>
      <c r="O936" s="25">
        <f t="shared" ref="O936" si="1161">(F936-L936)/L936</f>
        <v>0.52581602373887248</v>
      </c>
    </row>
    <row r="937" spans="1:15" x14ac:dyDescent="0.25">
      <c r="A937" s="16" t="s">
        <v>26</v>
      </c>
      <c r="B937" s="29">
        <f t="shared" si="1098"/>
        <v>40880</v>
      </c>
      <c r="C937" s="15">
        <v>605</v>
      </c>
      <c r="D937" s="15">
        <v>2</v>
      </c>
      <c r="E937" s="15">
        <v>131</v>
      </c>
      <c r="F937" s="21">
        <f t="shared" si="118"/>
        <v>738</v>
      </c>
      <c r="G937" s="18">
        <v>48</v>
      </c>
      <c r="H937" s="22">
        <f t="shared" ref="H937" si="1162">AVERAGE(C934:C937)</f>
        <v>521.25</v>
      </c>
      <c r="I937" s="22">
        <f t="shared" ref="I937" si="1163">AVERAGE(D934:D937)</f>
        <v>5.25</v>
      </c>
      <c r="J937" s="22">
        <f t="shared" ref="J937" si="1164">AVERAGE(E934:E937)</f>
        <v>151.5</v>
      </c>
      <c r="K937" s="23">
        <f t="shared" ref="K937" si="1165">SUM(H937:J937)</f>
        <v>678</v>
      </c>
      <c r="L937" s="23">
        <f t="shared" ref="L937" si="1166">AVERAGE(K781+K833+K885)/3</f>
        <v>642.41666666666663</v>
      </c>
      <c r="M937" s="23">
        <f t="shared" si="815"/>
        <v>759</v>
      </c>
      <c r="N937" s="25">
        <f t="shared" ref="N937" si="1167">(F937-F885)/F885</f>
        <v>-0.20645161290322581</v>
      </c>
      <c r="O937" s="25">
        <f t="shared" ref="O937" si="1168">(F937-L937)/L937</f>
        <v>0.14878713192372559</v>
      </c>
    </row>
    <row r="938" spans="1:15" x14ac:dyDescent="0.25">
      <c r="A938" s="16" t="s">
        <v>15</v>
      </c>
      <c r="B938" s="29">
        <f t="shared" si="1098"/>
        <v>40887</v>
      </c>
      <c r="C938" s="15">
        <v>642</v>
      </c>
      <c r="D938" s="15">
        <v>2</v>
      </c>
      <c r="E938" s="15">
        <v>204</v>
      </c>
      <c r="F938" s="21">
        <f t="shared" si="118"/>
        <v>848</v>
      </c>
      <c r="G938" s="18">
        <v>49</v>
      </c>
      <c r="H938" s="22">
        <f t="shared" ref="H938" si="1169">AVERAGE(C935:C938)</f>
        <v>608.5</v>
      </c>
      <c r="I938" s="22">
        <f t="shared" ref="I938" si="1170">AVERAGE(D935:D938)</f>
        <v>5.75</v>
      </c>
      <c r="J938" s="22">
        <f t="shared" ref="J938" si="1171">AVERAGE(E935:E938)</f>
        <v>168</v>
      </c>
      <c r="K938" s="23">
        <f t="shared" ref="K938" si="1172">SUM(H938:J938)</f>
        <v>782.25</v>
      </c>
      <c r="L938" s="23">
        <f t="shared" ref="L938" si="1173">AVERAGE(K782+K834+K886)/3</f>
        <v>630.41666666666663</v>
      </c>
      <c r="M938" s="23">
        <f t="shared" si="815"/>
        <v>593</v>
      </c>
      <c r="N938" s="25">
        <f t="shared" ref="N938:N939" si="1174">(F938-F886)/F886</f>
        <v>0.45704467353951889</v>
      </c>
      <c r="O938" s="25">
        <f t="shared" ref="O938:O939" si="1175">(F938-L938)/L938</f>
        <v>0.34514210178453414</v>
      </c>
    </row>
    <row r="939" spans="1:15" x14ac:dyDescent="0.25">
      <c r="A939" s="16" t="s">
        <v>15</v>
      </c>
      <c r="B939" s="29">
        <f t="shared" si="1098"/>
        <v>40894</v>
      </c>
      <c r="C939" s="15">
        <v>391</v>
      </c>
      <c r="D939" s="15">
        <v>0</v>
      </c>
      <c r="E939" s="15">
        <v>282</v>
      </c>
      <c r="F939" s="21">
        <f t="shared" si="118"/>
        <v>673</v>
      </c>
      <c r="G939" s="18">
        <v>50</v>
      </c>
      <c r="H939" s="22">
        <f t="shared" ref="H939" si="1176">AVERAGE(C936:C939)</f>
        <v>575</v>
      </c>
      <c r="I939" s="22">
        <f t="shared" ref="I939" si="1177">AVERAGE(D936:D939)</f>
        <v>5</v>
      </c>
      <c r="J939" s="22">
        <f t="shared" ref="J939" si="1178">AVERAGE(E936:E939)</f>
        <v>199</v>
      </c>
      <c r="K939" s="23">
        <f t="shared" ref="K939" si="1179">SUM(H939:J939)</f>
        <v>779</v>
      </c>
      <c r="L939" s="23">
        <f t="shared" ref="L939:L980" si="1180">AVERAGE(K783+K835+K887)/3</f>
        <v>608.5</v>
      </c>
      <c r="M939" s="23">
        <f t="shared" si="815"/>
        <v>455</v>
      </c>
      <c r="N939" s="25">
        <f t="shared" si="1174"/>
        <v>0.54712643678160922</v>
      </c>
      <c r="O939" s="25">
        <f t="shared" si="1175"/>
        <v>0.10599835661462613</v>
      </c>
    </row>
    <row r="940" spans="1:15" x14ac:dyDescent="0.25">
      <c r="A940" s="16" t="s">
        <v>15</v>
      </c>
      <c r="B940" s="29">
        <f t="shared" si="1098"/>
        <v>40901</v>
      </c>
      <c r="C940" s="15">
        <v>237</v>
      </c>
      <c r="D940" s="15">
        <v>2</v>
      </c>
      <c r="E940" s="15">
        <v>204</v>
      </c>
      <c r="F940" s="21">
        <f t="shared" si="118"/>
        <v>443</v>
      </c>
      <c r="G940" s="18">
        <v>51</v>
      </c>
      <c r="H940" s="22">
        <f t="shared" ref="H940" si="1181">AVERAGE(C937:C940)</f>
        <v>468.75</v>
      </c>
      <c r="I940" s="22">
        <f t="shared" ref="I940" si="1182">AVERAGE(D937:D940)</f>
        <v>1.5</v>
      </c>
      <c r="J940" s="22">
        <f t="shared" ref="J940" si="1183">AVERAGE(E937:E940)</f>
        <v>205.25</v>
      </c>
      <c r="K940" s="23">
        <f t="shared" ref="K940" si="1184">SUM(H940:J940)</f>
        <v>675.5</v>
      </c>
      <c r="L940" s="23">
        <f t="shared" ref="L940" si="1185">AVERAGE(K784+K836+K888)/3</f>
        <v>546.08333333333337</v>
      </c>
      <c r="M940" s="23">
        <f t="shared" si="815"/>
        <v>377.33333333333331</v>
      </c>
      <c r="N940" s="25">
        <f t="shared" ref="N940" si="1186">(F940-F888)/F888</f>
        <v>-0.19600725952813067</v>
      </c>
      <c r="O940" s="25">
        <f t="shared" ref="O940" si="1187">(F940-L940)/L940</f>
        <v>-0.18876850297573636</v>
      </c>
    </row>
    <row r="941" spans="1:15" x14ac:dyDescent="0.25">
      <c r="A941" s="16" t="s">
        <v>15</v>
      </c>
      <c r="B941" s="29">
        <f t="shared" si="1098"/>
        <v>40908</v>
      </c>
      <c r="C941" s="15">
        <v>150</v>
      </c>
      <c r="D941" s="15">
        <v>0</v>
      </c>
      <c r="E941" s="15">
        <v>99</v>
      </c>
      <c r="F941" s="21">
        <f t="shared" si="118"/>
        <v>249</v>
      </c>
      <c r="G941" s="18">
        <v>52</v>
      </c>
      <c r="H941" s="22">
        <f t="shared" ref="H941" si="1188">AVERAGE(C938:C941)</f>
        <v>355</v>
      </c>
      <c r="I941" s="22">
        <f t="shared" ref="I941" si="1189">AVERAGE(D938:D941)</f>
        <v>1</v>
      </c>
      <c r="J941" s="22">
        <f t="shared" ref="J941" si="1190">AVERAGE(E938:E941)</f>
        <v>197.25</v>
      </c>
      <c r="K941" s="23">
        <f t="shared" ref="K941" si="1191">SUM(H941:J941)</f>
        <v>553.25</v>
      </c>
      <c r="L941" s="23">
        <f t="shared" ref="L941" si="1192">AVERAGE(K785+K837+K889)/3</f>
        <v>420.75</v>
      </c>
      <c r="M941" s="23">
        <f t="shared" si="815"/>
        <v>257.66666666666669</v>
      </c>
      <c r="N941" s="25">
        <f t="shared" ref="N941" si="1193">(F941-F889)/F889</f>
        <v>-0.29859154929577464</v>
      </c>
      <c r="O941" s="25">
        <f t="shared" ref="O941" si="1194">(F941-L941)/L941</f>
        <v>-0.40819964349376114</v>
      </c>
    </row>
    <row r="942" spans="1:15" x14ac:dyDescent="0.25">
      <c r="A942" s="16" t="s">
        <v>16</v>
      </c>
      <c r="B942" s="29">
        <f t="shared" si="1098"/>
        <v>40915</v>
      </c>
      <c r="C942" s="15">
        <v>154</v>
      </c>
      <c r="D942" s="15">
        <v>2</v>
      </c>
      <c r="E942" s="15">
        <v>103</v>
      </c>
      <c r="F942" s="21">
        <f t="shared" si="118"/>
        <v>259</v>
      </c>
      <c r="G942" s="18">
        <v>1</v>
      </c>
      <c r="H942" s="22">
        <f t="shared" ref="H942" si="1195">AVERAGE(C939:C942)</f>
        <v>233</v>
      </c>
      <c r="I942" s="22">
        <f t="shared" ref="I942" si="1196">AVERAGE(D939:D942)</f>
        <v>1</v>
      </c>
      <c r="J942" s="22">
        <f t="shared" ref="J942" si="1197">AVERAGE(E939:E942)</f>
        <v>172</v>
      </c>
      <c r="K942" s="23">
        <f t="shared" ref="K942" si="1198">SUM(H942:J942)</f>
        <v>406</v>
      </c>
      <c r="L942" s="23">
        <f t="shared" ref="L942" si="1199">AVERAGE(K786+K838+K890)/3</f>
        <v>321.33333333333331</v>
      </c>
      <c r="M942" s="23">
        <f t="shared" si="815"/>
        <v>195.33333333333334</v>
      </c>
      <c r="N942" s="25">
        <f t="shared" ref="N942" si="1200">(F942-F890)/F890</f>
        <v>-0.19565217391304349</v>
      </c>
      <c r="O942" s="25">
        <f t="shared" ref="O942" si="1201">(F942-L942)/L942</f>
        <v>-0.19398340248962651</v>
      </c>
    </row>
    <row r="943" spans="1:15" x14ac:dyDescent="0.25">
      <c r="A943" s="16" t="s">
        <v>16</v>
      </c>
      <c r="B943" s="29">
        <f t="shared" si="1098"/>
        <v>40922</v>
      </c>
      <c r="C943" s="15">
        <v>200</v>
      </c>
      <c r="D943" s="15">
        <v>0</v>
      </c>
      <c r="E943" s="15">
        <v>81</v>
      </c>
      <c r="F943" s="21">
        <f t="shared" si="118"/>
        <v>281</v>
      </c>
      <c r="G943" s="18">
        <v>2</v>
      </c>
      <c r="H943" s="22">
        <f t="shared" ref="H943" si="1202">AVERAGE(C940:C943)</f>
        <v>185.25</v>
      </c>
      <c r="I943" s="22">
        <f t="shared" ref="I943" si="1203">AVERAGE(D940:D943)</f>
        <v>1</v>
      </c>
      <c r="J943" s="22">
        <f t="shared" ref="J943" si="1204">AVERAGE(E940:E943)</f>
        <v>121.75</v>
      </c>
      <c r="K943" s="23">
        <f t="shared" ref="K943" si="1205">SUM(H943:J943)</f>
        <v>308</v>
      </c>
      <c r="L943" s="23">
        <f t="shared" ref="L943" si="1206">AVERAGE(K787+K839+K891)/3</f>
        <v>264.68733333333336</v>
      </c>
      <c r="M943" s="23">
        <f t="shared" si="815"/>
        <v>228.41600000000003</v>
      </c>
      <c r="N943" s="25">
        <f t="shared" ref="N943" si="1207">(F943-F891)/F891</f>
        <v>0.35748792270531399</v>
      </c>
      <c r="O943" s="25">
        <f t="shared" ref="O943" si="1208">(F943-L943)/L943</f>
        <v>6.1629948291191276E-2</v>
      </c>
    </row>
    <row r="944" spans="1:15" x14ac:dyDescent="0.25">
      <c r="A944" s="16" t="s">
        <v>16</v>
      </c>
      <c r="B944" s="29">
        <f t="shared" si="1098"/>
        <v>40929</v>
      </c>
      <c r="C944" s="15">
        <v>240</v>
      </c>
      <c r="D944" s="15">
        <v>15</v>
      </c>
      <c r="E944" s="15">
        <v>166</v>
      </c>
      <c r="F944" s="21">
        <f t="shared" si="118"/>
        <v>421</v>
      </c>
      <c r="G944" s="18">
        <v>3</v>
      </c>
      <c r="H944" s="22">
        <f t="shared" ref="H944" si="1209">AVERAGE(C941:C944)</f>
        <v>186</v>
      </c>
      <c r="I944" s="22">
        <f t="shared" ref="I944" si="1210">AVERAGE(D941:D944)</f>
        <v>4.25</v>
      </c>
      <c r="J944" s="22">
        <f t="shared" ref="J944" si="1211">AVERAGE(E941:E944)</f>
        <v>112.25</v>
      </c>
      <c r="K944" s="23">
        <f t="shared" ref="K944" si="1212">SUM(H944:J944)</f>
        <v>302.5</v>
      </c>
      <c r="L944" s="23">
        <f t="shared" ref="L944" si="1213">AVERAGE(K788+K840+K892)/3</f>
        <v>245.35400000000001</v>
      </c>
      <c r="M944" s="23">
        <f t="shared" si="815"/>
        <v>300</v>
      </c>
      <c r="N944" s="25">
        <f t="shared" ref="N944" si="1214">(F944-F892)/F892</f>
        <v>0.69758064516129037</v>
      </c>
      <c r="O944" s="25">
        <f t="shared" ref="O944" si="1215">(F944-L944)/L944</f>
        <v>0.71588806377723602</v>
      </c>
    </row>
    <row r="945" spans="1:15" x14ac:dyDescent="0.25">
      <c r="A945" s="16" t="s">
        <v>16</v>
      </c>
      <c r="B945" s="29">
        <f t="shared" si="1098"/>
        <v>40936</v>
      </c>
      <c r="C945" s="15">
        <v>225</v>
      </c>
      <c r="D945" s="15">
        <v>0</v>
      </c>
      <c r="E945" s="15">
        <v>109</v>
      </c>
      <c r="F945" s="21">
        <f t="shared" si="118"/>
        <v>334</v>
      </c>
      <c r="G945" s="18">
        <v>4</v>
      </c>
      <c r="H945" s="22">
        <f t="shared" ref="H945" si="1216">AVERAGE(C942:C945)</f>
        <v>204.75</v>
      </c>
      <c r="I945" s="22">
        <f t="shared" ref="I945" si="1217">AVERAGE(D942:D945)</f>
        <v>4.25</v>
      </c>
      <c r="J945" s="22">
        <f t="shared" ref="J945" si="1218">AVERAGE(E942:E945)</f>
        <v>114.75</v>
      </c>
      <c r="K945" s="23">
        <f t="shared" ref="K945" si="1219">SUM(H945:J945)</f>
        <v>323.75</v>
      </c>
      <c r="L945" s="23">
        <f t="shared" ref="L945" si="1220">AVERAGE(K789+K841+K893)/3</f>
        <v>240.85400000000001</v>
      </c>
      <c r="M945" s="23">
        <f t="shared" si="815"/>
        <v>239.66666666666666</v>
      </c>
      <c r="N945" s="25">
        <f t="shared" ref="N945" si="1221">(F945-F893)/F893</f>
        <v>0.20577617328519857</v>
      </c>
      <c r="O945" s="25">
        <f t="shared" ref="O945" si="1222">(F945-L945)/L945</f>
        <v>0.38673221121509288</v>
      </c>
    </row>
    <row r="946" spans="1:15" x14ac:dyDescent="0.25">
      <c r="A946" s="16" t="s">
        <v>23</v>
      </c>
      <c r="B946" s="29">
        <f t="shared" si="1098"/>
        <v>40943</v>
      </c>
      <c r="C946" s="15">
        <v>254</v>
      </c>
      <c r="D946" s="15">
        <v>17</v>
      </c>
      <c r="E946" s="15">
        <v>162</v>
      </c>
      <c r="F946" s="21">
        <f t="shared" si="118"/>
        <v>433</v>
      </c>
      <c r="G946" s="18">
        <v>5</v>
      </c>
      <c r="H946" s="22">
        <f t="shared" ref="H946" si="1223">AVERAGE(C943:C946)</f>
        <v>229.75</v>
      </c>
      <c r="I946" s="22">
        <f t="shared" ref="I946" si="1224">AVERAGE(D943:D946)</f>
        <v>8</v>
      </c>
      <c r="J946" s="22">
        <f t="shared" ref="J946" si="1225">AVERAGE(E943:E946)</f>
        <v>129.5</v>
      </c>
      <c r="K946" s="23">
        <f t="shared" ref="K946" si="1226">SUM(H946:J946)</f>
        <v>367.25</v>
      </c>
      <c r="L946" s="23">
        <f t="shared" ref="L946" si="1227">AVERAGE(K790+K842+K894)/3</f>
        <v>244.60400000000001</v>
      </c>
      <c r="M946" s="23">
        <f t="shared" si="815"/>
        <v>210.33333333333334</v>
      </c>
      <c r="N946" s="25">
        <f t="shared" ref="N946" si="1228">(F946-F894)/F894</f>
        <v>1.7756410256410255</v>
      </c>
      <c r="O946" s="25">
        <f t="shared" ref="O946" si="1229">(F946-L946)/L946</f>
        <v>0.770208173210577</v>
      </c>
    </row>
    <row r="947" spans="1:15" x14ac:dyDescent="0.25">
      <c r="A947" s="16" t="s">
        <v>23</v>
      </c>
      <c r="B947" s="29">
        <f t="shared" si="1098"/>
        <v>40950</v>
      </c>
      <c r="C947" s="15">
        <v>254</v>
      </c>
      <c r="D947" s="15">
        <v>2</v>
      </c>
      <c r="E947" s="15">
        <v>167</v>
      </c>
      <c r="F947" s="21">
        <f t="shared" si="118"/>
        <v>423</v>
      </c>
      <c r="G947" s="18">
        <v>6</v>
      </c>
      <c r="H947" s="22">
        <f t="shared" ref="H947" si="1230">AVERAGE(C944:C947)</f>
        <v>243.25</v>
      </c>
      <c r="I947" s="22">
        <f t="shared" ref="I947" si="1231">AVERAGE(D944:D947)</f>
        <v>8.5</v>
      </c>
      <c r="J947" s="22">
        <f t="shared" ref="J947" si="1232">AVERAGE(E944:E947)</f>
        <v>151</v>
      </c>
      <c r="K947" s="23">
        <f t="shared" ref="K947" si="1233">SUM(H947:J947)</f>
        <v>402.75</v>
      </c>
      <c r="L947" s="23">
        <f t="shared" ref="L947" si="1234">AVERAGE(K791+K843+K895)/3</f>
        <v>249.16666666666666</v>
      </c>
      <c r="M947" s="23">
        <f t="shared" si="815"/>
        <v>246.66666666666666</v>
      </c>
      <c r="N947" s="25">
        <f t="shared" ref="N947" si="1235">(F947-F895)/F895</f>
        <v>1.5481927710843373</v>
      </c>
      <c r="O947" s="25">
        <f t="shared" ref="O947" si="1236">(F947-L947)/L947</f>
        <v>0.69765886287625423</v>
      </c>
    </row>
    <row r="948" spans="1:15" x14ac:dyDescent="0.25">
      <c r="A948" s="16" t="s">
        <v>23</v>
      </c>
      <c r="B948" s="29">
        <f t="shared" si="1098"/>
        <v>40957</v>
      </c>
      <c r="C948" s="15">
        <v>269</v>
      </c>
      <c r="D948" s="15">
        <v>18</v>
      </c>
      <c r="E948" s="15">
        <v>111</v>
      </c>
      <c r="F948" s="21">
        <f t="shared" si="118"/>
        <v>398</v>
      </c>
      <c r="G948" s="18">
        <v>7</v>
      </c>
      <c r="H948" s="22">
        <f t="shared" ref="H948" si="1237">AVERAGE(C945:C948)</f>
        <v>250.5</v>
      </c>
      <c r="I948" s="22">
        <f t="shared" ref="I948" si="1238">AVERAGE(D945:D948)</f>
        <v>9.25</v>
      </c>
      <c r="J948" s="22">
        <f t="shared" ref="J948" si="1239">AVERAGE(E945:E948)</f>
        <v>137.25</v>
      </c>
      <c r="K948" s="23">
        <f t="shared" ref="K948" si="1240">SUM(H948:J948)</f>
        <v>397</v>
      </c>
      <c r="L948" s="23">
        <f t="shared" ref="L948" si="1241">AVERAGE(K792+K844+K896)/3</f>
        <v>254.58333333333334</v>
      </c>
      <c r="M948" s="23">
        <f t="shared" si="815"/>
        <v>321.66666666666669</v>
      </c>
      <c r="N948" s="25">
        <f t="shared" ref="N948" si="1242">(F948-F896)/F896</f>
        <v>0.20241691842900303</v>
      </c>
      <c r="O948" s="25">
        <f t="shared" ref="O948" si="1243">(F948-L948)/L948</f>
        <v>0.56333878887070366</v>
      </c>
    </row>
    <row r="949" spans="1:15" x14ac:dyDescent="0.25">
      <c r="A949" s="16" t="s">
        <v>23</v>
      </c>
      <c r="B949" s="29">
        <f t="shared" si="1098"/>
        <v>40964</v>
      </c>
      <c r="C949" s="15">
        <v>200</v>
      </c>
      <c r="D949" s="15">
        <v>3</v>
      </c>
      <c r="E949" s="15">
        <v>69</v>
      </c>
      <c r="F949" s="21">
        <f t="shared" si="118"/>
        <v>272</v>
      </c>
      <c r="G949" s="18">
        <v>8</v>
      </c>
      <c r="H949" s="22">
        <f t="shared" ref="H949" si="1244">AVERAGE(C946:C949)</f>
        <v>244.25</v>
      </c>
      <c r="I949" s="22">
        <f t="shared" ref="I949" si="1245">AVERAGE(D946:D949)</f>
        <v>10</v>
      </c>
      <c r="J949" s="22">
        <f t="shared" ref="J949" si="1246">AVERAGE(E946:E949)</f>
        <v>127.25</v>
      </c>
      <c r="K949" s="23">
        <f t="shared" ref="K949" si="1247">SUM(H949:J949)</f>
        <v>381.5</v>
      </c>
      <c r="L949" s="23">
        <f t="shared" ref="L949" si="1248">AVERAGE(K793+K845+K897)/3</f>
        <v>302.83333333333331</v>
      </c>
      <c r="M949" s="23">
        <f t="shared" si="815"/>
        <v>432.66666666666669</v>
      </c>
      <c r="N949" s="25">
        <f t="shared" ref="N949" si="1249">(F949-F897)/F897</f>
        <v>-0.18805970149253731</v>
      </c>
      <c r="O949" s="25">
        <f t="shared" ref="O949" si="1250">(F949-L949)/L949</f>
        <v>-0.10181618051733621</v>
      </c>
    </row>
    <row r="950" spans="1:15" x14ac:dyDescent="0.25">
      <c r="A950" s="16" t="s">
        <v>23</v>
      </c>
      <c r="B950" s="29">
        <f t="shared" si="1098"/>
        <v>40971</v>
      </c>
      <c r="C950" s="15">
        <v>176</v>
      </c>
      <c r="D950" s="15">
        <v>6</v>
      </c>
      <c r="E950" s="15">
        <v>78</v>
      </c>
      <c r="F950" s="21">
        <f t="shared" si="118"/>
        <v>260</v>
      </c>
      <c r="G950" s="18">
        <v>9</v>
      </c>
      <c r="H950" s="22">
        <f t="shared" ref="H950" si="1251">AVERAGE(C947:C950)</f>
        <v>224.75</v>
      </c>
      <c r="I950" s="22">
        <f t="shared" ref="I950" si="1252">AVERAGE(D947:D950)</f>
        <v>7.25</v>
      </c>
      <c r="J950" s="22">
        <f t="shared" ref="J950" si="1253">AVERAGE(E947:E950)</f>
        <v>106.25</v>
      </c>
      <c r="K950" s="23">
        <f t="shared" ref="K950" si="1254">SUM(H950:J950)</f>
        <v>338.25</v>
      </c>
      <c r="L950" s="23">
        <f t="shared" ref="L950" si="1255">AVERAGE(K794+K846+K898)/3</f>
        <v>353</v>
      </c>
      <c r="M950" s="23">
        <f t="shared" ref="M950:M995" si="1256">AVERAGE(F794+F846+F898)/3</f>
        <v>411</v>
      </c>
      <c r="N950" s="25">
        <f t="shared" ref="N950" si="1257">(F950-F898)/F898</f>
        <v>0.17117117117117117</v>
      </c>
      <c r="O950" s="25">
        <f t="shared" ref="O950" si="1258">(F950-L950)/L950</f>
        <v>-0.26345609065155806</v>
      </c>
    </row>
    <row r="951" spans="1:15" x14ac:dyDescent="0.25">
      <c r="A951" s="16" t="s">
        <v>27</v>
      </c>
      <c r="B951" s="29">
        <f t="shared" si="1098"/>
        <v>40978</v>
      </c>
      <c r="C951" s="15">
        <v>115</v>
      </c>
      <c r="D951" s="15">
        <v>0</v>
      </c>
      <c r="E951" s="15">
        <v>128</v>
      </c>
      <c r="F951" s="21">
        <f t="shared" si="118"/>
        <v>243</v>
      </c>
      <c r="G951" s="18">
        <v>10</v>
      </c>
      <c r="H951" s="22">
        <f t="shared" ref="H951" si="1259">AVERAGE(C948:C951)</f>
        <v>190</v>
      </c>
      <c r="I951" s="22">
        <f t="shared" ref="I951" si="1260">AVERAGE(D948:D951)</f>
        <v>6.75</v>
      </c>
      <c r="J951" s="22">
        <f t="shared" ref="J951" si="1261">AVERAGE(E948:E951)</f>
        <v>96.5</v>
      </c>
      <c r="K951" s="23">
        <f t="shared" ref="K951" si="1262">SUM(H951:J951)</f>
        <v>293.25</v>
      </c>
      <c r="L951" s="23">
        <f t="shared" ref="L951" si="1263">AVERAGE(K795+K847+K899)/3</f>
        <v>404.75</v>
      </c>
      <c r="M951" s="23">
        <f t="shared" si="1256"/>
        <v>453.66666666666669</v>
      </c>
      <c r="N951" s="25">
        <f t="shared" ref="N951" si="1264">(F951-F899)/F899</f>
        <v>-0.30172413793103448</v>
      </c>
      <c r="O951" s="25">
        <f t="shared" ref="O951" si="1265">(F951-L951)/L951</f>
        <v>-0.39962940086473131</v>
      </c>
    </row>
    <row r="952" spans="1:15" x14ac:dyDescent="0.25">
      <c r="A952" s="16" t="s">
        <v>27</v>
      </c>
      <c r="B952" s="29">
        <f t="shared" si="1098"/>
        <v>40985</v>
      </c>
      <c r="C952" s="15">
        <v>144</v>
      </c>
      <c r="D952" s="15">
        <v>5</v>
      </c>
      <c r="E952" s="15">
        <v>54</v>
      </c>
      <c r="F952" s="21">
        <f t="shared" si="118"/>
        <v>203</v>
      </c>
      <c r="G952" s="18">
        <v>11</v>
      </c>
      <c r="H952" s="22">
        <f t="shared" ref="H952" si="1266">AVERAGE(C949:C952)</f>
        <v>158.75</v>
      </c>
      <c r="I952" s="22">
        <f t="shared" ref="I952" si="1267">AVERAGE(D949:D952)</f>
        <v>3.5</v>
      </c>
      <c r="J952" s="22">
        <f t="shared" ref="J952" si="1268">AVERAGE(E949:E952)</f>
        <v>82.25</v>
      </c>
      <c r="K952" s="23">
        <f t="shared" ref="K952" si="1269">SUM(H952:J952)</f>
        <v>244.5</v>
      </c>
      <c r="L952" s="23">
        <f t="shared" ref="L952" si="1270">AVERAGE(K796+K848+K900)/3</f>
        <v>412.41666666666669</v>
      </c>
      <c r="M952" s="23">
        <f t="shared" si="1256"/>
        <v>352.33333333333331</v>
      </c>
      <c r="N952" s="25">
        <f t="shared" ref="N952:N955" si="1271">(F952-F900)/F900</f>
        <v>-0.52790697674418607</v>
      </c>
      <c r="O952" s="25">
        <f t="shared" ref="O952:O955" si="1272">(F952-L952)/L952</f>
        <v>-0.50777934936350777</v>
      </c>
    </row>
    <row r="953" spans="1:15" x14ac:dyDescent="0.25">
      <c r="A953" s="16" t="s">
        <v>27</v>
      </c>
      <c r="B953" s="29">
        <f t="shared" si="1098"/>
        <v>40992</v>
      </c>
      <c r="C953" s="15">
        <v>456</v>
      </c>
      <c r="D953" s="15">
        <v>0</v>
      </c>
      <c r="E953" s="15">
        <v>113</v>
      </c>
      <c r="F953" s="21">
        <f t="shared" si="118"/>
        <v>569</v>
      </c>
      <c r="G953" s="18">
        <v>12</v>
      </c>
      <c r="H953" s="22">
        <f t="shared" ref="H953" si="1273">AVERAGE(C950:C953)</f>
        <v>222.75</v>
      </c>
      <c r="I953" s="22">
        <f t="shared" ref="I953" si="1274">AVERAGE(D950:D953)</f>
        <v>2.75</v>
      </c>
      <c r="J953" s="22">
        <f t="shared" ref="J953" si="1275">AVERAGE(E950:E953)</f>
        <v>93.25</v>
      </c>
      <c r="K953" s="23">
        <f t="shared" ref="K953" si="1276">SUM(H953:J953)</f>
        <v>318.75</v>
      </c>
      <c r="L953" s="23">
        <f t="shared" si="1180"/>
        <v>396.08333333333331</v>
      </c>
      <c r="M953" s="23">
        <f t="shared" si="1256"/>
        <v>367.33333333333331</v>
      </c>
      <c r="N953" s="25">
        <f t="shared" si="1271"/>
        <v>0.26444444444444443</v>
      </c>
      <c r="O953" s="25">
        <f t="shared" si="1272"/>
        <v>0.43656637912897123</v>
      </c>
    </row>
    <row r="954" spans="1:15" x14ac:dyDescent="0.25">
      <c r="A954" s="16" t="s">
        <v>27</v>
      </c>
      <c r="B954" s="29">
        <f t="shared" si="1098"/>
        <v>40999</v>
      </c>
      <c r="C954" s="15">
        <v>424</v>
      </c>
      <c r="D954" s="15">
        <v>11</v>
      </c>
      <c r="E954" s="15">
        <v>161</v>
      </c>
      <c r="F954" s="21">
        <f t="shared" si="118"/>
        <v>596</v>
      </c>
      <c r="G954" s="18">
        <v>13</v>
      </c>
      <c r="H954" s="22">
        <f t="shared" ref="H954" si="1277">AVERAGE(C951:C954)</f>
        <v>284.75</v>
      </c>
      <c r="I954" s="22">
        <f t="shared" ref="I954" si="1278">AVERAGE(D951:D954)</f>
        <v>4</v>
      </c>
      <c r="J954" s="22">
        <f t="shared" ref="J954" si="1279">AVERAGE(E951:E954)</f>
        <v>114</v>
      </c>
      <c r="K954" s="23">
        <f t="shared" ref="K954" si="1280">SUM(H954:J954)</f>
        <v>402.75</v>
      </c>
      <c r="L954" s="23">
        <f t="shared" si="1180"/>
        <v>403.75</v>
      </c>
      <c r="M954" s="23">
        <f t="shared" si="1256"/>
        <v>441.66666666666669</v>
      </c>
      <c r="N954" s="25">
        <f t="shared" si="1271"/>
        <v>0.38604651162790699</v>
      </c>
      <c r="O954" s="25">
        <f t="shared" si="1272"/>
        <v>0.47616099071207429</v>
      </c>
    </row>
    <row r="955" spans="1:15" x14ac:dyDescent="0.25">
      <c r="A955" s="16" t="s">
        <v>14</v>
      </c>
      <c r="B955" s="29">
        <f t="shared" si="1098"/>
        <v>41006</v>
      </c>
      <c r="C955" s="15">
        <v>325</v>
      </c>
      <c r="D955" s="15">
        <v>16</v>
      </c>
      <c r="E955" s="15">
        <v>174</v>
      </c>
      <c r="F955" s="21">
        <f t="shared" si="118"/>
        <v>515</v>
      </c>
      <c r="G955" s="18">
        <v>14</v>
      </c>
      <c r="H955" s="22">
        <f t="shared" ref="H955" si="1281">AVERAGE(C952:C955)</f>
        <v>337.25</v>
      </c>
      <c r="I955" s="22">
        <f t="shared" ref="I955" si="1282">AVERAGE(D952:D955)</f>
        <v>8</v>
      </c>
      <c r="J955" s="22">
        <f t="shared" ref="J955" si="1283">AVERAGE(E952:E955)</f>
        <v>125.5</v>
      </c>
      <c r="K955" s="23">
        <f t="shared" ref="K955" si="1284">SUM(H955:J955)</f>
        <v>470.75</v>
      </c>
      <c r="L955" s="23">
        <f t="shared" si="1180"/>
        <v>379.58333333333331</v>
      </c>
      <c r="M955" s="23">
        <f t="shared" si="1256"/>
        <v>357</v>
      </c>
      <c r="N955" s="25">
        <f t="shared" si="1271"/>
        <v>0.5558912386706949</v>
      </c>
      <c r="O955" s="25">
        <f t="shared" si="1272"/>
        <v>0.35675082327113067</v>
      </c>
    </row>
    <row r="956" spans="1:15" x14ac:dyDescent="0.25">
      <c r="A956" s="16" t="s">
        <v>14</v>
      </c>
      <c r="B956" s="29">
        <f t="shared" si="1098"/>
        <v>41013</v>
      </c>
      <c r="C956" s="15">
        <v>227</v>
      </c>
      <c r="D956" s="15">
        <v>19</v>
      </c>
      <c r="E956" s="15">
        <v>115</v>
      </c>
      <c r="F956" s="21">
        <f t="shared" si="118"/>
        <v>361</v>
      </c>
      <c r="G956" s="18">
        <v>15</v>
      </c>
      <c r="H956" s="22">
        <f t="shared" ref="H956" si="1285">AVERAGE(C953:C956)</f>
        <v>358</v>
      </c>
      <c r="I956" s="22">
        <f t="shared" ref="I956" si="1286">AVERAGE(D953:D956)</f>
        <v>11.5</v>
      </c>
      <c r="J956" s="22">
        <f t="shared" ref="J956" si="1287">AVERAGE(E953:E956)</f>
        <v>140.75</v>
      </c>
      <c r="K956" s="23">
        <f t="shared" ref="K956" si="1288">SUM(H956:J956)</f>
        <v>510.25</v>
      </c>
      <c r="L956" s="23">
        <f t="shared" ref="L956" si="1289">AVERAGE(K800+K852+K904)/3</f>
        <v>411</v>
      </c>
      <c r="M956" s="23">
        <f t="shared" si="1256"/>
        <v>478</v>
      </c>
      <c r="N956" s="25">
        <f t="shared" ref="N956" si="1290">(F956-F904)/F904</f>
        <v>-0.17579908675799086</v>
      </c>
      <c r="O956" s="25">
        <f t="shared" ref="O956" si="1291">(F956-L956)/L956</f>
        <v>-0.12165450121654502</v>
      </c>
    </row>
    <row r="957" spans="1:15" x14ac:dyDescent="0.25">
      <c r="A957" s="16" t="s">
        <v>14</v>
      </c>
      <c r="B957" s="29">
        <f t="shared" si="1098"/>
        <v>41020</v>
      </c>
      <c r="C957" s="15">
        <v>413</v>
      </c>
      <c r="D957" s="15">
        <v>12</v>
      </c>
      <c r="E957" s="15">
        <v>177</v>
      </c>
      <c r="F957" s="21">
        <f t="shared" si="118"/>
        <v>602</v>
      </c>
      <c r="G957" s="18">
        <v>16</v>
      </c>
      <c r="H957" s="22">
        <f t="shared" ref="H957" si="1292">AVERAGE(C954:C957)</f>
        <v>347.25</v>
      </c>
      <c r="I957" s="22">
        <f t="shared" ref="I957" si="1293">AVERAGE(D954:D957)</f>
        <v>14.5</v>
      </c>
      <c r="J957" s="22">
        <f t="shared" ref="J957" si="1294">AVERAGE(E954:E957)</f>
        <v>156.75</v>
      </c>
      <c r="K957" s="23">
        <f t="shared" ref="K957" si="1295">SUM(H957:J957)</f>
        <v>518.5</v>
      </c>
      <c r="L957" s="23">
        <f t="shared" ref="L957" si="1296">AVERAGE(K801+K853+K905)/3</f>
        <v>435.83333333333331</v>
      </c>
      <c r="M957" s="23">
        <f t="shared" si="1256"/>
        <v>466.66666666666669</v>
      </c>
      <c r="N957" s="25">
        <f t="shared" ref="N957" si="1297">(F957-F905)/F905</f>
        <v>0.91719745222929938</v>
      </c>
      <c r="O957" s="25">
        <f t="shared" ref="O957" si="1298">(F957-L957)/L957</f>
        <v>0.38126195028680693</v>
      </c>
    </row>
    <row r="958" spans="1:15" x14ac:dyDescent="0.25">
      <c r="A958" s="16" t="s">
        <v>14</v>
      </c>
      <c r="B958" s="29">
        <f t="shared" si="1098"/>
        <v>41027</v>
      </c>
      <c r="C958" s="15">
        <v>339</v>
      </c>
      <c r="D958" s="15">
        <v>9</v>
      </c>
      <c r="E958" s="15">
        <v>156</v>
      </c>
      <c r="F958" s="21">
        <f t="shared" si="118"/>
        <v>504</v>
      </c>
      <c r="G958" s="18">
        <v>17</v>
      </c>
      <c r="H958" s="22">
        <f t="shared" ref="H958" si="1299">AVERAGE(C955:C958)</f>
        <v>326</v>
      </c>
      <c r="I958" s="22">
        <f t="shared" ref="I958" si="1300">AVERAGE(D955:D958)</f>
        <v>14</v>
      </c>
      <c r="J958" s="22">
        <f t="shared" ref="J958" si="1301">AVERAGE(E955:E958)</f>
        <v>155.5</v>
      </c>
      <c r="K958" s="23">
        <f t="shared" ref="K958" si="1302">SUM(H958:J958)</f>
        <v>495.5</v>
      </c>
      <c r="L958" s="23">
        <f t="shared" ref="L958" si="1303">AVERAGE(K802+K854+K906)/3</f>
        <v>414.91666666666669</v>
      </c>
      <c r="M958" s="23">
        <f t="shared" si="1256"/>
        <v>358</v>
      </c>
      <c r="N958" s="25">
        <f t="shared" ref="N958" si="1304">(F958-F906)/F906</f>
        <v>1.3333333333333333</v>
      </c>
      <c r="O958" s="25">
        <f t="shared" ref="O958" si="1305">(F958-L958)/L958</f>
        <v>0.214701747338823</v>
      </c>
    </row>
    <row r="959" spans="1:15" x14ac:dyDescent="0.25">
      <c r="A959" s="16" t="s">
        <v>5</v>
      </c>
      <c r="B959" s="29">
        <f t="shared" si="1098"/>
        <v>41034</v>
      </c>
      <c r="C959" s="15">
        <v>193</v>
      </c>
      <c r="D959" s="15">
        <v>11</v>
      </c>
      <c r="E959" s="15">
        <v>90</v>
      </c>
      <c r="F959" s="21">
        <f t="shared" si="118"/>
        <v>294</v>
      </c>
      <c r="G959" s="18">
        <v>18</v>
      </c>
      <c r="H959" s="22">
        <f t="shared" ref="H959" si="1306">AVERAGE(C956:C959)</f>
        <v>293</v>
      </c>
      <c r="I959" s="22">
        <f t="shared" ref="I959" si="1307">AVERAGE(D956:D959)</f>
        <v>12.75</v>
      </c>
      <c r="J959" s="22">
        <f t="shared" ref="J959" si="1308">AVERAGE(E956:E959)</f>
        <v>134.5</v>
      </c>
      <c r="K959" s="23">
        <f t="shared" ref="K959" si="1309">SUM(H959:J959)</f>
        <v>440.25</v>
      </c>
      <c r="L959" s="23">
        <f t="shared" ref="L959" si="1310">AVERAGE(K803+K855+K907)/3</f>
        <v>445.75</v>
      </c>
      <c r="M959" s="23">
        <f t="shared" si="1256"/>
        <v>480.33333333333331</v>
      </c>
      <c r="N959" s="25">
        <f t="shared" ref="N959:N960" si="1311">(F959-F907)/F907</f>
        <v>0.05</v>
      </c>
      <c r="O959" s="25">
        <f t="shared" ref="O959:O960" si="1312">(F959-L959)/L959</f>
        <v>-0.340437464946719</v>
      </c>
    </row>
    <row r="960" spans="1:15" x14ac:dyDescent="0.25">
      <c r="A960" s="16" t="s">
        <v>5</v>
      </c>
      <c r="B960" s="29">
        <f t="shared" si="1098"/>
        <v>41041</v>
      </c>
      <c r="C960" s="15">
        <v>302</v>
      </c>
      <c r="D960" s="15">
        <v>15</v>
      </c>
      <c r="E960" s="15">
        <v>86</v>
      </c>
      <c r="F960" s="21">
        <f t="shared" si="118"/>
        <v>403</v>
      </c>
      <c r="G960" s="18">
        <v>19</v>
      </c>
      <c r="H960" s="22">
        <f t="shared" ref="H960" si="1313">AVERAGE(C957:C960)</f>
        <v>311.75</v>
      </c>
      <c r="I960" s="22">
        <f t="shared" ref="I960" si="1314">AVERAGE(D957:D960)</f>
        <v>11.75</v>
      </c>
      <c r="J960" s="22">
        <f t="shared" ref="J960" si="1315">AVERAGE(E957:E960)</f>
        <v>127.25</v>
      </c>
      <c r="K960" s="23">
        <f t="shared" ref="K960" si="1316">SUM(H960:J960)</f>
        <v>450.75</v>
      </c>
      <c r="L960" s="23">
        <f t="shared" si="1180"/>
        <v>477.5</v>
      </c>
      <c r="M960" s="23">
        <f t="shared" si="1256"/>
        <v>605</v>
      </c>
      <c r="N960" s="25">
        <f t="shared" si="1311"/>
        <v>-0.1875</v>
      </c>
      <c r="O960" s="25">
        <f t="shared" si="1312"/>
        <v>-0.15602094240837697</v>
      </c>
    </row>
    <row r="961" spans="1:15" x14ac:dyDescent="0.25">
      <c r="A961" s="16" t="s">
        <v>5</v>
      </c>
      <c r="B961" s="29">
        <f t="shared" si="1098"/>
        <v>41048</v>
      </c>
      <c r="C961" s="15">
        <v>402</v>
      </c>
      <c r="D961" s="15">
        <v>27</v>
      </c>
      <c r="E961" s="15">
        <v>107</v>
      </c>
      <c r="F961" s="21">
        <f t="shared" si="118"/>
        <v>536</v>
      </c>
      <c r="G961" s="18">
        <v>20</v>
      </c>
      <c r="H961" s="22">
        <f t="shared" ref="H961" si="1317">AVERAGE(C958:C961)</f>
        <v>309</v>
      </c>
      <c r="I961" s="22">
        <f t="shared" ref="I961" si="1318">AVERAGE(D958:D961)</f>
        <v>15.5</v>
      </c>
      <c r="J961" s="22">
        <f t="shared" ref="J961" si="1319">AVERAGE(E958:E961)</f>
        <v>109.75</v>
      </c>
      <c r="K961" s="23">
        <f t="shared" ref="K961" si="1320">SUM(H961:J961)</f>
        <v>434.25</v>
      </c>
      <c r="L961" s="23">
        <f t="shared" ref="L961" si="1321">AVERAGE(K805+K857+K909)/3</f>
        <v>514.25</v>
      </c>
      <c r="M961" s="23">
        <f t="shared" si="1256"/>
        <v>613.66666666666663</v>
      </c>
      <c r="N961" s="25">
        <f t="shared" ref="N961" si="1322">(F961-F909)/F909</f>
        <v>-6.7826086956521744E-2</v>
      </c>
      <c r="O961" s="25">
        <f t="shared" ref="O961" si="1323">(F961-L961)/L961</f>
        <v>4.2294603791929994E-2</v>
      </c>
    </row>
    <row r="962" spans="1:15" x14ac:dyDescent="0.25">
      <c r="A962" s="16" t="s">
        <v>5</v>
      </c>
      <c r="B962" s="29">
        <f t="shared" si="1098"/>
        <v>41055</v>
      </c>
      <c r="C962" s="15">
        <v>332</v>
      </c>
      <c r="D962" s="15">
        <v>11</v>
      </c>
      <c r="E962" s="15">
        <v>55</v>
      </c>
      <c r="F962" s="21">
        <f t="shared" ref="F962:F1012" si="1324">SUM(C962:E962)</f>
        <v>398</v>
      </c>
      <c r="G962" s="18">
        <v>21</v>
      </c>
      <c r="H962" s="22">
        <f t="shared" ref="H962" si="1325">AVERAGE(C959:C962)</f>
        <v>307.25</v>
      </c>
      <c r="I962" s="22">
        <f t="shared" ref="I962" si="1326">AVERAGE(D959:D962)</f>
        <v>16</v>
      </c>
      <c r="J962" s="22">
        <f t="shared" ref="J962" si="1327">AVERAGE(E959:E962)</f>
        <v>84.5</v>
      </c>
      <c r="K962" s="23">
        <f t="shared" ref="K962" si="1328">SUM(H962:J962)</f>
        <v>407.75</v>
      </c>
      <c r="L962" s="23">
        <f t="shared" ref="L962" si="1329">AVERAGE(K806+K858+K910)/3</f>
        <v>580.66666666666663</v>
      </c>
      <c r="M962" s="23">
        <f t="shared" si="1256"/>
        <v>623.66666666666663</v>
      </c>
      <c r="N962" s="25">
        <f t="shared" ref="N962" si="1330">(F962-F910)/F910</f>
        <v>-0.20558882235528941</v>
      </c>
      <c r="O962" s="25">
        <f t="shared" ref="O962" si="1331">(F962-L962)/L962</f>
        <v>-0.31458094144661303</v>
      </c>
    </row>
    <row r="963" spans="1:15" x14ac:dyDescent="0.25">
      <c r="A963" s="16" t="s">
        <v>5</v>
      </c>
      <c r="B963" s="29">
        <f t="shared" si="1098"/>
        <v>41062</v>
      </c>
      <c r="C963" s="15">
        <v>437</v>
      </c>
      <c r="D963" s="15">
        <v>12</v>
      </c>
      <c r="E963" s="15">
        <v>78</v>
      </c>
      <c r="F963" s="21">
        <f t="shared" si="1324"/>
        <v>527</v>
      </c>
      <c r="G963" s="18">
        <v>22</v>
      </c>
      <c r="H963" s="22">
        <f t="shared" ref="H963" si="1332">AVERAGE(C960:C963)</f>
        <v>368.25</v>
      </c>
      <c r="I963" s="22">
        <f t="shared" ref="I963" si="1333">AVERAGE(D960:D963)</f>
        <v>16.25</v>
      </c>
      <c r="J963" s="22">
        <f t="shared" ref="J963" si="1334">AVERAGE(E960:E963)</f>
        <v>81.5</v>
      </c>
      <c r="K963" s="23">
        <f t="shared" ref="K963" si="1335">SUM(H963:J963)</f>
        <v>466</v>
      </c>
      <c r="L963" s="23">
        <f t="shared" ref="L963" si="1336">AVERAGE(K807+K859+K911)/3</f>
        <v>604.5</v>
      </c>
      <c r="M963" s="23">
        <f t="shared" si="1256"/>
        <v>575.66666666666663</v>
      </c>
      <c r="N963" s="25">
        <f t="shared" ref="N963" si="1337">(F963-F911)/F911</f>
        <v>0.21149425287356322</v>
      </c>
      <c r="O963" s="25">
        <f t="shared" ref="O963" si="1338">(F963-L963)/L963</f>
        <v>-0.12820512820512819</v>
      </c>
    </row>
    <row r="964" spans="1:15" x14ac:dyDescent="0.25">
      <c r="A964" s="16" t="s">
        <v>30</v>
      </c>
      <c r="B964" s="29">
        <f t="shared" si="1098"/>
        <v>41069</v>
      </c>
      <c r="C964" s="15">
        <v>330</v>
      </c>
      <c r="D964" s="15">
        <v>6</v>
      </c>
      <c r="E964" s="15">
        <v>93</v>
      </c>
      <c r="F964" s="21">
        <f t="shared" si="1324"/>
        <v>429</v>
      </c>
      <c r="G964" s="18">
        <v>23</v>
      </c>
      <c r="H964" s="22">
        <f t="shared" ref="H964" si="1339">AVERAGE(C961:C964)</f>
        <v>375.25</v>
      </c>
      <c r="I964" s="22">
        <f t="shared" ref="I964" si="1340">AVERAGE(D961:D964)</f>
        <v>14</v>
      </c>
      <c r="J964" s="22">
        <f t="shared" ref="J964" si="1341">AVERAGE(E961:E964)</f>
        <v>83.25</v>
      </c>
      <c r="K964" s="23">
        <f t="shared" ref="K964" si="1342">SUM(H964:J964)</f>
        <v>472.5</v>
      </c>
      <c r="L964" s="23">
        <f t="shared" ref="L964" si="1343">AVERAGE(K808+K860+K912)/3</f>
        <v>607.91666666666663</v>
      </c>
      <c r="M964" s="23">
        <f t="shared" si="1256"/>
        <v>618.66666666666663</v>
      </c>
      <c r="N964" s="25">
        <f t="shared" ref="N964" si="1344">(F964-F912)/F912</f>
        <v>-9.49367088607595E-2</v>
      </c>
      <c r="O964" s="25">
        <f t="shared" ref="O964" si="1345">(F964-L964)/L964</f>
        <v>-0.29431117203564083</v>
      </c>
    </row>
    <row r="965" spans="1:15" x14ac:dyDescent="0.25">
      <c r="A965" s="16" t="s">
        <v>30</v>
      </c>
      <c r="B965" s="29">
        <f t="shared" si="1098"/>
        <v>41076</v>
      </c>
      <c r="C965" s="15">
        <v>287</v>
      </c>
      <c r="D965" s="15">
        <v>0</v>
      </c>
      <c r="E965" s="15">
        <v>150</v>
      </c>
      <c r="F965" s="21">
        <f t="shared" si="1324"/>
        <v>437</v>
      </c>
      <c r="G965" s="18">
        <v>24</v>
      </c>
      <c r="H965" s="22">
        <f t="shared" ref="H965" si="1346">AVERAGE(C962:C965)</f>
        <v>346.5</v>
      </c>
      <c r="I965" s="22">
        <f t="shared" ref="I965" si="1347">AVERAGE(D962:D965)</f>
        <v>7.25</v>
      </c>
      <c r="J965" s="22">
        <f t="shared" ref="J965" si="1348">AVERAGE(E962:E965)</f>
        <v>94</v>
      </c>
      <c r="K965" s="23">
        <f t="shared" ref="K965" si="1349">SUM(H965:J965)</f>
        <v>447.75</v>
      </c>
      <c r="L965" s="23">
        <f t="shared" ref="L965" si="1350">AVERAGE(K809+K861+K913)/3</f>
        <v>615.08333333333337</v>
      </c>
      <c r="M965" s="23">
        <f t="shared" si="1256"/>
        <v>642.33333333333337</v>
      </c>
      <c r="N965" s="25">
        <f t="shared" ref="N965" si="1351">(F965-F913)/F913</f>
        <v>0.52264808362369342</v>
      </c>
      <c r="O965" s="25">
        <f t="shared" ref="O965" si="1352">(F965-L965)/L965</f>
        <v>-0.28952716434087528</v>
      </c>
    </row>
    <row r="966" spans="1:15" x14ac:dyDescent="0.25">
      <c r="A966" s="16" t="s">
        <v>30</v>
      </c>
      <c r="B966" s="29">
        <f t="shared" si="1098"/>
        <v>41083</v>
      </c>
      <c r="C966" s="15">
        <v>300</v>
      </c>
      <c r="D966" s="15">
        <v>8</v>
      </c>
      <c r="E966" s="15">
        <v>199</v>
      </c>
      <c r="F966" s="21">
        <f t="shared" si="1324"/>
        <v>507</v>
      </c>
      <c r="G966" s="18">
        <v>25</v>
      </c>
      <c r="H966" s="22">
        <f t="shared" ref="H966" si="1353">AVERAGE(C963:C966)</f>
        <v>338.5</v>
      </c>
      <c r="I966" s="22">
        <f t="shared" ref="I966" si="1354">AVERAGE(D963:D966)</f>
        <v>6.5</v>
      </c>
      <c r="J966" s="22">
        <f t="shared" ref="J966" si="1355">AVERAGE(E963:E966)</f>
        <v>130</v>
      </c>
      <c r="K966" s="23">
        <f t="shared" ref="K966" si="1356">SUM(H966:J966)</f>
        <v>475</v>
      </c>
      <c r="L966" s="23">
        <f t="shared" ref="L966" si="1357">AVERAGE(K810+K862+K914)/3</f>
        <v>605.66666666666663</v>
      </c>
      <c r="M966" s="23">
        <f t="shared" si="1256"/>
        <v>586</v>
      </c>
      <c r="N966" s="25">
        <f t="shared" ref="N966" si="1358">(F966-F914)/F914</f>
        <v>0.21002386634844869</v>
      </c>
      <c r="O966" s="25">
        <f t="shared" ref="O966" si="1359">(F966-L966)/L966</f>
        <v>-0.16290588882773799</v>
      </c>
    </row>
    <row r="967" spans="1:15" x14ac:dyDescent="0.25">
      <c r="A967" s="16" t="s">
        <v>30</v>
      </c>
      <c r="B967" s="29">
        <f t="shared" si="1098"/>
        <v>41090</v>
      </c>
      <c r="C967" s="15">
        <v>279</v>
      </c>
      <c r="D967" s="15">
        <v>11</v>
      </c>
      <c r="E967" s="15">
        <v>143</v>
      </c>
      <c r="F967" s="21">
        <f t="shared" si="1324"/>
        <v>433</v>
      </c>
      <c r="G967" s="18">
        <v>26</v>
      </c>
      <c r="H967" s="22">
        <f t="shared" ref="H967" si="1360">AVERAGE(C964:C967)</f>
        <v>299</v>
      </c>
      <c r="I967" s="22">
        <f t="shared" ref="I967" si="1361">AVERAGE(D964:D967)</f>
        <v>6.25</v>
      </c>
      <c r="J967" s="22">
        <f t="shared" ref="J967" si="1362">AVERAGE(E964:E967)</f>
        <v>146.25</v>
      </c>
      <c r="K967" s="23">
        <f t="shared" ref="K967" si="1363">SUM(H967:J967)</f>
        <v>451.5</v>
      </c>
      <c r="L967" s="23">
        <f t="shared" ref="L967" si="1364">AVERAGE(K811+K863+K915)/3</f>
        <v>635.08333333333337</v>
      </c>
      <c r="M967" s="23">
        <f t="shared" si="1256"/>
        <v>693.33333333333337</v>
      </c>
      <c r="N967" s="25">
        <f t="shared" ref="N967" si="1365">(F967-F915)/F915</f>
        <v>-0.24956672443674177</v>
      </c>
      <c r="O967" s="25">
        <f t="shared" ref="O967" si="1366">(F967-L967)/L967</f>
        <v>-0.31819971132397329</v>
      </c>
    </row>
    <row r="968" spans="1:15" x14ac:dyDescent="0.25">
      <c r="A968" s="16" t="s">
        <v>31</v>
      </c>
      <c r="B968" s="29">
        <f t="shared" si="1098"/>
        <v>41097</v>
      </c>
      <c r="C968" s="15">
        <v>234</v>
      </c>
      <c r="D968" s="15">
        <v>0</v>
      </c>
      <c r="E968" s="15">
        <v>223</v>
      </c>
      <c r="F968" s="21">
        <f t="shared" si="1324"/>
        <v>457</v>
      </c>
      <c r="G968" s="18">
        <v>27</v>
      </c>
      <c r="H968" s="22">
        <f t="shared" ref="H968" si="1367">AVERAGE(C965:C968)</f>
        <v>275</v>
      </c>
      <c r="I968" s="22">
        <f t="shared" ref="I968" si="1368">AVERAGE(D965:D968)</f>
        <v>4.75</v>
      </c>
      <c r="J968" s="22">
        <f t="shared" ref="J968" si="1369">AVERAGE(E965:E968)</f>
        <v>178.75</v>
      </c>
      <c r="K968" s="23">
        <f t="shared" ref="K968" si="1370">SUM(H968:J968)</f>
        <v>458.5</v>
      </c>
      <c r="L968" s="23">
        <f t="shared" ref="L968" si="1371">AVERAGE(K812+K864+K916)/3</f>
        <v>627.25</v>
      </c>
      <c r="M968" s="23">
        <f t="shared" si="1256"/>
        <v>587.33333333333337</v>
      </c>
      <c r="N968" s="25">
        <f t="shared" ref="N968" si="1372">(F968-F916)/F916</f>
        <v>-0.13773584905660377</v>
      </c>
      <c r="O968" s="25">
        <f t="shared" ref="O968" si="1373">(F968-L968)/L968</f>
        <v>-0.27142287764049422</v>
      </c>
    </row>
    <row r="969" spans="1:15" x14ac:dyDescent="0.25">
      <c r="A969" s="16" t="s">
        <v>31</v>
      </c>
      <c r="B969" s="29">
        <f t="shared" si="1098"/>
        <v>41104</v>
      </c>
      <c r="C969" s="15">
        <v>242</v>
      </c>
      <c r="D969" s="15">
        <v>2</v>
      </c>
      <c r="E969" s="15">
        <v>162</v>
      </c>
      <c r="F969" s="21">
        <f t="shared" si="1324"/>
        <v>406</v>
      </c>
      <c r="G969" s="18">
        <v>28</v>
      </c>
      <c r="H969" s="22">
        <f t="shared" ref="H969" si="1374">AVERAGE(C966:C969)</f>
        <v>263.75</v>
      </c>
      <c r="I969" s="22">
        <f t="shared" ref="I969" si="1375">AVERAGE(D966:D969)</f>
        <v>5.25</v>
      </c>
      <c r="J969" s="22">
        <f t="shared" ref="J969" si="1376">AVERAGE(E966:E969)</f>
        <v>181.75</v>
      </c>
      <c r="K969" s="23">
        <f t="shared" ref="K969" si="1377">SUM(H969:J969)</f>
        <v>450.75</v>
      </c>
      <c r="L969" s="23">
        <f t="shared" ref="L969" si="1378">AVERAGE(K813+K865+K917)/3</f>
        <v>626.33333333333337</v>
      </c>
      <c r="M969" s="23">
        <f t="shared" si="1256"/>
        <v>638.66666666666663</v>
      </c>
      <c r="N969" s="25">
        <f t="shared" ref="N969" si="1379">(F969-F917)/F917</f>
        <v>-0.33113673805601318</v>
      </c>
      <c r="O969" s="25">
        <f t="shared" ref="O969" si="1380">(F969-L969)/L969</f>
        <v>-0.35178286322511976</v>
      </c>
    </row>
    <row r="970" spans="1:15" x14ac:dyDescent="0.25">
      <c r="A970" s="16" t="s">
        <v>31</v>
      </c>
      <c r="B970" s="29">
        <f t="shared" si="1098"/>
        <v>41111</v>
      </c>
      <c r="C970" s="15">
        <v>289</v>
      </c>
      <c r="D970" s="15">
        <v>5</v>
      </c>
      <c r="E970" s="15">
        <v>173</v>
      </c>
      <c r="F970" s="21">
        <f t="shared" si="1324"/>
        <v>467</v>
      </c>
      <c r="G970" s="18">
        <v>29</v>
      </c>
      <c r="H970" s="22">
        <f t="shared" ref="H970" si="1381">AVERAGE(C967:C970)</f>
        <v>261</v>
      </c>
      <c r="I970" s="22">
        <f t="shared" ref="I970" si="1382">AVERAGE(D967:D970)</f>
        <v>4.5</v>
      </c>
      <c r="J970" s="22">
        <f t="shared" ref="J970" si="1383">AVERAGE(E967:E970)</f>
        <v>175.25</v>
      </c>
      <c r="K970" s="23">
        <f t="shared" ref="K970" si="1384">SUM(H970:J970)</f>
        <v>440.75</v>
      </c>
      <c r="L970" s="23">
        <f t="shared" ref="L970" si="1385">AVERAGE(K814+K866+K918)/3</f>
        <v>656.91666666666663</v>
      </c>
      <c r="M970" s="23">
        <f t="shared" si="1256"/>
        <v>708.33333333333337</v>
      </c>
      <c r="N970" s="25">
        <f t="shared" ref="N970" si="1386">(F970-F918)/F918</f>
        <v>-0.17636684303350969</v>
      </c>
      <c r="O970" s="25">
        <f t="shared" ref="O970" si="1387">(F970-L970)/L970</f>
        <v>-0.28910313332487625</v>
      </c>
    </row>
    <row r="971" spans="1:15" x14ac:dyDescent="0.25">
      <c r="A971" s="16" t="s">
        <v>31</v>
      </c>
      <c r="B971" s="29">
        <f t="shared" si="1098"/>
        <v>41118</v>
      </c>
      <c r="C971" s="15">
        <v>365</v>
      </c>
      <c r="D971" s="15">
        <v>5</v>
      </c>
      <c r="E971" s="15">
        <v>256</v>
      </c>
      <c r="F971" s="21">
        <f t="shared" si="1324"/>
        <v>626</v>
      </c>
      <c r="G971" s="18">
        <v>30</v>
      </c>
      <c r="H971" s="22">
        <f t="shared" ref="H971" si="1388">AVERAGE(C968:C971)</f>
        <v>282.5</v>
      </c>
      <c r="I971" s="22">
        <f t="shared" ref="I971" si="1389">AVERAGE(D968:D971)</f>
        <v>3</v>
      </c>
      <c r="J971" s="22">
        <f t="shared" ref="J971" si="1390">AVERAGE(E968:E971)</f>
        <v>203.5</v>
      </c>
      <c r="K971" s="23">
        <f t="shared" ref="K971" si="1391">SUM(H971:J971)</f>
        <v>489</v>
      </c>
      <c r="L971" s="23">
        <f t="shared" ref="L971" si="1392">AVERAGE(K815+K867+K919)/3</f>
        <v>675.83333333333337</v>
      </c>
      <c r="M971" s="23">
        <f t="shared" si="1256"/>
        <v>769</v>
      </c>
      <c r="N971" s="25">
        <f t="shared" ref="N971" si="1393">(F971-F919)/F919</f>
        <v>-6.4275037369207769E-2</v>
      </c>
      <c r="O971" s="25">
        <f t="shared" ref="O971" si="1394">(F971-L971)/L971</f>
        <v>-7.3736128236744816E-2</v>
      </c>
    </row>
    <row r="972" spans="1:15" x14ac:dyDescent="0.25">
      <c r="A972" s="16" t="s">
        <v>19</v>
      </c>
      <c r="B972" s="29">
        <f t="shared" si="1098"/>
        <v>41125</v>
      </c>
      <c r="C972" s="15">
        <v>256</v>
      </c>
      <c r="D972" s="15">
        <v>5</v>
      </c>
      <c r="E972" s="15">
        <v>283</v>
      </c>
      <c r="F972" s="21">
        <f t="shared" si="1324"/>
        <v>544</v>
      </c>
      <c r="G972" s="18">
        <v>31</v>
      </c>
      <c r="H972" s="22">
        <f t="shared" ref="H972" si="1395">AVERAGE(C969:C972)</f>
        <v>288</v>
      </c>
      <c r="I972" s="22">
        <f t="shared" ref="I972" si="1396">AVERAGE(D969:D972)</f>
        <v>4.25</v>
      </c>
      <c r="J972" s="22">
        <f t="shared" ref="J972" si="1397">AVERAGE(E969:E972)</f>
        <v>218.5</v>
      </c>
      <c r="K972" s="23">
        <f t="shared" ref="K972" si="1398">SUM(H972:J972)</f>
        <v>510.75</v>
      </c>
      <c r="L972" s="23">
        <f t="shared" ref="L972" si="1399">AVERAGE(K816+K868+K920)/3</f>
        <v>683.75</v>
      </c>
      <c r="M972" s="23">
        <f t="shared" si="1256"/>
        <v>619</v>
      </c>
      <c r="N972" s="25">
        <f t="shared" ref="N972" si="1400">(F972-F920)/F920</f>
        <v>9.2764378478664197E-3</v>
      </c>
      <c r="O972" s="25">
        <f t="shared" ref="O972" si="1401">(F972-L972)/L972</f>
        <v>-0.20438756855575868</v>
      </c>
    </row>
    <row r="973" spans="1:15" x14ac:dyDescent="0.25">
      <c r="A973" s="16" t="s">
        <v>19</v>
      </c>
      <c r="B973" s="29">
        <f t="shared" si="1098"/>
        <v>41132</v>
      </c>
      <c r="C973" s="15">
        <v>228</v>
      </c>
      <c r="D973" s="15">
        <v>2</v>
      </c>
      <c r="E973" s="15">
        <v>267</v>
      </c>
      <c r="F973" s="21">
        <f t="shared" si="1324"/>
        <v>497</v>
      </c>
      <c r="G973" s="18">
        <v>32</v>
      </c>
      <c r="H973" s="22">
        <f t="shared" ref="H973" si="1402">AVERAGE(C970:C973)</f>
        <v>284.5</v>
      </c>
      <c r="I973" s="22">
        <f t="shared" ref="I973" si="1403">AVERAGE(D970:D973)</f>
        <v>4.25</v>
      </c>
      <c r="J973" s="22">
        <f t="shared" ref="J973" si="1404">AVERAGE(E970:E973)</f>
        <v>244.75</v>
      </c>
      <c r="K973" s="23">
        <f t="shared" ref="K973" si="1405">SUM(H973:J973)</f>
        <v>533.5</v>
      </c>
      <c r="L973" s="23">
        <f t="shared" ref="L973" si="1406">AVERAGE(K817+K869+K921)/3</f>
        <v>683.08333333333337</v>
      </c>
      <c r="M973" s="23">
        <f t="shared" si="1256"/>
        <v>636</v>
      </c>
      <c r="N973" s="25">
        <f t="shared" ref="N973" si="1407">(F973-F921)/F921</f>
        <v>1.8442622950819672E-2</v>
      </c>
      <c r="O973" s="25">
        <f t="shared" ref="O973" si="1408">(F973-L973)/L973</f>
        <v>-0.2724167378309138</v>
      </c>
    </row>
    <row r="974" spans="1:15" x14ac:dyDescent="0.25">
      <c r="A974" s="16" t="s">
        <v>19</v>
      </c>
      <c r="B974" s="29">
        <f t="shared" si="1098"/>
        <v>41139</v>
      </c>
      <c r="C974" s="15">
        <v>289</v>
      </c>
      <c r="D974" s="15">
        <v>14</v>
      </c>
      <c r="E974" s="15">
        <v>126</v>
      </c>
      <c r="F974" s="21">
        <f t="shared" si="1324"/>
        <v>429</v>
      </c>
      <c r="G974" s="18">
        <v>33</v>
      </c>
      <c r="H974" s="22">
        <f t="shared" ref="H974" si="1409">AVERAGE(C971:C974)</f>
        <v>284.5</v>
      </c>
      <c r="I974" s="22">
        <f t="shared" ref="I974" si="1410">AVERAGE(D971:D974)</f>
        <v>6.5</v>
      </c>
      <c r="J974" s="22">
        <f t="shared" ref="J974" si="1411">AVERAGE(E971:E974)</f>
        <v>233</v>
      </c>
      <c r="K974" s="23">
        <f t="shared" ref="K974" si="1412">SUM(H974:J974)</f>
        <v>524</v>
      </c>
      <c r="L974" s="23">
        <f t="shared" ref="L974" si="1413">AVERAGE(K818+K870+K922)/3</f>
        <v>624.25</v>
      </c>
      <c r="M974" s="23">
        <f t="shared" si="1256"/>
        <v>473</v>
      </c>
      <c r="N974" s="25">
        <f t="shared" ref="N974" si="1414">(F974-F922)/F922</f>
        <v>-4.878048780487805E-2</v>
      </c>
      <c r="O974" s="25">
        <f t="shared" ref="O974" si="1415">(F974-L974)/L974</f>
        <v>-0.31277533039647576</v>
      </c>
    </row>
    <row r="975" spans="1:15" x14ac:dyDescent="0.25">
      <c r="A975" s="16" t="s">
        <v>19</v>
      </c>
      <c r="B975" s="29">
        <f t="shared" si="1098"/>
        <v>41146</v>
      </c>
      <c r="C975" s="15">
        <v>87</v>
      </c>
      <c r="D975" s="15">
        <v>2</v>
      </c>
      <c r="E975" s="15">
        <v>75</v>
      </c>
      <c r="F975" s="21">
        <f t="shared" si="1324"/>
        <v>164</v>
      </c>
      <c r="G975" s="18">
        <v>34</v>
      </c>
      <c r="H975" s="22">
        <f t="shared" ref="H975" si="1416">AVERAGE(C972:C975)</f>
        <v>215</v>
      </c>
      <c r="I975" s="22">
        <f t="shared" ref="I975" si="1417">AVERAGE(D972:D975)</f>
        <v>5.75</v>
      </c>
      <c r="J975" s="22">
        <f t="shared" ref="J975" si="1418">AVERAGE(E972:E975)</f>
        <v>187.75</v>
      </c>
      <c r="K975" s="23">
        <f t="shared" ref="K975" si="1419">SUM(H975:J975)</f>
        <v>408.5</v>
      </c>
      <c r="L975" s="23">
        <f t="shared" ref="L975" si="1420">AVERAGE(K819+K871+K923)/3</f>
        <v>534.83333333333337</v>
      </c>
      <c r="M975" s="23">
        <f t="shared" si="1256"/>
        <v>411.33333333333331</v>
      </c>
      <c r="N975" s="25">
        <f t="shared" ref="N975" si="1421">(F975-F923)/F923</f>
        <v>-0.53802816901408446</v>
      </c>
      <c r="O975" s="25">
        <f t="shared" ref="O975" si="1422">(F975-L975)/L975</f>
        <v>-0.69336241819881583</v>
      </c>
    </row>
    <row r="976" spans="1:15" x14ac:dyDescent="0.25">
      <c r="A976" s="16" t="s">
        <v>19</v>
      </c>
      <c r="B976" s="29">
        <f t="shared" si="1098"/>
        <v>41153</v>
      </c>
      <c r="C976" s="15">
        <v>58</v>
      </c>
      <c r="D976" s="15">
        <v>5</v>
      </c>
      <c r="E976" s="15">
        <v>68</v>
      </c>
      <c r="F976" s="21">
        <f t="shared" si="1324"/>
        <v>131</v>
      </c>
      <c r="G976" s="18">
        <v>35</v>
      </c>
      <c r="H976" s="22">
        <f t="shared" ref="H976" si="1423">AVERAGE(C973:C976)</f>
        <v>165.5</v>
      </c>
      <c r="I976" s="22">
        <f t="shared" ref="I976" si="1424">AVERAGE(D973:D976)</f>
        <v>5.75</v>
      </c>
      <c r="J976" s="22">
        <f t="shared" ref="J976" si="1425">AVERAGE(E973:E976)</f>
        <v>134</v>
      </c>
      <c r="K976" s="23">
        <f t="shared" ref="K976" si="1426">SUM(H976:J976)</f>
        <v>305.25</v>
      </c>
      <c r="L976" s="23">
        <f t="shared" ref="L976" si="1427">AVERAGE(K820+K872+K924)/3</f>
        <v>458</v>
      </c>
      <c r="M976" s="23">
        <f t="shared" si="1256"/>
        <v>311.66666666666669</v>
      </c>
      <c r="N976" s="25">
        <f t="shared" ref="N976" si="1428">(F976-F924)/F924</f>
        <v>-0.48425196850393698</v>
      </c>
      <c r="O976" s="25">
        <f t="shared" ref="O976" si="1429">(F976-L976)/L976</f>
        <v>-0.71397379912663761</v>
      </c>
    </row>
    <row r="977" spans="1:15" x14ac:dyDescent="0.25">
      <c r="A977" s="16" t="s">
        <v>24</v>
      </c>
      <c r="B977" s="29">
        <f t="shared" si="1098"/>
        <v>41160</v>
      </c>
      <c r="C977" s="15">
        <v>70</v>
      </c>
      <c r="D977" s="15">
        <v>17</v>
      </c>
      <c r="E977" s="15">
        <v>35</v>
      </c>
      <c r="F977" s="21">
        <f t="shared" si="1324"/>
        <v>122</v>
      </c>
      <c r="G977" s="18">
        <v>36</v>
      </c>
      <c r="H977" s="22">
        <f t="shared" ref="H977" si="1430">AVERAGE(C974:C977)</f>
        <v>126</v>
      </c>
      <c r="I977" s="22">
        <f t="shared" ref="I977" si="1431">AVERAGE(D974:D977)</f>
        <v>9.5</v>
      </c>
      <c r="J977" s="22">
        <f t="shared" ref="J977" si="1432">AVERAGE(E974:E977)</f>
        <v>76</v>
      </c>
      <c r="K977" s="23">
        <f t="shared" ref="K977" si="1433">SUM(H977:J977)</f>
        <v>211.5</v>
      </c>
      <c r="L977" s="23">
        <f t="shared" ref="L977" si="1434">AVERAGE(K821+K873+K925)/3</f>
        <v>369.5</v>
      </c>
      <c r="M977" s="23">
        <f t="shared" si="1256"/>
        <v>282</v>
      </c>
      <c r="N977" s="25">
        <f t="shared" ref="N977" si="1435">(F977-F925)/F925</f>
        <v>-0.5234375</v>
      </c>
      <c r="O977" s="25">
        <f t="shared" ref="O977" si="1436">(F977-L977)/L977</f>
        <v>-0.66982408660351822</v>
      </c>
    </row>
    <row r="978" spans="1:15" x14ac:dyDescent="0.25">
      <c r="A978" s="16" t="s">
        <v>24</v>
      </c>
      <c r="B978" s="29">
        <f t="shared" si="1098"/>
        <v>41167</v>
      </c>
      <c r="C978" s="15">
        <v>44</v>
      </c>
      <c r="D978" s="15">
        <v>8</v>
      </c>
      <c r="E978" s="15">
        <v>22</v>
      </c>
      <c r="F978" s="21">
        <f t="shared" si="1324"/>
        <v>74</v>
      </c>
      <c r="G978" s="18">
        <v>37</v>
      </c>
      <c r="H978" s="22">
        <f t="shared" ref="H978" si="1437">AVERAGE(C975:C978)</f>
        <v>64.75</v>
      </c>
      <c r="I978" s="22">
        <f t="shared" ref="I978" si="1438">AVERAGE(D975:D978)</f>
        <v>8</v>
      </c>
      <c r="J978" s="22">
        <f t="shared" ref="J978" si="1439">AVERAGE(E975:E978)</f>
        <v>50</v>
      </c>
      <c r="K978" s="23">
        <f t="shared" ref="K978" si="1440">SUM(H978:J978)</f>
        <v>122.75</v>
      </c>
      <c r="L978" s="23">
        <f t="shared" ref="L978" si="1441">AVERAGE(K822+K874+K926)/3</f>
        <v>298.58333333333331</v>
      </c>
      <c r="M978" s="23">
        <f t="shared" si="1256"/>
        <v>189.33333333333334</v>
      </c>
      <c r="N978" s="25">
        <f t="shared" ref="N978" si="1442">(F978-F926)/F926</f>
        <v>-0.49315068493150682</v>
      </c>
      <c r="O978" s="25">
        <f t="shared" ref="O978" si="1443">(F978-L978)/L978</f>
        <v>-0.75216299190622382</v>
      </c>
    </row>
    <row r="979" spans="1:15" x14ac:dyDescent="0.25">
      <c r="A979" s="16" t="s">
        <v>24</v>
      </c>
      <c r="B979" s="29">
        <f t="shared" si="1098"/>
        <v>41174</v>
      </c>
      <c r="C979" s="15">
        <v>79</v>
      </c>
      <c r="D979" s="15">
        <v>3</v>
      </c>
      <c r="E979" s="15">
        <v>19</v>
      </c>
      <c r="F979" s="21">
        <f t="shared" si="1324"/>
        <v>101</v>
      </c>
      <c r="G979" s="18">
        <v>38</v>
      </c>
      <c r="H979" s="22">
        <f t="shared" ref="H979" si="1444">AVERAGE(C976:C979)</f>
        <v>62.75</v>
      </c>
      <c r="I979" s="22">
        <f t="shared" ref="I979" si="1445">AVERAGE(D976:D979)</f>
        <v>8.25</v>
      </c>
      <c r="J979" s="22">
        <f t="shared" ref="J979" si="1446">AVERAGE(E976:E979)</f>
        <v>36</v>
      </c>
      <c r="K979" s="23">
        <f t="shared" ref="K979" si="1447">SUM(H979:J979)</f>
        <v>107</v>
      </c>
      <c r="L979" s="23">
        <f t="shared" ref="L979" si="1448">AVERAGE(K823+K875+K927)/3</f>
        <v>250.58333333333334</v>
      </c>
      <c r="M979" s="23">
        <f t="shared" si="1256"/>
        <v>219.33333333333334</v>
      </c>
      <c r="N979" s="25">
        <f t="shared" ref="N979:N980" si="1449">(F979-F927)/F927</f>
        <v>-0.2733812949640288</v>
      </c>
      <c r="O979" s="25">
        <f t="shared" ref="O979:O980" si="1450">(F979-L979)/L979</f>
        <v>-0.59694047223145996</v>
      </c>
    </row>
    <row r="980" spans="1:15" x14ac:dyDescent="0.25">
      <c r="A980" s="16" t="s">
        <v>24</v>
      </c>
      <c r="B980" s="29">
        <f t="shared" si="1098"/>
        <v>41181</v>
      </c>
      <c r="C980" s="15">
        <v>194</v>
      </c>
      <c r="D980" s="15">
        <v>27</v>
      </c>
      <c r="E980" s="15">
        <v>58</v>
      </c>
      <c r="F980" s="21">
        <f t="shared" si="1324"/>
        <v>279</v>
      </c>
      <c r="G980" s="18">
        <v>39</v>
      </c>
      <c r="H980" s="22">
        <f t="shared" ref="H980" si="1451">AVERAGE(C977:C980)</f>
        <v>96.75</v>
      </c>
      <c r="I980" s="22">
        <f t="shared" ref="I980" si="1452">AVERAGE(D977:D980)</f>
        <v>13.75</v>
      </c>
      <c r="J980" s="22">
        <f t="shared" ref="J980" si="1453">AVERAGE(E977:E980)</f>
        <v>33.5</v>
      </c>
      <c r="K980" s="23">
        <f t="shared" ref="K980" si="1454">SUM(H980:J980)</f>
        <v>144</v>
      </c>
      <c r="L980" s="23">
        <f t="shared" si="1180"/>
        <v>233.5</v>
      </c>
      <c r="M980" s="23">
        <f t="shared" si="1256"/>
        <v>243.33333333333334</v>
      </c>
      <c r="N980" s="25">
        <f t="shared" si="1449"/>
        <v>0.22368421052631579</v>
      </c>
      <c r="O980" s="25">
        <f t="shared" si="1450"/>
        <v>0.19486081370449679</v>
      </c>
    </row>
    <row r="981" spans="1:15" x14ac:dyDescent="0.25">
      <c r="A981" s="16" t="s">
        <v>20</v>
      </c>
      <c r="B981" s="29">
        <f t="shared" si="1098"/>
        <v>41188</v>
      </c>
      <c r="C981" s="15">
        <v>79</v>
      </c>
      <c r="D981" s="15">
        <v>2</v>
      </c>
      <c r="E981" s="15">
        <v>75</v>
      </c>
      <c r="F981" s="21">
        <f t="shared" si="1324"/>
        <v>156</v>
      </c>
      <c r="G981" s="18">
        <v>40</v>
      </c>
      <c r="H981" s="22">
        <f t="shared" ref="H981" si="1455">AVERAGE(C978:C981)</f>
        <v>99</v>
      </c>
      <c r="I981" s="22">
        <f t="shared" ref="I981" si="1456">AVERAGE(D978:D981)</f>
        <v>10</v>
      </c>
      <c r="J981" s="22">
        <f t="shared" ref="J981" si="1457">AVERAGE(E978:E981)</f>
        <v>43.5</v>
      </c>
      <c r="K981" s="23">
        <f t="shared" ref="K981" si="1458">SUM(H981:J981)</f>
        <v>152.5</v>
      </c>
      <c r="L981" s="23">
        <f t="shared" ref="L981" si="1459">AVERAGE(K825+K877+K929)/3</f>
        <v>236.58333333333334</v>
      </c>
      <c r="M981" s="23">
        <f t="shared" si="1256"/>
        <v>294.33333333333331</v>
      </c>
      <c r="N981" s="25">
        <f t="shared" ref="N981" si="1460">(F981-F929)/F929</f>
        <v>-0.24637681159420291</v>
      </c>
      <c r="O981" s="25">
        <f t="shared" ref="O981" si="1461">(F981-L981)/L981</f>
        <v>-0.34061289186333221</v>
      </c>
    </row>
    <row r="982" spans="1:15" x14ac:dyDescent="0.25">
      <c r="A982" s="16" t="s">
        <v>20</v>
      </c>
      <c r="B982" s="29">
        <f t="shared" si="1098"/>
        <v>41195</v>
      </c>
      <c r="C982" s="15">
        <v>112</v>
      </c>
      <c r="D982" s="15">
        <v>6</v>
      </c>
      <c r="E982" s="15">
        <v>328</v>
      </c>
      <c r="F982" s="21">
        <f t="shared" si="1324"/>
        <v>446</v>
      </c>
      <c r="G982" s="18">
        <v>41</v>
      </c>
      <c r="H982" s="22">
        <f t="shared" ref="H982" si="1462">AVERAGE(C979:C982)</f>
        <v>116</v>
      </c>
      <c r="I982" s="22">
        <f t="shared" ref="I982" si="1463">AVERAGE(D979:D982)</f>
        <v>9.5</v>
      </c>
      <c r="J982" s="22">
        <f t="shared" ref="J982" si="1464">AVERAGE(E979:E982)</f>
        <v>120</v>
      </c>
      <c r="K982" s="23">
        <f t="shared" ref="K982" si="1465">SUM(H982:J982)</f>
        <v>245.5</v>
      </c>
      <c r="L982" s="23">
        <f t="shared" ref="L982" si="1466">AVERAGE(K826+K878+K930)/3</f>
        <v>297.25</v>
      </c>
      <c r="M982" s="23">
        <f t="shared" si="1256"/>
        <v>432</v>
      </c>
      <c r="N982" s="25">
        <f t="shared" ref="N982" si="1467">(F982-F930)/F930</f>
        <v>0.17989417989417988</v>
      </c>
      <c r="O982" s="25">
        <f t="shared" ref="O982" si="1468">(F982-L982)/L982</f>
        <v>0.50042052144659377</v>
      </c>
    </row>
    <row r="983" spans="1:15" x14ac:dyDescent="0.25">
      <c r="A983" s="16" t="s">
        <v>20</v>
      </c>
      <c r="B983" s="29">
        <f t="shared" si="1098"/>
        <v>41202</v>
      </c>
      <c r="C983" s="15">
        <v>154</v>
      </c>
      <c r="D983" s="15">
        <v>11</v>
      </c>
      <c r="E983" s="15">
        <v>414</v>
      </c>
      <c r="F983" s="21">
        <f t="shared" si="1324"/>
        <v>579</v>
      </c>
      <c r="G983" s="18">
        <v>42</v>
      </c>
      <c r="H983" s="22">
        <f t="shared" ref="H983" si="1469">AVERAGE(C980:C983)</f>
        <v>134.75</v>
      </c>
      <c r="I983" s="22">
        <f t="shared" ref="I983" si="1470">AVERAGE(D980:D983)</f>
        <v>11.5</v>
      </c>
      <c r="J983" s="22">
        <f t="shared" ref="J983" si="1471">AVERAGE(E980:E983)</f>
        <v>218.75</v>
      </c>
      <c r="K983" s="23">
        <f t="shared" ref="K983" si="1472">SUM(H983:J983)</f>
        <v>365</v>
      </c>
      <c r="L983" s="23">
        <f t="shared" ref="L983" si="1473">AVERAGE(K827+K879+K931)/3</f>
        <v>351.41666666666669</v>
      </c>
      <c r="M983" s="23">
        <f t="shared" si="1256"/>
        <v>436</v>
      </c>
      <c r="N983" s="25">
        <f t="shared" ref="N983" si="1474">(F983-F931)/F931</f>
        <v>0.38848920863309355</v>
      </c>
      <c r="O983" s="25">
        <f t="shared" ref="O983" si="1475">(F983-L983)/L983</f>
        <v>0.64761678918662546</v>
      </c>
    </row>
    <row r="984" spans="1:15" x14ac:dyDescent="0.25">
      <c r="A984" s="16" t="s">
        <v>20</v>
      </c>
      <c r="B984" s="29">
        <f t="shared" si="1098"/>
        <v>41209</v>
      </c>
      <c r="C984" s="15">
        <v>115</v>
      </c>
      <c r="D984" s="15">
        <v>2</v>
      </c>
      <c r="E984" s="15">
        <v>147</v>
      </c>
      <c r="F984" s="21">
        <f t="shared" si="1324"/>
        <v>264</v>
      </c>
      <c r="G984" s="18">
        <v>43</v>
      </c>
      <c r="H984" s="22">
        <f t="shared" ref="H984" si="1476">AVERAGE(C981:C984)</f>
        <v>115</v>
      </c>
      <c r="I984" s="22">
        <f t="shared" ref="I984" si="1477">AVERAGE(D981:D984)</f>
        <v>5.25</v>
      </c>
      <c r="J984" s="22">
        <f t="shared" ref="J984" si="1478">AVERAGE(E981:E984)</f>
        <v>241</v>
      </c>
      <c r="K984" s="23">
        <f t="shared" ref="K984" si="1479">SUM(H984:J984)</f>
        <v>361.25</v>
      </c>
      <c r="L984" s="23">
        <f t="shared" ref="L984" si="1480">AVERAGE(K828+K880+K932)/3</f>
        <v>398.5</v>
      </c>
      <c r="M984" s="23">
        <f t="shared" si="1256"/>
        <v>431.66666666666669</v>
      </c>
      <c r="N984" s="25">
        <f t="shared" ref="N984" si="1481">(F984-F932)/F932</f>
        <v>-0.14563106796116504</v>
      </c>
      <c r="O984" s="25">
        <f t="shared" ref="O984" si="1482">(F984-L984)/L984</f>
        <v>-0.33751568381430364</v>
      </c>
    </row>
    <row r="985" spans="1:15" x14ac:dyDescent="0.25">
      <c r="A985" s="16" t="s">
        <v>26</v>
      </c>
      <c r="B985" s="29">
        <f t="shared" si="1098"/>
        <v>41216</v>
      </c>
      <c r="C985" s="15">
        <v>217</v>
      </c>
      <c r="D985" s="15">
        <v>5</v>
      </c>
      <c r="E985" s="15">
        <v>262</v>
      </c>
      <c r="F985" s="21">
        <f t="shared" si="1324"/>
        <v>484</v>
      </c>
      <c r="G985" s="18">
        <v>44</v>
      </c>
      <c r="H985" s="22">
        <f t="shared" ref="H985" si="1483">AVERAGE(C982:C985)</f>
        <v>149.5</v>
      </c>
      <c r="I985" s="22">
        <f t="shared" ref="I985" si="1484">AVERAGE(D982:D985)</f>
        <v>6</v>
      </c>
      <c r="J985" s="22">
        <f t="shared" ref="J985" si="1485">AVERAGE(E982:E985)</f>
        <v>287.75</v>
      </c>
      <c r="K985" s="23">
        <f t="shared" ref="K985" si="1486">SUM(H985:J985)</f>
        <v>443.25</v>
      </c>
      <c r="L985" s="23">
        <f t="shared" ref="L985" si="1487">AVERAGE(K829+K881+K933)/3</f>
        <v>429.16666666666669</v>
      </c>
      <c r="M985" s="23">
        <f t="shared" si="1256"/>
        <v>417</v>
      </c>
      <c r="N985" s="25">
        <f t="shared" ref="N985" si="1488">(F985-F933)/F933</f>
        <v>2.1097046413502109E-2</v>
      </c>
      <c r="O985" s="25">
        <f t="shared" ref="O985" si="1489">(F985-L985)/L985</f>
        <v>0.12776699029126209</v>
      </c>
    </row>
    <row r="986" spans="1:15" x14ac:dyDescent="0.25">
      <c r="A986" s="16" t="s">
        <v>26</v>
      </c>
      <c r="B986" s="29">
        <f t="shared" si="1098"/>
        <v>41223</v>
      </c>
      <c r="C986" s="15">
        <v>212</v>
      </c>
      <c r="D986" s="15">
        <v>0</v>
      </c>
      <c r="E986" s="15">
        <v>202</v>
      </c>
      <c r="F986" s="21">
        <f t="shared" si="1324"/>
        <v>414</v>
      </c>
      <c r="G986" s="18">
        <v>45</v>
      </c>
      <c r="H986" s="22">
        <f t="shared" ref="H986" si="1490">AVERAGE(C983:C986)</f>
        <v>174.5</v>
      </c>
      <c r="I986" s="22">
        <f t="shared" ref="I986" si="1491">AVERAGE(D983:D986)</f>
        <v>4.5</v>
      </c>
      <c r="J986" s="22">
        <f t="shared" ref="J986" si="1492">AVERAGE(E983:E986)</f>
        <v>256.25</v>
      </c>
      <c r="K986" s="23">
        <f t="shared" ref="K986" si="1493">SUM(H986:J986)</f>
        <v>435.25</v>
      </c>
      <c r="L986" s="23">
        <f t="shared" ref="L986" si="1494">AVERAGE(K830+K882+K934)/3</f>
        <v>479.08333333333331</v>
      </c>
      <c r="M986" s="23">
        <f t="shared" si="1256"/>
        <v>631.66666666666663</v>
      </c>
      <c r="N986" s="25">
        <f t="shared" ref="N986" si="1495">(F986-F934)/F934</f>
        <v>-3.9443155452436193E-2</v>
      </c>
      <c r="O986" s="25">
        <f t="shared" ref="O986" si="1496">(F986-L986)/L986</f>
        <v>-0.13584971299356408</v>
      </c>
    </row>
    <row r="987" spans="1:15" x14ac:dyDescent="0.25">
      <c r="A987" s="16" t="s">
        <v>26</v>
      </c>
      <c r="B987" s="29">
        <f t="shared" si="1098"/>
        <v>41230</v>
      </c>
      <c r="C987" s="15">
        <v>153</v>
      </c>
      <c r="D987" s="15">
        <v>6</v>
      </c>
      <c r="E987" s="15">
        <v>217</v>
      </c>
      <c r="F987" s="21">
        <f t="shared" si="1324"/>
        <v>376</v>
      </c>
      <c r="G987" s="18">
        <v>46</v>
      </c>
      <c r="H987" s="22">
        <f t="shared" ref="H987" si="1497">AVERAGE(C984:C987)</f>
        <v>174.25</v>
      </c>
      <c r="I987" s="22">
        <f t="shared" ref="I987" si="1498">AVERAGE(D984:D987)</f>
        <v>3.25</v>
      </c>
      <c r="J987" s="22">
        <f t="shared" ref="J987" si="1499">AVERAGE(E984:E987)</f>
        <v>207</v>
      </c>
      <c r="K987" s="23">
        <f t="shared" ref="K987" si="1500">SUM(H987:J987)</f>
        <v>384.5</v>
      </c>
      <c r="L987" s="23">
        <f t="shared" ref="L987" si="1501">AVERAGE(K831+K883+K935)/3</f>
        <v>521.5</v>
      </c>
      <c r="M987" s="23">
        <f t="shared" si="1256"/>
        <v>605.66666666666663</v>
      </c>
      <c r="N987" s="25">
        <f t="shared" ref="N987" si="1502">(F987-F935)/F935</f>
        <v>-0.45189504373177841</v>
      </c>
      <c r="O987" s="25">
        <f t="shared" ref="O987" si="1503">(F987-L987)/L987</f>
        <v>-0.27900287631831255</v>
      </c>
    </row>
    <row r="988" spans="1:15" x14ac:dyDescent="0.25">
      <c r="A988" s="16" t="s">
        <v>26</v>
      </c>
      <c r="B988" s="29">
        <f t="shared" si="1098"/>
        <v>41237</v>
      </c>
      <c r="C988" s="15">
        <v>281</v>
      </c>
      <c r="D988" s="15">
        <v>3</v>
      </c>
      <c r="E988" s="15">
        <v>310</v>
      </c>
      <c r="F988" s="21">
        <f t="shared" si="1324"/>
        <v>594</v>
      </c>
      <c r="G988" s="18">
        <v>47</v>
      </c>
      <c r="H988" s="22">
        <f t="shared" ref="H988" si="1504">AVERAGE(C985:C988)</f>
        <v>215.75</v>
      </c>
      <c r="I988" s="22">
        <f t="shared" ref="I988" si="1505">AVERAGE(D985:D988)</f>
        <v>3.5</v>
      </c>
      <c r="J988" s="22">
        <f t="shared" ref="J988" si="1506">AVERAGE(E985:E988)</f>
        <v>247.75</v>
      </c>
      <c r="K988" s="23">
        <f t="shared" ref="K988" si="1507">SUM(H988:J988)</f>
        <v>467</v>
      </c>
      <c r="L988" s="23">
        <f t="shared" ref="L988" si="1508">AVERAGE(K832+K884+K936)/3</f>
        <v>588.16666666666663</v>
      </c>
      <c r="M988" s="23">
        <f t="shared" si="1256"/>
        <v>698.33333333333337</v>
      </c>
      <c r="N988" s="25">
        <f t="shared" ref="N988" si="1509">(F988-F936)/F936</f>
        <v>-0.30688448074679114</v>
      </c>
      <c r="O988" s="25">
        <f t="shared" ref="O988" si="1510">(F988-L988)/L988</f>
        <v>9.9178237461037769E-3</v>
      </c>
    </row>
    <row r="989" spans="1:15" x14ac:dyDescent="0.25">
      <c r="A989" s="16" t="s">
        <v>26</v>
      </c>
      <c r="B989" s="29">
        <f t="shared" si="1098"/>
        <v>41244</v>
      </c>
      <c r="C989" s="15">
        <v>246</v>
      </c>
      <c r="D989" s="15">
        <v>2</v>
      </c>
      <c r="E989" s="15">
        <v>451</v>
      </c>
      <c r="F989" s="21">
        <f t="shared" si="1324"/>
        <v>699</v>
      </c>
      <c r="G989" s="18">
        <v>48</v>
      </c>
      <c r="H989" s="22">
        <f t="shared" ref="H989" si="1511">AVERAGE(C986:C989)</f>
        <v>223</v>
      </c>
      <c r="I989" s="22">
        <f t="shared" ref="I989" si="1512">AVERAGE(D986:D989)</f>
        <v>2.75</v>
      </c>
      <c r="J989" s="22">
        <f t="shared" ref="J989" si="1513">AVERAGE(E986:E989)</f>
        <v>295</v>
      </c>
      <c r="K989" s="23">
        <f t="shared" ref="K989" si="1514">SUM(H989:J989)</f>
        <v>520.75</v>
      </c>
      <c r="L989" s="23">
        <f t="shared" ref="L989" si="1515">AVERAGE(K833+K885+K937)/3</f>
        <v>686.33333333333337</v>
      </c>
      <c r="M989" s="23">
        <f t="shared" si="1256"/>
        <v>809.66666666666663</v>
      </c>
      <c r="N989" s="25">
        <f t="shared" ref="N989" si="1516">(F989-F937)/F937</f>
        <v>-5.2845528455284556E-2</v>
      </c>
      <c r="O989" s="25">
        <f t="shared" ref="O989" si="1517">(F989-L989)/L989</f>
        <v>1.8455560951918349E-2</v>
      </c>
    </row>
    <row r="990" spans="1:15" x14ac:dyDescent="0.25">
      <c r="A990" s="16" t="s">
        <v>15</v>
      </c>
      <c r="B990" s="29">
        <f t="shared" si="1098"/>
        <v>41251</v>
      </c>
      <c r="C990" s="15">
        <v>224</v>
      </c>
      <c r="D990" s="15">
        <v>5</v>
      </c>
      <c r="E990" s="15">
        <v>423</v>
      </c>
      <c r="F990" s="21">
        <f t="shared" si="1324"/>
        <v>652</v>
      </c>
      <c r="G990" s="18">
        <v>49</v>
      </c>
      <c r="H990" s="22">
        <f t="shared" ref="H990" si="1518">AVERAGE(C987:C990)</f>
        <v>226</v>
      </c>
      <c r="I990" s="22">
        <f t="shared" ref="I990" si="1519">AVERAGE(D987:D990)</f>
        <v>4</v>
      </c>
      <c r="J990" s="22">
        <f t="shared" ref="J990" si="1520">AVERAGE(E987:E990)</f>
        <v>350.25</v>
      </c>
      <c r="K990" s="23">
        <f t="shared" ref="K990" si="1521">SUM(H990:J990)</f>
        <v>580.25</v>
      </c>
      <c r="L990" s="23">
        <f t="shared" ref="L990" si="1522">AVERAGE(K834+K886+K938)/3</f>
        <v>707.58333333333337</v>
      </c>
      <c r="M990" s="23">
        <f t="shared" si="1256"/>
        <v>716.66666666666663</v>
      </c>
      <c r="N990" s="25">
        <f t="shared" ref="N990" si="1523">(F990-F938)/F938</f>
        <v>-0.23113207547169812</v>
      </c>
      <c r="O990" s="25">
        <f t="shared" ref="O990" si="1524">(F990-L990)/L990</f>
        <v>-7.855376280767877E-2</v>
      </c>
    </row>
    <row r="991" spans="1:15" x14ac:dyDescent="0.25">
      <c r="A991" s="16" t="s">
        <v>15</v>
      </c>
      <c r="B991" s="29">
        <f t="shared" si="1098"/>
        <v>41258</v>
      </c>
      <c r="C991" s="15">
        <v>126</v>
      </c>
      <c r="D991" s="15">
        <v>3</v>
      </c>
      <c r="E991" s="15">
        <v>241</v>
      </c>
      <c r="F991" s="21">
        <f t="shared" si="1324"/>
        <v>370</v>
      </c>
      <c r="G991" s="18">
        <v>50</v>
      </c>
      <c r="H991" s="22">
        <f t="shared" ref="H991" si="1525">AVERAGE(C988:C991)</f>
        <v>219.25</v>
      </c>
      <c r="I991" s="22">
        <f t="shared" ref="I991" si="1526">AVERAGE(D988:D991)</f>
        <v>3.25</v>
      </c>
      <c r="J991" s="22">
        <f t="shared" ref="J991" si="1527">AVERAGE(E988:E991)</f>
        <v>356.25</v>
      </c>
      <c r="K991" s="23">
        <f t="shared" ref="K991" si="1528">SUM(H991:J991)</f>
        <v>578.75</v>
      </c>
      <c r="L991" s="23">
        <f t="shared" ref="L991" si="1529">AVERAGE(K835+K887+K939)/3</f>
        <v>697.08333333333337</v>
      </c>
      <c r="M991" s="23">
        <f t="shared" si="1256"/>
        <v>563.66666666666663</v>
      </c>
      <c r="N991" s="25">
        <f t="shared" ref="N991" si="1530">(F991-F939)/F939</f>
        <v>-0.45022288261515603</v>
      </c>
      <c r="O991" s="25">
        <f t="shared" ref="O991" si="1531">(F991-L991)/L991</f>
        <v>-0.46921697549312613</v>
      </c>
    </row>
    <row r="992" spans="1:15" x14ac:dyDescent="0.25">
      <c r="A992" s="16" t="s">
        <v>15</v>
      </c>
      <c r="B992" s="29">
        <f t="shared" si="1098"/>
        <v>41265</v>
      </c>
      <c r="C992" s="15">
        <v>87</v>
      </c>
      <c r="D992" s="15">
        <v>9</v>
      </c>
      <c r="E992" s="15">
        <v>147</v>
      </c>
      <c r="F992" s="21">
        <f t="shared" si="1324"/>
        <v>243</v>
      </c>
      <c r="G992" s="18">
        <v>51</v>
      </c>
      <c r="H992" s="22">
        <f t="shared" ref="H992" si="1532">AVERAGE(C989:C992)</f>
        <v>170.75</v>
      </c>
      <c r="I992" s="22">
        <f t="shared" ref="I992" si="1533">AVERAGE(D989:D992)</f>
        <v>4.75</v>
      </c>
      <c r="J992" s="22">
        <f t="shared" ref="J992" si="1534">AVERAGE(E989:E992)</f>
        <v>315.5</v>
      </c>
      <c r="K992" s="23">
        <f t="shared" ref="K992" si="1535">SUM(H992:J992)</f>
        <v>491</v>
      </c>
      <c r="L992" s="23">
        <f t="shared" ref="L992" si="1536">AVERAGE(K836+K888+K940)/3</f>
        <v>638.16666666666663</v>
      </c>
      <c r="M992" s="23">
        <f t="shared" si="1256"/>
        <v>462.66666666666669</v>
      </c>
      <c r="N992" s="25">
        <f t="shared" ref="N992" si="1537">(F992-F940)/F940</f>
        <v>-0.45146726862302483</v>
      </c>
      <c r="O992" s="25">
        <f t="shared" ref="O992" si="1538">(F992-L992)/L992</f>
        <v>-0.61922172891094274</v>
      </c>
    </row>
    <row r="993" spans="1:15" x14ac:dyDescent="0.25">
      <c r="A993" s="16" t="s">
        <v>15</v>
      </c>
      <c r="B993" s="29">
        <f t="shared" ref="B993:B1017" si="1539">B992+7</f>
        <v>41272</v>
      </c>
      <c r="C993" s="15">
        <v>28</v>
      </c>
      <c r="D993" s="15">
        <v>0</v>
      </c>
      <c r="E993" s="15">
        <v>108</v>
      </c>
      <c r="F993" s="21">
        <f t="shared" si="1324"/>
        <v>136</v>
      </c>
      <c r="G993" s="18">
        <v>52</v>
      </c>
      <c r="H993" s="22">
        <f t="shared" ref="H993" si="1540">AVERAGE(C990:C993)</f>
        <v>116.25</v>
      </c>
      <c r="I993" s="22">
        <f t="shared" ref="I993" si="1541">AVERAGE(D990:D993)</f>
        <v>4.25</v>
      </c>
      <c r="J993" s="22">
        <f t="shared" ref="J993" si="1542">AVERAGE(E990:E993)</f>
        <v>229.75</v>
      </c>
      <c r="K993" s="23">
        <f t="shared" ref="K993" si="1543">SUM(H993:J993)</f>
        <v>350.25</v>
      </c>
      <c r="L993" s="23">
        <f t="shared" ref="L993" si="1544">AVERAGE(K837+K889+K941)/3</f>
        <v>499.58333333333331</v>
      </c>
      <c r="M993" s="23">
        <f t="shared" si="1256"/>
        <v>255.33333333333334</v>
      </c>
      <c r="N993" s="25">
        <f t="shared" ref="N993" si="1545">(F993-F941)/F941</f>
        <v>-0.45381526104417669</v>
      </c>
      <c r="O993" s="25">
        <f t="shared" ref="O993" si="1546">(F993-L993)/L993</f>
        <v>-0.72777314428690576</v>
      </c>
    </row>
    <row r="994" spans="1:15" x14ac:dyDescent="0.25">
      <c r="A994" s="16" t="s">
        <v>16</v>
      </c>
      <c r="B994" s="29">
        <f t="shared" si="1539"/>
        <v>41279</v>
      </c>
      <c r="C994" s="15">
        <v>48</v>
      </c>
      <c r="D994" s="15">
        <v>2</v>
      </c>
      <c r="E994" s="15">
        <v>154</v>
      </c>
      <c r="F994" s="21">
        <f t="shared" si="1324"/>
        <v>204</v>
      </c>
      <c r="G994" s="18">
        <v>1</v>
      </c>
      <c r="H994" s="22">
        <f t="shared" ref="H994" si="1547">AVERAGE(C991:C994)</f>
        <v>72.25</v>
      </c>
      <c r="I994" s="22">
        <f t="shared" ref="I994" si="1548">AVERAGE(D991:D994)</f>
        <v>3.5</v>
      </c>
      <c r="J994" s="22">
        <f t="shared" ref="J994" si="1549">AVERAGE(E991:E994)</f>
        <v>162.5</v>
      </c>
      <c r="K994" s="23">
        <f t="shared" ref="K994" si="1550">SUM(H994:J994)</f>
        <v>238.25</v>
      </c>
      <c r="L994" s="23">
        <f t="shared" ref="L994" si="1551">AVERAGE(K838+K890+K942)/3</f>
        <v>380</v>
      </c>
      <c r="M994" s="23">
        <f t="shared" si="1256"/>
        <v>238.33333333333334</v>
      </c>
      <c r="N994" s="25">
        <f t="shared" ref="N994" si="1552">(F994-F942)/F942</f>
        <v>-0.21235521235521235</v>
      </c>
      <c r="O994" s="25">
        <f>(F994-L994)/L994</f>
        <v>-0.4631578947368421</v>
      </c>
    </row>
    <row r="995" spans="1:15" x14ac:dyDescent="0.25">
      <c r="A995" s="16" t="s">
        <v>16</v>
      </c>
      <c r="B995" s="29">
        <f t="shared" si="1539"/>
        <v>41286</v>
      </c>
      <c r="C995" s="15">
        <v>29</v>
      </c>
      <c r="D995" s="15">
        <v>13</v>
      </c>
      <c r="E995" s="15">
        <v>119</v>
      </c>
      <c r="F995" s="21">
        <f t="shared" si="1324"/>
        <v>161</v>
      </c>
      <c r="G995" s="18">
        <v>2</v>
      </c>
      <c r="H995" s="22">
        <f t="shared" ref="H995" si="1553">AVERAGE(C992:C995)</f>
        <v>48</v>
      </c>
      <c r="I995" s="22">
        <f t="shared" ref="I995" si="1554">AVERAGE(D992:D995)</f>
        <v>6</v>
      </c>
      <c r="J995" s="22">
        <f t="shared" ref="J995" si="1555">AVERAGE(E992:E995)</f>
        <v>132</v>
      </c>
      <c r="K995" s="23">
        <f t="shared" ref="K995" si="1556">SUM(H995:J995)</f>
        <v>186</v>
      </c>
      <c r="L995" s="23">
        <f t="shared" ref="L995" si="1557">AVERAGE(K839+K891+K943)/3</f>
        <v>290.43733333333336</v>
      </c>
      <c r="M995" s="23">
        <f t="shared" si="1256"/>
        <v>205.41600000000003</v>
      </c>
      <c r="N995" s="25">
        <f t="shared" ref="N995" si="1558">(F995-F943)/F943</f>
        <v>-0.42704626334519574</v>
      </c>
      <c r="O995" s="25">
        <f t="shared" ref="O995" si="1559">(F995-L995)/L995</f>
        <v>-0.44566355105863348</v>
      </c>
    </row>
    <row r="996" spans="1:15" x14ac:dyDescent="0.25">
      <c r="A996" s="16" t="s">
        <v>16</v>
      </c>
      <c r="B996" s="29">
        <f t="shared" si="1539"/>
        <v>41293</v>
      </c>
      <c r="C996" s="15">
        <v>75</v>
      </c>
      <c r="D996" s="15">
        <v>11</v>
      </c>
      <c r="E996" s="15">
        <v>160</v>
      </c>
      <c r="F996" s="21">
        <f t="shared" si="1324"/>
        <v>246</v>
      </c>
      <c r="G996" s="18">
        <v>3</v>
      </c>
      <c r="H996" s="22">
        <f t="shared" ref="H996" si="1560">AVERAGE(C993:C996)</f>
        <v>45</v>
      </c>
      <c r="I996" s="22">
        <f t="shared" ref="I996" si="1561">AVERAGE(D993:D996)</f>
        <v>6.5</v>
      </c>
      <c r="J996" s="22">
        <f t="shared" ref="J996" si="1562">AVERAGE(E993:E996)</f>
        <v>135.25</v>
      </c>
      <c r="K996" s="23">
        <f t="shared" ref="K996" si="1563">SUM(H996:J996)</f>
        <v>186.75</v>
      </c>
      <c r="L996" s="23">
        <f t="shared" ref="L996" si="1564">AVERAGE(K840+K892+K944)/3</f>
        <v>256.52066666666667</v>
      </c>
      <c r="M996" s="23">
        <f t="shared" ref="M996" si="1565">AVERAGE(F840+F892+F944)/3</f>
        <v>327</v>
      </c>
      <c r="N996" s="25">
        <f t="shared" ref="N996" si="1566">(F996-F944)/F944</f>
        <v>-0.41567695961995249</v>
      </c>
      <c r="O996" s="25">
        <f t="shared" ref="O996" si="1567">(F996-L996)/L996</f>
        <v>-4.101293982811003E-2</v>
      </c>
    </row>
    <row r="997" spans="1:15" x14ac:dyDescent="0.25">
      <c r="A997" s="16" t="s">
        <v>16</v>
      </c>
      <c r="B997" s="29">
        <f t="shared" si="1539"/>
        <v>41300</v>
      </c>
      <c r="C997" s="15">
        <v>32</v>
      </c>
      <c r="D997" s="15">
        <v>2</v>
      </c>
      <c r="E997" s="15">
        <v>158</v>
      </c>
      <c r="F997" s="21">
        <f t="shared" si="1324"/>
        <v>192</v>
      </c>
      <c r="G997" s="18">
        <v>4</v>
      </c>
      <c r="H997" s="22">
        <f t="shared" ref="H997" si="1568">AVERAGE(C994:C997)</f>
        <v>46</v>
      </c>
      <c r="I997" s="22">
        <f t="shared" ref="I997" si="1569">AVERAGE(D994:D997)</f>
        <v>7</v>
      </c>
      <c r="J997" s="22">
        <f t="shared" ref="J997" si="1570">AVERAGE(E994:E997)</f>
        <v>147.75</v>
      </c>
      <c r="K997" s="23">
        <f t="shared" ref="K997" si="1571">SUM(H997:J997)</f>
        <v>200.75</v>
      </c>
      <c r="L997" s="23">
        <f t="shared" ref="L997" si="1572">AVERAGE(K841+K893+K945)/3</f>
        <v>269.27066666666667</v>
      </c>
      <c r="M997" s="23">
        <f t="shared" ref="M997" si="1573">AVERAGE(F841+F893+F945)/3</f>
        <v>306.33333333333331</v>
      </c>
      <c r="N997" s="25">
        <f t="shared" ref="N997" si="1574">(F997-F945)/F945</f>
        <v>-0.42514970059880242</v>
      </c>
      <c r="O997" s="25">
        <f t="shared" ref="O997" si="1575">(F997-L997)/L997</f>
        <v>-0.28696280817814046</v>
      </c>
    </row>
    <row r="998" spans="1:15" x14ac:dyDescent="0.25">
      <c r="A998" s="16" t="s">
        <v>16</v>
      </c>
      <c r="B998" s="29">
        <f t="shared" si="1539"/>
        <v>41307</v>
      </c>
      <c r="C998" s="15">
        <v>59</v>
      </c>
      <c r="D998" s="15">
        <v>0</v>
      </c>
      <c r="E998" s="15">
        <v>102</v>
      </c>
      <c r="F998" s="21">
        <f t="shared" si="1324"/>
        <v>161</v>
      </c>
      <c r="G998" s="18">
        <v>5</v>
      </c>
      <c r="H998" s="22">
        <f t="shared" ref="H998" si="1576">AVERAGE(C995:C998)</f>
        <v>48.75</v>
      </c>
      <c r="I998" s="22">
        <f t="shared" ref="I998" si="1577">AVERAGE(D995:D998)</f>
        <v>6.5</v>
      </c>
      <c r="J998" s="22">
        <f t="shared" ref="J998" si="1578">AVERAGE(E995:E998)</f>
        <v>134.75</v>
      </c>
      <c r="K998" s="23">
        <f t="shared" ref="K998" si="1579">SUM(H998:J998)</f>
        <v>190</v>
      </c>
      <c r="L998" s="23">
        <f t="shared" ref="L998" si="1580">AVERAGE(K842+K894+K946)/3</f>
        <v>283.93733333333336</v>
      </c>
      <c r="M998" s="23">
        <f t="shared" ref="M998" si="1581">AVERAGE(F842+F894+F946)/3</f>
        <v>297</v>
      </c>
      <c r="N998" s="25">
        <f t="shared" ref="N998" si="1582">(F998-F946)/F946</f>
        <v>-0.62817551963048501</v>
      </c>
      <c r="O998" s="25">
        <f t="shared" ref="O998" si="1583">(F998-L998)/L998</f>
        <v>-0.43297347301986827</v>
      </c>
    </row>
    <row r="999" spans="1:15" x14ac:dyDescent="0.25">
      <c r="A999" s="16" t="s">
        <v>23</v>
      </c>
      <c r="B999" s="29">
        <f t="shared" si="1539"/>
        <v>41314</v>
      </c>
      <c r="C999" s="15">
        <v>50</v>
      </c>
      <c r="D999" s="15">
        <v>11</v>
      </c>
      <c r="E999" s="15">
        <v>127</v>
      </c>
      <c r="F999" s="21">
        <f t="shared" si="1324"/>
        <v>188</v>
      </c>
      <c r="G999" s="18">
        <v>6</v>
      </c>
      <c r="H999" s="22">
        <f t="shared" ref="H999" si="1584">AVERAGE(C996:C999)</f>
        <v>54</v>
      </c>
      <c r="I999" s="22">
        <f t="shared" ref="I999" si="1585">AVERAGE(D996:D999)</f>
        <v>6</v>
      </c>
      <c r="J999" s="22">
        <f t="shared" ref="J999" si="1586">AVERAGE(E996:E999)</f>
        <v>136.75</v>
      </c>
      <c r="K999" s="23">
        <f t="shared" ref="K999" si="1587">SUM(H999:J999)</f>
        <v>196.75</v>
      </c>
      <c r="L999" s="23">
        <f t="shared" ref="L999" si="1588">AVERAGE(K843+K895+K947)/3</f>
        <v>310.08333333333331</v>
      </c>
      <c r="M999" s="23">
        <f t="shared" ref="M999" si="1589">AVERAGE(F843+F895+F947)/3</f>
        <v>310</v>
      </c>
      <c r="N999" s="25">
        <f t="shared" ref="N999" si="1590">(F999-F947)/F947</f>
        <v>-0.55555555555555558</v>
      </c>
      <c r="O999" s="25">
        <f t="shared" ref="O999" si="1591">(F999-L999)/L999</f>
        <v>-0.39371136791185163</v>
      </c>
    </row>
    <row r="1000" spans="1:15" x14ac:dyDescent="0.25">
      <c r="A1000" s="16" t="s">
        <v>23</v>
      </c>
      <c r="B1000" s="29">
        <f t="shared" si="1539"/>
        <v>41321</v>
      </c>
      <c r="C1000" s="15">
        <v>104</v>
      </c>
      <c r="D1000" s="15">
        <v>33</v>
      </c>
      <c r="E1000" s="15">
        <v>96</v>
      </c>
      <c r="F1000" s="21">
        <f t="shared" si="1324"/>
        <v>233</v>
      </c>
      <c r="G1000" s="18">
        <v>7</v>
      </c>
      <c r="H1000" s="22">
        <f t="shared" ref="H1000" si="1592">AVERAGE(C997:C1000)</f>
        <v>61.25</v>
      </c>
      <c r="I1000" s="22">
        <f t="shared" ref="I1000" si="1593">AVERAGE(D997:D1000)</f>
        <v>11.5</v>
      </c>
      <c r="J1000" s="22">
        <f t="shared" ref="J1000" si="1594">AVERAGE(E997:E1000)</f>
        <v>120.75</v>
      </c>
      <c r="K1000" s="23">
        <f t="shared" ref="K1000" si="1595">SUM(H1000:J1000)</f>
        <v>193.5</v>
      </c>
      <c r="L1000" s="23">
        <f t="shared" ref="L1000" si="1596">AVERAGE(K844+K896+K948)/3</f>
        <v>309.91666666666669</v>
      </c>
      <c r="M1000" s="23">
        <f t="shared" ref="M1000" si="1597">AVERAGE(F844+F896+F948)/3</f>
        <v>326.33333333333331</v>
      </c>
      <c r="N1000" s="25">
        <f t="shared" ref="N1000" si="1598">(F1000-F948)/F948</f>
        <v>-0.41457286432160806</v>
      </c>
      <c r="O1000" s="25">
        <f t="shared" ref="O1000" si="1599">(F1000-L1000)/L1000</f>
        <v>-0.24818499596665775</v>
      </c>
    </row>
    <row r="1001" spans="1:15" x14ac:dyDescent="0.25">
      <c r="A1001" s="16" t="s">
        <v>23</v>
      </c>
      <c r="B1001" s="29">
        <f t="shared" si="1539"/>
        <v>41328</v>
      </c>
      <c r="C1001" s="15">
        <v>57</v>
      </c>
      <c r="D1001" s="15">
        <v>49</v>
      </c>
      <c r="E1001" s="15">
        <v>65</v>
      </c>
      <c r="F1001" s="21">
        <f t="shared" si="1324"/>
        <v>171</v>
      </c>
      <c r="G1001" s="18">
        <v>8</v>
      </c>
      <c r="H1001" s="22">
        <f t="shared" ref="H1001" si="1600">AVERAGE(C998:C1001)</f>
        <v>67.5</v>
      </c>
      <c r="I1001" s="22">
        <f t="shared" ref="I1001" si="1601">AVERAGE(D998:D1001)</f>
        <v>23.25</v>
      </c>
      <c r="J1001" s="22">
        <f t="shared" ref="J1001" si="1602">AVERAGE(E998:E1001)</f>
        <v>97.5</v>
      </c>
      <c r="K1001" s="23">
        <f t="shared" ref="K1001" si="1603">SUM(H1001:J1001)</f>
        <v>188.25</v>
      </c>
      <c r="L1001" s="23">
        <f t="shared" ref="L1001" si="1604">AVERAGE(K845+K897+K949)/3</f>
        <v>315.08333333333331</v>
      </c>
      <c r="M1001" s="23">
        <f t="shared" ref="M1001" si="1605">AVERAGE(F845+F897+F949)/3</f>
        <v>327</v>
      </c>
      <c r="N1001" s="25">
        <f t="shared" ref="N1001" si="1606">(F1001-F949)/F949</f>
        <v>-0.37132352941176472</v>
      </c>
      <c r="O1001" s="25">
        <f t="shared" ref="O1001" si="1607">(F1001-L1001)/L1001</f>
        <v>-0.457286432160804</v>
      </c>
    </row>
    <row r="1002" spans="1:15" x14ac:dyDescent="0.25">
      <c r="A1002" s="16" t="s">
        <v>23</v>
      </c>
      <c r="B1002" s="29">
        <f t="shared" si="1539"/>
        <v>41335</v>
      </c>
      <c r="C1002" s="15">
        <v>35</v>
      </c>
      <c r="D1002" s="15">
        <v>38</v>
      </c>
      <c r="E1002" s="15">
        <v>24</v>
      </c>
      <c r="F1002" s="21">
        <f t="shared" si="1324"/>
        <v>97</v>
      </c>
      <c r="G1002" s="18">
        <v>9</v>
      </c>
      <c r="H1002" s="22">
        <f t="shared" ref="H1002" si="1608">AVERAGE(C999:C1002)</f>
        <v>61.5</v>
      </c>
      <c r="I1002" s="22">
        <f t="shared" ref="I1002" si="1609">AVERAGE(D999:D1002)</f>
        <v>32.75</v>
      </c>
      <c r="J1002" s="22">
        <f t="shared" ref="J1002" si="1610">AVERAGE(E999:E1002)</f>
        <v>78</v>
      </c>
      <c r="K1002" s="23">
        <f t="shared" ref="K1002" si="1611">SUM(H1002:J1002)</f>
        <v>172.25</v>
      </c>
      <c r="L1002" s="23">
        <f t="shared" ref="L1002" si="1612">AVERAGE(K846+K898+K950)/3</f>
        <v>324.41666666666669</v>
      </c>
      <c r="M1002" s="23">
        <f t="shared" ref="M1002" si="1613">AVERAGE(F846+F898+F950)/3</f>
        <v>334.33333333333331</v>
      </c>
      <c r="N1002" s="25">
        <f t="shared" ref="N1002" si="1614">(F1002-F950)/F950</f>
        <v>-0.62692307692307692</v>
      </c>
      <c r="O1002" s="25">
        <f t="shared" ref="O1002" si="1615">(F1002-L1002)/L1002</f>
        <v>-0.70100179809915231</v>
      </c>
    </row>
    <row r="1003" spans="1:15" x14ac:dyDescent="0.25">
      <c r="A1003" s="16" t="s">
        <v>27</v>
      </c>
      <c r="B1003" s="29">
        <f t="shared" si="1539"/>
        <v>41342</v>
      </c>
      <c r="C1003" s="15">
        <v>133</v>
      </c>
      <c r="D1003" s="15">
        <v>100</v>
      </c>
      <c r="E1003" s="15">
        <v>92</v>
      </c>
      <c r="F1003" s="21">
        <f t="shared" si="1324"/>
        <v>325</v>
      </c>
      <c r="G1003" s="18">
        <v>10</v>
      </c>
      <c r="H1003" s="22">
        <f t="shared" ref="H1003" si="1616">AVERAGE(C1000:C1003)</f>
        <v>82.25</v>
      </c>
      <c r="I1003" s="22">
        <f t="shared" ref="I1003" si="1617">AVERAGE(D1000:D1003)</f>
        <v>55</v>
      </c>
      <c r="J1003" s="22">
        <f t="shared" ref="J1003" si="1618">AVERAGE(E1000:E1003)</f>
        <v>69.25</v>
      </c>
      <c r="K1003" s="23">
        <f t="shared" ref="K1003" si="1619">SUM(H1003:J1003)</f>
        <v>206.5</v>
      </c>
      <c r="L1003" s="23">
        <f t="shared" ref="L1003" si="1620">AVERAGE(K847+K899+K951)/3</f>
        <v>334.75</v>
      </c>
      <c r="M1003" s="23">
        <f t="shared" ref="M1003" si="1621">AVERAGE(F847+F899+F951)/3</f>
        <v>351.33333333333331</v>
      </c>
      <c r="N1003" s="25">
        <f t="shared" ref="N1003" si="1622">(F1003-F951)/F951</f>
        <v>0.33744855967078191</v>
      </c>
      <c r="O1003" s="25">
        <f t="shared" ref="O1003" si="1623">(F1003-L1003)/L1003</f>
        <v>-2.9126213592233011E-2</v>
      </c>
    </row>
    <row r="1004" spans="1:15" x14ac:dyDescent="0.25">
      <c r="A1004" s="16" t="s">
        <v>27</v>
      </c>
      <c r="B1004" s="29">
        <f t="shared" si="1539"/>
        <v>41349</v>
      </c>
      <c r="C1004" s="15">
        <v>85</v>
      </c>
      <c r="D1004" s="15">
        <v>60</v>
      </c>
      <c r="E1004" s="15">
        <v>100</v>
      </c>
      <c r="F1004" s="21">
        <f t="shared" si="1324"/>
        <v>245</v>
      </c>
      <c r="G1004" s="18">
        <v>11</v>
      </c>
      <c r="H1004" s="22">
        <f t="shared" ref="H1004" si="1624">AVERAGE(C1001:C1004)</f>
        <v>77.5</v>
      </c>
      <c r="I1004" s="22">
        <f t="shared" ref="I1004" si="1625">AVERAGE(D1001:D1004)</f>
        <v>61.75</v>
      </c>
      <c r="J1004" s="22">
        <f t="shared" ref="J1004" si="1626">AVERAGE(E1001:E1004)</f>
        <v>70.25</v>
      </c>
      <c r="K1004" s="23">
        <f t="shared" ref="K1004" si="1627">SUM(H1004:J1004)</f>
        <v>209.5</v>
      </c>
      <c r="L1004" s="23">
        <f t="shared" ref="L1004" si="1628">AVERAGE(K848+K900+K952)/3</f>
        <v>321.75</v>
      </c>
      <c r="M1004" s="23">
        <f t="shared" ref="M1004" si="1629">AVERAGE(F848+F900+F952)/3</f>
        <v>274.33333333333331</v>
      </c>
      <c r="N1004" s="25">
        <f t="shared" ref="N1004" si="1630">(F1004-F952)/F952</f>
        <v>0.20689655172413793</v>
      </c>
      <c r="O1004" s="25">
        <f t="shared" ref="O1004" si="1631">(F1004-L1004)/L1004</f>
        <v>-0.23853923853923853</v>
      </c>
    </row>
    <row r="1005" spans="1:15" x14ac:dyDescent="0.25">
      <c r="A1005" s="16" t="s">
        <v>27</v>
      </c>
      <c r="B1005" s="29">
        <f t="shared" si="1539"/>
        <v>41356</v>
      </c>
      <c r="C1005" s="15">
        <v>120</v>
      </c>
      <c r="D1005" s="15">
        <v>48</v>
      </c>
      <c r="E1005" s="15">
        <v>55</v>
      </c>
      <c r="F1005" s="21">
        <f t="shared" si="1324"/>
        <v>223</v>
      </c>
      <c r="G1005" s="18">
        <v>12</v>
      </c>
      <c r="H1005" s="22">
        <f t="shared" ref="H1005" si="1632">AVERAGE(C1002:C1005)</f>
        <v>93.25</v>
      </c>
      <c r="I1005" s="22">
        <f t="shared" ref="I1005" si="1633">AVERAGE(D1002:D1005)</f>
        <v>61.5</v>
      </c>
      <c r="J1005" s="22">
        <f t="shared" ref="J1005" si="1634">AVERAGE(E1002:E1005)</f>
        <v>67.75</v>
      </c>
      <c r="K1005" s="23">
        <f t="shared" ref="K1005" si="1635">SUM(H1005:J1005)</f>
        <v>222.5</v>
      </c>
      <c r="L1005" s="23">
        <f t="shared" ref="L1005" si="1636">AVERAGE(K849+K901+K953)/3</f>
        <v>344.41666666666669</v>
      </c>
      <c r="M1005" s="23">
        <f t="shared" ref="M1005" si="1637">AVERAGE(F849+F901+F953)/3</f>
        <v>417.66666666666669</v>
      </c>
      <c r="N1005" s="25">
        <f t="shared" ref="N1005" si="1638">(F1005-F953)/F953</f>
        <v>-0.60808435852372589</v>
      </c>
      <c r="O1005" s="25">
        <f t="shared" ref="O1005" si="1639">(F1005-L1005)/L1005</f>
        <v>-0.3525284297120736</v>
      </c>
    </row>
    <row r="1006" spans="1:15" x14ac:dyDescent="0.25">
      <c r="A1006" s="16" t="s">
        <v>27</v>
      </c>
      <c r="B1006" s="29">
        <f t="shared" si="1539"/>
        <v>41363</v>
      </c>
      <c r="C1006" s="15">
        <v>139</v>
      </c>
      <c r="D1006" s="15">
        <v>53</v>
      </c>
      <c r="E1006" s="15">
        <v>41</v>
      </c>
      <c r="F1006" s="21">
        <f t="shared" si="1324"/>
        <v>233</v>
      </c>
      <c r="G1006" s="18">
        <v>13</v>
      </c>
      <c r="H1006" s="22">
        <f t="shared" ref="H1006" si="1640">AVERAGE(C1003:C1006)</f>
        <v>119.25</v>
      </c>
      <c r="I1006" s="22">
        <f t="shared" ref="I1006" si="1641">AVERAGE(D1003:D1006)</f>
        <v>65.25</v>
      </c>
      <c r="J1006" s="22">
        <f t="shared" ref="J1006" si="1642">AVERAGE(E1003:E1006)</f>
        <v>72</v>
      </c>
      <c r="K1006" s="23">
        <f t="shared" ref="K1006" si="1643">SUM(H1006:J1006)</f>
        <v>256.5</v>
      </c>
      <c r="L1006" s="23">
        <f t="shared" ref="L1006" si="1644">AVERAGE(K850+K902+K954)/3</f>
        <v>374.16666666666669</v>
      </c>
      <c r="M1006" s="23">
        <f t="shared" ref="M1006" si="1645">AVERAGE(F850+F902+F954)/3</f>
        <v>453.33333333333331</v>
      </c>
      <c r="N1006" s="25">
        <f t="shared" ref="N1006" si="1646">(F1006-F954)/F954</f>
        <v>-0.60906040268456374</v>
      </c>
      <c r="O1006" s="25">
        <f t="shared" ref="O1006" si="1647">(F1006-L1006)/L1006</f>
        <v>-0.37728285077951007</v>
      </c>
    </row>
    <row r="1007" spans="1:15" x14ac:dyDescent="0.25">
      <c r="A1007" s="16" t="s">
        <v>14</v>
      </c>
      <c r="B1007" s="29">
        <f t="shared" si="1539"/>
        <v>41370</v>
      </c>
      <c r="C1007" s="15">
        <v>85</v>
      </c>
      <c r="D1007" s="15">
        <v>13</v>
      </c>
      <c r="E1007" s="15">
        <v>47</v>
      </c>
      <c r="F1007" s="21">
        <f t="shared" si="1324"/>
        <v>145</v>
      </c>
      <c r="G1007" s="18">
        <v>14</v>
      </c>
      <c r="H1007" s="22">
        <f t="shared" ref="H1007" si="1648">AVERAGE(C1004:C1007)</f>
        <v>107.25</v>
      </c>
      <c r="I1007" s="22">
        <f t="shared" ref="I1007" si="1649">AVERAGE(D1004:D1007)</f>
        <v>43.5</v>
      </c>
      <c r="J1007" s="22">
        <f t="shared" ref="J1007" si="1650">AVERAGE(E1004:E1007)</f>
        <v>60.75</v>
      </c>
      <c r="K1007" s="23">
        <f t="shared" ref="K1007" si="1651">SUM(H1007:J1007)</f>
        <v>211.5</v>
      </c>
      <c r="L1007" s="23">
        <f t="shared" ref="L1007" si="1652">AVERAGE(K851+K903+K955)/3</f>
        <v>376.08333333333331</v>
      </c>
      <c r="M1007" s="23">
        <f t="shared" ref="M1007" si="1653">AVERAGE(F851+F903+F955)/3</f>
        <v>359</v>
      </c>
      <c r="N1007" s="25">
        <f t="shared" ref="N1007" si="1654">(F1007-F955)/F955</f>
        <v>-0.71844660194174759</v>
      </c>
      <c r="O1007" s="25">
        <f t="shared" ref="O1007" si="1655">(F1007-L1007)/L1007</f>
        <v>-0.61444715267006422</v>
      </c>
    </row>
    <row r="1008" spans="1:15" x14ac:dyDescent="0.25">
      <c r="A1008" s="16" t="s">
        <v>14</v>
      </c>
      <c r="B1008" s="29">
        <f t="shared" si="1539"/>
        <v>41377</v>
      </c>
      <c r="C1008" s="15">
        <v>127</v>
      </c>
      <c r="D1008" s="15">
        <v>30</v>
      </c>
      <c r="E1008" s="15">
        <v>53</v>
      </c>
      <c r="F1008" s="21">
        <f t="shared" si="1324"/>
        <v>210</v>
      </c>
      <c r="G1008" s="18">
        <v>15</v>
      </c>
      <c r="H1008" s="22">
        <f t="shared" ref="H1008" si="1656">AVERAGE(C1005:C1008)</f>
        <v>117.75</v>
      </c>
      <c r="I1008" s="22">
        <f t="shared" ref="I1008" si="1657">AVERAGE(D1005:D1008)</f>
        <v>36</v>
      </c>
      <c r="J1008" s="22">
        <f t="shared" ref="J1008" si="1658">AVERAGE(E1005:E1008)</f>
        <v>49</v>
      </c>
      <c r="K1008" s="23">
        <f t="shared" ref="K1008" si="1659">SUM(H1008:J1008)</f>
        <v>202.75</v>
      </c>
      <c r="L1008" s="23">
        <f t="shared" ref="L1008" si="1660">AVERAGE(K852+K904+K956)/3</f>
        <v>403.66666666666669</v>
      </c>
      <c r="M1008" s="23">
        <f t="shared" ref="M1008" si="1661">AVERAGE(F852+F904+F956)/3</f>
        <v>384.66666666666669</v>
      </c>
      <c r="N1008" s="25">
        <f t="shared" ref="N1008" si="1662">(F1008-F956)/F956</f>
        <v>-0.4182825484764543</v>
      </c>
      <c r="O1008" s="25">
        <f t="shared" ref="O1008" si="1663">(F1008-L1008)/L1008</f>
        <v>-0.47976878612716767</v>
      </c>
    </row>
    <row r="1009" spans="1:15" x14ac:dyDescent="0.25">
      <c r="A1009" s="16" t="s">
        <v>14</v>
      </c>
      <c r="B1009" s="29">
        <f t="shared" si="1539"/>
        <v>41384</v>
      </c>
      <c r="C1009" s="15">
        <v>65</v>
      </c>
      <c r="D1009" s="15">
        <v>25</v>
      </c>
      <c r="E1009" s="15">
        <v>41</v>
      </c>
      <c r="F1009" s="21">
        <f t="shared" si="1324"/>
        <v>131</v>
      </c>
      <c r="G1009" s="18">
        <v>16</v>
      </c>
      <c r="H1009" s="22">
        <f t="shared" ref="H1009" si="1664">AVERAGE(C1006:C1009)</f>
        <v>104</v>
      </c>
      <c r="I1009" s="22">
        <f t="shared" ref="I1009" si="1665">AVERAGE(D1006:D1009)</f>
        <v>30.25</v>
      </c>
      <c r="J1009" s="22">
        <f t="shared" ref="J1009" si="1666">AVERAGE(E1006:E1009)</f>
        <v>45.5</v>
      </c>
      <c r="K1009" s="23">
        <f t="shared" ref="K1009" si="1667">SUM(H1009:J1009)</f>
        <v>179.75</v>
      </c>
      <c r="L1009" s="23">
        <f t="shared" ref="L1009" si="1668">AVERAGE(K853+K905+K957)/3</f>
        <v>417.08333333333331</v>
      </c>
      <c r="M1009" s="23">
        <f t="shared" ref="M1009" si="1669">AVERAGE(F853+F905+F957)/3</f>
        <v>471.33333333333331</v>
      </c>
      <c r="N1009" s="25">
        <f t="shared" ref="N1009:N1010" si="1670">(F1009-F957)/F957</f>
        <v>-0.78239202657807305</v>
      </c>
      <c r="O1009" s="25">
        <f t="shared" ref="O1009:O1010" si="1671">(F1009-L1009)/L1009</f>
        <v>-0.68591408591408587</v>
      </c>
    </row>
    <row r="1010" spans="1:15" x14ac:dyDescent="0.25">
      <c r="A1010" s="16" t="s">
        <v>14</v>
      </c>
      <c r="B1010" s="29">
        <f t="shared" si="1539"/>
        <v>41391</v>
      </c>
      <c r="C1010" s="15">
        <v>22</v>
      </c>
      <c r="D1010" s="15">
        <v>3</v>
      </c>
      <c r="E1010" s="15">
        <v>12</v>
      </c>
      <c r="F1010" s="21">
        <f t="shared" si="1324"/>
        <v>37</v>
      </c>
      <c r="G1010" s="18">
        <v>17</v>
      </c>
      <c r="H1010" s="22">
        <f t="shared" ref="H1010" si="1672">AVERAGE(C1007:C1010)</f>
        <v>74.75</v>
      </c>
      <c r="I1010" s="22">
        <f t="shared" ref="I1010" si="1673">AVERAGE(D1007:D1010)</f>
        <v>17.75</v>
      </c>
      <c r="J1010" s="22">
        <f t="shared" ref="J1010" si="1674">AVERAGE(E1007:E1010)</f>
        <v>38.25</v>
      </c>
      <c r="K1010" s="23">
        <f t="shared" ref="K1010" si="1675">SUM(H1010:J1010)</f>
        <v>130.75</v>
      </c>
      <c r="L1010" s="23">
        <f t="shared" ref="L1010:L1013" si="1676">AVERAGE(K854+K906+K958)/3</f>
        <v>397.33333333333331</v>
      </c>
      <c r="M1010" s="23">
        <f t="shared" ref="M1010:M1013" si="1677">AVERAGE(F854+F906+F958)/3</f>
        <v>374.33333333333331</v>
      </c>
      <c r="N1010" s="25">
        <f t="shared" si="1670"/>
        <v>-0.92658730158730163</v>
      </c>
      <c r="O1010" s="25">
        <f t="shared" si="1671"/>
        <v>-0.90687919463087252</v>
      </c>
    </row>
    <row r="1011" spans="1:15" x14ac:dyDescent="0.25">
      <c r="A1011" s="16" t="s">
        <v>5</v>
      </c>
      <c r="B1011" s="29">
        <f t="shared" si="1539"/>
        <v>41398</v>
      </c>
      <c r="C1011" s="15">
        <v>199</v>
      </c>
      <c r="D1011" s="15">
        <v>28</v>
      </c>
      <c r="E1011" s="15">
        <v>54</v>
      </c>
      <c r="F1011" s="21">
        <f t="shared" si="1324"/>
        <v>281</v>
      </c>
      <c r="G1011" s="18">
        <v>18</v>
      </c>
      <c r="H1011" s="22">
        <f t="shared" ref="H1011" si="1678">AVERAGE(C1008:C1011)</f>
        <v>103.25</v>
      </c>
      <c r="I1011" s="22">
        <f t="shared" ref="I1011" si="1679">AVERAGE(D1008:D1011)</f>
        <v>21.5</v>
      </c>
      <c r="J1011" s="22">
        <f t="shared" ref="J1011" si="1680">AVERAGE(E1008:E1011)</f>
        <v>40</v>
      </c>
      <c r="K1011" s="23">
        <f t="shared" ref="K1011" si="1681">SUM(H1011:J1011)</f>
        <v>164.75</v>
      </c>
      <c r="L1011" s="23">
        <f t="shared" ref="L1011" si="1682">AVERAGE(K855+K907+K959)/3</f>
        <v>410.5</v>
      </c>
      <c r="M1011" s="23">
        <f t="shared" ref="M1011" si="1683">AVERAGE(F855+F907+F959)/3</f>
        <v>411.66666666666669</v>
      </c>
      <c r="N1011" s="25">
        <f t="shared" ref="N1011" si="1684">(F1011-F959)/F959</f>
        <v>-4.4217687074829932E-2</v>
      </c>
      <c r="O1011" s="25">
        <f t="shared" ref="O1011:O1012" si="1685">(F1011-L1011)/L1011</f>
        <v>-0.31546894031668699</v>
      </c>
    </row>
    <row r="1012" spans="1:15" x14ac:dyDescent="0.25">
      <c r="A1012" s="16" t="s">
        <v>5</v>
      </c>
      <c r="B1012" s="29">
        <f t="shared" si="1539"/>
        <v>41405</v>
      </c>
      <c r="C1012" s="15">
        <v>138</v>
      </c>
      <c r="D1012" s="15">
        <v>20</v>
      </c>
      <c r="E1012" s="15">
        <v>45</v>
      </c>
      <c r="F1012" s="21">
        <f t="shared" si="1324"/>
        <v>203</v>
      </c>
      <c r="G1012" s="18">
        <v>19</v>
      </c>
      <c r="H1012" s="22">
        <f t="shared" ref="H1012" si="1686">AVERAGE(C1009:C1012)</f>
        <v>106</v>
      </c>
      <c r="I1012" s="22">
        <f t="shared" ref="I1012" si="1687">AVERAGE(D1009:D1012)</f>
        <v>19</v>
      </c>
      <c r="J1012" s="22">
        <f t="shared" ref="J1012" si="1688">AVERAGE(E1009:E1012)</f>
        <v>38</v>
      </c>
      <c r="K1012" s="23">
        <f t="shared" ref="K1012" si="1689">SUM(H1012:J1012)</f>
        <v>163</v>
      </c>
      <c r="L1012" s="23">
        <f t="shared" ref="L1012" si="1690">AVERAGE(K856+K908+K960)/3</f>
        <v>445.25</v>
      </c>
      <c r="M1012" s="23">
        <f t="shared" ref="M1012" si="1691">AVERAGE(F856+F908+F960)/3</f>
        <v>523.66666666666663</v>
      </c>
      <c r="N1012" s="25">
        <f t="shared" ref="N1012" si="1692">(F1012-F960)/F960</f>
        <v>-0.49627791563275436</v>
      </c>
      <c r="O1012" s="25">
        <f t="shared" ref="O1012" si="1693">(F1012-L1012)/L1012</f>
        <v>-0.54407636159460981</v>
      </c>
    </row>
    <row r="1013" spans="1:15" x14ac:dyDescent="0.25">
      <c r="A1013" s="16" t="s">
        <v>5</v>
      </c>
      <c r="B1013" s="29">
        <f t="shared" si="1539"/>
        <v>41412</v>
      </c>
      <c r="G1013" s="18">
        <v>20</v>
      </c>
      <c r="J1013" s="31"/>
      <c r="L1013" s="23">
        <f t="shared" si="1676"/>
        <v>473.25</v>
      </c>
      <c r="M1013" s="23">
        <f t="shared" si="1677"/>
        <v>583.33333333333337</v>
      </c>
    </row>
    <row r="1014" spans="1:15" x14ac:dyDescent="0.25">
      <c r="A1014" s="16" t="s">
        <v>5</v>
      </c>
      <c r="B1014" s="29">
        <f t="shared" si="1539"/>
        <v>41419</v>
      </c>
      <c r="G1014" s="18">
        <v>21</v>
      </c>
      <c r="J1014" s="31"/>
      <c r="L1014" s="23">
        <f t="shared" ref="L1014:L1015" si="1694">AVERAGE(K858+K910+K962)/3</f>
        <v>518.83333333333337</v>
      </c>
      <c r="M1014" s="23">
        <f t="shared" ref="M1014:M1015" si="1695">AVERAGE(F858+F910+F962)/3</f>
        <v>556.66666666666663</v>
      </c>
    </row>
    <row r="1015" spans="1:15" x14ac:dyDescent="0.25">
      <c r="A1015" s="16" t="s">
        <v>5</v>
      </c>
      <c r="B1015" s="29">
        <f t="shared" si="1539"/>
        <v>41426</v>
      </c>
      <c r="G1015" s="18">
        <v>22</v>
      </c>
      <c r="J1015" s="31"/>
      <c r="L1015" s="23">
        <f t="shared" si="1694"/>
        <v>547.25</v>
      </c>
      <c r="M1015" s="23">
        <f t="shared" si="1695"/>
        <v>525.33333333333337</v>
      </c>
    </row>
    <row r="1016" spans="1:15" x14ac:dyDescent="0.25">
      <c r="A1016" s="16" t="s">
        <v>30</v>
      </c>
      <c r="B1016" s="29">
        <f t="shared" si="1539"/>
        <v>41433</v>
      </c>
      <c r="G1016" s="18">
        <v>23</v>
      </c>
      <c r="J1016" s="31"/>
      <c r="L1016" s="23">
        <f t="shared" ref="L1016:L1017" si="1696">AVERAGE(K860+K912+K964)/3</f>
        <v>548.66666666666663</v>
      </c>
      <c r="M1016" s="23">
        <f t="shared" ref="M1016:M1017" si="1697">AVERAGE(F860+F912+F964)/3</f>
        <v>529.33333333333337</v>
      </c>
    </row>
    <row r="1017" spans="1:15" x14ac:dyDescent="0.25">
      <c r="A1017" s="16" t="s">
        <v>30</v>
      </c>
      <c r="B1017" s="29">
        <f t="shared" si="1539"/>
        <v>41440</v>
      </c>
      <c r="G1017" s="18">
        <v>24</v>
      </c>
      <c r="J1017" s="31"/>
      <c r="L1017" s="23">
        <f t="shared" si="1696"/>
        <v>521.25</v>
      </c>
      <c r="M1017" s="23">
        <f t="shared" si="1697"/>
        <v>473.66666666666669</v>
      </c>
    </row>
    <row r="1018" spans="1:15" x14ac:dyDescent="0.25">
      <c r="A1018" s="16"/>
      <c r="B1018" s="29"/>
      <c r="J1018" s="31"/>
      <c r="L1018" s="23"/>
      <c r="M1018" s="23"/>
    </row>
    <row r="1019" spans="1:15" x14ac:dyDescent="0.25">
      <c r="A1019" s="16"/>
      <c r="B1019" s="29"/>
      <c r="J1019" s="31"/>
      <c r="L1019" s="23"/>
      <c r="M1019" s="23"/>
    </row>
    <row r="1020" spans="1:15" x14ac:dyDescent="0.25">
      <c r="A1020" s="16"/>
      <c r="B1020" s="29"/>
      <c r="J1020" s="31"/>
      <c r="L1020" s="23"/>
      <c r="M1020" s="23"/>
    </row>
    <row r="1021" spans="1:15" x14ac:dyDescent="0.25">
      <c r="A1021" s="16"/>
      <c r="B1021" s="29"/>
      <c r="J1021" s="31"/>
      <c r="L1021" s="23"/>
      <c r="M1021" s="23"/>
    </row>
    <row r="1022" spans="1:15" x14ac:dyDescent="0.25">
      <c r="J1022" s="31"/>
    </row>
    <row r="1023" spans="1:15" x14ac:dyDescent="0.25">
      <c r="A1023" s="15" t="s">
        <v>33</v>
      </c>
      <c r="J1023" s="31"/>
    </row>
    <row r="1024" spans="1:15" x14ac:dyDescent="0.25">
      <c r="A1024" s="15" t="s">
        <v>36</v>
      </c>
      <c r="J1024" s="31"/>
    </row>
    <row r="1025" spans="10:10" x14ac:dyDescent="0.25">
      <c r="J1025" s="31"/>
    </row>
    <row r="1026" spans="10:10" x14ac:dyDescent="0.25">
      <c r="J1026" s="31"/>
    </row>
    <row r="1027" spans="10:10" x14ac:dyDescent="0.25">
      <c r="J1027" s="31"/>
    </row>
    <row r="1028" spans="10:10" x14ac:dyDescent="0.25">
      <c r="J1028" s="31"/>
    </row>
    <row r="1029" spans="10:10" x14ac:dyDescent="0.25">
      <c r="J1029" s="31"/>
    </row>
    <row r="1030" spans="10:10" x14ac:dyDescent="0.25">
      <c r="J1030" s="31"/>
    </row>
    <row r="1031" spans="10:10" x14ac:dyDescent="0.25">
      <c r="J1031" s="31"/>
    </row>
    <row r="1032" spans="10:10" x14ac:dyDescent="0.25">
      <c r="J1032" s="31"/>
    </row>
    <row r="1033" spans="10:10" x14ac:dyDescent="0.25">
      <c r="J1033" s="31"/>
    </row>
    <row r="1034" spans="10:10" x14ac:dyDescent="0.25">
      <c r="J1034" s="31"/>
    </row>
    <row r="1035" spans="10:10" x14ac:dyDescent="0.25">
      <c r="J1035" s="31"/>
    </row>
    <row r="1036" spans="10:10" x14ac:dyDescent="0.25">
      <c r="J1036" s="31"/>
    </row>
    <row r="1037" spans="10:10" x14ac:dyDescent="0.25">
      <c r="J1037" s="31"/>
    </row>
    <row r="1038" spans="10:10" x14ac:dyDescent="0.25">
      <c r="J1038" s="31"/>
    </row>
    <row r="1039" spans="10:10" x14ac:dyDescent="0.25">
      <c r="J1039" s="31"/>
    </row>
    <row r="1040" spans="10:10" x14ac:dyDescent="0.25">
      <c r="J1040" s="31"/>
    </row>
    <row r="1041" spans="10:10" x14ac:dyDescent="0.25">
      <c r="J1041" s="31"/>
    </row>
    <row r="1042" spans="10:10" x14ac:dyDescent="0.25">
      <c r="J1042" s="31"/>
    </row>
    <row r="1043" spans="10:10" x14ac:dyDescent="0.25">
      <c r="J1043" s="31"/>
    </row>
    <row r="1044" spans="10:10" x14ac:dyDescent="0.25">
      <c r="J1044" s="31"/>
    </row>
    <row r="1045" spans="10:10" x14ac:dyDescent="0.25">
      <c r="J1045" s="31"/>
    </row>
    <row r="1046" spans="10:10" x14ac:dyDescent="0.25">
      <c r="J1046" s="31"/>
    </row>
    <row r="1047" spans="10:10" x14ac:dyDescent="0.25">
      <c r="J1047" s="31"/>
    </row>
    <row r="1048" spans="10:10" x14ac:dyDescent="0.25">
      <c r="J1048" s="31"/>
    </row>
    <row r="1049" spans="10:10" x14ac:dyDescent="0.25">
      <c r="J1049" s="31"/>
    </row>
    <row r="1050" spans="10:10" x14ac:dyDescent="0.25">
      <c r="J1050" s="31"/>
    </row>
    <row r="1051" spans="10:10" x14ac:dyDescent="0.25">
      <c r="J1051" s="31"/>
    </row>
    <row r="1052" spans="10:10" x14ac:dyDescent="0.25">
      <c r="J1052" s="31"/>
    </row>
    <row r="1053" spans="10:10" x14ac:dyDescent="0.25">
      <c r="J1053" s="31"/>
    </row>
    <row r="1054" spans="10:10" x14ac:dyDescent="0.25">
      <c r="J1054" s="31"/>
    </row>
    <row r="1055" spans="10:10" x14ac:dyDescent="0.25">
      <c r="J1055" s="31"/>
    </row>
    <row r="1056" spans="10:10" x14ac:dyDescent="0.25">
      <c r="J1056" s="31"/>
    </row>
    <row r="1057" spans="10:10" x14ac:dyDescent="0.25">
      <c r="J1057" s="31"/>
    </row>
    <row r="1058" spans="10:10" x14ac:dyDescent="0.25">
      <c r="J1058" s="31"/>
    </row>
    <row r="1059" spans="10:10" x14ac:dyDescent="0.25">
      <c r="J1059" s="31"/>
    </row>
    <row r="1060" spans="10:10" x14ac:dyDescent="0.25">
      <c r="J1060" s="31"/>
    </row>
    <row r="1061" spans="10:10" x14ac:dyDescent="0.25">
      <c r="J1061" s="31"/>
    </row>
    <row r="1062" spans="10:10" x14ac:dyDescent="0.25">
      <c r="J1062" s="31"/>
    </row>
    <row r="1063" spans="10:10" x14ac:dyDescent="0.25">
      <c r="J1063" s="31"/>
    </row>
    <row r="1064" spans="10:10" x14ac:dyDescent="0.25">
      <c r="J1064" s="31"/>
    </row>
    <row r="1065" spans="10:10" x14ac:dyDescent="0.25">
      <c r="J1065" s="31"/>
    </row>
    <row r="1066" spans="10:10" x14ac:dyDescent="0.25">
      <c r="J1066" s="31"/>
    </row>
    <row r="1067" spans="10:10" x14ac:dyDescent="0.25">
      <c r="J1067" s="31"/>
    </row>
    <row r="1068" spans="10:10" x14ac:dyDescent="0.25">
      <c r="J1068" s="31"/>
    </row>
    <row r="1069" spans="10:10" x14ac:dyDescent="0.25">
      <c r="J1069" s="31"/>
    </row>
    <row r="1070" spans="10:10" x14ac:dyDescent="0.25">
      <c r="J1070" s="31"/>
    </row>
    <row r="1071" spans="10:10" x14ac:dyDescent="0.25">
      <c r="J1071" s="31"/>
    </row>
    <row r="1072" spans="10:10" x14ac:dyDescent="0.25">
      <c r="J1072" s="31"/>
    </row>
    <row r="1073" spans="10:10" x14ac:dyDescent="0.25">
      <c r="J1073" s="31"/>
    </row>
    <row r="1074" spans="10:10" x14ac:dyDescent="0.25">
      <c r="J1074" s="31"/>
    </row>
    <row r="1075" spans="10:10" x14ac:dyDescent="0.25">
      <c r="J1075" s="31"/>
    </row>
    <row r="1076" spans="10:10" x14ac:dyDescent="0.25">
      <c r="J1076" s="31"/>
    </row>
    <row r="1077" spans="10:10" x14ac:dyDescent="0.25">
      <c r="J1077" s="31"/>
    </row>
    <row r="1078" spans="10:10" x14ac:dyDescent="0.25">
      <c r="J1078" s="31"/>
    </row>
    <row r="1079" spans="10:10" x14ac:dyDescent="0.25">
      <c r="J1079" s="31"/>
    </row>
    <row r="1080" spans="10:10" x14ac:dyDescent="0.25">
      <c r="J1080" s="31"/>
    </row>
    <row r="1081" spans="10:10" x14ac:dyDescent="0.25">
      <c r="J1081" s="31"/>
    </row>
    <row r="1082" spans="10:10" x14ac:dyDescent="0.25">
      <c r="J1082" s="31"/>
    </row>
    <row r="1083" spans="10:10" x14ac:dyDescent="0.25">
      <c r="J1083" s="31"/>
    </row>
    <row r="1084" spans="10:10" x14ac:dyDescent="0.25">
      <c r="J1084" s="31"/>
    </row>
    <row r="1085" spans="10:10" x14ac:dyDescent="0.25">
      <c r="J1085" s="31"/>
    </row>
    <row r="1086" spans="10:10" x14ac:dyDescent="0.25">
      <c r="J1086" s="31"/>
    </row>
    <row r="1087" spans="10:10" x14ac:dyDescent="0.25">
      <c r="J1087" s="31"/>
    </row>
    <row r="1088" spans="10:10" x14ac:dyDescent="0.25">
      <c r="J1088" s="31"/>
    </row>
    <row r="1089" spans="10:10" x14ac:dyDescent="0.25">
      <c r="J1089" s="31"/>
    </row>
    <row r="1090" spans="10:10" x14ac:dyDescent="0.25">
      <c r="J1090" s="31"/>
    </row>
    <row r="1091" spans="10:10" x14ac:dyDescent="0.25">
      <c r="J1091" s="31"/>
    </row>
    <row r="1092" spans="10:10" x14ac:dyDescent="0.25">
      <c r="J1092" s="31"/>
    </row>
    <row r="1093" spans="10:10" x14ac:dyDescent="0.25">
      <c r="J1093" s="31"/>
    </row>
    <row r="1094" spans="10:10" x14ac:dyDescent="0.25">
      <c r="J1094" s="31"/>
    </row>
    <row r="1095" spans="10:10" x14ac:dyDescent="0.25">
      <c r="J1095" s="31"/>
    </row>
    <row r="1096" spans="10:10" x14ac:dyDescent="0.25">
      <c r="J1096" s="31"/>
    </row>
    <row r="1097" spans="10:10" x14ac:dyDescent="0.25">
      <c r="J1097" s="31"/>
    </row>
    <row r="1098" spans="10:10" x14ac:dyDescent="0.25">
      <c r="J1098" s="31"/>
    </row>
    <row r="1099" spans="10:10" x14ac:dyDescent="0.25">
      <c r="J1099" s="31"/>
    </row>
    <row r="1100" spans="10:10" x14ac:dyDescent="0.25">
      <c r="J1100" s="31"/>
    </row>
    <row r="1101" spans="10:10" x14ac:dyDescent="0.25">
      <c r="J1101" s="31"/>
    </row>
    <row r="1102" spans="10:10" x14ac:dyDescent="0.25">
      <c r="J1102" s="31"/>
    </row>
    <row r="1103" spans="10:10" x14ac:dyDescent="0.25">
      <c r="J1103" s="31"/>
    </row>
    <row r="1104" spans="10:10" x14ac:dyDescent="0.25">
      <c r="J1104" s="31"/>
    </row>
    <row r="1105" spans="10:10" x14ac:dyDescent="0.25">
      <c r="J1105" s="31"/>
    </row>
    <row r="1106" spans="10:10" x14ac:dyDescent="0.25">
      <c r="J1106" s="31"/>
    </row>
    <row r="1107" spans="10:10" x14ac:dyDescent="0.25">
      <c r="J1107" s="31"/>
    </row>
    <row r="1108" spans="10:10" x14ac:dyDescent="0.25">
      <c r="J1108" s="31"/>
    </row>
    <row r="1109" spans="10:10" x14ac:dyDescent="0.25">
      <c r="J1109" s="31"/>
    </row>
    <row r="1110" spans="10:10" x14ac:dyDescent="0.25">
      <c r="J1110" s="31"/>
    </row>
    <row r="1111" spans="10:10" x14ac:dyDescent="0.25">
      <c r="J1111" s="31"/>
    </row>
    <row r="1112" spans="10:10" x14ac:dyDescent="0.25">
      <c r="J1112" s="31"/>
    </row>
    <row r="1113" spans="10:10" x14ac:dyDescent="0.25">
      <c r="J1113" s="31"/>
    </row>
    <row r="1114" spans="10:10" x14ac:dyDescent="0.25">
      <c r="J1114" s="31"/>
    </row>
    <row r="1115" spans="10:10" x14ac:dyDescent="0.25">
      <c r="J1115" s="31"/>
    </row>
    <row r="1116" spans="10:10" x14ac:dyDescent="0.25">
      <c r="J1116" s="31"/>
    </row>
    <row r="1117" spans="10:10" x14ac:dyDescent="0.25">
      <c r="J1117" s="31"/>
    </row>
    <row r="1118" spans="10:10" x14ac:dyDescent="0.25">
      <c r="J1118" s="31"/>
    </row>
    <row r="1119" spans="10:10" x14ac:dyDescent="0.25">
      <c r="J1119" s="31"/>
    </row>
    <row r="1120" spans="10:10" x14ac:dyDescent="0.25">
      <c r="J1120" s="31"/>
    </row>
    <row r="1121" spans="10:10" x14ac:dyDescent="0.25">
      <c r="J1121" s="31"/>
    </row>
    <row r="1122" spans="10:10" x14ac:dyDescent="0.25">
      <c r="J1122" s="31"/>
    </row>
    <row r="1123" spans="10:10" x14ac:dyDescent="0.25">
      <c r="J1123" s="31"/>
    </row>
    <row r="1124" spans="10:10" x14ac:dyDescent="0.25">
      <c r="J1124" s="31"/>
    </row>
    <row r="1125" spans="10:10" x14ac:dyDescent="0.25">
      <c r="J1125" s="31"/>
    </row>
    <row r="1126" spans="10:10" x14ac:dyDescent="0.25">
      <c r="J1126" s="31"/>
    </row>
    <row r="1127" spans="10:10" x14ac:dyDescent="0.25">
      <c r="J1127" s="31"/>
    </row>
    <row r="1128" spans="10:10" x14ac:dyDescent="0.25">
      <c r="J1128" s="31"/>
    </row>
    <row r="1129" spans="10:10" x14ac:dyDescent="0.25">
      <c r="J1129" s="31"/>
    </row>
    <row r="1130" spans="10:10" x14ac:dyDescent="0.25">
      <c r="J1130" s="31"/>
    </row>
    <row r="1131" spans="10:10" x14ac:dyDescent="0.25">
      <c r="J1131" s="31"/>
    </row>
    <row r="1132" spans="10:10" x14ac:dyDescent="0.25">
      <c r="J1132" s="31"/>
    </row>
    <row r="1133" spans="10:10" x14ac:dyDescent="0.25">
      <c r="J1133" s="31"/>
    </row>
    <row r="1134" spans="10:10" x14ac:dyDescent="0.25">
      <c r="J1134" s="31"/>
    </row>
    <row r="1135" spans="10:10" x14ac:dyDescent="0.25">
      <c r="J1135" s="31"/>
    </row>
    <row r="1136" spans="10:10" x14ac:dyDescent="0.25">
      <c r="J1136" s="31"/>
    </row>
    <row r="1137" spans="10:10" x14ac:dyDescent="0.25">
      <c r="J1137" s="31"/>
    </row>
    <row r="1138" spans="10:10" x14ac:dyDescent="0.25">
      <c r="J1138" s="31"/>
    </row>
    <row r="1139" spans="10:10" x14ac:dyDescent="0.25">
      <c r="J1139" s="31"/>
    </row>
    <row r="1140" spans="10:10" x14ac:dyDescent="0.25">
      <c r="J1140" s="31"/>
    </row>
    <row r="1141" spans="10:10" x14ac:dyDescent="0.25">
      <c r="J1141" s="31"/>
    </row>
    <row r="1142" spans="10:10" x14ac:dyDescent="0.25">
      <c r="J1142" s="31"/>
    </row>
    <row r="1143" spans="10:10" x14ac:dyDescent="0.25">
      <c r="J1143" s="31"/>
    </row>
    <row r="1144" spans="10:10" x14ac:dyDescent="0.25">
      <c r="J1144" s="31"/>
    </row>
    <row r="1145" spans="10:10" x14ac:dyDescent="0.25">
      <c r="J1145" s="31"/>
    </row>
    <row r="1146" spans="10:10" x14ac:dyDescent="0.25">
      <c r="J1146" s="31"/>
    </row>
    <row r="1147" spans="10:10" x14ac:dyDescent="0.25">
      <c r="J1147" s="31"/>
    </row>
    <row r="1148" spans="10:10" x14ac:dyDescent="0.25">
      <c r="J1148" s="31"/>
    </row>
    <row r="1149" spans="10:10" x14ac:dyDescent="0.25">
      <c r="J1149" s="31"/>
    </row>
    <row r="1150" spans="10:10" x14ac:dyDescent="0.25">
      <c r="J1150" s="31"/>
    </row>
    <row r="1151" spans="10:10" x14ac:dyDescent="0.25">
      <c r="J1151" s="31"/>
    </row>
    <row r="1152" spans="10:10" x14ac:dyDescent="0.25">
      <c r="J1152" s="31"/>
    </row>
    <row r="1153" spans="10:10" x14ac:dyDescent="0.25">
      <c r="J1153" s="31"/>
    </row>
    <row r="1154" spans="10:10" x14ac:dyDescent="0.25">
      <c r="J1154" s="31"/>
    </row>
    <row r="1155" spans="10:10" x14ac:dyDescent="0.25">
      <c r="J1155" s="31"/>
    </row>
    <row r="1156" spans="10:10" x14ac:dyDescent="0.25">
      <c r="J1156" s="31"/>
    </row>
    <row r="1157" spans="10:10" x14ac:dyDescent="0.25">
      <c r="J1157" s="31"/>
    </row>
    <row r="1158" spans="10:10" x14ac:dyDescent="0.25">
      <c r="J1158" s="31"/>
    </row>
    <row r="1159" spans="10:10" x14ac:dyDescent="0.25">
      <c r="J1159" s="31"/>
    </row>
    <row r="1160" spans="10:10" x14ac:dyDescent="0.25">
      <c r="J1160" s="31"/>
    </row>
    <row r="1161" spans="10:10" x14ac:dyDescent="0.25">
      <c r="J1161" s="31"/>
    </row>
    <row r="1162" spans="10:10" x14ac:dyDescent="0.25">
      <c r="J1162" s="31"/>
    </row>
    <row r="1163" spans="10:10" x14ac:dyDescent="0.25">
      <c r="J1163" s="31"/>
    </row>
    <row r="1164" spans="10:10" x14ac:dyDescent="0.25">
      <c r="J1164" s="31"/>
    </row>
    <row r="1165" spans="10:10" x14ac:dyDescent="0.25">
      <c r="J1165" s="31"/>
    </row>
    <row r="1166" spans="10:10" x14ac:dyDescent="0.25">
      <c r="J1166" s="31"/>
    </row>
    <row r="1167" spans="10:10" x14ac:dyDescent="0.25">
      <c r="J1167" s="31"/>
    </row>
    <row r="1168" spans="10:10" x14ac:dyDescent="0.25">
      <c r="J1168" s="31"/>
    </row>
    <row r="1169" spans="10:10" x14ac:dyDescent="0.25">
      <c r="J1169" s="31"/>
    </row>
    <row r="1170" spans="10:10" x14ac:dyDescent="0.25">
      <c r="J1170" s="31"/>
    </row>
    <row r="1171" spans="10:10" x14ac:dyDescent="0.25">
      <c r="J1171" s="31"/>
    </row>
    <row r="1172" spans="10:10" x14ac:dyDescent="0.25">
      <c r="J1172" s="31"/>
    </row>
    <row r="1173" spans="10:10" x14ac:dyDescent="0.25">
      <c r="J1173" s="31"/>
    </row>
    <row r="1174" spans="10:10" x14ac:dyDescent="0.25">
      <c r="J1174" s="31"/>
    </row>
    <row r="1175" spans="10:10" x14ac:dyDescent="0.25">
      <c r="J1175" s="31"/>
    </row>
    <row r="1176" spans="10:10" x14ac:dyDescent="0.25">
      <c r="J1176" s="31"/>
    </row>
    <row r="1177" spans="10:10" x14ac:dyDescent="0.25">
      <c r="J1177" s="31"/>
    </row>
    <row r="1178" spans="10:10" x14ac:dyDescent="0.25">
      <c r="J1178" s="31"/>
    </row>
    <row r="1179" spans="10:10" x14ac:dyDescent="0.25">
      <c r="J1179" s="31"/>
    </row>
    <row r="1180" spans="10:10" x14ac:dyDescent="0.25">
      <c r="J1180" s="31"/>
    </row>
    <row r="1181" spans="10:10" x14ac:dyDescent="0.25">
      <c r="J1181" s="31"/>
    </row>
    <row r="1182" spans="10:10" x14ac:dyDescent="0.25">
      <c r="J1182" s="31"/>
    </row>
    <row r="1183" spans="10:10" x14ac:dyDescent="0.25">
      <c r="J1183" s="31"/>
    </row>
    <row r="1184" spans="10:10" x14ac:dyDescent="0.25">
      <c r="J1184" s="31"/>
    </row>
    <row r="1185" spans="10:10" x14ac:dyDescent="0.25">
      <c r="J1185" s="31"/>
    </row>
    <row r="1186" spans="10:10" x14ac:dyDescent="0.25">
      <c r="J1186" s="31"/>
    </row>
    <row r="1187" spans="10:10" x14ac:dyDescent="0.25">
      <c r="J1187" s="31"/>
    </row>
    <row r="1188" spans="10:10" x14ac:dyDescent="0.25">
      <c r="J1188" s="31"/>
    </row>
    <row r="1189" spans="10:10" x14ac:dyDescent="0.25">
      <c r="J1189" s="31"/>
    </row>
    <row r="1190" spans="10:10" x14ac:dyDescent="0.25">
      <c r="J1190" s="31"/>
    </row>
    <row r="1191" spans="10:10" x14ac:dyDescent="0.25">
      <c r="J1191" s="31"/>
    </row>
    <row r="1192" spans="10:10" x14ac:dyDescent="0.25">
      <c r="J1192" s="31"/>
    </row>
    <row r="1193" spans="10:10" x14ac:dyDescent="0.25">
      <c r="J1193" s="31"/>
    </row>
    <row r="1194" spans="10:10" x14ac:dyDescent="0.25">
      <c r="J1194" s="31"/>
    </row>
    <row r="1195" spans="10:10" x14ac:dyDescent="0.25">
      <c r="J1195" s="31"/>
    </row>
    <row r="1196" spans="10:10" x14ac:dyDescent="0.25">
      <c r="J1196" s="31"/>
    </row>
    <row r="1197" spans="10:10" x14ac:dyDescent="0.25">
      <c r="J1197" s="31"/>
    </row>
    <row r="1198" spans="10:10" x14ac:dyDescent="0.25">
      <c r="J1198" s="31"/>
    </row>
    <row r="1199" spans="10:10" x14ac:dyDescent="0.25">
      <c r="J1199" s="31"/>
    </row>
    <row r="1200" spans="10:10" x14ac:dyDescent="0.25">
      <c r="J1200" s="31"/>
    </row>
    <row r="1201" spans="10:10" x14ac:dyDescent="0.25">
      <c r="J1201" s="31"/>
    </row>
    <row r="1202" spans="10:10" x14ac:dyDescent="0.25">
      <c r="J1202" s="31"/>
    </row>
    <row r="1203" spans="10:10" x14ac:dyDescent="0.25">
      <c r="J1203" s="31"/>
    </row>
    <row r="1204" spans="10:10" x14ac:dyDescent="0.25">
      <c r="J1204" s="31"/>
    </row>
    <row r="1205" spans="10:10" x14ac:dyDescent="0.25">
      <c r="J1205" s="31"/>
    </row>
    <row r="1206" spans="10:10" x14ac:dyDescent="0.25">
      <c r="J1206" s="31"/>
    </row>
    <row r="1207" spans="10:10" x14ac:dyDescent="0.25">
      <c r="J1207" s="31"/>
    </row>
    <row r="1208" spans="10:10" x14ac:dyDescent="0.25">
      <c r="J1208" s="31"/>
    </row>
    <row r="1209" spans="10:10" x14ac:dyDescent="0.25">
      <c r="J1209" s="31"/>
    </row>
    <row r="1210" spans="10:10" x14ac:dyDescent="0.25">
      <c r="J1210" s="31"/>
    </row>
    <row r="1211" spans="10:10" x14ac:dyDescent="0.25">
      <c r="J1211" s="31"/>
    </row>
    <row r="1212" spans="10:10" x14ac:dyDescent="0.25">
      <c r="J1212" s="31"/>
    </row>
    <row r="1213" spans="10:10" x14ac:dyDescent="0.25">
      <c r="J1213" s="31"/>
    </row>
    <row r="1214" spans="10:10" x14ac:dyDescent="0.25">
      <c r="J1214" s="31"/>
    </row>
    <row r="1215" spans="10:10" x14ac:dyDescent="0.25">
      <c r="J1215" s="31"/>
    </row>
    <row r="1216" spans="10:10" x14ac:dyDescent="0.25">
      <c r="J1216" s="31"/>
    </row>
    <row r="1217" spans="10:10" x14ac:dyDescent="0.25">
      <c r="J1217" s="31"/>
    </row>
    <row r="1218" spans="10:10" x14ac:dyDescent="0.25">
      <c r="J1218" s="31"/>
    </row>
    <row r="1219" spans="10:10" x14ac:dyDescent="0.25">
      <c r="J1219" s="31"/>
    </row>
    <row r="1220" spans="10:10" x14ac:dyDescent="0.25">
      <c r="J1220" s="31"/>
    </row>
    <row r="1221" spans="10:10" x14ac:dyDescent="0.25">
      <c r="J1221" s="31"/>
    </row>
    <row r="1222" spans="10:10" x14ac:dyDescent="0.25">
      <c r="J1222" s="31"/>
    </row>
    <row r="1223" spans="10:10" x14ac:dyDescent="0.25">
      <c r="J1223" s="31"/>
    </row>
    <row r="1224" spans="10:10" x14ac:dyDescent="0.25">
      <c r="J1224" s="31"/>
    </row>
    <row r="1225" spans="10:10" x14ac:dyDescent="0.25">
      <c r="J1225" s="31"/>
    </row>
    <row r="1226" spans="10:10" x14ac:dyDescent="0.25">
      <c r="J1226" s="31"/>
    </row>
    <row r="1227" spans="10:10" x14ac:dyDescent="0.25">
      <c r="J1227" s="31"/>
    </row>
    <row r="1228" spans="10:10" x14ac:dyDescent="0.25">
      <c r="J1228" s="31"/>
    </row>
    <row r="1229" spans="10:10" x14ac:dyDescent="0.25">
      <c r="J1229" s="31"/>
    </row>
    <row r="1230" spans="10:10" x14ac:dyDescent="0.25">
      <c r="J1230" s="31"/>
    </row>
    <row r="1231" spans="10:10" x14ac:dyDescent="0.25">
      <c r="J1231" s="31"/>
    </row>
    <row r="1232" spans="10:10" x14ac:dyDescent="0.25">
      <c r="J1232" s="31"/>
    </row>
    <row r="1233" spans="10:10" x14ac:dyDescent="0.25">
      <c r="J1233" s="31"/>
    </row>
    <row r="1234" spans="10:10" x14ac:dyDescent="0.25">
      <c r="J1234" s="31"/>
    </row>
    <row r="1235" spans="10:10" x14ac:dyDescent="0.25">
      <c r="J1235" s="31"/>
    </row>
    <row r="1236" spans="10:10" x14ac:dyDescent="0.25">
      <c r="J1236" s="31"/>
    </row>
    <row r="1237" spans="10:10" x14ac:dyDescent="0.25">
      <c r="J1237" s="31"/>
    </row>
    <row r="1238" spans="10:10" x14ac:dyDescent="0.25">
      <c r="J1238" s="31"/>
    </row>
    <row r="1239" spans="10:10" x14ac:dyDescent="0.25">
      <c r="J1239" s="31"/>
    </row>
    <row r="1240" spans="10:10" x14ac:dyDescent="0.25">
      <c r="J1240" s="31"/>
    </row>
    <row r="1241" spans="10:10" x14ac:dyDescent="0.25">
      <c r="J1241" s="31"/>
    </row>
    <row r="1242" spans="10:10" x14ac:dyDescent="0.25">
      <c r="J1242" s="31"/>
    </row>
    <row r="1243" spans="10:10" x14ac:dyDescent="0.25">
      <c r="J1243" s="31"/>
    </row>
    <row r="1244" spans="10:10" x14ac:dyDescent="0.25">
      <c r="J1244" s="31"/>
    </row>
    <row r="1245" spans="10:10" x14ac:dyDescent="0.25">
      <c r="J1245" s="31"/>
    </row>
    <row r="1246" spans="10:10" x14ac:dyDescent="0.25">
      <c r="J1246" s="31"/>
    </row>
    <row r="1247" spans="10:10" x14ac:dyDescent="0.25">
      <c r="J1247" s="31"/>
    </row>
    <row r="1248" spans="10:10" x14ac:dyDescent="0.25">
      <c r="J1248" s="31"/>
    </row>
    <row r="1249" spans="10:10" x14ac:dyDescent="0.25">
      <c r="J1249" s="31"/>
    </row>
    <row r="1250" spans="10:10" x14ac:dyDescent="0.25">
      <c r="J1250" s="31"/>
    </row>
    <row r="1251" spans="10:10" x14ac:dyDescent="0.25">
      <c r="J1251" s="31"/>
    </row>
    <row r="1252" spans="10:10" x14ac:dyDescent="0.25">
      <c r="J1252" s="31"/>
    </row>
    <row r="1253" spans="10:10" x14ac:dyDescent="0.25">
      <c r="J1253" s="31"/>
    </row>
    <row r="1254" spans="10:10" x14ac:dyDescent="0.25">
      <c r="J1254" s="31"/>
    </row>
    <row r="1255" spans="10:10" x14ac:dyDescent="0.25">
      <c r="J1255" s="31"/>
    </row>
    <row r="1256" spans="10:10" x14ac:dyDescent="0.25">
      <c r="J1256" s="31"/>
    </row>
    <row r="1257" spans="10:10" x14ac:dyDescent="0.25">
      <c r="J1257" s="31"/>
    </row>
    <row r="1258" spans="10:10" x14ac:dyDescent="0.25">
      <c r="J1258" s="31"/>
    </row>
    <row r="1259" spans="10:10" x14ac:dyDescent="0.25">
      <c r="J1259" s="31"/>
    </row>
    <row r="1260" spans="10:10" x14ac:dyDescent="0.25">
      <c r="J1260" s="31"/>
    </row>
    <row r="1261" spans="10:10" x14ac:dyDescent="0.25">
      <c r="J1261" s="31"/>
    </row>
    <row r="1262" spans="10:10" x14ac:dyDescent="0.25">
      <c r="J1262" s="31"/>
    </row>
    <row r="1263" spans="10:10" x14ac:dyDescent="0.25">
      <c r="J1263" s="31"/>
    </row>
    <row r="1264" spans="10:10" x14ac:dyDescent="0.25">
      <c r="J1264" s="31"/>
    </row>
    <row r="1265" spans="10:10" x14ac:dyDescent="0.25">
      <c r="J1265" s="31"/>
    </row>
    <row r="1266" spans="10:10" x14ac:dyDescent="0.25">
      <c r="J1266" s="31"/>
    </row>
    <row r="1267" spans="10:10" x14ac:dyDescent="0.25">
      <c r="J1267" s="31"/>
    </row>
    <row r="1268" spans="10:10" x14ac:dyDescent="0.25">
      <c r="J1268" s="31"/>
    </row>
    <row r="1269" spans="10:10" x14ac:dyDescent="0.25">
      <c r="J1269" s="31"/>
    </row>
    <row r="1270" spans="10:10" x14ac:dyDescent="0.25">
      <c r="J1270" s="31"/>
    </row>
    <row r="1271" spans="10:10" x14ac:dyDescent="0.25">
      <c r="J1271" s="31"/>
    </row>
    <row r="1272" spans="10:10" x14ac:dyDescent="0.25">
      <c r="J1272" s="31"/>
    </row>
    <row r="1273" spans="10:10" x14ac:dyDescent="0.25">
      <c r="J1273" s="31"/>
    </row>
    <row r="1274" spans="10:10" x14ac:dyDescent="0.25">
      <c r="J1274" s="31"/>
    </row>
    <row r="1275" spans="10:10" x14ac:dyDescent="0.25">
      <c r="J1275" s="31"/>
    </row>
    <row r="1276" spans="10:10" x14ac:dyDescent="0.25">
      <c r="J1276" s="31"/>
    </row>
    <row r="1277" spans="10:10" x14ac:dyDescent="0.25">
      <c r="J1277" s="31"/>
    </row>
    <row r="1278" spans="10:10" x14ac:dyDescent="0.25">
      <c r="J1278" s="31"/>
    </row>
    <row r="1279" spans="10:10" x14ac:dyDescent="0.25">
      <c r="J1279" s="31"/>
    </row>
    <row r="1280" spans="10:10" x14ac:dyDescent="0.25">
      <c r="J1280" s="31"/>
    </row>
    <row r="1281" spans="10:10" x14ac:dyDescent="0.25">
      <c r="J1281" s="31"/>
    </row>
    <row r="1282" spans="10:10" x14ac:dyDescent="0.25">
      <c r="J1282" s="31"/>
    </row>
    <row r="1283" spans="10:10" x14ac:dyDescent="0.25">
      <c r="J1283" s="31"/>
    </row>
    <row r="1284" spans="10:10" x14ac:dyDescent="0.25">
      <c r="J1284" s="31"/>
    </row>
    <row r="1285" spans="10:10" x14ac:dyDescent="0.25">
      <c r="J1285" s="31"/>
    </row>
    <row r="1286" spans="10:10" x14ac:dyDescent="0.25">
      <c r="J1286" s="31"/>
    </row>
    <row r="1287" spans="10:10" x14ac:dyDescent="0.25">
      <c r="J1287" s="31"/>
    </row>
    <row r="1288" spans="10:10" x14ac:dyDescent="0.25">
      <c r="J1288" s="31"/>
    </row>
    <row r="1289" spans="10:10" x14ac:dyDescent="0.25">
      <c r="J1289" s="31"/>
    </row>
    <row r="1290" spans="10:10" x14ac:dyDescent="0.25">
      <c r="J1290" s="31"/>
    </row>
    <row r="1291" spans="10:10" x14ac:dyDescent="0.25">
      <c r="J1291" s="31"/>
    </row>
    <row r="1292" spans="10:10" x14ac:dyDescent="0.25">
      <c r="J1292" s="31"/>
    </row>
    <row r="1293" spans="10:10" x14ac:dyDescent="0.25">
      <c r="J1293" s="31"/>
    </row>
    <row r="1294" spans="10:10" x14ac:dyDescent="0.25">
      <c r="J1294" s="31"/>
    </row>
    <row r="1295" spans="10:10" x14ac:dyDescent="0.25">
      <c r="J1295" s="31"/>
    </row>
    <row r="1296" spans="10:10" x14ac:dyDescent="0.25">
      <c r="J1296" s="31"/>
    </row>
    <row r="1297" spans="10:10" x14ac:dyDescent="0.25">
      <c r="J1297" s="31"/>
    </row>
    <row r="1298" spans="10:10" x14ac:dyDescent="0.25">
      <c r="J1298" s="31"/>
    </row>
    <row r="1299" spans="10:10" x14ac:dyDescent="0.25">
      <c r="J1299" s="31"/>
    </row>
    <row r="1300" spans="10:10" x14ac:dyDescent="0.25">
      <c r="J1300" s="31"/>
    </row>
    <row r="1301" spans="10:10" x14ac:dyDescent="0.25">
      <c r="J1301" s="31"/>
    </row>
    <row r="1302" spans="10:10" x14ac:dyDescent="0.25">
      <c r="J1302" s="31"/>
    </row>
    <row r="1303" spans="10:10" x14ac:dyDescent="0.25">
      <c r="J1303" s="31"/>
    </row>
    <row r="1304" spans="10:10" x14ac:dyDescent="0.25">
      <c r="J1304" s="31"/>
    </row>
    <row r="1305" spans="10:10" x14ac:dyDescent="0.25">
      <c r="J1305" s="31"/>
    </row>
    <row r="1306" spans="10:10" x14ac:dyDescent="0.25">
      <c r="J1306" s="31"/>
    </row>
    <row r="1307" spans="10:10" x14ac:dyDescent="0.25">
      <c r="J1307" s="31"/>
    </row>
    <row r="1308" spans="10:10" x14ac:dyDescent="0.25">
      <c r="J1308" s="31"/>
    </row>
    <row r="1309" spans="10:10" x14ac:dyDescent="0.25">
      <c r="J1309" s="31"/>
    </row>
    <row r="1310" spans="10:10" x14ac:dyDescent="0.25">
      <c r="J1310" s="31"/>
    </row>
    <row r="1311" spans="10:10" x14ac:dyDescent="0.25">
      <c r="J1311" s="31"/>
    </row>
    <row r="1312" spans="10:10" x14ac:dyDescent="0.25">
      <c r="J1312" s="31"/>
    </row>
    <row r="1313" spans="10:10" x14ac:dyDescent="0.25">
      <c r="J1313" s="31"/>
    </row>
    <row r="1314" spans="10:10" x14ac:dyDescent="0.25">
      <c r="J1314" s="31"/>
    </row>
    <row r="1315" spans="10:10" x14ac:dyDescent="0.25">
      <c r="J1315" s="31"/>
    </row>
    <row r="1316" spans="10:10" x14ac:dyDescent="0.25">
      <c r="J1316" s="31"/>
    </row>
    <row r="1317" spans="10:10" x14ac:dyDescent="0.25">
      <c r="J1317" s="31"/>
    </row>
    <row r="1318" spans="10:10" x14ac:dyDescent="0.25">
      <c r="J1318" s="31"/>
    </row>
    <row r="1319" spans="10:10" x14ac:dyDescent="0.25">
      <c r="J1319" s="31"/>
    </row>
    <row r="1320" spans="10:10" x14ac:dyDescent="0.25">
      <c r="J1320" s="31"/>
    </row>
    <row r="1321" spans="10:10" x14ac:dyDescent="0.25">
      <c r="J1321" s="31"/>
    </row>
    <row r="1322" spans="10:10" x14ac:dyDescent="0.25">
      <c r="J1322" s="31"/>
    </row>
    <row r="1323" spans="10:10" x14ac:dyDescent="0.25">
      <c r="J1323" s="31"/>
    </row>
    <row r="1324" spans="10:10" x14ac:dyDescent="0.25">
      <c r="J1324" s="31"/>
    </row>
    <row r="1325" spans="10:10" x14ac:dyDescent="0.25">
      <c r="J1325" s="31"/>
    </row>
    <row r="1326" spans="10:10" x14ac:dyDescent="0.25">
      <c r="J1326" s="31"/>
    </row>
    <row r="1327" spans="10:10" x14ac:dyDescent="0.25">
      <c r="J1327" s="31"/>
    </row>
    <row r="1328" spans="10:10" x14ac:dyDescent="0.25">
      <c r="J1328" s="31"/>
    </row>
    <row r="1329" spans="10:10" x14ac:dyDescent="0.25">
      <c r="J1329" s="31"/>
    </row>
    <row r="1330" spans="10:10" x14ac:dyDescent="0.25">
      <c r="J1330" s="31"/>
    </row>
    <row r="1331" spans="10:10" x14ac:dyDescent="0.25">
      <c r="J1331" s="31"/>
    </row>
    <row r="1332" spans="10:10" x14ac:dyDescent="0.25">
      <c r="J1332" s="31"/>
    </row>
    <row r="1333" spans="10:10" x14ac:dyDescent="0.25">
      <c r="J1333" s="31"/>
    </row>
    <row r="1334" spans="10:10" x14ac:dyDescent="0.25">
      <c r="J1334" s="31"/>
    </row>
    <row r="1335" spans="10:10" x14ac:dyDescent="0.25">
      <c r="J1335" s="31"/>
    </row>
    <row r="1336" spans="10:10" x14ac:dyDescent="0.25">
      <c r="J1336" s="31"/>
    </row>
    <row r="1337" spans="10:10" x14ac:dyDescent="0.25">
      <c r="J1337" s="31"/>
    </row>
    <row r="1338" spans="10:10" x14ac:dyDescent="0.25">
      <c r="J1338" s="31"/>
    </row>
    <row r="1339" spans="10:10" x14ac:dyDescent="0.25">
      <c r="J1339" s="31"/>
    </row>
    <row r="1340" spans="10:10" x14ac:dyDescent="0.25">
      <c r="J1340" s="31"/>
    </row>
    <row r="1341" spans="10:10" x14ac:dyDescent="0.25">
      <c r="J1341" s="31"/>
    </row>
    <row r="1342" spans="10:10" x14ac:dyDescent="0.25">
      <c r="J1342" s="31"/>
    </row>
    <row r="1343" spans="10:10" x14ac:dyDescent="0.25">
      <c r="J1343" s="31"/>
    </row>
    <row r="1344" spans="10:10" x14ac:dyDescent="0.25">
      <c r="J1344" s="31"/>
    </row>
    <row r="1345" spans="10:10" x14ac:dyDescent="0.25">
      <c r="J1345" s="31"/>
    </row>
    <row r="1346" spans="10:10" x14ac:dyDescent="0.25">
      <c r="J1346" s="31"/>
    </row>
    <row r="1347" spans="10:10" x14ac:dyDescent="0.25">
      <c r="J1347" s="31"/>
    </row>
    <row r="1348" spans="10:10" x14ac:dyDescent="0.25">
      <c r="J1348" s="31"/>
    </row>
    <row r="1349" spans="10:10" x14ac:dyDescent="0.25">
      <c r="J1349" s="31"/>
    </row>
    <row r="1350" spans="10:10" x14ac:dyDescent="0.25">
      <c r="J1350" s="31"/>
    </row>
    <row r="1351" spans="10:10" x14ac:dyDescent="0.25">
      <c r="J1351" s="31"/>
    </row>
    <row r="1352" spans="10:10" x14ac:dyDescent="0.25">
      <c r="J1352" s="31"/>
    </row>
    <row r="1353" spans="10:10" x14ac:dyDescent="0.25">
      <c r="J1353" s="31"/>
    </row>
    <row r="1354" spans="10:10" x14ac:dyDescent="0.25">
      <c r="J1354" s="31"/>
    </row>
    <row r="1355" spans="10:10" x14ac:dyDescent="0.25">
      <c r="J1355" s="31"/>
    </row>
    <row r="1356" spans="10:10" x14ac:dyDescent="0.25">
      <c r="J1356" s="31"/>
    </row>
    <row r="1357" spans="10:10" x14ac:dyDescent="0.25">
      <c r="J1357" s="31"/>
    </row>
    <row r="1358" spans="10:10" x14ac:dyDescent="0.25">
      <c r="J1358" s="31"/>
    </row>
    <row r="1359" spans="10:10" x14ac:dyDescent="0.25">
      <c r="J1359" s="31"/>
    </row>
    <row r="1360" spans="10:10" x14ac:dyDescent="0.25">
      <c r="J1360" s="31"/>
    </row>
    <row r="1361" spans="10:10" x14ac:dyDescent="0.25">
      <c r="J1361" s="31"/>
    </row>
    <row r="1362" spans="10:10" x14ac:dyDescent="0.25">
      <c r="J1362" s="31"/>
    </row>
    <row r="1363" spans="10:10" x14ac:dyDescent="0.25">
      <c r="J1363" s="31"/>
    </row>
    <row r="1364" spans="10:10" x14ac:dyDescent="0.25">
      <c r="J1364" s="31"/>
    </row>
    <row r="1365" spans="10:10" x14ac:dyDescent="0.25">
      <c r="J1365" s="31"/>
    </row>
    <row r="1366" spans="10:10" x14ac:dyDescent="0.25">
      <c r="J1366" s="31"/>
    </row>
    <row r="1367" spans="10:10" x14ac:dyDescent="0.25">
      <c r="J1367" s="31"/>
    </row>
    <row r="1368" spans="10:10" x14ac:dyDescent="0.25">
      <c r="J1368" s="31"/>
    </row>
    <row r="1369" spans="10:10" x14ac:dyDescent="0.25">
      <c r="J1369" s="31"/>
    </row>
    <row r="1370" spans="10:10" x14ac:dyDescent="0.25">
      <c r="J1370" s="31"/>
    </row>
    <row r="1371" spans="10:10" x14ac:dyDescent="0.25">
      <c r="J1371" s="31"/>
    </row>
    <row r="1372" spans="10:10" x14ac:dyDescent="0.25">
      <c r="J1372" s="31"/>
    </row>
    <row r="1373" spans="10:10" x14ac:dyDescent="0.25">
      <c r="J1373" s="31"/>
    </row>
    <row r="1374" spans="10:10" x14ac:dyDescent="0.25">
      <c r="J1374" s="31"/>
    </row>
    <row r="1375" spans="10:10" x14ac:dyDescent="0.25">
      <c r="J1375" s="31"/>
    </row>
    <row r="1376" spans="10:10" x14ac:dyDescent="0.25">
      <c r="J1376" s="31"/>
    </row>
    <row r="1377" spans="10:10" x14ac:dyDescent="0.25">
      <c r="J1377" s="31"/>
    </row>
    <row r="1378" spans="10:10" x14ac:dyDescent="0.25">
      <c r="J1378" s="31"/>
    </row>
    <row r="1379" spans="10:10" x14ac:dyDescent="0.25">
      <c r="J1379" s="31"/>
    </row>
    <row r="1380" spans="10:10" x14ac:dyDescent="0.25">
      <c r="J1380" s="31"/>
    </row>
    <row r="1381" spans="10:10" x14ac:dyDescent="0.25">
      <c r="J1381" s="31"/>
    </row>
    <row r="1382" spans="10:10" x14ac:dyDescent="0.25">
      <c r="J1382" s="31"/>
    </row>
    <row r="1383" spans="10:10" x14ac:dyDescent="0.25">
      <c r="J1383" s="31"/>
    </row>
    <row r="1384" spans="10:10" x14ac:dyDescent="0.25">
      <c r="J1384" s="31"/>
    </row>
    <row r="1385" spans="10:10" x14ac:dyDescent="0.25">
      <c r="J1385" s="31"/>
    </row>
    <row r="1386" spans="10:10" x14ac:dyDescent="0.25">
      <c r="J1386" s="31"/>
    </row>
    <row r="1387" spans="10:10" x14ac:dyDescent="0.25">
      <c r="J1387" s="31"/>
    </row>
    <row r="1388" spans="10:10" x14ac:dyDescent="0.25">
      <c r="J1388" s="31"/>
    </row>
    <row r="1389" spans="10:10" x14ac:dyDescent="0.25">
      <c r="J1389" s="31"/>
    </row>
    <row r="1390" spans="10:10" x14ac:dyDescent="0.25">
      <c r="J1390" s="31"/>
    </row>
    <row r="1391" spans="10:10" x14ac:dyDescent="0.25">
      <c r="J1391" s="31"/>
    </row>
    <row r="1392" spans="10:10" x14ac:dyDescent="0.25">
      <c r="J1392" s="31"/>
    </row>
    <row r="1393" spans="10:10" x14ac:dyDescent="0.25">
      <c r="J1393" s="31"/>
    </row>
    <row r="1394" spans="10:10" x14ac:dyDescent="0.25">
      <c r="J1394" s="31"/>
    </row>
    <row r="1395" spans="10:10" x14ac:dyDescent="0.25">
      <c r="J1395" s="31"/>
    </row>
    <row r="1396" spans="10:10" x14ac:dyDescent="0.25">
      <c r="J1396" s="31"/>
    </row>
    <row r="1397" spans="10:10" x14ac:dyDescent="0.25">
      <c r="J1397" s="31"/>
    </row>
    <row r="1398" spans="10:10" x14ac:dyDescent="0.25">
      <c r="J1398" s="31"/>
    </row>
    <row r="1399" spans="10:10" x14ac:dyDescent="0.25">
      <c r="J1399" s="31"/>
    </row>
    <row r="1400" spans="10:10" x14ac:dyDescent="0.25">
      <c r="J1400" s="31"/>
    </row>
    <row r="1401" spans="10:10" x14ac:dyDescent="0.25">
      <c r="J1401" s="31"/>
    </row>
    <row r="1402" spans="10:10" x14ac:dyDescent="0.25">
      <c r="J1402" s="31"/>
    </row>
    <row r="1403" spans="10:10" x14ac:dyDescent="0.25">
      <c r="J1403" s="31"/>
    </row>
    <row r="1404" spans="10:10" x14ac:dyDescent="0.25">
      <c r="J1404" s="31"/>
    </row>
    <row r="1405" spans="10:10" x14ac:dyDescent="0.25">
      <c r="J1405" s="31"/>
    </row>
    <row r="1406" spans="10:10" x14ac:dyDescent="0.25">
      <c r="J1406" s="31"/>
    </row>
    <row r="1407" spans="10:10" x14ac:dyDescent="0.25">
      <c r="J1407" s="31"/>
    </row>
    <row r="1408" spans="10:10" x14ac:dyDescent="0.25">
      <c r="J1408" s="31"/>
    </row>
    <row r="1409" spans="10:10" x14ac:dyDescent="0.25">
      <c r="J1409" s="31"/>
    </row>
    <row r="1410" spans="10:10" x14ac:dyDescent="0.25">
      <c r="J1410" s="31"/>
    </row>
    <row r="1411" spans="10:10" x14ac:dyDescent="0.25">
      <c r="J1411" s="31"/>
    </row>
    <row r="1412" spans="10:10" x14ac:dyDescent="0.25">
      <c r="J1412" s="31"/>
    </row>
    <row r="1413" spans="10:10" x14ac:dyDescent="0.25">
      <c r="J1413" s="31"/>
    </row>
    <row r="1414" spans="10:10" x14ac:dyDescent="0.25">
      <c r="J1414" s="31"/>
    </row>
    <row r="1415" spans="10:10" x14ac:dyDescent="0.25">
      <c r="J1415" s="31"/>
    </row>
    <row r="1416" spans="10:10" x14ac:dyDescent="0.25">
      <c r="J1416" s="31"/>
    </row>
    <row r="1417" spans="10:10" x14ac:dyDescent="0.25">
      <c r="J1417" s="31"/>
    </row>
    <row r="1418" spans="10:10" x14ac:dyDescent="0.25">
      <c r="J1418" s="31"/>
    </row>
    <row r="1419" spans="10:10" x14ac:dyDescent="0.25">
      <c r="J1419" s="31"/>
    </row>
    <row r="1420" spans="10:10" x14ac:dyDescent="0.25">
      <c r="J1420" s="31"/>
    </row>
    <row r="1421" spans="10:10" x14ac:dyDescent="0.25">
      <c r="J1421" s="31"/>
    </row>
    <row r="1422" spans="10:10" x14ac:dyDescent="0.25">
      <c r="J1422" s="31"/>
    </row>
    <row r="1423" spans="10:10" x14ac:dyDescent="0.25">
      <c r="J1423" s="31"/>
    </row>
    <row r="1424" spans="10:10" x14ac:dyDescent="0.25">
      <c r="J1424" s="31"/>
    </row>
    <row r="1425" spans="10:10" x14ac:dyDescent="0.25">
      <c r="J1425" s="31"/>
    </row>
    <row r="1426" spans="10:10" x14ac:dyDescent="0.25">
      <c r="J1426" s="31"/>
    </row>
    <row r="1427" spans="10:10" x14ac:dyDescent="0.25">
      <c r="J1427" s="31"/>
    </row>
    <row r="1428" spans="10:10" x14ac:dyDescent="0.25">
      <c r="J1428" s="31"/>
    </row>
    <row r="1429" spans="10:10" x14ac:dyDescent="0.25">
      <c r="J1429" s="31"/>
    </row>
    <row r="1430" spans="10:10" x14ac:dyDescent="0.25">
      <c r="J1430" s="31"/>
    </row>
    <row r="1431" spans="10:10" x14ac:dyDescent="0.25">
      <c r="J1431" s="31"/>
    </row>
    <row r="1432" spans="10:10" x14ac:dyDescent="0.25">
      <c r="J1432" s="31"/>
    </row>
    <row r="1433" spans="10:10" x14ac:dyDescent="0.25">
      <c r="J1433" s="31"/>
    </row>
    <row r="1434" spans="10:10" x14ac:dyDescent="0.25">
      <c r="J1434" s="31"/>
    </row>
    <row r="1435" spans="10:10" x14ac:dyDescent="0.25">
      <c r="J1435" s="31"/>
    </row>
    <row r="1436" spans="10:10" x14ac:dyDescent="0.25">
      <c r="J1436" s="31"/>
    </row>
    <row r="1437" spans="10:10" x14ac:dyDescent="0.25">
      <c r="J1437" s="31"/>
    </row>
    <row r="1438" spans="10:10" x14ac:dyDescent="0.25">
      <c r="J1438" s="31"/>
    </row>
    <row r="1439" spans="10:10" x14ac:dyDescent="0.25">
      <c r="J1439" s="31"/>
    </row>
    <row r="1440" spans="10:10" x14ac:dyDescent="0.25">
      <c r="J1440" s="31"/>
    </row>
    <row r="1441" spans="10:10" x14ac:dyDescent="0.25">
      <c r="J1441" s="31"/>
    </row>
    <row r="1442" spans="10:10" x14ac:dyDescent="0.25">
      <c r="J1442" s="31"/>
    </row>
    <row r="1443" spans="10:10" x14ac:dyDescent="0.25">
      <c r="J1443" s="31"/>
    </row>
    <row r="1444" spans="10:10" x14ac:dyDescent="0.25">
      <c r="J1444" s="31"/>
    </row>
    <row r="1445" spans="10:10" x14ac:dyDescent="0.25">
      <c r="J1445" s="31"/>
    </row>
    <row r="1446" spans="10:10" x14ac:dyDescent="0.25">
      <c r="J1446" s="31"/>
    </row>
    <row r="1447" spans="10:10" x14ac:dyDescent="0.25">
      <c r="J1447" s="31"/>
    </row>
    <row r="1448" spans="10:10" x14ac:dyDescent="0.25">
      <c r="J1448" s="31"/>
    </row>
    <row r="1449" spans="10:10" x14ac:dyDescent="0.25">
      <c r="J1449" s="31"/>
    </row>
    <row r="1450" spans="10:10" x14ac:dyDescent="0.25">
      <c r="J1450" s="31"/>
    </row>
    <row r="1451" spans="10:10" x14ac:dyDescent="0.25">
      <c r="J1451" s="31"/>
    </row>
    <row r="1452" spans="10:10" x14ac:dyDescent="0.25">
      <c r="J1452" s="31"/>
    </row>
    <row r="1453" spans="10:10" x14ac:dyDescent="0.25">
      <c r="J1453" s="31"/>
    </row>
    <row r="1454" spans="10:10" x14ac:dyDescent="0.25">
      <c r="J1454" s="31"/>
    </row>
    <row r="1455" spans="10:10" x14ac:dyDescent="0.25">
      <c r="J1455" s="31"/>
    </row>
    <row r="1456" spans="10:10" x14ac:dyDescent="0.25">
      <c r="J1456" s="31"/>
    </row>
    <row r="1457" spans="10:10" x14ac:dyDescent="0.25">
      <c r="J1457" s="31"/>
    </row>
    <row r="1458" spans="10:10" x14ac:dyDescent="0.25">
      <c r="J1458" s="31"/>
    </row>
    <row r="1459" spans="10:10" x14ac:dyDescent="0.25">
      <c r="J1459" s="31"/>
    </row>
    <row r="1460" spans="10:10" x14ac:dyDescent="0.25">
      <c r="J1460" s="31"/>
    </row>
    <row r="1461" spans="10:10" x14ac:dyDescent="0.25">
      <c r="J1461" s="31"/>
    </row>
    <row r="1462" spans="10:10" x14ac:dyDescent="0.25">
      <c r="J1462" s="31"/>
    </row>
    <row r="1463" spans="10:10" x14ac:dyDescent="0.25">
      <c r="J1463" s="31"/>
    </row>
    <row r="1464" spans="10:10" x14ac:dyDescent="0.25">
      <c r="J1464" s="31"/>
    </row>
    <row r="1465" spans="10:10" x14ac:dyDescent="0.25">
      <c r="J1465" s="31"/>
    </row>
    <row r="1466" spans="10:10" x14ac:dyDescent="0.25">
      <c r="J1466" s="31"/>
    </row>
    <row r="1467" spans="10:10" x14ac:dyDescent="0.25">
      <c r="J1467" s="31"/>
    </row>
    <row r="1468" spans="10:10" x14ac:dyDescent="0.25">
      <c r="J1468" s="31"/>
    </row>
    <row r="1469" spans="10:10" x14ac:dyDescent="0.25">
      <c r="J1469" s="31"/>
    </row>
    <row r="1470" spans="10:10" x14ac:dyDescent="0.25">
      <c r="J1470" s="31"/>
    </row>
    <row r="1471" spans="10:10" x14ac:dyDescent="0.25">
      <c r="J1471" s="31"/>
    </row>
    <row r="1472" spans="10:10" x14ac:dyDescent="0.25">
      <c r="J1472" s="31"/>
    </row>
    <row r="1473" spans="10:10" x14ac:dyDescent="0.25">
      <c r="J1473" s="31"/>
    </row>
    <row r="1474" spans="10:10" x14ac:dyDescent="0.25">
      <c r="J1474" s="31"/>
    </row>
    <row r="1475" spans="10:10" x14ac:dyDescent="0.25">
      <c r="J1475" s="31"/>
    </row>
    <row r="1476" spans="10:10" x14ac:dyDescent="0.25">
      <c r="J1476" s="31"/>
    </row>
    <row r="1477" spans="10:10" x14ac:dyDescent="0.25">
      <c r="J1477" s="31"/>
    </row>
    <row r="1478" spans="10:10" x14ac:dyDescent="0.25">
      <c r="J1478" s="31"/>
    </row>
    <row r="1479" spans="10:10" x14ac:dyDescent="0.25">
      <c r="J1479" s="31"/>
    </row>
    <row r="1480" spans="10:10" x14ac:dyDescent="0.25">
      <c r="J1480" s="31"/>
    </row>
    <row r="1481" spans="10:10" x14ac:dyDescent="0.25">
      <c r="J1481" s="31"/>
    </row>
    <row r="1482" spans="10:10" x14ac:dyDescent="0.25">
      <c r="J1482" s="31"/>
    </row>
    <row r="1483" spans="10:10" x14ac:dyDescent="0.25">
      <c r="J1483" s="31"/>
    </row>
    <row r="1484" spans="10:10" x14ac:dyDescent="0.25">
      <c r="J1484" s="31"/>
    </row>
    <row r="1485" spans="10:10" x14ac:dyDescent="0.25">
      <c r="J1485" s="31"/>
    </row>
    <row r="1486" spans="10:10" x14ac:dyDescent="0.25">
      <c r="J1486" s="31"/>
    </row>
    <row r="1487" spans="10:10" x14ac:dyDescent="0.25">
      <c r="J1487" s="31"/>
    </row>
    <row r="1488" spans="10:10" x14ac:dyDescent="0.25">
      <c r="J1488" s="31"/>
    </row>
    <row r="1489" spans="10:10" x14ac:dyDescent="0.25">
      <c r="J1489" s="31"/>
    </row>
    <row r="1490" spans="10:10" x14ac:dyDescent="0.25">
      <c r="J1490" s="31"/>
    </row>
    <row r="1491" spans="10:10" x14ac:dyDescent="0.25">
      <c r="J1491" s="31"/>
    </row>
    <row r="1492" spans="10:10" x14ac:dyDescent="0.25">
      <c r="J1492" s="31"/>
    </row>
    <row r="1493" spans="10:10" x14ac:dyDescent="0.25">
      <c r="J1493" s="31"/>
    </row>
    <row r="1494" spans="10:10" x14ac:dyDescent="0.25">
      <c r="J1494" s="31"/>
    </row>
    <row r="1495" spans="10:10" x14ac:dyDescent="0.25">
      <c r="J1495" s="31"/>
    </row>
    <row r="1496" spans="10:10" x14ac:dyDescent="0.25">
      <c r="J1496" s="31"/>
    </row>
    <row r="1497" spans="10:10" x14ac:dyDescent="0.25">
      <c r="J1497" s="31"/>
    </row>
    <row r="1498" spans="10:10" x14ac:dyDescent="0.25">
      <c r="J1498" s="31"/>
    </row>
    <row r="1499" spans="10:10" x14ac:dyDescent="0.25">
      <c r="J1499" s="31"/>
    </row>
    <row r="1500" spans="10:10" x14ac:dyDescent="0.25">
      <c r="J1500" s="31"/>
    </row>
    <row r="1501" spans="10:10" x14ac:dyDescent="0.25">
      <c r="J1501" s="31"/>
    </row>
    <row r="1502" spans="10:10" x14ac:dyDescent="0.25">
      <c r="J1502" s="31"/>
    </row>
    <row r="1503" spans="10:10" x14ac:dyDescent="0.25">
      <c r="J1503" s="31"/>
    </row>
    <row r="1504" spans="10:10" x14ac:dyDescent="0.25">
      <c r="J1504" s="31"/>
    </row>
    <row r="1505" spans="10:10" x14ac:dyDescent="0.25">
      <c r="J1505" s="31"/>
    </row>
    <row r="1506" spans="10:10" x14ac:dyDescent="0.25">
      <c r="J1506" s="31"/>
    </row>
    <row r="1507" spans="10:10" x14ac:dyDescent="0.25">
      <c r="J1507" s="31"/>
    </row>
    <row r="1508" spans="10:10" x14ac:dyDescent="0.25">
      <c r="J1508" s="31"/>
    </row>
    <row r="1509" spans="10:10" x14ac:dyDescent="0.25">
      <c r="J1509" s="31"/>
    </row>
    <row r="1510" spans="10:10" x14ac:dyDescent="0.25">
      <c r="J1510" s="31"/>
    </row>
    <row r="1511" spans="10:10" x14ac:dyDescent="0.25">
      <c r="J1511" s="31"/>
    </row>
    <row r="1512" spans="10:10" x14ac:dyDescent="0.25">
      <c r="J1512" s="31"/>
    </row>
    <row r="1513" spans="10:10" x14ac:dyDescent="0.25">
      <c r="J1513" s="31"/>
    </row>
    <row r="1514" spans="10:10" x14ac:dyDescent="0.25">
      <c r="J1514" s="31"/>
    </row>
    <row r="1515" spans="10:10" x14ac:dyDescent="0.25">
      <c r="J1515" s="31"/>
    </row>
    <row r="1516" spans="10:10" x14ac:dyDescent="0.25">
      <c r="J1516" s="31"/>
    </row>
    <row r="1517" spans="10:10" x14ac:dyDescent="0.25">
      <c r="J1517" s="31"/>
    </row>
    <row r="1518" spans="10:10" x14ac:dyDescent="0.25">
      <c r="J1518" s="31"/>
    </row>
    <row r="1519" spans="10:10" x14ac:dyDescent="0.25">
      <c r="J1519" s="31"/>
    </row>
    <row r="1520" spans="10:10" x14ac:dyDescent="0.25">
      <c r="J1520" s="31"/>
    </row>
    <row r="1521" spans="10:10" x14ac:dyDescent="0.25">
      <c r="J1521" s="31"/>
    </row>
    <row r="1522" spans="10:10" x14ac:dyDescent="0.25">
      <c r="J1522" s="31"/>
    </row>
    <row r="1523" spans="10:10" x14ac:dyDescent="0.25">
      <c r="J1523" s="31"/>
    </row>
    <row r="1524" spans="10:10" x14ac:dyDescent="0.25">
      <c r="J1524" s="31"/>
    </row>
    <row r="1525" spans="10:10" x14ac:dyDescent="0.25">
      <c r="J1525" s="31"/>
    </row>
    <row r="1526" spans="10:10" x14ac:dyDescent="0.25">
      <c r="J1526" s="31"/>
    </row>
    <row r="1527" spans="10:10" x14ac:dyDescent="0.25">
      <c r="J1527" s="31"/>
    </row>
    <row r="1528" spans="10:10" x14ac:dyDescent="0.25">
      <c r="J1528" s="31"/>
    </row>
    <row r="1529" spans="10:10" x14ac:dyDescent="0.25">
      <c r="J1529" s="31"/>
    </row>
    <row r="1530" spans="10:10" x14ac:dyDescent="0.25">
      <c r="J1530" s="31"/>
    </row>
    <row r="1531" spans="10:10" x14ac:dyDescent="0.25">
      <c r="J1531" s="31"/>
    </row>
    <row r="1532" spans="10:10" x14ac:dyDescent="0.25">
      <c r="J1532" s="31"/>
    </row>
    <row r="1533" spans="10:10" x14ac:dyDescent="0.25">
      <c r="J1533" s="31"/>
    </row>
    <row r="1534" spans="10:10" x14ac:dyDescent="0.25">
      <c r="J1534" s="31"/>
    </row>
    <row r="1535" spans="10:10" x14ac:dyDescent="0.25">
      <c r="J1535" s="31"/>
    </row>
    <row r="1536" spans="10:10" x14ac:dyDescent="0.25">
      <c r="J1536" s="31"/>
    </row>
    <row r="1537" spans="10:10" x14ac:dyDescent="0.25">
      <c r="J1537" s="31"/>
    </row>
    <row r="1538" spans="10:10" x14ac:dyDescent="0.25">
      <c r="J1538" s="31"/>
    </row>
    <row r="1539" spans="10:10" x14ac:dyDescent="0.25">
      <c r="J1539" s="31"/>
    </row>
    <row r="1540" spans="10:10" x14ac:dyDescent="0.25">
      <c r="J1540" s="31"/>
    </row>
    <row r="1541" spans="10:10" x14ac:dyDescent="0.25">
      <c r="J1541" s="31"/>
    </row>
    <row r="1542" spans="10:10" x14ac:dyDescent="0.25">
      <c r="J1542" s="31"/>
    </row>
    <row r="1543" spans="10:10" x14ac:dyDescent="0.25">
      <c r="J1543" s="31"/>
    </row>
    <row r="1544" spans="10:10" x14ac:dyDescent="0.25">
      <c r="J1544" s="31"/>
    </row>
    <row r="1545" spans="10:10" x14ac:dyDescent="0.25">
      <c r="J1545" s="31"/>
    </row>
    <row r="1546" spans="10:10" x14ac:dyDescent="0.25">
      <c r="J1546" s="31"/>
    </row>
    <row r="1547" spans="10:10" x14ac:dyDescent="0.25">
      <c r="J1547" s="31"/>
    </row>
    <row r="1548" spans="10:10" x14ac:dyDescent="0.25">
      <c r="J1548" s="31"/>
    </row>
    <row r="1549" spans="10:10" x14ac:dyDescent="0.25">
      <c r="J1549" s="31"/>
    </row>
    <row r="1550" spans="10:10" x14ac:dyDescent="0.25">
      <c r="J1550" s="31"/>
    </row>
    <row r="1551" spans="10:10" x14ac:dyDescent="0.25">
      <c r="J1551" s="31"/>
    </row>
    <row r="1552" spans="10:10" x14ac:dyDescent="0.25">
      <c r="J1552" s="31"/>
    </row>
    <row r="1553" spans="10:10" x14ac:dyDescent="0.25">
      <c r="J1553" s="31"/>
    </row>
    <row r="1554" spans="10:10" x14ac:dyDescent="0.25">
      <c r="J1554" s="31"/>
    </row>
    <row r="1555" spans="10:10" x14ac:dyDescent="0.25">
      <c r="J1555" s="31"/>
    </row>
    <row r="1556" spans="10:10" x14ac:dyDescent="0.25">
      <c r="J1556" s="31"/>
    </row>
    <row r="1557" spans="10:10" x14ac:dyDescent="0.25">
      <c r="J1557" s="31"/>
    </row>
    <row r="1558" spans="10:10" x14ac:dyDescent="0.25">
      <c r="J1558" s="31"/>
    </row>
    <row r="1559" spans="10:10" x14ac:dyDescent="0.25">
      <c r="J1559" s="31"/>
    </row>
    <row r="1560" spans="10:10" x14ac:dyDescent="0.25">
      <c r="J1560" s="31"/>
    </row>
    <row r="1561" spans="10:10" x14ac:dyDescent="0.25">
      <c r="J1561" s="31"/>
    </row>
    <row r="1562" spans="10:10" x14ac:dyDescent="0.25">
      <c r="J1562" s="31"/>
    </row>
    <row r="1563" spans="10:10" x14ac:dyDescent="0.25">
      <c r="J1563" s="31"/>
    </row>
    <row r="1564" spans="10:10" x14ac:dyDescent="0.25">
      <c r="J1564" s="31"/>
    </row>
    <row r="1565" spans="10:10" x14ac:dyDescent="0.25">
      <c r="J1565" s="31"/>
    </row>
    <row r="1566" spans="10:10" x14ac:dyDescent="0.25">
      <c r="J1566" s="31"/>
    </row>
    <row r="1567" spans="10:10" x14ac:dyDescent="0.25">
      <c r="J1567" s="31"/>
    </row>
    <row r="1568" spans="10:10" x14ac:dyDescent="0.25">
      <c r="J1568" s="31"/>
    </row>
    <row r="1569" spans="10:10" x14ac:dyDescent="0.25">
      <c r="J1569" s="31"/>
    </row>
    <row r="1570" spans="10:10" x14ac:dyDescent="0.25">
      <c r="J1570" s="31"/>
    </row>
    <row r="1571" spans="10:10" x14ac:dyDescent="0.25">
      <c r="J1571" s="31"/>
    </row>
    <row r="1572" spans="10:10" x14ac:dyDescent="0.25">
      <c r="J1572" s="31"/>
    </row>
    <row r="1573" spans="10:10" x14ac:dyDescent="0.25">
      <c r="J1573" s="31"/>
    </row>
    <row r="1574" spans="10:10" x14ac:dyDescent="0.25">
      <c r="J1574" s="31"/>
    </row>
    <row r="1575" spans="10:10" x14ac:dyDescent="0.25">
      <c r="J1575" s="31"/>
    </row>
    <row r="1576" spans="10:10" x14ac:dyDescent="0.25">
      <c r="J1576" s="31"/>
    </row>
    <row r="1577" spans="10:10" x14ac:dyDescent="0.25">
      <c r="J1577" s="31"/>
    </row>
    <row r="1578" spans="10:10" x14ac:dyDescent="0.25">
      <c r="J1578" s="31"/>
    </row>
    <row r="1579" spans="10:10" x14ac:dyDescent="0.25">
      <c r="J1579" s="31"/>
    </row>
    <row r="1580" spans="10:10" x14ac:dyDescent="0.25">
      <c r="J1580" s="31"/>
    </row>
    <row r="1581" spans="10:10" x14ac:dyDescent="0.25">
      <c r="J1581" s="31"/>
    </row>
    <row r="1582" spans="10:10" x14ac:dyDescent="0.25">
      <c r="J1582" s="31"/>
    </row>
    <row r="1583" spans="10:10" x14ac:dyDescent="0.25">
      <c r="J1583" s="31"/>
    </row>
    <row r="1584" spans="10:10" x14ac:dyDescent="0.25">
      <c r="J1584" s="31"/>
    </row>
    <row r="1585" spans="10:10" x14ac:dyDescent="0.25">
      <c r="J1585" s="31"/>
    </row>
    <row r="1586" spans="10:10" x14ac:dyDescent="0.25">
      <c r="J1586" s="31"/>
    </row>
    <row r="1587" spans="10:10" x14ac:dyDescent="0.25">
      <c r="J1587" s="31"/>
    </row>
    <row r="1588" spans="10:10" x14ac:dyDescent="0.25">
      <c r="J1588" s="31"/>
    </row>
    <row r="1589" spans="10:10" x14ac:dyDescent="0.25">
      <c r="J1589" s="31"/>
    </row>
    <row r="1590" spans="10:10" x14ac:dyDescent="0.25">
      <c r="J1590" s="31"/>
    </row>
    <row r="1591" spans="10:10" x14ac:dyDescent="0.25">
      <c r="J1591" s="31"/>
    </row>
    <row r="1592" spans="10:10" x14ac:dyDescent="0.25">
      <c r="J1592" s="31"/>
    </row>
    <row r="1593" spans="10:10" x14ac:dyDescent="0.25">
      <c r="J1593" s="31"/>
    </row>
    <row r="1594" spans="10:10" x14ac:dyDescent="0.25">
      <c r="J1594" s="31"/>
    </row>
    <row r="1595" spans="10:10" x14ac:dyDescent="0.25">
      <c r="J1595" s="31"/>
    </row>
    <row r="1596" spans="10:10" x14ac:dyDescent="0.25">
      <c r="J1596" s="31"/>
    </row>
    <row r="1597" spans="10:10" x14ac:dyDescent="0.25">
      <c r="J1597" s="31"/>
    </row>
    <row r="1598" spans="10:10" x14ac:dyDescent="0.25">
      <c r="J1598" s="31"/>
    </row>
    <row r="1599" spans="10:10" x14ac:dyDescent="0.25">
      <c r="J1599" s="31"/>
    </row>
    <row r="1600" spans="10:10" x14ac:dyDescent="0.25">
      <c r="J1600" s="31"/>
    </row>
    <row r="1601" spans="10:10" x14ac:dyDescent="0.25">
      <c r="J1601" s="31"/>
    </row>
    <row r="1602" spans="10:10" x14ac:dyDescent="0.25">
      <c r="J1602" s="31"/>
    </row>
    <row r="1603" spans="10:10" x14ac:dyDescent="0.25">
      <c r="J1603" s="31"/>
    </row>
    <row r="1604" spans="10:10" x14ac:dyDescent="0.25">
      <c r="J1604" s="31"/>
    </row>
    <row r="1605" spans="10:10" x14ac:dyDescent="0.25">
      <c r="J1605" s="31"/>
    </row>
    <row r="1606" spans="10:10" x14ac:dyDescent="0.25">
      <c r="J1606" s="31"/>
    </row>
    <row r="1607" spans="10:10" x14ac:dyDescent="0.25">
      <c r="J1607" s="31"/>
    </row>
    <row r="1608" spans="10:10" x14ac:dyDescent="0.25">
      <c r="J1608" s="31"/>
    </row>
    <row r="1609" spans="10:10" x14ac:dyDescent="0.25">
      <c r="J1609" s="31"/>
    </row>
    <row r="1610" spans="10:10" x14ac:dyDescent="0.25">
      <c r="J1610" s="31"/>
    </row>
    <row r="1611" spans="10:10" x14ac:dyDescent="0.25">
      <c r="J1611" s="31"/>
    </row>
    <row r="1612" spans="10:10" x14ac:dyDescent="0.25">
      <c r="J1612" s="31"/>
    </row>
    <row r="1613" spans="10:10" x14ac:dyDescent="0.25">
      <c r="J1613" s="31"/>
    </row>
    <row r="1614" spans="10:10" x14ac:dyDescent="0.25">
      <c r="J1614" s="31"/>
    </row>
    <row r="1615" spans="10:10" x14ac:dyDescent="0.25">
      <c r="J1615" s="31"/>
    </row>
    <row r="1616" spans="10:10" x14ac:dyDescent="0.25">
      <c r="J1616" s="31"/>
    </row>
    <row r="1617" spans="10:10" x14ac:dyDescent="0.25">
      <c r="J1617" s="31"/>
    </row>
    <row r="1618" spans="10:10" x14ac:dyDescent="0.25">
      <c r="J1618" s="31"/>
    </row>
    <row r="1619" spans="10:10" x14ac:dyDescent="0.25">
      <c r="J1619" s="31"/>
    </row>
    <row r="1620" spans="10:10" x14ac:dyDescent="0.25">
      <c r="J1620" s="31"/>
    </row>
    <row r="1621" spans="10:10" x14ac:dyDescent="0.25">
      <c r="J1621" s="31"/>
    </row>
    <row r="1622" spans="10:10" x14ac:dyDescent="0.25">
      <c r="J1622" s="31"/>
    </row>
    <row r="1623" spans="10:10" x14ac:dyDescent="0.25">
      <c r="J1623" s="31"/>
    </row>
    <row r="1624" spans="10:10" x14ac:dyDescent="0.25">
      <c r="J1624" s="31"/>
    </row>
    <row r="1625" spans="10:10" x14ac:dyDescent="0.25">
      <c r="J1625" s="31"/>
    </row>
    <row r="1626" spans="10:10" x14ac:dyDescent="0.25">
      <c r="J1626" s="31"/>
    </row>
    <row r="1627" spans="10:10" x14ac:dyDescent="0.25">
      <c r="J1627" s="31"/>
    </row>
    <row r="1628" spans="10:10" x14ac:dyDescent="0.25">
      <c r="J1628" s="31"/>
    </row>
    <row r="1629" spans="10:10" x14ac:dyDescent="0.25">
      <c r="J1629" s="31"/>
    </row>
    <row r="1630" spans="10:10" x14ac:dyDescent="0.25">
      <c r="J1630" s="31"/>
    </row>
    <row r="1631" spans="10:10" x14ac:dyDescent="0.25">
      <c r="J1631" s="31"/>
    </row>
    <row r="1632" spans="10:10" x14ac:dyDescent="0.25">
      <c r="J1632" s="31"/>
    </row>
    <row r="1633" spans="10:10" x14ac:dyDescent="0.25">
      <c r="J1633" s="31"/>
    </row>
    <row r="1634" spans="10:10" x14ac:dyDescent="0.25">
      <c r="J1634" s="31"/>
    </row>
    <row r="1635" spans="10:10" x14ac:dyDescent="0.25">
      <c r="J1635" s="31"/>
    </row>
    <row r="1636" spans="10:10" x14ac:dyDescent="0.25">
      <c r="J1636" s="31"/>
    </row>
    <row r="1637" spans="10:10" x14ac:dyDescent="0.25">
      <c r="J1637" s="31"/>
    </row>
    <row r="1638" spans="10:10" x14ac:dyDescent="0.25">
      <c r="J1638" s="31"/>
    </row>
    <row r="1639" spans="10:10" x14ac:dyDescent="0.25">
      <c r="J1639" s="31"/>
    </row>
    <row r="1640" spans="10:10" x14ac:dyDescent="0.25">
      <c r="J1640" s="31"/>
    </row>
    <row r="1641" spans="10:10" x14ac:dyDescent="0.25">
      <c r="J1641" s="31"/>
    </row>
    <row r="1642" spans="10:10" x14ac:dyDescent="0.25">
      <c r="J1642" s="31"/>
    </row>
    <row r="1643" spans="10:10" x14ac:dyDescent="0.25">
      <c r="J1643" s="31"/>
    </row>
    <row r="1644" spans="10:10" x14ac:dyDescent="0.25">
      <c r="J1644" s="31"/>
    </row>
    <row r="1645" spans="10:10" x14ac:dyDescent="0.25">
      <c r="J1645" s="31"/>
    </row>
    <row r="1646" spans="10:10" x14ac:dyDescent="0.25">
      <c r="J1646" s="31"/>
    </row>
    <row r="1647" spans="10:10" x14ac:dyDescent="0.25">
      <c r="J1647" s="31"/>
    </row>
    <row r="1648" spans="10:10" x14ac:dyDescent="0.25">
      <c r="J1648" s="31"/>
    </row>
    <row r="1649" spans="10:10" x14ac:dyDescent="0.25">
      <c r="J1649" s="31"/>
    </row>
    <row r="1650" spans="10:10" x14ac:dyDescent="0.25">
      <c r="J1650" s="31"/>
    </row>
    <row r="1651" spans="10:10" x14ac:dyDescent="0.25">
      <c r="J1651" s="31"/>
    </row>
    <row r="1652" spans="10:10" x14ac:dyDescent="0.25">
      <c r="J1652" s="31"/>
    </row>
    <row r="1653" spans="10:10" x14ac:dyDescent="0.25">
      <c r="J1653" s="31"/>
    </row>
    <row r="1654" spans="10:10" x14ac:dyDescent="0.25">
      <c r="J1654" s="31"/>
    </row>
    <row r="1655" spans="10:10" x14ac:dyDescent="0.25">
      <c r="J1655" s="31"/>
    </row>
    <row r="1656" spans="10:10" x14ac:dyDescent="0.25">
      <c r="J1656" s="31"/>
    </row>
    <row r="1657" spans="10:10" x14ac:dyDescent="0.25">
      <c r="J1657" s="31"/>
    </row>
    <row r="1658" spans="10:10" x14ac:dyDescent="0.25">
      <c r="J1658" s="31"/>
    </row>
    <row r="1659" spans="10:10" x14ac:dyDescent="0.25">
      <c r="J1659" s="31"/>
    </row>
    <row r="1660" spans="10:10" x14ac:dyDescent="0.25">
      <c r="J1660" s="31"/>
    </row>
    <row r="1661" spans="10:10" x14ac:dyDescent="0.25">
      <c r="J1661" s="31"/>
    </row>
    <row r="1662" spans="10:10" x14ac:dyDescent="0.25">
      <c r="J1662" s="31"/>
    </row>
    <row r="1663" spans="10:10" x14ac:dyDescent="0.25">
      <c r="J1663" s="31"/>
    </row>
    <row r="1664" spans="10:10" x14ac:dyDescent="0.25">
      <c r="J1664" s="31"/>
    </row>
    <row r="1665" spans="10:10" x14ac:dyDescent="0.25">
      <c r="J1665" s="31"/>
    </row>
    <row r="1666" spans="10:10" x14ac:dyDescent="0.25">
      <c r="J1666" s="31"/>
    </row>
    <row r="1667" spans="10:10" x14ac:dyDescent="0.25">
      <c r="J1667" s="31"/>
    </row>
    <row r="1668" spans="10:10" x14ac:dyDescent="0.25">
      <c r="J1668" s="31"/>
    </row>
    <row r="1669" spans="10:10" x14ac:dyDescent="0.25">
      <c r="J1669" s="31"/>
    </row>
    <row r="1670" spans="10:10" x14ac:dyDescent="0.25">
      <c r="J1670" s="31"/>
    </row>
    <row r="1671" spans="10:10" x14ac:dyDescent="0.25">
      <c r="J1671" s="31"/>
    </row>
    <row r="1672" spans="10:10" x14ac:dyDescent="0.25">
      <c r="J1672" s="31"/>
    </row>
    <row r="1673" spans="10:10" x14ac:dyDescent="0.25">
      <c r="J1673" s="31"/>
    </row>
    <row r="1674" spans="10:10" x14ac:dyDescent="0.25">
      <c r="J1674" s="31"/>
    </row>
    <row r="1675" spans="10:10" x14ac:dyDescent="0.25">
      <c r="J1675" s="31"/>
    </row>
    <row r="1676" spans="10:10" x14ac:dyDescent="0.25">
      <c r="J1676" s="31"/>
    </row>
    <row r="1677" spans="10:10" x14ac:dyDescent="0.25">
      <c r="J1677" s="31"/>
    </row>
    <row r="1678" spans="10:10" x14ac:dyDescent="0.25">
      <c r="J1678" s="31"/>
    </row>
    <row r="1679" spans="10:10" x14ac:dyDescent="0.25">
      <c r="J1679" s="31"/>
    </row>
    <row r="1680" spans="10:10" x14ac:dyDescent="0.25">
      <c r="J1680" s="31"/>
    </row>
    <row r="1681" spans="10:10" x14ac:dyDescent="0.25">
      <c r="J1681" s="31"/>
    </row>
    <row r="1682" spans="10:10" x14ac:dyDescent="0.25">
      <c r="J1682" s="31"/>
    </row>
    <row r="1683" spans="10:10" x14ac:dyDescent="0.25">
      <c r="J1683" s="31"/>
    </row>
    <row r="1684" spans="10:10" x14ac:dyDescent="0.25">
      <c r="J1684" s="31"/>
    </row>
    <row r="1685" spans="10:10" x14ac:dyDescent="0.25">
      <c r="J1685" s="31"/>
    </row>
    <row r="1686" spans="10:10" x14ac:dyDescent="0.25">
      <c r="J1686" s="31"/>
    </row>
    <row r="1687" spans="10:10" x14ac:dyDescent="0.25">
      <c r="J1687" s="31"/>
    </row>
    <row r="1688" spans="10:10" x14ac:dyDescent="0.25">
      <c r="J1688" s="31"/>
    </row>
    <row r="1689" spans="10:10" x14ac:dyDescent="0.25">
      <c r="J1689" s="31"/>
    </row>
    <row r="1690" spans="10:10" x14ac:dyDescent="0.25">
      <c r="J1690" s="31"/>
    </row>
    <row r="1691" spans="10:10" x14ac:dyDescent="0.25">
      <c r="J1691" s="31"/>
    </row>
    <row r="1692" spans="10:10" x14ac:dyDescent="0.25">
      <c r="J1692" s="31"/>
    </row>
    <row r="1693" spans="10:10" x14ac:dyDescent="0.25">
      <c r="J1693" s="31"/>
    </row>
    <row r="1694" spans="10:10" x14ac:dyDescent="0.25">
      <c r="J1694" s="31"/>
    </row>
    <row r="1695" spans="10:10" x14ac:dyDescent="0.25">
      <c r="J1695" s="31"/>
    </row>
    <row r="1696" spans="10:10" x14ac:dyDescent="0.25">
      <c r="J1696" s="31"/>
    </row>
    <row r="1697" spans="10:10" x14ac:dyDescent="0.25">
      <c r="J1697" s="31"/>
    </row>
    <row r="1698" spans="10:10" x14ac:dyDescent="0.25">
      <c r="J1698" s="31"/>
    </row>
    <row r="1699" spans="10:10" x14ac:dyDescent="0.25">
      <c r="J1699" s="31"/>
    </row>
    <row r="1700" spans="10:10" x14ac:dyDescent="0.25">
      <c r="J1700" s="31"/>
    </row>
    <row r="1701" spans="10:10" x14ac:dyDescent="0.25">
      <c r="J1701" s="31"/>
    </row>
    <row r="1702" spans="10:10" x14ac:dyDescent="0.25">
      <c r="J1702" s="31"/>
    </row>
    <row r="1703" spans="10:10" x14ac:dyDescent="0.25">
      <c r="J1703" s="31"/>
    </row>
    <row r="1704" spans="10:10" x14ac:dyDescent="0.25">
      <c r="J1704" s="31"/>
    </row>
    <row r="1705" spans="10:10" x14ac:dyDescent="0.25">
      <c r="J1705" s="31"/>
    </row>
    <row r="1706" spans="10:10" x14ac:dyDescent="0.25">
      <c r="J1706" s="31"/>
    </row>
    <row r="1707" spans="10:10" x14ac:dyDescent="0.25">
      <c r="J1707" s="31"/>
    </row>
    <row r="1708" spans="10:10" x14ac:dyDescent="0.25">
      <c r="J1708" s="31"/>
    </row>
    <row r="1709" spans="10:10" x14ac:dyDescent="0.25">
      <c r="J1709" s="31"/>
    </row>
    <row r="1710" spans="10:10" x14ac:dyDescent="0.25">
      <c r="J1710" s="31"/>
    </row>
    <row r="1711" spans="10:10" x14ac:dyDescent="0.25">
      <c r="J1711" s="31"/>
    </row>
    <row r="1712" spans="10:10" x14ac:dyDescent="0.25">
      <c r="J1712" s="31"/>
    </row>
    <row r="1713" spans="10:10" x14ac:dyDescent="0.25">
      <c r="J1713" s="31"/>
    </row>
    <row r="1714" spans="10:10" x14ac:dyDescent="0.25">
      <c r="J1714" s="31"/>
    </row>
    <row r="1715" spans="10:10" x14ac:dyDescent="0.25">
      <c r="J1715" s="31"/>
    </row>
    <row r="1716" spans="10:10" x14ac:dyDescent="0.25">
      <c r="J1716" s="31"/>
    </row>
    <row r="1717" spans="10:10" x14ac:dyDescent="0.25">
      <c r="J1717" s="31"/>
    </row>
    <row r="1718" spans="10:10" x14ac:dyDescent="0.25">
      <c r="J1718" s="31"/>
    </row>
    <row r="1719" spans="10:10" x14ac:dyDescent="0.25">
      <c r="J1719" s="31"/>
    </row>
    <row r="1720" spans="10:10" x14ac:dyDescent="0.25">
      <c r="J1720" s="31"/>
    </row>
    <row r="1721" spans="10:10" x14ac:dyDescent="0.25">
      <c r="J1721" s="31"/>
    </row>
    <row r="1722" spans="10:10" x14ac:dyDescent="0.25">
      <c r="J1722" s="31"/>
    </row>
    <row r="1723" spans="10:10" x14ac:dyDescent="0.25">
      <c r="J1723" s="31"/>
    </row>
    <row r="1724" spans="10:10" x14ac:dyDescent="0.25">
      <c r="J1724" s="31"/>
    </row>
    <row r="1725" spans="10:10" x14ac:dyDescent="0.25">
      <c r="J1725" s="31"/>
    </row>
    <row r="1726" spans="10:10" x14ac:dyDescent="0.25">
      <c r="J1726" s="31"/>
    </row>
    <row r="1727" spans="10:10" x14ac:dyDescent="0.25">
      <c r="J1727" s="31"/>
    </row>
    <row r="1728" spans="10:10" x14ac:dyDescent="0.25">
      <c r="J1728" s="31"/>
    </row>
    <row r="1729" spans="10:10" x14ac:dyDescent="0.25">
      <c r="J1729" s="31"/>
    </row>
    <row r="1730" spans="10:10" x14ac:dyDescent="0.25">
      <c r="J1730" s="31"/>
    </row>
    <row r="1731" spans="10:10" x14ac:dyDescent="0.25">
      <c r="J1731" s="31"/>
    </row>
    <row r="1732" spans="10:10" x14ac:dyDescent="0.25">
      <c r="J1732" s="31"/>
    </row>
    <row r="1733" spans="10:10" x14ac:dyDescent="0.25">
      <c r="J1733" s="31"/>
    </row>
    <row r="1734" spans="10:10" x14ac:dyDescent="0.25">
      <c r="J1734" s="31"/>
    </row>
    <row r="1735" spans="10:10" x14ac:dyDescent="0.25">
      <c r="J1735" s="31"/>
    </row>
    <row r="1736" spans="10:10" x14ac:dyDescent="0.25">
      <c r="J1736" s="31"/>
    </row>
    <row r="1737" spans="10:10" x14ac:dyDescent="0.25">
      <c r="J1737" s="31"/>
    </row>
    <row r="1738" spans="10:10" x14ac:dyDescent="0.25">
      <c r="J1738" s="31"/>
    </row>
    <row r="1739" spans="10:10" x14ac:dyDescent="0.25">
      <c r="J1739" s="31"/>
    </row>
    <row r="1740" spans="10:10" x14ac:dyDescent="0.25">
      <c r="J1740" s="31"/>
    </row>
    <row r="1741" spans="10:10" x14ac:dyDescent="0.25">
      <c r="J1741" s="31"/>
    </row>
    <row r="1742" spans="10:10" x14ac:dyDescent="0.25">
      <c r="J1742" s="31"/>
    </row>
    <row r="1743" spans="10:10" x14ac:dyDescent="0.25">
      <c r="J1743" s="31"/>
    </row>
    <row r="1744" spans="10:10" x14ac:dyDescent="0.25">
      <c r="J1744" s="31"/>
    </row>
    <row r="1745" spans="10:10" x14ac:dyDescent="0.25">
      <c r="J1745" s="31"/>
    </row>
    <row r="1746" spans="10:10" x14ac:dyDescent="0.25">
      <c r="J1746" s="31"/>
    </row>
    <row r="1747" spans="10:10" x14ac:dyDescent="0.25">
      <c r="J1747" s="31"/>
    </row>
    <row r="1748" spans="10:10" x14ac:dyDescent="0.25">
      <c r="J1748" s="31"/>
    </row>
    <row r="1749" spans="10:10" x14ac:dyDescent="0.25">
      <c r="J1749" s="31"/>
    </row>
    <row r="1750" spans="10:10" x14ac:dyDescent="0.25">
      <c r="J1750" s="31"/>
    </row>
    <row r="1751" spans="10:10" x14ac:dyDescent="0.25">
      <c r="J1751" s="31"/>
    </row>
    <row r="1752" spans="10:10" x14ac:dyDescent="0.25">
      <c r="J1752" s="31"/>
    </row>
    <row r="1753" spans="10:10" x14ac:dyDescent="0.25">
      <c r="J1753" s="31"/>
    </row>
    <row r="1754" spans="10:10" x14ac:dyDescent="0.25">
      <c r="J1754" s="31"/>
    </row>
    <row r="1755" spans="10:10" x14ac:dyDescent="0.25">
      <c r="J1755" s="31"/>
    </row>
    <row r="1756" spans="10:10" x14ac:dyDescent="0.25">
      <c r="J1756" s="31"/>
    </row>
    <row r="1757" spans="10:10" ht="15.45" x14ac:dyDescent="0.35">
      <c r="J1757" s="31"/>
    </row>
    <row r="1758" spans="10:10" ht="15.45" x14ac:dyDescent="0.35">
      <c r="J1758" s="31"/>
    </row>
    <row r="1759" spans="10:10" x14ac:dyDescent="0.25">
      <c r="J1759" s="31"/>
    </row>
  </sheetData>
  <mergeCells count="1">
    <mergeCell ref="H4:K4"/>
  </mergeCells>
  <phoneticPr fontId="2" type="noConversion"/>
  <pageMargins left="0.5" right="0.5" top="0.5" bottom="0.5" header="0.5" footer="0.5"/>
  <pageSetup scale="89" orientation="portrait" horizontalDpi="1200" verticalDpi="1200" r:id="rId1"/>
  <headerFooter alignWithMargins="0">
    <oddFooter>&amp;C^, &amp;D&amp;R</oddFooter>
  </headerFooter>
  <ignoredErrors>
    <ignoredError sqref="F669 F6:F666 F693 H749:J751 H752:J752 H361:I625 H193:H360 H33:H192 H9:H32 H626:J748 I9:J32 I33:J192 I193:J360 J361:J625 H753:J870 H871:J87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25"/>
  <sheetViews>
    <sheetView tabSelected="1" workbookViewId="0">
      <selection sqref="A1:H20"/>
    </sheetView>
  </sheetViews>
  <sheetFormatPr defaultColWidth="8.90625" defaultRowHeight="15.6" x14ac:dyDescent="0.3"/>
  <cols>
    <col min="1" max="6" width="10.7265625" style="1" customWidth="1"/>
    <col min="7" max="7" width="10.7265625" style="2" customWidth="1"/>
    <col min="8" max="8" width="0.7265625" style="2" customWidth="1"/>
    <col min="9" max="16384" width="8.90625" style="1"/>
  </cols>
  <sheetData>
    <row r="1" spans="1:9" ht="12.6" customHeight="1" x14ac:dyDescent="0.3">
      <c r="A1" s="5" t="s">
        <v>18</v>
      </c>
      <c r="B1" s="3"/>
      <c r="C1" s="3"/>
      <c r="D1" s="3"/>
      <c r="E1" s="3"/>
      <c r="F1" s="3"/>
      <c r="G1" s="3"/>
      <c r="H1" s="3"/>
      <c r="I1" s="12"/>
    </row>
    <row r="2" spans="1:9" ht="15" customHeight="1" x14ac:dyDescent="0.3">
      <c r="A2" s="4" t="s">
        <v>28</v>
      </c>
      <c r="B2" s="3"/>
      <c r="C2" s="3"/>
      <c r="D2" s="3"/>
      <c r="E2" s="3"/>
      <c r="F2" s="3"/>
      <c r="G2" s="3"/>
      <c r="H2" s="3"/>
      <c r="I2" s="12"/>
    </row>
    <row r="3" spans="1:9" ht="6" customHeight="1" x14ac:dyDescent="0.3">
      <c r="A3" s="2"/>
      <c r="B3" s="2"/>
      <c r="C3" s="2"/>
      <c r="D3" s="2"/>
      <c r="E3" s="2"/>
      <c r="F3" s="2"/>
      <c r="I3" s="12"/>
    </row>
    <row r="4" spans="1:9" x14ac:dyDescent="0.3">
      <c r="A4" s="2"/>
      <c r="B4" s="2"/>
      <c r="C4" s="2"/>
      <c r="D4" s="2"/>
      <c r="E4" s="2"/>
      <c r="F4" s="2"/>
      <c r="I4" s="12"/>
    </row>
    <row r="5" spans="1:9" x14ac:dyDescent="0.3">
      <c r="A5" s="2"/>
      <c r="B5" s="2"/>
      <c r="C5" s="2"/>
      <c r="D5" s="2"/>
      <c r="E5" s="2"/>
      <c r="F5" s="2"/>
      <c r="I5" s="12"/>
    </row>
    <row r="6" spans="1:9" x14ac:dyDescent="0.3">
      <c r="A6" s="2"/>
      <c r="B6" s="2"/>
      <c r="C6" s="2"/>
      <c r="D6" s="2"/>
      <c r="E6" s="2"/>
      <c r="F6" s="2"/>
      <c r="I6" s="12"/>
    </row>
    <row r="7" spans="1:9" x14ac:dyDescent="0.3">
      <c r="A7" s="2"/>
      <c r="B7" s="2"/>
      <c r="C7" s="2"/>
      <c r="D7" s="2"/>
      <c r="E7" s="2"/>
      <c r="F7" s="2"/>
      <c r="I7" s="12"/>
    </row>
    <row r="8" spans="1:9" x14ac:dyDescent="0.3">
      <c r="A8" s="2"/>
      <c r="B8" s="2"/>
      <c r="C8" s="2"/>
      <c r="D8" s="2"/>
      <c r="E8" s="2"/>
      <c r="F8" s="2"/>
      <c r="I8" s="12"/>
    </row>
    <row r="9" spans="1:9" x14ac:dyDescent="0.3">
      <c r="A9" s="2"/>
      <c r="B9" s="2"/>
      <c r="C9" s="2"/>
      <c r="D9" s="2"/>
      <c r="E9" s="2"/>
      <c r="F9" s="2"/>
      <c r="I9" s="12"/>
    </row>
    <row r="10" spans="1:9" x14ac:dyDescent="0.3">
      <c r="A10" s="2"/>
      <c r="B10" s="2"/>
      <c r="C10" s="2"/>
      <c r="D10" s="2"/>
      <c r="E10" s="2"/>
      <c r="F10" s="2"/>
      <c r="I10" s="12"/>
    </row>
    <row r="11" spans="1:9" x14ac:dyDescent="0.3">
      <c r="A11" s="2"/>
      <c r="B11" s="2"/>
      <c r="C11" s="2"/>
      <c r="D11" s="2"/>
      <c r="E11" s="2"/>
      <c r="F11" s="2"/>
      <c r="I11" s="12"/>
    </row>
    <row r="12" spans="1:9" x14ac:dyDescent="0.3">
      <c r="A12" s="2"/>
      <c r="B12" s="2"/>
      <c r="C12" s="2"/>
      <c r="D12" s="2"/>
      <c r="E12" s="2"/>
      <c r="F12" s="2"/>
      <c r="I12" s="12"/>
    </row>
    <row r="13" spans="1:9" ht="9" customHeight="1" x14ac:dyDescent="0.3">
      <c r="A13" s="2"/>
      <c r="B13" s="2"/>
      <c r="C13" s="2"/>
      <c r="D13" s="2"/>
      <c r="E13" s="2"/>
      <c r="F13" s="2"/>
      <c r="I13" s="12"/>
    </row>
    <row r="14" spans="1:9" x14ac:dyDescent="0.3">
      <c r="A14" s="2"/>
      <c r="B14" s="2"/>
      <c r="C14" s="2"/>
      <c r="D14" s="2"/>
      <c r="E14" s="2"/>
      <c r="F14" s="2"/>
      <c r="I14" s="12"/>
    </row>
    <row r="15" spans="1:9" ht="10.5" customHeight="1" x14ac:dyDescent="0.3">
      <c r="A15" s="2"/>
      <c r="B15" s="2"/>
      <c r="C15" s="2"/>
      <c r="D15" s="2"/>
      <c r="E15" s="2"/>
      <c r="F15" s="2"/>
      <c r="I15" s="12"/>
    </row>
    <row r="16" spans="1:9" ht="12.75" customHeight="1" x14ac:dyDescent="0.3">
      <c r="A16" s="2"/>
      <c r="B16" s="2"/>
      <c r="C16" s="2"/>
      <c r="D16" s="2"/>
      <c r="E16" s="2"/>
      <c r="F16" s="2"/>
      <c r="I16" s="12"/>
    </row>
    <row r="17" spans="1:9" ht="12.75" customHeight="1" x14ac:dyDescent="0.3">
      <c r="A17" s="2"/>
      <c r="B17" s="2"/>
      <c r="C17" s="2"/>
      <c r="D17" s="2"/>
      <c r="E17" s="2"/>
      <c r="F17" s="2"/>
      <c r="I17" s="12"/>
    </row>
    <row r="18" spans="1:9" ht="13.65" customHeight="1" x14ac:dyDescent="0.3">
      <c r="A18" s="2"/>
      <c r="B18" s="8"/>
      <c r="C18" s="8"/>
      <c r="D18" s="8"/>
      <c r="E18" s="9"/>
      <c r="F18" s="9"/>
      <c r="G18" s="9"/>
      <c r="I18" s="12"/>
    </row>
    <row r="19" spans="1:9" x14ac:dyDescent="0.3">
      <c r="A19" s="10" t="s">
        <v>17</v>
      </c>
      <c r="B19" s="2"/>
      <c r="C19" s="2"/>
      <c r="D19" s="2"/>
      <c r="E19" s="2"/>
      <c r="F19" s="2"/>
      <c r="I19" s="12"/>
    </row>
    <row r="20" spans="1:9" x14ac:dyDescent="0.3">
      <c r="A20" s="11" t="s">
        <v>37</v>
      </c>
      <c r="B20" s="2"/>
      <c r="C20" s="2"/>
      <c r="D20" s="2"/>
      <c r="E20" s="2"/>
      <c r="F20" s="2"/>
      <c r="I20" s="12"/>
    </row>
    <row r="21" spans="1:9" x14ac:dyDescent="0.3">
      <c r="A21" s="12"/>
      <c r="B21" s="12"/>
      <c r="C21" s="12"/>
      <c r="D21" s="12"/>
      <c r="E21" s="12"/>
      <c r="F21" s="12"/>
      <c r="I21" s="12"/>
    </row>
    <row r="22" spans="1:9" x14ac:dyDescent="0.3">
      <c r="A22" s="12"/>
      <c r="B22" s="12"/>
      <c r="C22" s="12"/>
      <c r="D22" s="12"/>
      <c r="E22" s="12"/>
      <c r="F22" s="12"/>
      <c r="I22" s="12"/>
    </row>
    <row r="23" spans="1:9" x14ac:dyDescent="0.3">
      <c r="A23" s="12"/>
      <c r="B23" s="12"/>
      <c r="C23" s="12"/>
      <c r="D23" s="50"/>
      <c r="E23" s="50"/>
      <c r="F23" s="12"/>
      <c r="I23" s="12"/>
    </row>
    <row r="24" spans="1:9" x14ac:dyDescent="0.3">
      <c r="A24" s="12"/>
      <c r="B24" s="12"/>
      <c r="C24" s="12"/>
      <c r="D24" s="13"/>
      <c r="E24" s="13"/>
      <c r="F24" s="12"/>
      <c r="I24" s="12"/>
    </row>
    <row r="25" spans="1:9" x14ac:dyDescent="0.3">
      <c r="C25" s="6"/>
    </row>
  </sheetData>
  <mergeCells count="1">
    <mergeCell ref="D23:E23"/>
  </mergeCells>
  <phoneticPr fontId="2" type="noConversion"/>
  <pageMargins left="0.75" right="0.75" top="1" bottom="1" header="0.5" footer="0.5"/>
  <pageSetup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A3" sqref="A3:I20"/>
    </sheetView>
  </sheetViews>
  <sheetFormatPr defaultRowHeight="15" x14ac:dyDescent="0.25"/>
  <cols>
    <col min="9" max="9" width="1" customWidth="1"/>
  </cols>
  <sheetData>
    <row r="1" spans="1:10" x14ac:dyDescent="0.25">
      <c r="A1" s="41"/>
      <c r="B1" s="41"/>
      <c r="C1" s="41"/>
      <c r="D1" s="41"/>
      <c r="E1" s="41"/>
      <c r="F1" s="41"/>
      <c r="G1" s="41"/>
      <c r="H1" s="41"/>
      <c r="I1" s="41"/>
      <c r="J1" s="41"/>
    </row>
    <row r="2" spans="1:10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</row>
    <row r="3" spans="1:10" ht="15.6" x14ac:dyDescent="0.3">
      <c r="A3" s="42" t="s">
        <v>40</v>
      </c>
      <c r="B3" s="43"/>
      <c r="C3" s="43"/>
      <c r="D3" s="43"/>
      <c r="E3" s="43"/>
      <c r="F3" s="43"/>
      <c r="G3" s="43"/>
      <c r="H3" s="43"/>
      <c r="I3" s="41"/>
      <c r="J3" s="41"/>
    </row>
    <row r="4" spans="1:10" ht="15.6" x14ac:dyDescent="0.3">
      <c r="A4" s="43"/>
      <c r="B4" s="43"/>
      <c r="C4" s="43"/>
      <c r="D4" s="43"/>
      <c r="E4" s="43"/>
      <c r="F4" s="43"/>
      <c r="G4" s="43"/>
      <c r="H4" s="43"/>
      <c r="I4" s="41"/>
      <c r="J4" s="41"/>
    </row>
    <row r="5" spans="1:10" ht="15.6" x14ac:dyDescent="0.3">
      <c r="A5" s="43"/>
      <c r="B5" s="43"/>
      <c r="C5" s="43"/>
      <c r="D5" s="43"/>
      <c r="E5" s="43"/>
      <c r="F5" s="43"/>
      <c r="G5" s="43"/>
      <c r="H5" s="43"/>
      <c r="I5" s="41"/>
      <c r="J5" s="41"/>
    </row>
    <row r="6" spans="1:10" ht="15.6" x14ac:dyDescent="0.3">
      <c r="A6" s="43"/>
      <c r="B6" s="43"/>
      <c r="C6" s="43"/>
      <c r="D6" s="43"/>
      <c r="E6" s="43"/>
      <c r="F6" s="43"/>
      <c r="G6" s="43"/>
      <c r="H6" s="43"/>
      <c r="I6" s="41"/>
      <c r="J6" s="41"/>
    </row>
    <row r="7" spans="1:10" ht="15.6" x14ac:dyDescent="0.3">
      <c r="A7" s="43"/>
      <c r="B7" s="43"/>
      <c r="C7" s="43"/>
      <c r="D7" s="43"/>
      <c r="E7" s="43"/>
      <c r="F7" s="43"/>
      <c r="G7" s="43"/>
      <c r="H7" s="43"/>
      <c r="I7" s="41"/>
      <c r="J7" s="41"/>
    </row>
    <row r="8" spans="1:10" ht="15.6" x14ac:dyDescent="0.3">
      <c r="A8" s="43"/>
      <c r="B8" s="43"/>
      <c r="C8" s="43"/>
      <c r="D8" s="43"/>
      <c r="E8" s="43"/>
      <c r="F8" s="43"/>
      <c r="G8" s="43"/>
      <c r="H8" s="43"/>
      <c r="I8" s="41"/>
      <c r="J8" s="41"/>
    </row>
    <row r="9" spans="1:10" ht="15.6" x14ac:dyDescent="0.3">
      <c r="A9" s="43"/>
      <c r="B9" s="43"/>
      <c r="C9" s="43"/>
      <c r="D9" s="43"/>
      <c r="E9" s="43"/>
      <c r="F9" s="43"/>
      <c r="G9" s="43"/>
      <c r="H9" s="43"/>
      <c r="I9" s="41"/>
      <c r="J9" s="41"/>
    </row>
    <row r="10" spans="1:10" ht="15.6" x14ac:dyDescent="0.3">
      <c r="A10" s="43"/>
      <c r="B10" s="43"/>
      <c r="C10" s="43"/>
      <c r="D10" s="43"/>
      <c r="E10" s="43"/>
      <c r="F10" s="43"/>
      <c r="G10" s="43"/>
      <c r="H10" s="43"/>
      <c r="I10" s="41"/>
      <c r="J10" s="41"/>
    </row>
    <row r="11" spans="1:10" ht="15.6" x14ac:dyDescent="0.3">
      <c r="A11" s="43"/>
      <c r="B11" s="43"/>
      <c r="C11" s="43"/>
      <c r="D11" s="43"/>
      <c r="E11" s="43"/>
      <c r="F11" s="43"/>
      <c r="G11" s="43"/>
      <c r="H11" s="43"/>
      <c r="I11" s="41"/>
      <c r="J11" s="41"/>
    </row>
    <row r="12" spans="1:10" ht="15.6" x14ac:dyDescent="0.3">
      <c r="A12" s="43"/>
      <c r="B12" s="43"/>
      <c r="C12" s="43"/>
      <c r="D12" s="43"/>
      <c r="E12" s="43"/>
      <c r="F12" s="43"/>
      <c r="G12" s="43"/>
      <c r="H12" s="43"/>
      <c r="I12" s="41"/>
      <c r="J12" s="41"/>
    </row>
    <row r="13" spans="1:10" ht="15.6" x14ac:dyDescent="0.3">
      <c r="A13" s="43"/>
      <c r="B13" s="43"/>
      <c r="C13" s="43"/>
      <c r="D13" s="43"/>
      <c r="E13" s="43"/>
      <c r="F13" s="43"/>
      <c r="G13" s="43"/>
      <c r="H13" s="43"/>
      <c r="I13" s="41"/>
      <c r="J13" s="41"/>
    </row>
    <row r="14" spans="1:10" ht="15.6" x14ac:dyDescent="0.3">
      <c r="A14" s="43"/>
      <c r="B14" s="43"/>
      <c r="C14" s="43"/>
      <c r="D14" s="43"/>
      <c r="E14" s="43"/>
      <c r="F14" s="43"/>
      <c r="G14" s="43"/>
      <c r="H14" s="43"/>
      <c r="I14" s="41"/>
      <c r="J14" s="41"/>
    </row>
    <row r="15" spans="1:10" ht="15.6" x14ac:dyDescent="0.3">
      <c r="A15" s="43"/>
      <c r="B15" s="43"/>
      <c r="C15" s="43"/>
      <c r="D15" s="43"/>
      <c r="E15" s="43"/>
      <c r="F15" s="43"/>
      <c r="G15" s="43"/>
      <c r="H15" s="43"/>
      <c r="I15" s="41"/>
      <c r="J15" s="41"/>
    </row>
    <row r="16" spans="1:10" ht="15.6" x14ac:dyDescent="0.3">
      <c r="A16" s="43"/>
      <c r="B16" s="43"/>
      <c r="C16" s="43"/>
      <c r="D16" s="43"/>
      <c r="E16" s="43"/>
      <c r="F16" s="43"/>
      <c r="G16" s="43"/>
      <c r="H16" s="43"/>
      <c r="I16" s="41"/>
      <c r="J16" s="41"/>
    </row>
    <row r="17" spans="1:10" ht="15.6" x14ac:dyDescent="0.3">
      <c r="A17" s="43"/>
      <c r="B17" s="43"/>
      <c r="C17" s="43"/>
      <c r="D17" s="43"/>
      <c r="E17" s="43"/>
      <c r="F17" s="43"/>
      <c r="G17" s="43"/>
      <c r="H17" s="43"/>
      <c r="I17" s="41"/>
      <c r="J17" s="41"/>
    </row>
    <row r="18" spans="1:10" ht="15.6" x14ac:dyDescent="0.3">
      <c r="A18" s="43"/>
      <c r="B18" s="43"/>
      <c r="C18" s="43"/>
      <c r="D18" s="43"/>
      <c r="E18" s="43"/>
      <c r="F18" s="43"/>
      <c r="G18" s="43"/>
      <c r="H18" s="43"/>
      <c r="I18" s="41"/>
      <c r="J18" s="41"/>
    </row>
    <row r="19" spans="1:10" ht="15.6" x14ac:dyDescent="0.3">
      <c r="A19" s="43"/>
      <c r="B19" s="44"/>
      <c r="C19" s="44"/>
      <c r="D19" s="44"/>
      <c r="E19" s="45"/>
      <c r="F19" s="45"/>
      <c r="G19" s="45"/>
      <c r="H19" s="43"/>
      <c r="I19" s="41"/>
      <c r="J19" s="41"/>
    </row>
    <row r="20" spans="1:10" ht="15.6" x14ac:dyDescent="0.3">
      <c r="A20" s="46" t="s">
        <v>37</v>
      </c>
      <c r="B20" s="43"/>
      <c r="C20" s="43"/>
      <c r="D20" s="43"/>
      <c r="E20" s="43"/>
      <c r="F20" s="43"/>
      <c r="G20" s="43"/>
      <c r="H20" s="43"/>
      <c r="I20" s="41"/>
      <c r="J20" s="41"/>
    </row>
    <row r="21" spans="1:10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</row>
    <row r="22" spans="1:10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graphdata</vt:lpstr>
      <vt:lpstr>Graph</vt:lpstr>
      <vt:lpstr>River Analysis</vt:lpstr>
    </vt:vector>
  </TitlesOfParts>
  <Company>North Dakota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UGPTI Staff</dc:creator>
  <cp:lastModifiedBy>April</cp:lastModifiedBy>
  <cp:lastPrinted>2008-01-28T19:03:44Z</cp:lastPrinted>
  <dcterms:created xsi:type="dcterms:W3CDTF">2003-11-06T18:35:18Z</dcterms:created>
  <dcterms:modified xsi:type="dcterms:W3CDTF">2013-05-13T18:41:59Z</dcterms:modified>
</cp:coreProperties>
</file>