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30" windowWidth="23445" windowHeight="12615" tabRatio="660"/>
  </bookViews>
  <sheets>
    <sheet name="School Budget (1)" sheetId="137" r:id="rId1"/>
    <sheet name="School Budget (2)" sheetId="138" r:id="rId2"/>
    <sheet name="School Budget (3)" sheetId="139" r:id="rId3"/>
    <sheet name="School Budget (4)" sheetId="140" r:id="rId4"/>
    <sheet name="School Budget (5)" sheetId="141" r:id="rId5"/>
    <sheet name="School Budget (6)" sheetId="142" r:id="rId6"/>
    <sheet name="School Budget (7)" sheetId="143" r:id="rId7"/>
    <sheet name="School Budget (8)" sheetId="144" r:id="rId8"/>
    <sheet name="School Budget (9)" sheetId="145" r:id="rId9"/>
    <sheet name="School Budget (10)" sheetId="69" r:id="rId10"/>
    <sheet name="School Budget (11)" sheetId="70" r:id="rId11"/>
    <sheet name="School Budget (12)" sheetId="71" r:id="rId12"/>
    <sheet name="School Budget (13)" sheetId="72" r:id="rId13"/>
    <sheet name="School Budget (14)" sheetId="146" r:id="rId14"/>
    <sheet name="School Budget (15)" sheetId="147" r:id="rId15"/>
    <sheet name="School Budget (16)" sheetId="148" r:id="rId16"/>
    <sheet name="School Budget (17)" sheetId="149" r:id="rId17"/>
    <sheet name="School Budget (18)" sheetId="150" r:id="rId18"/>
    <sheet name="School Budget (19)" sheetId="151" r:id="rId19"/>
    <sheet name="School Budget (20)" sheetId="152" r:id="rId20"/>
    <sheet name="School Budget (21)" sheetId="153" r:id="rId21"/>
    <sheet name="School Budget (22)" sheetId="154" r:id="rId22"/>
    <sheet name="School Budget (23)" sheetId="155" r:id="rId23"/>
    <sheet name="School Budget (24)" sheetId="156" r:id="rId24"/>
    <sheet name="School Budget (25)" sheetId="157" r:id="rId25"/>
    <sheet name="School Budget (26)" sheetId="158" r:id="rId26"/>
  </sheets>
  <calcPr calcId="145621"/>
</workbook>
</file>

<file path=xl/calcChain.xml><?xml version="1.0" encoding="utf-8"?>
<calcChain xmlns="http://schemas.openxmlformats.org/spreadsheetml/2006/main">
  <c r="C35" i="158" l="1"/>
  <c r="C34" i="158"/>
  <c r="D33" i="158"/>
  <c r="D32" i="158"/>
  <c r="D31" i="158"/>
  <c r="D30" i="158"/>
  <c r="D29" i="158"/>
  <c r="D28" i="158"/>
  <c r="D27" i="158"/>
  <c r="D26" i="158"/>
  <c r="D25" i="158"/>
  <c r="D34" i="158" s="1"/>
  <c r="C24" i="158"/>
  <c r="D23" i="158"/>
  <c r="D22" i="158"/>
  <c r="D21" i="158"/>
  <c r="D16" i="158"/>
  <c r="D17" i="158" s="1"/>
  <c r="C34" i="157"/>
  <c r="D33" i="157"/>
  <c r="D32" i="157"/>
  <c r="D31" i="157"/>
  <c r="D30" i="157"/>
  <c r="D29" i="157"/>
  <c r="D28" i="157"/>
  <c r="D27" i="157"/>
  <c r="D26" i="157"/>
  <c r="D25" i="157"/>
  <c r="C24" i="157"/>
  <c r="C35" i="157" s="1"/>
  <c r="D23" i="157"/>
  <c r="D22" i="157"/>
  <c r="D21" i="157"/>
  <c r="D17" i="157"/>
  <c r="D16" i="157"/>
  <c r="C34" i="156"/>
  <c r="D33" i="156"/>
  <c r="D32" i="156"/>
  <c r="D31" i="156"/>
  <c r="D30" i="156"/>
  <c r="D29" i="156"/>
  <c r="D28" i="156"/>
  <c r="D27" i="156"/>
  <c r="D26" i="156"/>
  <c r="D25" i="156"/>
  <c r="D24" i="156"/>
  <c r="C24" i="156"/>
  <c r="C35" i="156" s="1"/>
  <c r="D23" i="156"/>
  <c r="E22" i="156"/>
  <c r="G22" i="156" s="1"/>
  <c r="D22" i="156"/>
  <c r="D21" i="156"/>
  <c r="D16" i="156"/>
  <c r="D17" i="156" s="1"/>
  <c r="C34" i="155"/>
  <c r="D33" i="155"/>
  <c r="D32" i="155"/>
  <c r="D31" i="155"/>
  <c r="D30" i="155"/>
  <c r="D29" i="155"/>
  <c r="D28" i="155"/>
  <c r="D27" i="155"/>
  <c r="D26" i="155"/>
  <c r="D25" i="155"/>
  <c r="C24" i="155"/>
  <c r="C35" i="155" s="1"/>
  <c r="D23" i="155"/>
  <c r="D22" i="155"/>
  <c r="D21" i="155"/>
  <c r="D16" i="155"/>
  <c r="D17" i="155" s="1"/>
  <c r="C35" i="154"/>
  <c r="C34" i="154"/>
  <c r="D33" i="154"/>
  <c r="D32" i="154"/>
  <c r="D31" i="154"/>
  <c r="E31" i="154" s="1"/>
  <c r="D30" i="154"/>
  <c r="D29" i="154"/>
  <c r="D34" i="154" s="1"/>
  <c r="D28" i="154"/>
  <c r="D27" i="154"/>
  <c r="D26" i="154"/>
  <c r="D25" i="154"/>
  <c r="C24" i="154"/>
  <c r="D23" i="154"/>
  <c r="D22" i="154"/>
  <c r="D21" i="154"/>
  <c r="D16" i="154"/>
  <c r="D17" i="154" s="1"/>
  <c r="C34" i="153"/>
  <c r="D33" i="153"/>
  <c r="D32" i="153"/>
  <c r="D31" i="153"/>
  <c r="D30" i="153"/>
  <c r="D29" i="153"/>
  <c r="D28" i="153"/>
  <c r="D27" i="153"/>
  <c r="D26" i="153"/>
  <c r="D25" i="153"/>
  <c r="C24" i="153"/>
  <c r="D23" i="153"/>
  <c r="D22" i="153"/>
  <c r="E22" i="153" s="1"/>
  <c r="D21" i="153"/>
  <c r="D24" i="153" s="1"/>
  <c r="D17" i="153"/>
  <c r="D16" i="153"/>
  <c r="D34" i="152"/>
  <c r="E31" i="152" s="1"/>
  <c r="C34" i="152"/>
  <c r="D33" i="152"/>
  <c r="D32" i="152"/>
  <c r="D31" i="152"/>
  <c r="D30" i="152"/>
  <c r="D29" i="152"/>
  <c r="D28" i="152"/>
  <c r="D27" i="152"/>
  <c r="D26" i="152"/>
  <c r="E26" i="152" s="1"/>
  <c r="D25" i="152"/>
  <c r="D24" i="152"/>
  <c r="C24" i="152"/>
  <c r="D23" i="152"/>
  <c r="D22" i="152"/>
  <c r="D21" i="152"/>
  <c r="D17" i="152"/>
  <c r="D16" i="152"/>
  <c r="D34" i="151"/>
  <c r="E26" i="151" s="1"/>
  <c r="C34" i="151"/>
  <c r="D33" i="151"/>
  <c r="D32" i="151"/>
  <c r="D31" i="151"/>
  <c r="D30" i="151"/>
  <c r="D29" i="151"/>
  <c r="D28" i="151"/>
  <c r="D27" i="151"/>
  <c r="D26" i="151"/>
  <c r="D25" i="151"/>
  <c r="C24" i="151"/>
  <c r="C35" i="151" s="1"/>
  <c r="E23" i="151"/>
  <c r="D23" i="151"/>
  <c r="D22" i="151"/>
  <c r="D21" i="151"/>
  <c r="D24" i="151" s="1"/>
  <c r="D16" i="151"/>
  <c r="D17" i="151" s="1"/>
  <c r="C35" i="150"/>
  <c r="C34" i="150"/>
  <c r="D33" i="150"/>
  <c r="D32" i="150"/>
  <c r="D31" i="150"/>
  <c r="D30" i="150"/>
  <c r="D29" i="150"/>
  <c r="D28" i="150"/>
  <c r="D27" i="150"/>
  <c r="D26" i="150"/>
  <c r="D25" i="150"/>
  <c r="C24" i="150"/>
  <c r="D23" i="150"/>
  <c r="E23" i="150" s="1"/>
  <c r="G23" i="150" s="1"/>
  <c r="D22" i="150"/>
  <c r="E21" i="150"/>
  <c r="D21" i="150"/>
  <c r="D24" i="150" s="1"/>
  <c r="D16" i="150"/>
  <c r="D17" i="150" s="1"/>
  <c r="C34" i="149"/>
  <c r="C35" i="149" s="1"/>
  <c r="D33" i="149"/>
  <c r="D32" i="149"/>
  <c r="D31" i="149"/>
  <c r="D30" i="149"/>
  <c r="D29" i="149"/>
  <c r="D28" i="149"/>
  <c r="D27" i="149"/>
  <c r="D26" i="149"/>
  <c r="D25" i="149"/>
  <c r="D24" i="149"/>
  <c r="C24" i="149"/>
  <c r="D23" i="149"/>
  <c r="E22" i="149"/>
  <c r="D22" i="149"/>
  <c r="D21" i="149"/>
  <c r="D17" i="149"/>
  <c r="D16" i="149"/>
  <c r="D34" i="148"/>
  <c r="E29" i="148" s="1"/>
  <c r="C34" i="148"/>
  <c r="D33" i="148"/>
  <c r="D32" i="148"/>
  <c r="E32" i="148" s="1"/>
  <c r="D31" i="148"/>
  <c r="D30" i="148"/>
  <c r="D29" i="148"/>
  <c r="D28" i="148"/>
  <c r="D27" i="148"/>
  <c r="E26" i="148"/>
  <c r="G26" i="148" s="1"/>
  <c r="D26" i="148"/>
  <c r="D25" i="148"/>
  <c r="D24" i="148"/>
  <c r="C24" i="148"/>
  <c r="C35" i="148" s="1"/>
  <c r="D23" i="148"/>
  <c r="D22" i="148"/>
  <c r="D21" i="148"/>
  <c r="D16" i="148"/>
  <c r="D17" i="148" s="1"/>
  <c r="C34" i="147"/>
  <c r="D33" i="147"/>
  <c r="D32" i="147"/>
  <c r="D31" i="147"/>
  <c r="D30" i="147"/>
  <c r="D29" i="147"/>
  <c r="D28" i="147"/>
  <c r="D27" i="147"/>
  <c r="D26" i="147"/>
  <c r="D25" i="147"/>
  <c r="E24" i="147"/>
  <c r="E35" i="147" s="1"/>
  <c r="C24" i="147"/>
  <c r="C35" i="147" s="1"/>
  <c r="D23" i="147"/>
  <c r="E23" i="147" s="1"/>
  <c r="D22" i="147"/>
  <c r="E21" i="147"/>
  <c r="D21" i="147"/>
  <c r="D24" i="147" s="1"/>
  <c r="D17" i="147"/>
  <c r="D16" i="147"/>
  <c r="C34" i="146"/>
  <c r="D33" i="146"/>
  <c r="D32" i="146"/>
  <c r="D31" i="146"/>
  <c r="D30" i="146"/>
  <c r="D29" i="146"/>
  <c r="D28" i="146"/>
  <c r="D27" i="146"/>
  <c r="D26" i="146"/>
  <c r="D25" i="146"/>
  <c r="C24" i="146"/>
  <c r="C35" i="146" s="1"/>
  <c r="D23" i="146"/>
  <c r="D22" i="146"/>
  <c r="D21" i="146"/>
  <c r="D17" i="146"/>
  <c r="D16" i="146"/>
  <c r="C35" i="145"/>
  <c r="C34" i="145"/>
  <c r="D33" i="145"/>
  <c r="D32" i="145"/>
  <c r="D31" i="145"/>
  <c r="D30" i="145"/>
  <c r="D29" i="145"/>
  <c r="D28" i="145"/>
  <c r="D27" i="145"/>
  <c r="D26" i="145"/>
  <c r="D25" i="145"/>
  <c r="D24" i="145"/>
  <c r="E23" i="145" s="1"/>
  <c r="C24" i="145"/>
  <c r="D23" i="145"/>
  <c r="D22" i="145"/>
  <c r="D21" i="145"/>
  <c r="D16" i="145"/>
  <c r="D17" i="145" s="1"/>
  <c r="C34" i="144"/>
  <c r="E33" i="144"/>
  <c r="D33" i="144"/>
  <c r="D32" i="144"/>
  <c r="E32" i="144" s="1"/>
  <c r="G32" i="144" s="1"/>
  <c r="G31" i="144"/>
  <c r="F31" i="144"/>
  <c r="E31" i="144"/>
  <c r="D31" i="144"/>
  <c r="D30" i="144"/>
  <c r="E29" i="144"/>
  <c r="D29" i="144"/>
  <c r="D28" i="144"/>
  <c r="E28" i="144" s="1"/>
  <c r="G28" i="144" s="1"/>
  <c r="G27" i="144"/>
  <c r="E27" i="144"/>
  <c r="F27" i="144" s="1"/>
  <c r="D27" i="144"/>
  <c r="D26" i="144"/>
  <c r="E26" i="144" s="1"/>
  <c r="G26" i="144" s="1"/>
  <c r="E25" i="144"/>
  <c r="D25" i="144"/>
  <c r="D34" i="144" s="1"/>
  <c r="C24" i="144"/>
  <c r="C35" i="144" s="1"/>
  <c r="D23" i="144"/>
  <c r="D22" i="144"/>
  <c r="D21" i="144"/>
  <c r="D17" i="144"/>
  <c r="D16" i="144"/>
  <c r="C34" i="143"/>
  <c r="D33" i="143"/>
  <c r="D32" i="143"/>
  <c r="D31" i="143"/>
  <c r="D30" i="143"/>
  <c r="D29" i="143"/>
  <c r="D28" i="143"/>
  <c r="D27" i="143"/>
  <c r="D26" i="143"/>
  <c r="D25" i="143"/>
  <c r="D24" i="143"/>
  <c r="C24" i="143"/>
  <c r="D23" i="143"/>
  <c r="D22" i="143"/>
  <c r="D21" i="143"/>
  <c r="D16" i="143"/>
  <c r="D17" i="143" s="1"/>
  <c r="D34" i="142"/>
  <c r="E28" i="142" s="1"/>
  <c r="G28" i="142" s="1"/>
  <c r="C34" i="142"/>
  <c r="D33" i="142"/>
  <c r="E32" i="142"/>
  <c r="G32" i="142" s="1"/>
  <c r="D32" i="142"/>
  <c r="D31" i="142"/>
  <c r="E31" i="142" s="1"/>
  <c r="E30" i="142"/>
  <c r="G30" i="142" s="1"/>
  <c r="D30" i="142"/>
  <c r="D29" i="142"/>
  <c r="D28" i="142"/>
  <c r="D27" i="142"/>
  <c r="E27" i="142" s="1"/>
  <c r="G26" i="142"/>
  <c r="E26" i="142"/>
  <c r="F26" i="142" s="1"/>
  <c r="D26" i="142"/>
  <c r="D25" i="142"/>
  <c r="C24" i="142"/>
  <c r="C35" i="142" s="1"/>
  <c r="D23" i="142"/>
  <c r="D22" i="142"/>
  <c r="D21" i="142"/>
  <c r="D16" i="142"/>
  <c r="D17" i="142" s="1"/>
  <c r="C35" i="141"/>
  <c r="C34" i="141"/>
  <c r="D33" i="141"/>
  <c r="E33" i="141" s="1"/>
  <c r="G33" i="141" s="1"/>
  <c r="D32" i="141"/>
  <c r="E32" i="141" s="1"/>
  <c r="D31" i="141"/>
  <c r="D30" i="141"/>
  <c r="E29" i="141"/>
  <c r="G29" i="141" s="1"/>
  <c r="D29" i="141"/>
  <c r="E28" i="141"/>
  <c r="D28" i="141"/>
  <c r="D27" i="141"/>
  <c r="D26" i="141"/>
  <c r="D34" i="141" s="1"/>
  <c r="D25" i="141"/>
  <c r="E25" i="141" s="1"/>
  <c r="D24" i="141"/>
  <c r="D35" i="141" s="1"/>
  <c r="C24" i="141"/>
  <c r="D23" i="141"/>
  <c r="D22" i="141"/>
  <c r="D21" i="141"/>
  <c r="D16" i="141"/>
  <c r="D17" i="141" s="1"/>
  <c r="C35" i="140"/>
  <c r="C34" i="140"/>
  <c r="D33" i="140"/>
  <c r="D32" i="140"/>
  <c r="D31" i="140"/>
  <c r="D30" i="140"/>
  <c r="D29" i="140"/>
  <c r="D28" i="140"/>
  <c r="D27" i="140"/>
  <c r="D26" i="140"/>
  <c r="D25" i="140"/>
  <c r="C24" i="140"/>
  <c r="D23" i="140"/>
  <c r="D22" i="140"/>
  <c r="D21" i="140"/>
  <c r="D17" i="140"/>
  <c r="D16" i="140"/>
  <c r="C35" i="139"/>
  <c r="C34" i="139"/>
  <c r="D33" i="139"/>
  <c r="D32" i="139"/>
  <c r="D31" i="139"/>
  <c r="D30" i="139"/>
  <c r="D29" i="139"/>
  <c r="D28" i="139"/>
  <c r="D27" i="139"/>
  <c r="D26" i="139"/>
  <c r="D25" i="139"/>
  <c r="D24" i="139"/>
  <c r="C24" i="139"/>
  <c r="E23" i="139"/>
  <c r="D23" i="139"/>
  <c r="D22" i="139"/>
  <c r="D21" i="139"/>
  <c r="D16" i="139"/>
  <c r="D17" i="139" s="1"/>
  <c r="C34" i="138"/>
  <c r="D33" i="138"/>
  <c r="D32" i="138"/>
  <c r="D31" i="138"/>
  <c r="D30" i="138"/>
  <c r="D29" i="138"/>
  <c r="D28" i="138"/>
  <c r="D27" i="138"/>
  <c r="D26" i="138"/>
  <c r="D25" i="138"/>
  <c r="C24" i="138"/>
  <c r="C35" i="138" s="1"/>
  <c r="D23" i="138"/>
  <c r="D22" i="138"/>
  <c r="D21" i="138"/>
  <c r="D17" i="138"/>
  <c r="D16" i="138"/>
  <c r="C34" i="137"/>
  <c r="C35" i="137" s="1"/>
  <c r="D33" i="137"/>
  <c r="D32" i="137"/>
  <c r="D31" i="137"/>
  <c r="D30" i="137"/>
  <c r="D29" i="137"/>
  <c r="D28" i="137"/>
  <c r="D27" i="137"/>
  <c r="D26" i="137"/>
  <c r="D25" i="137"/>
  <c r="D24" i="137"/>
  <c r="E22" i="137" s="1"/>
  <c r="C24" i="137"/>
  <c r="D23" i="137"/>
  <c r="E23" i="137" s="1"/>
  <c r="D22" i="137"/>
  <c r="D21" i="137"/>
  <c r="E21" i="137" s="1"/>
  <c r="D16" i="137"/>
  <c r="D17" i="137" s="1"/>
  <c r="C34" i="72"/>
  <c r="C35" i="72" s="1"/>
  <c r="D33" i="72"/>
  <c r="D32" i="72"/>
  <c r="D31" i="72"/>
  <c r="D30" i="72"/>
  <c r="D29" i="72"/>
  <c r="D28" i="72"/>
  <c r="D27" i="72"/>
  <c r="D26" i="72"/>
  <c r="D25" i="72"/>
  <c r="C24" i="72"/>
  <c r="D23" i="72"/>
  <c r="D22" i="72"/>
  <c r="D21" i="72"/>
  <c r="D24" i="72" s="1"/>
  <c r="D16" i="72"/>
  <c r="D17" i="72" s="1"/>
  <c r="C34" i="71"/>
  <c r="C35" i="71" s="1"/>
  <c r="D33" i="71"/>
  <c r="D32" i="71"/>
  <c r="D31" i="71"/>
  <c r="D30" i="71"/>
  <c r="D29" i="71"/>
  <c r="D28" i="71"/>
  <c r="D27" i="71"/>
  <c r="D26" i="71"/>
  <c r="D25" i="71"/>
  <c r="C24" i="71"/>
  <c r="D23" i="71"/>
  <c r="D22" i="71"/>
  <c r="D21" i="71"/>
  <c r="D24" i="71" s="1"/>
  <c r="D17" i="71"/>
  <c r="D16" i="71"/>
  <c r="C35" i="70"/>
  <c r="C34" i="70"/>
  <c r="D33" i="70"/>
  <c r="D32" i="70"/>
  <c r="D31" i="70"/>
  <c r="D30" i="70"/>
  <c r="D29" i="70"/>
  <c r="D28" i="70"/>
  <c r="D27" i="70"/>
  <c r="D26" i="70"/>
  <c r="D25" i="70"/>
  <c r="C24" i="70"/>
  <c r="D23" i="70"/>
  <c r="D22" i="70"/>
  <c r="D24" i="70" s="1"/>
  <c r="D21" i="70"/>
  <c r="D17" i="70"/>
  <c r="D16" i="70"/>
  <c r="C34" i="69"/>
  <c r="D33" i="69"/>
  <c r="D32" i="69"/>
  <c r="D31" i="69"/>
  <c r="D30" i="69"/>
  <c r="D29" i="69"/>
  <c r="D28" i="69"/>
  <c r="D27" i="69"/>
  <c r="D26" i="69"/>
  <c r="D25" i="69"/>
  <c r="C24" i="69"/>
  <c r="E23" i="69"/>
  <c r="G23" i="69" s="1"/>
  <c r="D23" i="69"/>
  <c r="D22" i="69"/>
  <c r="E21" i="69"/>
  <c r="D21" i="69"/>
  <c r="D24" i="69" s="1"/>
  <c r="D16" i="69"/>
  <c r="D17" i="69" s="1"/>
  <c r="G31" i="154" l="1"/>
  <c r="F31" i="154" s="1"/>
  <c r="F31" i="152"/>
  <c r="G31" i="152"/>
  <c r="G32" i="148"/>
  <c r="F32" i="148"/>
  <c r="G29" i="148"/>
  <c r="F29" i="148" s="1"/>
  <c r="G26" i="152"/>
  <c r="F26" i="152"/>
  <c r="F21" i="150"/>
  <c r="F24" i="150" s="1"/>
  <c r="F35" i="150" s="1"/>
  <c r="G26" i="151"/>
  <c r="F26" i="151"/>
  <c r="E30" i="158"/>
  <c r="E32" i="158"/>
  <c r="E26" i="158"/>
  <c r="E28" i="148"/>
  <c r="G23" i="151"/>
  <c r="F23" i="151"/>
  <c r="G23" i="147"/>
  <c r="F23" i="147" s="1"/>
  <c r="F26" i="148"/>
  <c r="E29" i="151"/>
  <c r="C35" i="152"/>
  <c r="E31" i="155"/>
  <c r="E31" i="158"/>
  <c r="E21" i="158"/>
  <c r="D24" i="154"/>
  <c r="E21" i="154"/>
  <c r="D34" i="156"/>
  <c r="E26" i="156"/>
  <c r="E27" i="158"/>
  <c r="D35" i="147"/>
  <c r="E21" i="148"/>
  <c r="F23" i="150"/>
  <c r="D35" i="151"/>
  <c r="D35" i="153"/>
  <c r="E26" i="153"/>
  <c r="E32" i="156"/>
  <c r="E22" i="157"/>
  <c r="E33" i="158"/>
  <c r="E24" i="150"/>
  <c r="E35" i="150" s="1"/>
  <c r="G21" i="150"/>
  <c r="G24" i="150" s="1"/>
  <c r="G35" i="150" s="1"/>
  <c r="E23" i="148"/>
  <c r="D35" i="148"/>
  <c r="E31" i="148"/>
  <c r="E27" i="148"/>
  <c r="D34" i="150"/>
  <c r="E28" i="151"/>
  <c r="E30" i="151"/>
  <c r="E32" i="151"/>
  <c r="E33" i="152"/>
  <c r="E25" i="152"/>
  <c r="E30" i="152"/>
  <c r="E27" i="152"/>
  <c r="E29" i="152"/>
  <c r="E33" i="154"/>
  <c r="E27" i="154"/>
  <c r="E30" i="154"/>
  <c r="E32" i="154"/>
  <c r="E26" i="154"/>
  <c r="E25" i="158"/>
  <c r="G22" i="149"/>
  <c r="F22" i="149" s="1"/>
  <c r="C35" i="153"/>
  <c r="E25" i="154"/>
  <c r="E30" i="156"/>
  <c r="D24" i="146"/>
  <c r="G21" i="147"/>
  <c r="G24" i="147" s="1"/>
  <c r="G35" i="147" s="1"/>
  <c r="E25" i="148"/>
  <c r="E33" i="148"/>
  <c r="E32" i="149"/>
  <c r="E33" i="150"/>
  <c r="E32" i="152"/>
  <c r="G22" i="153"/>
  <c r="F22" i="153" s="1"/>
  <c r="E28" i="158"/>
  <c r="E21" i="146"/>
  <c r="D34" i="146"/>
  <c r="E28" i="146" s="1"/>
  <c r="E22" i="148"/>
  <c r="E30" i="148"/>
  <c r="E21" i="149"/>
  <c r="E22" i="150"/>
  <c r="E28" i="152"/>
  <c r="E28" i="154"/>
  <c r="D34" i="155"/>
  <c r="E29" i="158"/>
  <c r="E23" i="152"/>
  <c r="E21" i="152"/>
  <c r="D35" i="152"/>
  <c r="E29" i="155"/>
  <c r="E22" i="147"/>
  <c r="E21" i="151"/>
  <c r="E27" i="151"/>
  <c r="E29" i="154"/>
  <c r="D24" i="155"/>
  <c r="D35" i="155" s="1"/>
  <c r="E23" i="156"/>
  <c r="E21" i="156"/>
  <c r="D35" i="156"/>
  <c r="E21" i="157"/>
  <c r="E21" i="153"/>
  <c r="D24" i="158"/>
  <c r="E25" i="147"/>
  <c r="E33" i="147"/>
  <c r="D34" i="149"/>
  <c r="E30" i="149"/>
  <c r="E22" i="151"/>
  <c r="E22" i="152"/>
  <c r="E27" i="155"/>
  <c r="D24" i="157"/>
  <c r="E23" i="157" s="1"/>
  <c r="E25" i="151"/>
  <c r="E30" i="153"/>
  <c r="E22" i="155"/>
  <c r="E23" i="149"/>
  <c r="E25" i="155"/>
  <c r="E33" i="155"/>
  <c r="F22" i="156"/>
  <c r="D34" i="157"/>
  <c r="E30" i="157"/>
  <c r="E33" i="151"/>
  <c r="D34" i="153"/>
  <c r="D34" i="147"/>
  <c r="E31" i="151"/>
  <c r="E23" i="153"/>
  <c r="E28" i="153"/>
  <c r="E24" i="137"/>
  <c r="E35" i="137" s="1"/>
  <c r="G21" i="137"/>
  <c r="G24" i="137" s="1"/>
  <c r="G35" i="137" s="1"/>
  <c r="F21" i="137"/>
  <c r="F24" i="137" s="1"/>
  <c r="F35" i="137" s="1"/>
  <c r="G23" i="137"/>
  <c r="F23" i="137"/>
  <c r="E28" i="139"/>
  <c r="E23" i="138"/>
  <c r="G32" i="141"/>
  <c r="F32" i="141" s="1"/>
  <c r="G23" i="145"/>
  <c r="F23" i="145"/>
  <c r="E28" i="143"/>
  <c r="G23" i="139"/>
  <c r="F23" i="139"/>
  <c r="F29" i="141"/>
  <c r="E23" i="142"/>
  <c r="G27" i="142"/>
  <c r="F27" i="142"/>
  <c r="D35" i="143"/>
  <c r="E21" i="143"/>
  <c r="E23" i="143"/>
  <c r="E21" i="145"/>
  <c r="E21" i="139"/>
  <c r="E22" i="141"/>
  <c r="E30" i="141"/>
  <c r="G25" i="144"/>
  <c r="G34" i="144" s="1"/>
  <c r="F25" i="144"/>
  <c r="F34" i="144" s="1"/>
  <c r="G29" i="144"/>
  <c r="F29" i="144"/>
  <c r="E31" i="145"/>
  <c r="D34" i="139"/>
  <c r="E23" i="141"/>
  <c r="E31" i="141"/>
  <c r="F28" i="142"/>
  <c r="F32" i="142"/>
  <c r="E32" i="143"/>
  <c r="G33" i="144"/>
  <c r="F33" i="144"/>
  <c r="E32" i="145"/>
  <c r="E25" i="139"/>
  <c r="D24" i="140"/>
  <c r="D35" i="140" s="1"/>
  <c r="E27" i="141"/>
  <c r="D34" i="143"/>
  <c r="E30" i="143" s="1"/>
  <c r="E26" i="143"/>
  <c r="E22" i="144"/>
  <c r="F26" i="144"/>
  <c r="E27" i="145"/>
  <c r="D34" i="138"/>
  <c r="E33" i="138" s="1"/>
  <c r="E22" i="139"/>
  <c r="E22" i="143"/>
  <c r="E34" i="144"/>
  <c r="E33" i="145"/>
  <c r="G22" i="137"/>
  <c r="F22" i="137"/>
  <c r="D34" i="137"/>
  <c r="E30" i="137" s="1"/>
  <c r="F33" i="141"/>
  <c r="E22" i="145"/>
  <c r="G28" i="141"/>
  <c r="F28" i="141" s="1"/>
  <c r="E21" i="142"/>
  <c r="D24" i="142"/>
  <c r="D35" i="142" s="1"/>
  <c r="E30" i="140"/>
  <c r="E21" i="141"/>
  <c r="G25" i="141"/>
  <c r="G34" i="141" s="1"/>
  <c r="E34" i="141"/>
  <c r="G31" i="142"/>
  <c r="F31" i="142"/>
  <c r="D34" i="140"/>
  <c r="E22" i="142"/>
  <c r="D24" i="144"/>
  <c r="D35" i="144" s="1"/>
  <c r="D34" i="145"/>
  <c r="D35" i="145" s="1"/>
  <c r="D24" i="138"/>
  <c r="E25" i="142"/>
  <c r="F30" i="142"/>
  <c r="E33" i="142"/>
  <c r="E31" i="143"/>
  <c r="F32" i="144"/>
  <c r="E25" i="145"/>
  <c r="E21" i="138"/>
  <c r="E32" i="140"/>
  <c r="C35" i="143"/>
  <c r="E30" i="144"/>
  <c r="E30" i="145"/>
  <c r="E28" i="140"/>
  <c r="E27" i="138"/>
  <c r="E26" i="140"/>
  <c r="E26" i="141"/>
  <c r="E29" i="142"/>
  <c r="E25" i="143"/>
  <c r="E29" i="143"/>
  <c r="E33" i="143"/>
  <c r="E23" i="144"/>
  <c r="F28" i="144"/>
  <c r="E23" i="70"/>
  <c r="E21" i="70"/>
  <c r="D35" i="70"/>
  <c r="F23" i="69"/>
  <c r="E22" i="70"/>
  <c r="D35" i="71"/>
  <c r="E22" i="71"/>
  <c r="E33" i="70"/>
  <c r="E23" i="72"/>
  <c r="D35" i="72"/>
  <c r="E22" i="69"/>
  <c r="E23" i="71"/>
  <c r="E28" i="71"/>
  <c r="E22" i="72"/>
  <c r="E21" i="71"/>
  <c r="E31" i="71"/>
  <c r="E30" i="72"/>
  <c r="F21" i="69"/>
  <c r="F24" i="69" s="1"/>
  <c r="F35" i="69" s="1"/>
  <c r="E24" i="69"/>
  <c r="E35" i="69" s="1"/>
  <c r="G21" i="69"/>
  <c r="G24" i="69" s="1"/>
  <c r="G35" i="69" s="1"/>
  <c r="D34" i="69"/>
  <c r="E25" i="69" s="1"/>
  <c r="E31" i="70"/>
  <c r="C35" i="69"/>
  <c r="D34" i="70"/>
  <c r="E27" i="70" s="1"/>
  <c r="E25" i="70"/>
  <c r="E33" i="72"/>
  <c r="E32" i="71"/>
  <c r="E21" i="72"/>
  <c r="E31" i="72"/>
  <c r="E29" i="69"/>
  <c r="E26" i="70"/>
  <c r="E26" i="71"/>
  <c r="E30" i="71"/>
  <c r="D34" i="72"/>
  <c r="D34" i="71"/>
  <c r="G23" i="157" l="1"/>
  <c r="F23" i="157" s="1"/>
  <c r="F28" i="146"/>
  <c r="G28" i="146"/>
  <c r="E24" i="157"/>
  <c r="E35" i="157" s="1"/>
  <c r="G21" i="157"/>
  <c r="G24" i="157" s="1"/>
  <c r="G35" i="157" s="1"/>
  <c r="F21" i="157"/>
  <c r="F24" i="157" s="1"/>
  <c r="F35" i="157" s="1"/>
  <c r="G33" i="150"/>
  <c r="F33" i="150"/>
  <c r="E28" i="150"/>
  <c r="E30" i="150"/>
  <c r="E32" i="150"/>
  <c r="E31" i="150"/>
  <c r="E29" i="150"/>
  <c r="E26" i="150"/>
  <c r="E33" i="157"/>
  <c r="E25" i="157"/>
  <c r="E27" i="157"/>
  <c r="E29" i="157"/>
  <c r="E31" i="157"/>
  <c r="G22" i="147"/>
  <c r="F22" i="147" s="1"/>
  <c r="D35" i="146"/>
  <c r="G27" i="158"/>
  <c r="F27" i="158"/>
  <c r="E29" i="146"/>
  <c r="F25" i="151"/>
  <c r="F34" i="151" s="1"/>
  <c r="G25" i="151"/>
  <c r="G34" i="151" s="1"/>
  <c r="E34" i="151"/>
  <c r="G29" i="155"/>
  <c r="F29" i="155" s="1"/>
  <c r="G32" i="154"/>
  <c r="F32" i="154" s="1"/>
  <c r="G26" i="153"/>
  <c r="F26" i="153" s="1"/>
  <c r="G23" i="156"/>
  <c r="F23" i="156"/>
  <c r="G33" i="148"/>
  <c r="F33" i="148" s="1"/>
  <c r="G31" i="155"/>
  <c r="F31" i="155" s="1"/>
  <c r="G25" i="155"/>
  <c r="G34" i="155" s="1"/>
  <c r="E34" i="155"/>
  <c r="E24" i="149"/>
  <c r="E35" i="149" s="1"/>
  <c r="G21" i="149"/>
  <c r="G24" i="149" s="1"/>
  <c r="G35" i="149" s="1"/>
  <c r="F21" i="149"/>
  <c r="F24" i="149" s="1"/>
  <c r="F35" i="149" s="1"/>
  <c r="E26" i="146"/>
  <c r="E25" i="150"/>
  <c r="E23" i="146"/>
  <c r="E22" i="146"/>
  <c r="G22" i="155"/>
  <c r="F22" i="155"/>
  <c r="G28" i="154"/>
  <c r="F28" i="154" s="1"/>
  <c r="G30" i="152"/>
  <c r="F30" i="152"/>
  <c r="G30" i="158"/>
  <c r="F30" i="158" s="1"/>
  <c r="G30" i="153"/>
  <c r="F30" i="153" s="1"/>
  <c r="E24" i="146"/>
  <c r="E35" i="146" s="1"/>
  <c r="G21" i="146"/>
  <c r="G24" i="146" s="1"/>
  <c r="G35" i="146" s="1"/>
  <c r="F21" i="146"/>
  <c r="F24" i="146" s="1"/>
  <c r="F35" i="146" s="1"/>
  <c r="F25" i="152"/>
  <c r="F34" i="152" s="1"/>
  <c r="G25" i="152"/>
  <c r="G34" i="152" s="1"/>
  <c r="E34" i="152"/>
  <c r="G32" i="156"/>
  <c r="F32" i="156"/>
  <c r="E31" i="149"/>
  <c r="E27" i="149"/>
  <c r="E29" i="149"/>
  <c r="E33" i="149"/>
  <c r="E25" i="149"/>
  <c r="D35" i="150"/>
  <c r="D35" i="149"/>
  <c r="G31" i="148"/>
  <c r="F31" i="148" s="1"/>
  <c r="G31" i="158"/>
  <c r="F31" i="158"/>
  <c r="F33" i="155"/>
  <c r="G33" i="155"/>
  <c r="E32" i="157"/>
  <c r="E28" i="157"/>
  <c r="G30" i="154"/>
  <c r="F30" i="154" s="1"/>
  <c r="G31" i="151"/>
  <c r="F31" i="151" s="1"/>
  <c r="F25" i="147"/>
  <c r="F34" i="147" s="1"/>
  <c r="G25" i="147"/>
  <c r="G34" i="147" s="1"/>
  <c r="E34" i="147"/>
  <c r="G21" i="152"/>
  <c r="G24" i="152" s="1"/>
  <c r="G35" i="152" s="1"/>
  <c r="F21" i="152"/>
  <c r="F24" i="152" s="1"/>
  <c r="F35" i="152" s="1"/>
  <c r="E24" i="152"/>
  <c r="E35" i="152" s="1"/>
  <c r="G25" i="148"/>
  <c r="G34" i="148" s="1"/>
  <c r="E34" i="148"/>
  <c r="G27" i="154"/>
  <c r="F27" i="154"/>
  <c r="G23" i="148"/>
  <c r="F23" i="148"/>
  <c r="E24" i="154"/>
  <c r="E35" i="154" s="1"/>
  <c r="G21" i="154"/>
  <c r="G24" i="154" s="1"/>
  <c r="G35" i="154" s="1"/>
  <c r="F21" i="154"/>
  <c r="F24" i="154" s="1"/>
  <c r="F35" i="154" s="1"/>
  <c r="E26" i="147"/>
  <c r="E30" i="147"/>
  <c r="E32" i="147"/>
  <c r="E28" i="147"/>
  <c r="E28" i="149"/>
  <c r="G27" i="155"/>
  <c r="F27" i="155" s="1"/>
  <c r="E22" i="158"/>
  <c r="D35" i="158"/>
  <c r="E23" i="158"/>
  <c r="G29" i="154"/>
  <c r="F29" i="154" s="1"/>
  <c r="G23" i="152"/>
  <c r="F23" i="152"/>
  <c r="G30" i="148"/>
  <c r="F30" i="148"/>
  <c r="F21" i="147"/>
  <c r="F24" i="147" s="1"/>
  <c r="F35" i="147" s="1"/>
  <c r="G33" i="154"/>
  <c r="F33" i="154"/>
  <c r="G32" i="151"/>
  <c r="F32" i="151"/>
  <c r="E22" i="154"/>
  <c r="D35" i="154"/>
  <c r="E23" i="154"/>
  <c r="F29" i="151"/>
  <c r="G29" i="151"/>
  <c r="G28" i="148"/>
  <c r="F28" i="148" s="1"/>
  <c r="E23" i="155"/>
  <c r="G21" i="151"/>
  <c r="G24" i="151" s="1"/>
  <c r="G35" i="151" s="1"/>
  <c r="F21" i="151"/>
  <c r="F24" i="151" s="1"/>
  <c r="F35" i="151" s="1"/>
  <c r="E24" i="151"/>
  <c r="E35" i="151" s="1"/>
  <c r="F30" i="157"/>
  <c r="G30" i="157"/>
  <c r="F22" i="151"/>
  <c r="G22" i="151"/>
  <c r="E32" i="146"/>
  <c r="E30" i="146"/>
  <c r="G25" i="158"/>
  <c r="G34" i="158" s="1"/>
  <c r="E34" i="158"/>
  <c r="F25" i="158"/>
  <c r="F34" i="158" s="1"/>
  <c r="G22" i="157"/>
  <c r="F22" i="157"/>
  <c r="E24" i="158"/>
  <c r="E35" i="158" s="1"/>
  <c r="G21" i="158"/>
  <c r="G24" i="158" s="1"/>
  <c r="G35" i="158" s="1"/>
  <c r="F21" i="158"/>
  <c r="F24" i="158" s="1"/>
  <c r="F35" i="158" s="1"/>
  <c r="G30" i="149"/>
  <c r="F30" i="149" s="1"/>
  <c r="G28" i="152"/>
  <c r="F28" i="152" s="1"/>
  <c r="F32" i="149"/>
  <c r="G32" i="149"/>
  <c r="G26" i="154"/>
  <c r="F26" i="154" s="1"/>
  <c r="G27" i="148"/>
  <c r="F27" i="148" s="1"/>
  <c r="E33" i="146"/>
  <c r="G28" i="153"/>
  <c r="F28" i="153" s="1"/>
  <c r="G21" i="156"/>
  <c r="G24" i="156" s="1"/>
  <c r="G35" i="156" s="1"/>
  <c r="E24" i="156"/>
  <c r="E35" i="156" s="1"/>
  <c r="F21" i="156"/>
  <c r="F24" i="156" s="1"/>
  <c r="F35" i="156" s="1"/>
  <c r="G28" i="158"/>
  <c r="F28" i="158" s="1"/>
  <c r="G30" i="156"/>
  <c r="F30" i="156" s="1"/>
  <c r="F33" i="152"/>
  <c r="G33" i="152"/>
  <c r="G26" i="156"/>
  <c r="F26" i="156"/>
  <c r="G23" i="153"/>
  <c r="F23" i="153"/>
  <c r="F33" i="147"/>
  <c r="G33" i="147"/>
  <c r="G22" i="150"/>
  <c r="F22" i="150" s="1"/>
  <c r="G25" i="154"/>
  <c r="G34" i="154" s="1"/>
  <c r="E34" i="154"/>
  <c r="F25" i="154"/>
  <c r="F34" i="154" s="1"/>
  <c r="E26" i="149"/>
  <c r="E33" i="156"/>
  <c r="E25" i="156"/>
  <c r="E27" i="156"/>
  <c r="E29" i="156"/>
  <c r="E28" i="156"/>
  <c r="E31" i="156"/>
  <c r="D35" i="157"/>
  <c r="E33" i="153"/>
  <c r="E25" i="153"/>
  <c r="E27" i="153"/>
  <c r="E29" i="153"/>
  <c r="E31" i="153"/>
  <c r="G23" i="149"/>
  <c r="F23" i="149" s="1"/>
  <c r="E21" i="155"/>
  <c r="E26" i="157"/>
  <c r="E32" i="153"/>
  <c r="G29" i="158"/>
  <c r="F29" i="158"/>
  <c r="G22" i="148"/>
  <c r="F22" i="148" s="1"/>
  <c r="G29" i="152"/>
  <c r="F29" i="152" s="1"/>
  <c r="G30" i="151"/>
  <c r="F30" i="151"/>
  <c r="G21" i="148"/>
  <c r="G24" i="148" s="1"/>
  <c r="G35" i="148" s="1"/>
  <c r="F21" i="148"/>
  <c r="F24" i="148" s="1"/>
  <c r="F35" i="148" s="1"/>
  <c r="E24" i="148"/>
  <c r="E35" i="148" s="1"/>
  <c r="E27" i="150"/>
  <c r="G26" i="158"/>
  <c r="F26" i="158" s="1"/>
  <c r="G33" i="151"/>
  <c r="F33" i="151" s="1"/>
  <c r="E31" i="147"/>
  <c r="F22" i="152"/>
  <c r="G22" i="152"/>
  <c r="E24" i="153"/>
  <c r="E35" i="153" s="1"/>
  <c r="G21" i="153"/>
  <c r="G24" i="153" s="1"/>
  <c r="G35" i="153" s="1"/>
  <c r="F21" i="153"/>
  <c r="F24" i="153" s="1"/>
  <c r="F35" i="153" s="1"/>
  <c r="G27" i="151"/>
  <c r="F27" i="151" s="1"/>
  <c r="E28" i="155"/>
  <c r="E30" i="155"/>
  <c r="E32" i="155"/>
  <c r="E26" i="155"/>
  <c r="E25" i="146"/>
  <c r="G32" i="152"/>
  <c r="F32" i="152"/>
  <c r="E31" i="146"/>
  <c r="E27" i="147"/>
  <c r="F27" i="152"/>
  <c r="G27" i="152"/>
  <c r="G28" i="151"/>
  <c r="F28" i="151" s="1"/>
  <c r="G33" i="158"/>
  <c r="F33" i="158"/>
  <c r="E29" i="147"/>
  <c r="E27" i="146"/>
  <c r="F32" i="158"/>
  <c r="G32" i="158"/>
  <c r="G30" i="143"/>
  <c r="F30" i="143" s="1"/>
  <c r="G33" i="138"/>
  <c r="F33" i="138" s="1"/>
  <c r="G30" i="137"/>
  <c r="F30" i="137" s="1"/>
  <c r="G31" i="141"/>
  <c r="F31" i="141"/>
  <c r="G23" i="143"/>
  <c r="F23" i="143" s="1"/>
  <c r="F28" i="140"/>
  <c r="G28" i="140"/>
  <c r="E27" i="137"/>
  <c r="G22" i="141"/>
  <c r="F22" i="141"/>
  <c r="F33" i="143"/>
  <c r="G33" i="143"/>
  <c r="E26" i="137"/>
  <c r="F21" i="138"/>
  <c r="F24" i="138" s="1"/>
  <c r="F35" i="138" s="1"/>
  <c r="G21" i="138"/>
  <c r="G24" i="138" s="1"/>
  <c r="G35" i="138" s="1"/>
  <c r="E24" i="138"/>
  <c r="E35" i="138" s="1"/>
  <c r="G27" i="138"/>
  <c r="F27" i="138"/>
  <c r="G33" i="142"/>
  <c r="F33" i="142" s="1"/>
  <c r="E26" i="138"/>
  <c r="E28" i="138"/>
  <c r="E30" i="138"/>
  <c r="E32" i="138"/>
  <c r="G30" i="141"/>
  <c r="F30" i="141" s="1"/>
  <c r="F23" i="138"/>
  <c r="G23" i="138"/>
  <c r="G23" i="144"/>
  <c r="F23" i="144"/>
  <c r="E34" i="139"/>
  <c r="G25" i="139"/>
  <c r="G34" i="139" s="1"/>
  <c r="G21" i="143"/>
  <c r="G24" i="143" s="1"/>
  <c r="G35" i="143" s="1"/>
  <c r="F21" i="143"/>
  <c r="F24" i="143" s="1"/>
  <c r="F35" i="143" s="1"/>
  <c r="E24" i="143"/>
  <c r="E35" i="143" s="1"/>
  <c r="G28" i="139"/>
  <c r="F28" i="139"/>
  <c r="E21" i="140"/>
  <c r="G25" i="142"/>
  <c r="G34" i="142" s="1"/>
  <c r="E34" i="142"/>
  <c r="F25" i="142"/>
  <c r="F34" i="142" s="1"/>
  <c r="G27" i="145"/>
  <c r="F27" i="145" s="1"/>
  <c r="G32" i="145"/>
  <c r="F32" i="145" s="1"/>
  <c r="E30" i="139"/>
  <c r="E29" i="139"/>
  <c r="E32" i="139"/>
  <c r="E25" i="138"/>
  <c r="E31" i="137"/>
  <c r="F29" i="143"/>
  <c r="G29" i="143"/>
  <c r="E29" i="138"/>
  <c r="D35" i="138"/>
  <c r="E26" i="139"/>
  <c r="G33" i="145"/>
  <c r="F33" i="145"/>
  <c r="G31" i="145"/>
  <c r="F31" i="145" s="1"/>
  <c r="G21" i="139"/>
  <c r="G24" i="139" s="1"/>
  <c r="G35" i="139" s="1"/>
  <c r="E24" i="139"/>
  <c r="E35" i="139" s="1"/>
  <c r="G28" i="143"/>
  <c r="F28" i="143"/>
  <c r="E34" i="143"/>
  <c r="F25" i="143"/>
  <c r="F34" i="143" s="1"/>
  <c r="G25" i="143"/>
  <c r="G34" i="143" s="1"/>
  <c r="G30" i="145"/>
  <c r="F30" i="145" s="1"/>
  <c r="G25" i="145"/>
  <c r="G34" i="145" s="1"/>
  <c r="F25" i="145"/>
  <c r="F34" i="145" s="1"/>
  <c r="E34" i="145"/>
  <c r="G21" i="141"/>
  <c r="G24" i="141" s="1"/>
  <c r="G35" i="141" s="1"/>
  <c r="F21" i="141"/>
  <c r="F24" i="141" s="1"/>
  <c r="F35" i="141" s="1"/>
  <c r="E24" i="141"/>
  <c r="E35" i="141" s="1"/>
  <c r="E29" i="145"/>
  <c r="E28" i="145"/>
  <c r="G22" i="144"/>
  <c r="F22" i="144" s="1"/>
  <c r="D35" i="139"/>
  <c r="E31" i="138"/>
  <c r="G29" i="142"/>
  <c r="F29" i="142" s="1"/>
  <c r="E26" i="145"/>
  <c r="G30" i="140"/>
  <c r="F30" i="140" s="1"/>
  <c r="G22" i="145"/>
  <c r="F22" i="145"/>
  <c r="G26" i="143"/>
  <c r="F26" i="143"/>
  <c r="G32" i="143"/>
  <c r="F32" i="143"/>
  <c r="E32" i="137"/>
  <c r="G23" i="142"/>
  <c r="F23" i="142" s="1"/>
  <c r="E31" i="139"/>
  <c r="E33" i="137"/>
  <c r="E29" i="137"/>
  <c r="G26" i="141"/>
  <c r="F26" i="141" s="1"/>
  <c r="G30" i="144"/>
  <c r="F30" i="144" s="1"/>
  <c r="G31" i="143"/>
  <c r="F31" i="143" s="1"/>
  <c r="G22" i="142"/>
  <c r="F22" i="142"/>
  <c r="E27" i="139"/>
  <c r="G22" i="143"/>
  <c r="F22" i="143"/>
  <c r="G21" i="145"/>
  <c r="G24" i="145" s="1"/>
  <c r="G35" i="145" s="1"/>
  <c r="E24" i="145"/>
  <c r="E35" i="145" s="1"/>
  <c r="F21" i="145"/>
  <c r="F24" i="145" s="1"/>
  <c r="F35" i="145" s="1"/>
  <c r="E22" i="138"/>
  <c r="E25" i="137"/>
  <c r="E33" i="139"/>
  <c r="E21" i="144"/>
  <c r="G26" i="140"/>
  <c r="F26" i="140" s="1"/>
  <c r="E27" i="143"/>
  <c r="E25" i="140"/>
  <c r="E27" i="140"/>
  <c r="E29" i="140"/>
  <c r="E33" i="140"/>
  <c r="E31" i="140"/>
  <c r="F22" i="139"/>
  <c r="G22" i="139"/>
  <c r="G27" i="141"/>
  <c r="F27" i="141"/>
  <c r="D35" i="137"/>
  <c r="E22" i="140"/>
  <c r="F25" i="141"/>
  <c r="F34" i="141" s="1"/>
  <c r="E28" i="137"/>
  <c r="G32" i="140"/>
  <c r="F32" i="140" s="1"/>
  <c r="G21" i="142"/>
  <c r="G24" i="142" s="1"/>
  <c r="G35" i="142" s="1"/>
  <c r="E24" i="142"/>
  <c r="E35" i="142" s="1"/>
  <c r="E23" i="140"/>
  <c r="G23" i="141"/>
  <c r="F23" i="141"/>
  <c r="E34" i="69"/>
  <c r="G25" i="69"/>
  <c r="G34" i="69" s="1"/>
  <c r="F27" i="70"/>
  <c r="G27" i="70"/>
  <c r="G22" i="72"/>
  <c r="F22" i="72" s="1"/>
  <c r="G26" i="70"/>
  <c r="F26" i="70"/>
  <c r="E26" i="72"/>
  <c r="E28" i="72"/>
  <c r="E32" i="72"/>
  <c r="G32" i="71"/>
  <c r="F32" i="71" s="1"/>
  <c r="E27" i="72"/>
  <c r="E24" i="71"/>
  <c r="E35" i="71" s="1"/>
  <c r="G21" i="71"/>
  <c r="G24" i="71" s="1"/>
  <c r="G35" i="71" s="1"/>
  <c r="G23" i="71"/>
  <c r="F23" i="71"/>
  <c r="E29" i="70"/>
  <c r="G22" i="71"/>
  <c r="F22" i="71" s="1"/>
  <c r="G33" i="70"/>
  <c r="F33" i="70" s="1"/>
  <c r="G26" i="71"/>
  <c r="F26" i="71"/>
  <c r="G21" i="72"/>
  <c r="G24" i="72" s="1"/>
  <c r="G35" i="72" s="1"/>
  <c r="E24" i="72"/>
  <c r="E35" i="72" s="1"/>
  <c r="G31" i="71"/>
  <c r="F31" i="71"/>
  <c r="G28" i="71"/>
  <c r="F28" i="71"/>
  <c r="E32" i="69"/>
  <c r="E30" i="69"/>
  <c r="E28" i="69"/>
  <c r="E31" i="69"/>
  <c r="E29" i="72"/>
  <c r="E33" i="69"/>
  <c r="E30" i="70"/>
  <c r="E25" i="72"/>
  <c r="E26" i="69"/>
  <c r="E32" i="70"/>
  <c r="D35" i="69"/>
  <c r="G22" i="70"/>
  <c r="F22" i="70" s="1"/>
  <c r="E24" i="70"/>
  <c r="E35" i="70" s="1"/>
  <c r="G21" i="70"/>
  <c r="G24" i="70" s="1"/>
  <c r="G35" i="70" s="1"/>
  <c r="F21" i="70"/>
  <c r="F24" i="70" s="1"/>
  <c r="F35" i="70" s="1"/>
  <c r="G29" i="69"/>
  <c r="F29" i="69"/>
  <c r="G23" i="72"/>
  <c r="F23" i="72" s="1"/>
  <c r="E27" i="69"/>
  <c r="G22" i="69"/>
  <c r="F22" i="69"/>
  <c r="G31" i="72"/>
  <c r="F31" i="72"/>
  <c r="G30" i="72"/>
  <c r="F30" i="72"/>
  <c r="G30" i="71"/>
  <c r="F30" i="71" s="1"/>
  <c r="G33" i="72"/>
  <c r="F33" i="72"/>
  <c r="G31" i="70"/>
  <c r="F31" i="70" s="1"/>
  <c r="E27" i="71"/>
  <c r="E29" i="71"/>
  <c r="E33" i="71"/>
  <c r="E25" i="71"/>
  <c r="E34" i="70"/>
  <c r="G25" i="70"/>
  <c r="G34" i="70" s="1"/>
  <c r="G23" i="70"/>
  <c r="F23" i="70"/>
  <c r="E28" i="70"/>
  <c r="F32" i="153" l="1"/>
  <c r="G32" i="153"/>
  <c r="F26" i="149"/>
  <c r="G26" i="149"/>
  <c r="G27" i="150"/>
  <c r="F27" i="150"/>
  <c r="G28" i="149"/>
  <c r="F28" i="149" s="1"/>
  <c r="F29" i="147"/>
  <c r="G29" i="147"/>
  <c r="F33" i="156"/>
  <c r="G33" i="156"/>
  <c r="G26" i="147"/>
  <c r="F26" i="147"/>
  <c r="G33" i="149"/>
  <c r="F33" i="149"/>
  <c r="G25" i="150"/>
  <c r="G34" i="150" s="1"/>
  <c r="E34" i="150"/>
  <c r="G29" i="149"/>
  <c r="F29" i="149" s="1"/>
  <c r="G26" i="146"/>
  <c r="F26" i="146"/>
  <c r="G21" i="155"/>
  <c r="G24" i="155" s="1"/>
  <c r="G35" i="155" s="1"/>
  <c r="F21" i="155"/>
  <c r="F24" i="155" s="1"/>
  <c r="F35" i="155" s="1"/>
  <c r="E24" i="155"/>
  <c r="E35" i="155" s="1"/>
  <c r="F27" i="149"/>
  <c r="G27" i="149"/>
  <c r="G31" i="156"/>
  <c r="F31" i="156" s="1"/>
  <c r="G22" i="154"/>
  <c r="F22" i="154"/>
  <c r="G31" i="149"/>
  <c r="F31" i="149" s="1"/>
  <c r="G29" i="150"/>
  <c r="F29" i="150" s="1"/>
  <c r="G26" i="155"/>
  <c r="F26" i="155" s="1"/>
  <c r="G28" i="156"/>
  <c r="F28" i="156"/>
  <c r="G32" i="146"/>
  <c r="F32" i="146" s="1"/>
  <c r="G23" i="155"/>
  <c r="F23" i="155" s="1"/>
  <c r="G31" i="150"/>
  <c r="F31" i="150"/>
  <c r="G32" i="155"/>
  <c r="F32" i="155"/>
  <c r="G31" i="153"/>
  <c r="F31" i="153" s="1"/>
  <c r="F29" i="156"/>
  <c r="G29" i="156"/>
  <c r="G28" i="147"/>
  <c r="F28" i="147"/>
  <c r="G28" i="157"/>
  <c r="F28" i="157" s="1"/>
  <c r="G31" i="157"/>
  <c r="F31" i="157" s="1"/>
  <c r="F32" i="150"/>
  <c r="G32" i="150"/>
  <c r="G31" i="146"/>
  <c r="F31" i="146" s="1"/>
  <c r="E34" i="157"/>
  <c r="G25" i="157"/>
  <c r="G34" i="157" s="1"/>
  <c r="G26" i="157"/>
  <c r="F26" i="157" s="1"/>
  <c r="G22" i="158"/>
  <c r="F22" i="158" s="1"/>
  <c r="F25" i="148"/>
  <c r="F34" i="148" s="1"/>
  <c r="E34" i="146"/>
  <c r="G25" i="146"/>
  <c r="G34" i="146" s="1"/>
  <c r="G29" i="153"/>
  <c r="F29" i="153"/>
  <c r="E34" i="153"/>
  <c r="G25" i="153"/>
  <c r="G34" i="153" s="1"/>
  <c r="G33" i="146"/>
  <c r="F33" i="146" s="1"/>
  <c r="F33" i="153"/>
  <c r="G33" i="153"/>
  <c r="G23" i="154"/>
  <c r="F23" i="154" s="1"/>
  <c r="G33" i="157"/>
  <c r="F33" i="157"/>
  <c r="G26" i="150"/>
  <c r="F26" i="150" s="1"/>
  <c r="G30" i="146"/>
  <c r="F30" i="146" s="1"/>
  <c r="G30" i="155"/>
  <c r="F30" i="155" s="1"/>
  <c r="G27" i="156"/>
  <c r="F27" i="156" s="1"/>
  <c r="G32" i="147"/>
  <c r="F32" i="147"/>
  <c r="F32" i="157"/>
  <c r="G32" i="157"/>
  <c r="F22" i="146"/>
  <c r="G22" i="146"/>
  <c r="G29" i="157"/>
  <c r="F29" i="157"/>
  <c r="G30" i="150"/>
  <c r="F30" i="150" s="1"/>
  <c r="F27" i="146"/>
  <c r="G27" i="146"/>
  <c r="F27" i="147"/>
  <c r="G27" i="147"/>
  <c r="G28" i="155"/>
  <c r="F28" i="155"/>
  <c r="G31" i="147"/>
  <c r="F31" i="147" s="1"/>
  <c r="F27" i="153"/>
  <c r="G27" i="153"/>
  <c r="F25" i="156"/>
  <c r="F34" i="156" s="1"/>
  <c r="E34" i="156"/>
  <c r="G25" i="156"/>
  <c r="G34" i="156" s="1"/>
  <c r="G23" i="158"/>
  <c r="F23" i="158" s="1"/>
  <c r="G30" i="147"/>
  <c r="F30" i="147" s="1"/>
  <c r="E34" i="149"/>
  <c r="G25" i="149"/>
  <c r="G34" i="149" s="1"/>
  <c r="G23" i="146"/>
  <c r="F23" i="146"/>
  <c r="F25" i="155"/>
  <c r="F34" i="155" s="1"/>
  <c r="G29" i="146"/>
  <c r="F29" i="146" s="1"/>
  <c r="G27" i="157"/>
  <c r="F27" i="157"/>
  <c r="G28" i="150"/>
  <c r="F28" i="150" s="1"/>
  <c r="G28" i="138"/>
  <c r="F28" i="138" s="1"/>
  <c r="G23" i="140"/>
  <c r="F23" i="140" s="1"/>
  <c r="G29" i="140"/>
  <c r="F29" i="140"/>
  <c r="G22" i="138"/>
  <c r="F22" i="138" s="1"/>
  <c r="G31" i="138"/>
  <c r="F31" i="138"/>
  <c r="F29" i="138"/>
  <c r="G29" i="138"/>
  <c r="G22" i="140"/>
  <c r="F22" i="140" s="1"/>
  <c r="G25" i="137"/>
  <c r="G34" i="137" s="1"/>
  <c r="E34" i="137"/>
  <c r="F25" i="137"/>
  <c r="F34" i="137" s="1"/>
  <c r="G29" i="137"/>
  <c r="F29" i="137"/>
  <c r="G31" i="137"/>
  <c r="F31" i="137"/>
  <c r="G27" i="140"/>
  <c r="F27" i="140" s="1"/>
  <c r="G33" i="137"/>
  <c r="F33" i="137"/>
  <c r="E34" i="138"/>
  <c r="G25" i="138"/>
  <c r="G34" i="138" s="1"/>
  <c r="G25" i="140"/>
  <c r="G34" i="140" s="1"/>
  <c r="E34" i="140"/>
  <c r="F25" i="140"/>
  <c r="F34" i="140" s="1"/>
  <c r="G31" i="139"/>
  <c r="F31" i="139" s="1"/>
  <c r="G32" i="139"/>
  <c r="F32" i="139"/>
  <c r="F21" i="142"/>
  <c r="F24" i="142" s="1"/>
  <c r="F35" i="142" s="1"/>
  <c r="G27" i="143"/>
  <c r="F27" i="143" s="1"/>
  <c r="G26" i="139"/>
  <c r="F26" i="139"/>
  <c r="G29" i="139"/>
  <c r="F29" i="139" s="1"/>
  <c r="G32" i="138"/>
  <c r="F32" i="138" s="1"/>
  <c r="G27" i="137"/>
  <c r="F27" i="137"/>
  <c r="F21" i="139"/>
  <c r="F24" i="139" s="1"/>
  <c r="F35" i="139" s="1"/>
  <c r="G30" i="139"/>
  <c r="F30" i="139"/>
  <c r="E24" i="140"/>
  <c r="E35" i="140" s="1"/>
  <c r="F21" i="140"/>
  <c r="F24" i="140" s="1"/>
  <c r="F35" i="140" s="1"/>
  <c r="G21" i="140"/>
  <c r="G24" i="140" s="1"/>
  <c r="G35" i="140" s="1"/>
  <c r="F25" i="139"/>
  <c r="F34" i="139" s="1"/>
  <c r="G30" i="138"/>
  <c r="F30" i="138"/>
  <c r="G28" i="145"/>
  <c r="F28" i="145" s="1"/>
  <c r="G28" i="137"/>
  <c r="F28" i="137" s="1"/>
  <c r="G31" i="140"/>
  <c r="F31" i="140"/>
  <c r="E24" i="144"/>
  <c r="E35" i="144" s="1"/>
  <c r="G21" i="144"/>
  <c r="G24" i="144" s="1"/>
  <c r="G35" i="144" s="1"/>
  <c r="F21" i="144"/>
  <c r="F24" i="144" s="1"/>
  <c r="F35" i="144" s="1"/>
  <c r="G26" i="145"/>
  <c r="F26" i="145" s="1"/>
  <c r="G29" i="145"/>
  <c r="F29" i="145" s="1"/>
  <c r="G26" i="138"/>
  <c r="F26" i="138"/>
  <c r="G26" i="137"/>
  <c r="F26" i="137" s="1"/>
  <c r="G32" i="137"/>
  <c r="F32" i="137" s="1"/>
  <c r="G33" i="140"/>
  <c r="F33" i="140" s="1"/>
  <c r="G33" i="139"/>
  <c r="F33" i="139" s="1"/>
  <c r="G27" i="139"/>
  <c r="F27" i="139" s="1"/>
  <c r="G25" i="71"/>
  <c r="G34" i="71" s="1"/>
  <c r="E34" i="71"/>
  <c r="F25" i="71"/>
  <c r="F34" i="71" s="1"/>
  <c r="G27" i="71"/>
  <c r="F27" i="71"/>
  <c r="G27" i="69"/>
  <c r="F27" i="69"/>
  <c r="G29" i="72"/>
  <c r="F29" i="72"/>
  <c r="F21" i="72"/>
  <c r="F24" i="72" s="1"/>
  <c r="F35" i="72" s="1"/>
  <c r="G27" i="72"/>
  <c r="F27" i="72"/>
  <c r="F25" i="69"/>
  <c r="F34" i="69" s="1"/>
  <c r="G31" i="69"/>
  <c r="F31" i="69"/>
  <c r="G29" i="71"/>
  <c r="F29" i="71"/>
  <c r="G25" i="72"/>
  <c r="G34" i="72" s="1"/>
  <c r="E34" i="72"/>
  <c r="F25" i="72"/>
  <c r="F34" i="72" s="1"/>
  <c r="G30" i="69"/>
  <c r="F30" i="69"/>
  <c r="F26" i="72"/>
  <c r="G26" i="72"/>
  <c r="G26" i="69"/>
  <c r="F26" i="69"/>
  <c r="G28" i="70"/>
  <c r="F28" i="70"/>
  <c r="G28" i="69"/>
  <c r="F28" i="69"/>
  <c r="G32" i="70"/>
  <c r="F32" i="70"/>
  <c r="G30" i="70"/>
  <c r="F30" i="70"/>
  <c r="G32" i="69"/>
  <c r="F32" i="69"/>
  <c r="G32" i="72"/>
  <c r="F32" i="72"/>
  <c r="G29" i="70"/>
  <c r="F29" i="70"/>
  <c r="G33" i="71"/>
  <c r="F33" i="71"/>
  <c r="G33" i="69"/>
  <c r="F33" i="69" s="1"/>
  <c r="F25" i="70"/>
  <c r="F34" i="70" s="1"/>
  <c r="F21" i="71"/>
  <c r="F24" i="71" s="1"/>
  <c r="F35" i="71" s="1"/>
  <c r="G28" i="72"/>
  <c r="F28" i="72"/>
  <c r="F25" i="146" l="1"/>
  <c r="F34" i="146" s="1"/>
  <c r="F25" i="153"/>
  <c r="F34" i="153" s="1"/>
  <c r="F25" i="149"/>
  <c r="F34" i="149" s="1"/>
  <c r="F25" i="157"/>
  <c r="F34" i="157" s="1"/>
  <c r="F25" i="150"/>
  <c r="F34" i="150" s="1"/>
  <c r="F25" i="138"/>
  <c r="F34" i="138" s="1"/>
  <c r="D11" i="156" l="1"/>
  <c r="D11" i="157"/>
  <c r="D11" i="142"/>
  <c r="D11" i="145"/>
  <c r="D11" i="71"/>
  <c r="D11" i="138"/>
  <c r="D11" i="141"/>
  <c r="D11" i="140"/>
  <c r="D11" i="149"/>
  <c r="D11" i="72"/>
  <c r="D11" i="144"/>
  <c r="D11" i="155"/>
  <c r="D11" i="153"/>
  <c r="D11" i="150"/>
  <c r="D11" i="148"/>
  <c r="D11" i="139"/>
  <c r="D11" i="143"/>
  <c r="D11" i="152"/>
  <c r="D11" i="154"/>
  <c r="D11" i="151"/>
  <c r="D11" i="158"/>
  <c r="D11" i="70"/>
  <c r="D11" i="147"/>
  <c r="D11" i="146"/>
  <c r="D11" i="137"/>
  <c r="D11" i="69"/>
</calcChain>
</file>

<file path=xl/sharedStrings.xml><?xml version="1.0" encoding="utf-8"?>
<sst xmlns="http://schemas.openxmlformats.org/spreadsheetml/2006/main" count="988" uniqueCount="37">
  <si>
    <t>Fresh Fruit &amp; Vegetable Program 
Projected Budget Tool for SY 2014-2015</t>
  </si>
  <si>
    <r>
      <t xml:space="preserve">Instructions: </t>
    </r>
    <r>
      <rPr>
        <sz val="11"/>
        <rFont val="Calibri"/>
        <family val="2"/>
        <scheme val="minor"/>
      </rPr>
      <t>The tool will determine your monthly budget based on your school's enrollment and the # of serving days per month.</t>
    </r>
  </si>
  <si>
    <t>FFVP School Information</t>
  </si>
  <si>
    <t>SFA/District Name</t>
  </si>
  <si>
    <t>School Name</t>
  </si>
  <si>
    <t># of Student Participating in FFVP</t>
  </si>
  <si>
    <t xml:space="preserve">July FFVP Allocation </t>
  </si>
  <si>
    <t>October FFVP Allocation</t>
  </si>
  <si>
    <t>Total FFVP Allocation</t>
  </si>
  <si>
    <t xml:space="preserve">Total FFVP Funds Available per Student </t>
  </si>
  <si>
    <t>Projected Monthly FFVP Budget for SY 2014- 2015</t>
  </si>
  <si>
    <t>Allocation</t>
  </si>
  <si>
    <t>Month</t>
  </si>
  <si>
    <t># of Serving Days per Month</t>
  </si>
  <si>
    <t># of Servings per Month</t>
  </si>
  <si>
    <t>Total Monthly Budget</t>
  </si>
  <si>
    <t>Total Monthly Operational Cost Budget</t>
  </si>
  <si>
    <t>Total Montly Administrative Cost Budget</t>
  </si>
  <si>
    <t xml:space="preserve">July </t>
  </si>
  <si>
    <t>July</t>
  </si>
  <si>
    <t>August</t>
  </si>
  <si>
    <t>September</t>
  </si>
  <si>
    <t>July Totals</t>
  </si>
  <si>
    <t>October</t>
  </si>
  <si>
    <t>November</t>
  </si>
  <si>
    <t>December</t>
  </si>
  <si>
    <t>January</t>
  </si>
  <si>
    <t>February</t>
  </si>
  <si>
    <t>March</t>
  </si>
  <si>
    <t>April</t>
  </si>
  <si>
    <t>May</t>
  </si>
  <si>
    <t>June</t>
  </si>
  <si>
    <t>October Totals</t>
  </si>
  <si>
    <t>Totals</t>
  </si>
  <si>
    <r>
      <rPr>
        <b/>
        <sz val="11"/>
        <rFont val="Calibri"/>
        <family val="2"/>
        <scheme val="minor"/>
      </rPr>
      <t>Step 1.</t>
    </r>
    <r>
      <rPr>
        <sz val="11"/>
        <rFont val="Calibri"/>
        <family val="2"/>
        <scheme val="minor"/>
      </rPr>
      <t xml:space="preserve"> Enter data into grey-colored cells in the "FFVP School Information" table.</t>
    </r>
  </si>
  <si>
    <r>
      <rPr>
        <b/>
        <sz val="11"/>
        <rFont val="Calibri"/>
        <family val="2"/>
        <scheme val="minor"/>
      </rPr>
      <t>Step 3.</t>
    </r>
    <r>
      <rPr>
        <sz val="11"/>
        <rFont val="Calibri"/>
        <family val="2"/>
        <scheme val="minor"/>
      </rPr>
      <t xml:space="preserve"> Check your work! Cell E24 should match "July FFVP Allocation", cell E34 should match "October FFVP Allocation", and cell E35 should match "Total FFVP Allocation". The cells labeled "July FFVP Allocation", "October FFVP Allocation", and "Total FFVP Allocation" will turn green if you've entered all the information correctly.</t>
    </r>
  </si>
  <si>
    <r>
      <rPr>
        <b/>
        <sz val="11"/>
        <rFont val="Calibri"/>
        <family val="2"/>
        <scheme val="minor"/>
      </rPr>
      <t>Step 2.</t>
    </r>
    <r>
      <rPr>
        <sz val="11"/>
        <rFont val="Calibri"/>
        <family val="2"/>
        <scheme val="minor"/>
      </rPr>
      <t xml:space="preserve"> Enter the "# of Serving Days per Month" for each month (July-June) in the "Projected Monthly FFVP Budget for SY 2014-2015" table. You must fill in the entire table to determine your monthly budget.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</si>
</sst>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7" formatCode="&quot;$&quot;#,##0.00_);\(&quot;$&quot;#,##0.00\)"/>
    <numFmt numFmtId="42" formatCode="_(&quot;$&quot;* #,##0_);_(&quot;$&quot;* \(#,##0\);_(&quot;$&quot;* &quot;-&quot;_);_(@_)"/>
    <numFmt numFmtId="164" formatCode="&quot;$&quot;#,##0.00"/>
  </numFmts>
  <fonts count="7" x14ac:knownFonts="1">
    <font>
      <sz val="11"/>
      <color theme="1"/>
      <name val="Calibri"/>
      <family val="2"/>
      <scheme val="minor"/>
    </font>
    <font>
      <b/>
      <sz val="20"/>
      <name val="Calibri"/>
      <family val="2"/>
      <scheme val="minor"/>
    </font>
    <font>
      <i/>
      <sz val="11"/>
      <name val="Calibri"/>
      <family val="2"/>
      <scheme val="minor"/>
    </font>
    <font>
      <b/>
      <sz val="11"/>
      <name val="Calibri"/>
      <family val="2"/>
      <scheme val="minor"/>
    </font>
    <font>
      <sz val="11"/>
      <name val="Calibri"/>
      <family val="2"/>
      <scheme val="minor"/>
    </font>
    <font>
      <b/>
      <sz val="12"/>
      <name val="Calibri"/>
      <family val="2"/>
      <scheme val="minor"/>
    </font>
    <font>
      <sz val="12"/>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6">
    <xf numFmtId="0" fontId="0" fillId="0" borderId="0" xfId="0"/>
    <xf numFmtId="0" fontId="6" fillId="0" borderId="0" xfId="0" applyFont="1"/>
    <xf numFmtId="0" fontId="5" fillId="0" borderId="1" xfId="0" applyFont="1" applyBorder="1"/>
    <xf numFmtId="0" fontId="3" fillId="0" borderId="2" xfId="0" applyFont="1" applyBorder="1" applyAlignment="1"/>
    <xf numFmtId="0" fontId="3" fillId="0" borderId="2" xfId="0" applyFont="1" applyBorder="1" applyAlignment="1">
      <alignment horizontal="center" wrapText="1"/>
    </xf>
    <xf numFmtId="0" fontId="3" fillId="0" borderId="3" xfId="0" applyFont="1" applyBorder="1" applyAlignment="1">
      <alignment horizontal="center" wrapText="1"/>
    </xf>
    <xf numFmtId="0" fontId="4" fillId="0" borderId="17" xfId="0" applyFont="1" applyBorder="1" applyAlignment="1"/>
    <xf numFmtId="0" fontId="4" fillId="2" borderId="17" xfId="0" applyFont="1" applyFill="1" applyBorder="1" applyAlignment="1" applyProtection="1">
      <alignment horizontal="right" wrapText="1"/>
      <protection locked="0"/>
    </xf>
    <xf numFmtId="7" fontId="4" fillId="0" borderId="17" xfId="0" applyNumberFormat="1" applyFont="1" applyBorder="1" applyAlignment="1"/>
    <xf numFmtId="7" fontId="4" fillId="0" borderId="18" xfId="0" applyNumberFormat="1" applyFont="1" applyBorder="1"/>
    <xf numFmtId="0" fontId="4" fillId="0" borderId="8" xfId="0" applyFont="1" applyBorder="1" applyAlignment="1"/>
    <xf numFmtId="7" fontId="4" fillId="0" borderId="8" xfId="0" applyNumberFormat="1" applyFont="1" applyBorder="1" applyAlignment="1"/>
    <xf numFmtId="7" fontId="4" fillId="0" borderId="9" xfId="0" applyNumberFormat="1" applyFont="1" applyBorder="1"/>
    <xf numFmtId="0" fontId="3" fillId="0" borderId="11" xfId="0" applyFont="1" applyBorder="1" applyAlignment="1"/>
    <xf numFmtId="0" fontId="3" fillId="3" borderId="11" xfId="0" applyFont="1" applyFill="1" applyBorder="1" applyAlignment="1"/>
    <xf numFmtId="164" fontId="3" fillId="3" borderId="11" xfId="0" applyNumberFormat="1" applyFont="1" applyFill="1" applyBorder="1" applyAlignment="1"/>
    <xf numFmtId="164" fontId="3" fillId="3" borderId="12" xfId="0" applyNumberFormat="1" applyFont="1" applyFill="1" applyBorder="1" applyAlignment="1"/>
    <xf numFmtId="0" fontId="4" fillId="2" borderId="17" xfId="0" applyFont="1" applyFill="1" applyBorder="1" applyAlignment="1" applyProtection="1">
      <protection locked="0"/>
    </xf>
    <xf numFmtId="7" fontId="3" fillId="3" borderId="11" xfId="0" applyNumberFormat="1" applyFont="1" applyFill="1" applyBorder="1" applyAlignment="1"/>
    <xf numFmtId="7" fontId="3" fillId="3" borderId="12" xfId="0" applyNumberFormat="1" applyFont="1" applyFill="1" applyBorder="1" applyAlignment="1"/>
    <xf numFmtId="0" fontId="3" fillId="0" borderId="23" xfId="0" applyFont="1" applyBorder="1" applyAlignment="1"/>
    <xf numFmtId="7" fontId="3" fillId="0" borderId="23" xfId="0" applyNumberFormat="1" applyFont="1" applyBorder="1" applyAlignment="1"/>
    <xf numFmtId="7" fontId="3" fillId="0" borderId="24" xfId="0" applyNumberFormat="1" applyFont="1" applyBorder="1" applyAlignment="1"/>
    <xf numFmtId="42" fontId="6" fillId="0" borderId="0" xfId="0" applyNumberFormat="1" applyFont="1"/>
    <xf numFmtId="164" fontId="4" fillId="0" borderId="17" xfId="0" applyNumberFormat="1" applyFont="1" applyBorder="1" applyAlignment="1"/>
    <xf numFmtId="0" fontId="2" fillId="0" borderId="25" xfId="0" applyFont="1" applyBorder="1" applyAlignment="1">
      <alignment horizontal="left" vertical="top"/>
    </xf>
    <xf numFmtId="0" fontId="2" fillId="0" borderId="0" xfId="0" applyFont="1" applyBorder="1" applyAlignment="1">
      <alignment horizontal="left" vertical="top"/>
    </xf>
    <xf numFmtId="0" fontId="2" fillId="0" borderId="26" xfId="0" applyFont="1" applyBorder="1" applyAlignment="1">
      <alignment horizontal="left" vertical="top"/>
    </xf>
    <xf numFmtId="0" fontId="3" fillId="0" borderId="26" xfId="0" applyFont="1" applyBorder="1" applyAlignment="1">
      <alignment vertical="top"/>
    </xf>
    <xf numFmtId="0" fontId="1" fillId="0" borderId="26" xfId="0" applyFont="1" applyBorder="1" applyAlignment="1">
      <alignment horizontal="left" wrapText="1"/>
    </xf>
    <xf numFmtId="0" fontId="5" fillId="0" borderId="26" xfId="0" applyFont="1" applyBorder="1" applyAlignment="1"/>
    <xf numFmtId="0" fontId="5" fillId="3" borderId="26" xfId="0" applyFont="1" applyFill="1" applyBorder="1" applyAlignment="1"/>
    <xf numFmtId="0" fontId="4" fillId="0" borderId="25" xfId="0" applyFont="1" applyBorder="1" applyAlignment="1"/>
    <xf numFmtId="0" fontId="4" fillId="0" borderId="0" xfId="0" applyFont="1" applyBorder="1" applyAlignment="1"/>
    <xf numFmtId="0" fontId="6" fillId="0" borderId="0" xfId="0" applyFont="1" applyBorder="1" applyAlignment="1"/>
    <xf numFmtId="0" fontId="6" fillId="0" borderId="0" xfId="0" applyFont="1" applyBorder="1"/>
    <xf numFmtId="0" fontId="6" fillId="0" borderId="26" xfId="0" applyFont="1" applyBorder="1"/>
    <xf numFmtId="0" fontId="6" fillId="0" borderId="25" xfId="0" applyFont="1" applyBorder="1"/>
    <xf numFmtId="42" fontId="6" fillId="0" borderId="0" xfId="0" applyNumberFormat="1" applyFont="1" applyBorder="1"/>
    <xf numFmtId="42" fontId="6" fillId="0" borderId="26" xfId="0" applyNumberFormat="1" applyFont="1" applyBorder="1"/>
    <xf numFmtId="0" fontId="6" fillId="0" borderId="21" xfId="0" applyFont="1" applyBorder="1"/>
    <xf numFmtId="0" fontId="6" fillId="0" borderId="27" xfId="0" applyFont="1" applyBorder="1"/>
    <xf numFmtId="42" fontId="6" fillId="0" borderId="27" xfId="0" applyNumberFormat="1" applyFont="1" applyBorder="1"/>
    <xf numFmtId="7" fontId="6" fillId="0" borderId="27" xfId="0" applyNumberFormat="1" applyFont="1" applyBorder="1"/>
    <xf numFmtId="42" fontId="6" fillId="0" borderId="28" xfId="0" applyNumberFormat="1" applyFont="1" applyBorder="1"/>
    <xf numFmtId="0" fontId="3" fillId="0" borderId="7" xfId="0" applyFont="1" applyBorder="1" applyAlignment="1"/>
    <xf numFmtId="0" fontId="3" fillId="0" borderId="8" xfId="0" applyFont="1" applyBorder="1" applyAlignment="1"/>
    <xf numFmtId="0" fontId="4" fillId="2" borderId="8" xfId="0" applyFont="1" applyFill="1" applyBorder="1" applyAlignment="1" applyProtection="1">
      <protection locked="0"/>
    </xf>
    <xf numFmtId="0" fontId="4" fillId="2" borderId="9" xfId="0" applyFont="1" applyFill="1" applyBorder="1" applyAlignment="1" applyProtection="1">
      <protection locked="0"/>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5" xfId="0" applyFont="1" applyBorder="1" applyAlignment="1">
      <alignment horizontal="center" wrapText="1"/>
    </xf>
    <xf numFmtId="0" fontId="1" fillId="0" borderId="26" xfId="0" applyFont="1" applyBorder="1" applyAlignment="1">
      <alignment horizontal="center" wrapText="1"/>
    </xf>
    <xf numFmtId="0" fontId="3" fillId="0" borderId="13" xfId="0" applyFont="1"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4" fillId="0" borderId="25"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6" xfId="0" applyFont="1" applyBorder="1" applyAlignment="1">
      <alignment horizontal="left" vertical="top" wrapText="1"/>
    </xf>
    <xf numFmtId="0" fontId="4" fillId="0" borderId="21" xfId="0" applyFont="1"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0" borderId="1"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4" fillId="2" borderId="5" xfId="0" applyFont="1" applyFill="1" applyBorder="1" applyAlignment="1" applyProtection="1">
      <alignment horizontal="left" vertical="top"/>
      <protection locked="0"/>
    </xf>
    <xf numFmtId="0" fontId="4" fillId="2" borderId="6" xfId="0" applyFont="1" applyFill="1" applyBorder="1" applyAlignment="1" applyProtection="1">
      <alignment horizontal="left" vertical="top"/>
      <protection locked="0"/>
    </xf>
    <xf numFmtId="0" fontId="3" fillId="0" borderId="21" xfId="0" applyFont="1" applyBorder="1" applyAlignment="1"/>
    <xf numFmtId="0" fontId="3" fillId="0" borderId="22" xfId="0" applyFont="1" applyBorder="1" applyAlignment="1"/>
    <xf numFmtId="0" fontId="3" fillId="3" borderId="7" xfId="0" applyFont="1" applyFill="1" applyBorder="1" applyAlignment="1"/>
    <xf numFmtId="0" fontId="3" fillId="3" borderId="8" xfId="0" applyFont="1" applyFill="1" applyBorder="1" applyAlignment="1"/>
    <xf numFmtId="164" fontId="4" fillId="2" borderId="8" xfId="0" applyNumberFormat="1" applyFont="1" applyFill="1" applyBorder="1" applyAlignment="1" applyProtection="1">
      <protection locked="0"/>
    </xf>
    <xf numFmtId="164" fontId="4" fillId="2" borderId="9" xfId="0" applyNumberFormat="1" applyFont="1" applyFill="1" applyBorder="1" applyAlignment="1" applyProtection="1">
      <protection locked="0"/>
    </xf>
    <xf numFmtId="0" fontId="3" fillId="0" borderId="7" xfId="0" applyFont="1" applyBorder="1" applyAlignment="1">
      <alignment horizontal="left" vertical="top"/>
    </xf>
    <xf numFmtId="0" fontId="3" fillId="0" borderId="8" xfId="0" applyFont="1" applyBorder="1" applyAlignment="1">
      <alignment horizontal="left" vertical="top"/>
    </xf>
    <xf numFmtId="164" fontId="4" fillId="3" borderId="8" xfId="0" applyNumberFormat="1" applyFont="1" applyFill="1" applyBorder="1" applyAlignment="1">
      <alignment vertical="top"/>
    </xf>
    <xf numFmtId="164" fontId="4" fillId="3" borderId="9" xfId="0" applyNumberFormat="1" applyFont="1" applyFill="1" applyBorder="1" applyAlignment="1">
      <alignmen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164" fontId="4" fillId="3" borderId="11" xfId="0" applyNumberFormat="1" applyFont="1" applyFill="1" applyBorder="1" applyAlignment="1">
      <alignment vertical="top"/>
    </xf>
    <xf numFmtId="164" fontId="4" fillId="3" borderId="12" xfId="0" applyNumberFormat="1" applyFont="1" applyFill="1" applyBorder="1" applyAlignment="1">
      <alignment vertical="top"/>
    </xf>
    <xf numFmtId="0" fontId="3" fillId="0" borderId="13" xfId="0" applyFont="1" applyBorder="1" applyAlignment="1"/>
    <xf numFmtId="0" fontId="3" fillId="0" borderId="14" xfId="0" applyFont="1" applyBorder="1" applyAlignment="1"/>
    <xf numFmtId="0" fontId="3" fillId="0" borderId="15" xfId="0" applyFont="1" applyBorder="1" applyAlignment="1"/>
    <xf numFmtId="0" fontId="6" fillId="0" borderId="16" xfId="0" applyFont="1" applyBorder="1" applyAlignment="1">
      <alignment vertical="top"/>
    </xf>
    <xf numFmtId="0" fontId="0" fillId="0" borderId="19" xfId="0" applyBorder="1" applyAlignment="1"/>
    <xf numFmtId="0" fontId="0" fillId="0" borderId="20" xfId="0" applyBorder="1" applyAlignment="1"/>
    <xf numFmtId="0" fontId="0" fillId="0" borderId="19" xfId="0" applyBorder="1" applyAlignment="1">
      <alignment vertical="top"/>
    </xf>
    <xf numFmtId="0" fontId="0" fillId="0" borderId="20" xfId="0" applyBorder="1" applyAlignment="1">
      <alignment vertical="top"/>
    </xf>
  </cellXfs>
  <cellStyles count="1">
    <cellStyle name="Normal" xfId="0" builtinId="0"/>
  </cellStyles>
  <dxfs count="78">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361950</xdr:colOff>
      <xdr:row>0</xdr:row>
      <xdr:rowOff>0</xdr:rowOff>
    </xdr:from>
    <xdr:to>
      <xdr:col>5</xdr:col>
      <xdr:colOff>361950</xdr:colOff>
      <xdr:row>4</xdr:row>
      <xdr:rowOff>22225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0"/>
          <a:ext cx="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6</xdr:row>
      <xdr:rowOff>540405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3169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35</xdr:row>
      <xdr:rowOff>57150</xdr:rowOff>
    </xdr:from>
    <xdr:to>
      <xdr:col>5</xdr:col>
      <xdr:colOff>361950</xdr:colOff>
      <xdr:row>36</xdr:row>
      <xdr:rowOff>142876</xdr:rowOff>
    </xdr:to>
    <xdr:pic>
      <xdr:nvPicPr>
        <xdr:cNvPr id="4"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0420350"/>
          <a:ext cx="0" cy="285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0</xdr:row>
      <xdr:rowOff>0</xdr:rowOff>
    </xdr:from>
    <xdr:to>
      <xdr:col>6</xdr:col>
      <xdr:colOff>95250</xdr:colOff>
      <xdr:row>1</xdr:row>
      <xdr:rowOff>550988</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0"/>
          <a:ext cx="0" cy="931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254000</xdr:colOff>
      <xdr:row>0</xdr:row>
      <xdr:rowOff>53362</xdr:rowOff>
    </xdr:from>
    <xdr:to>
      <xdr:col>6</xdr:col>
      <xdr:colOff>1534583</xdr:colOff>
      <xdr:row>3</xdr:row>
      <xdr:rowOff>132953</xdr:rowOff>
    </xdr:to>
    <xdr:pic>
      <xdr:nvPicPr>
        <xdr:cNvPr id="6"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3362"/>
          <a:ext cx="1280583" cy="1613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105833</xdr:colOff>
      <xdr:row>35</xdr:row>
      <xdr:rowOff>95251</xdr:rowOff>
    </xdr:from>
    <xdr:to>
      <xdr:col>6</xdr:col>
      <xdr:colOff>1825054</xdr:colOff>
      <xdr:row>36</xdr:row>
      <xdr:rowOff>174608</xdr:rowOff>
    </xdr:to>
    <xdr:pic>
      <xdr:nvPicPr>
        <xdr:cNvPr id="7" name="Picture 6"/>
        <xdr:cNvPicPr>
          <a:picLocks noChangeAspect="1"/>
        </xdr:cNvPicPr>
      </xdr:nvPicPr>
      <xdr:blipFill>
        <a:blip xmlns:r="http://schemas.openxmlformats.org/officeDocument/2006/relationships" r:embed="rId3"/>
        <a:stretch>
          <a:fillRect/>
        </a:stretch>
      </xdr:blipFill>
      <xdr:spPr>
        <a:xfrm>
          <a:off x="6449483" y="10458451"/>
          <a:ext cx="1719221" cy="2793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abSelected="1" zoomScale="90" zoomScaleNormal="90" workbookViewId="0">
      <selection activeCell="D12" sqref="D12:F12"/>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77" priority="1">
      <formula>AND($D$14=$E$24,NOT(ISBLANK(C21:C34)))</formula>
    </cfRule>
  </conditionalFormatting>
  <conditionalFormatting sqref="D15 E34">
    <cfRule type="expression" dxfId="76" priority="2">
      <formula>AND($D$15=$E$34,NOT(ISBLANK(C21:C34)))</formula>
    </cfRule>
  </conditionalFormatting>
  <conditionalFormatting sqref="D16 E35">
    <cfRule type="expression" dxfId="75" priority="3">
      <formula>AND($D$16=$E$35,NOT(ISBLANK(C21:C34)))</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zoomScale="90" zoomScaleNormal="90" workbookViewId="0">
      <selection activeCell="I24" sqref="I2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74" priority="1">
      <formula>AND($D$14=$E$24,NOT(ISBLANK(C21:C34)))</formula>
    </cfRule>
  </conditionalFormatting>
  <conditionalFormatting sqref="D15 E34">
    <cfRule type="expression" dxfId="73" priority="2">
      <formula>AND($D$15=$E$34,NOT(ISBLANK(C21:C34)))</formula>
    </cfRule>
  </conditionalFormatting>
  <conditionalFormatting sqref="D16 E35">
    <cfRule type="expression" dxfId="72" priority="3">
      <formula>AND($D$16=$E$35,NOT(ISBLANK(C21:C34)))</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71" priority="1">
      <formula>AND($D$14=$E$24,NOT(ISBLANK(C21:C34)))</formula>
    </cfRule>
  </conditionalFormatting>
  <conditionalFormatting sqref="D15 E34">
    <cfRule type="expression" dxfId="70" priority="2">
      <formula>AND($D$15=$E$34,NOT(ISBLANK(C21:C34)))</formula>
    </cfRule>
  </conditionalFormatting>
  <conditionalFormatting sqref="D16 E35">
    <cfRule type="expression" dxfId="69" priority="3">
      <formula>AND($D$16=$E$35,NOT(ISBLANK(C21:C34)))</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68" priority="1">
      <formula>AND($D$14=$E$24,NOT(ISBLANK(C21:C34)))</formula>
    </cfRule>
  </conditionalFormatting>
  <conditionalFormatting sqref="D15 E34">
    <cfRule type="expression" dxfId="67" priority="2">
      <formula>AND($D$15=$E$34,NOT(ISBLANK(C21:C34)))</formula>
    </cfRule>
  </conditionalFormatting>
  <conditionalFormatting sqref="D16 E35">
    <cfRule type="expression" dxfId="66" priority="3">
      <formula>AND($D$16=$E$35,NOT(ISBLANK(C21:C34)))</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B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65" priority="1">
      <formula>AND($D$14=$E$24,NOT(ISBLANK(C21:C34)))</formula>
    </cfRule>
  </conditionalFormatting>
  <conditionalFormatting sqref="D15 E34">
    <cfRule type="expression" dxfId="64" priority="2">
      <formula>AND($D$15=$E$34,NOT(ISBLANK(C21:C34)))</formula>
    </cfRule>
  </conditionalFormatting>
  <conditionalFormatting sqref="D16 E35">
    <cfRule type="expression" dxfId="63" priority="3">
      <formula>AND($D$16=$E$35,NOT(ISBLANK(C21:C34)))</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62" priority="1">
      <formula>AND($D$14=$E$24,NOT(ISBLANK(C21:C34)))</formula>
    </cfRule>
  </conditionalFormatting>
  <conditionalFormatting sqref="D15 E34">
    <cfRule type="expression" dxfId="61" priority="2">
      <formula>AND($D$15=$E$34,NOT(ISBLANK(C21:C34)))</formula>
    </cfRule>
  </conditionalFormatting>
  <conditionalFormatting sqref="D16 E35">
    <cfRule type="expression" dxfId="60" priority="3">
      <formula>AND($D$16=$E$35,NOT(ISBLANK(C21:C34)))</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59" priority="1">
      <formula>AND($D$14=$E$24,NOT(ISBLANK(C21:C34)))</formula>
    </cfRule>
  </conditionalFormatting>
  <conditionalFormatting sqref="D15 E34">
    <cfRule type="expression" dxfId="58" priority="2">
      <formula>AND($D$15=$E$34,NOT(ISBLANK(C21:C34)))</formula>
    </cfRule>
  </conditionalFormatting>
  <conditionalFormatting sqref="D16 E35">
    <cfRule type="expression" dxfId="57" priority="3">
      <formula>AND($D$16=$E$35,NOT(ISBLANK(C21:C34)))</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56" priority="1">
      <formula>AND($D$14=$E$24,NOT(ISBLANK(C21:C34)))</formula>
    </cfRule>
  </conditionalFormatting>
  <conditionalFormatting sqref="D15 E34">
    <cfRule type="expression" dxfId="55" priority="2">
      <formula>AND($D$15=$E$34,NOT(ISBLANK(C21:C34)))</formula>
    </cfRule>
  </conditionalFormatting>
  <conditionalFormatting sqref="D16 E35">
    <cfRule type="expression" dxfId="54" priority="3">
      <formula>AND($D$16=$E$35,NOT(ISBLANK(C21:C34)))</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53" priority="1">
      <formula>AND($D$14=$E$24,NOT(ISBLANK(C21:C34)))</formula>
    </cfRule>
  </conditionalFormatting>
  <conditionalFormatting sqref="D15 E34">
    <cfRule type="expression" dxfId="52" priority="2">
      <formula>AND($D$15=$E$34,NOT(ISBLANK(C21:C34)))</formula>
    </cfRule>
  </conditionalFormatting>
  <conditionalFormatting sqref="D16 E35">
    <cfRule type="expression" dxfId="51" priority="3">
      <formula>AND($D$16=$E$35,NOT(ISBLANK(C21:C34)))</formula>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5"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50" priority="1">
      <formula>AND($D$14=$E$24,NOT(ISBLANK(C21:C34)))</formula>
    </cfRule>
  </conditionalFormatting>
  <conditionalFormatting sqref="D15 E34">
    <cfRule type="expression" dxfId="49" priority="2">
      <formula>AND($D$15=$E$34,NOT(ISBLANK(C21:C34)))</formula>
    </cfRule>
  </conditionalFormatting>
  <conditionalFormatting sqref="D16 E35">
    <cfRule type="expression" dxfId="48" priority="3">
      <formula>AND($D$16=$E$35,NOT(ISBLANK(C21:C34)))</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47" priority="1">
      <formula>AND($D$14=$E$24,NOT(ISBLANK(C21:C34)))</formula>
    </cfRule>
  </conditionalFormatting>
  <conditionalFormatting sqref="D15 E34">
    <cfRule type="expression" dxfId="46" priority="2">
      <formula>AND($D$15=$E$34,NOT(ISBLANK(C21:C34)))</formula>
    </cfRule>
  </conditionalFormatting>
  <conditionalFormatting sqref="D16 E35">
    <cfRule type="expression" dxfId="45" priority="3">
      <formula>AND($D$16=$E$35,NOT(ISBLANK(C21:C34)))</formula>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44" priority="1">
      <formula>AND($D$14=$E$24,NOT(ISBLANK(C21:C34)))</formula>
    </cfRule>
  </conditionalFormatting>
  <conditionalFormatting sqref="D15 E34">
    <cfRule type="expression" dxfId="43" priority="2">
      <formula>AND($D$15=$E$34,NOT(ISBLANK(C21:C34)))</formula>
    </cfRule>
  </conditionalFormatting>
  <conditionalFormatting sqref="D16 E35">
    <cfRule type="expression" dxfId="42" priority="3">
      <formula>AND($D$16=$E$35,NOT(ISBLANK(C21:C34)))</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41" priority="1">
      <formula>AND($D$14=$E$24,NOT(ISBLANK(C21:C34)))</formula>
    </cfRule>
  </conditionalFormatting>
  <conditionalFormatting sqref="D15 E34">
    <cfRule type="expression" dxfId="40" priority="2">
      <formula>AND($D$15=$E$34,NOT(ISBLANK(C21:C34)))</formula>
    </cfRule>
  </conditionalFormatting>
  <conditionalFormatting sqref="D16 E35">
    <cfRule type="expression" dxfId="39" priority="3">
      <formula>AND($D$16=$E$35,NOT(ISBLANK(C21:C34)))</formula>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38" priority="1">
      <formula>AND($D$14=$E$24,NOT(ISBLANK(C21:C34)))</formula>
    </cfRule>
  </conditionalFormatting>
  <conditionalFormatting sqref="D15 E34">
    <cfRule type="expression" dxfId="37" priority="2">
      <formula>AND($D$15=$E$34,NOT(ISBLANK(C21:C34)))</formula>
    </cfRule>
  </conditionalFormatting>
  <conditionalFormatting sqref="D16 E35">
    <cfRule type="expression" dxfId="36" priority="3">
      <formula>AND($D$16=$E$35,NOT(ISBLANK(C21:C34)))</formula>
    </cfRule>
  </conditionalFormatting>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35" priority="1">
      <formula>AND($D$14=$E$24,NOT(ISBLANK(C21:C34)))</formula>
    </cfRule>
  </conditionalFormatting>
  <conditionalFormatting sqref="D15 E34">
    <cfRule type="expression" dxfId="34" priority="2">
      <formula>AND($D$15=$E$34,NOT(ISBLANK(C21:C34)))</formula>
    </cfRule>
  </conditionalFormatting>
  <conditionalFormatting sqref="D16 E35">
    <cfRule type="expression" dxfId="33" priority="3">
      <formula>AND($D$16=$E$35,NOT(ISBLANK(C21:C34)))</formula>
    </cfRule>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32" priority="1">
      <formula>AND($D$14=$E$24,NOT(ISBLANK(C21:C34)))</formula>
    </cfRule>
  </conditionalFormatting>
  <conditionalFormatting sqref="D15 E34">
    <cfRule type="expression" dxfId="31" priority="2">
      <formula>AND($D$15=$E$34,NOT(ISBLANK(C21:C34)))</formula>
    </cfRule>
  </conditionalFormatting>
  <conditionalFormatting sqref="D16 E35">
    <cfRule type="expression" dxfId="30" priority="3">
      <formula>AND($D$16=$E$35,NOT(ISBLANK(C21:C34)))</formula>
    </cfRule>
  </conditionalFormatting>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29" priority="1">
      <formula>AND($D$14=$E$24,NOT(ISBLANK(C21:C34)))</formula>
    </cfRule>
  </conditionalFormatting>
  <conditionalFormatting sqref="D15 E34">
    <cfRule type="expression" dxfId="28" priority="2">
      <formula>AND($D$15=$E$34,NOT(ISBLANK(C21:C34)))</formula>
    </cfRule>
  </conditionalFormatting>
  <conditionalFormatting sqref="D16 E35">
    <cfRule type="expression" dxfId="27" priority="3">
      <formula>AND($D$16=$E$35,NOT(ISBLANK(C21:C34)))</formula>
    </cfRule>
  </conditionalFormatting>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26" priority="1">
      <formula>AND($D$14=$E$24,NOT(ISBLANK(C21:C34)))</formula>
    </cfRule>
  </conditionalFormatting>
  <conditionalFormatting sqref="D15 E34">
    <cfRule type="expression" dxfId="25" priority="2">
      <formula>AND($D$15=$E$34,NOT(ISBLANK(C21:C34)))</formula>
    </cfRule>
  </conditionalFormatting>
  <conditionalFormatting sqref="D16 E35">
    <cfRule type="expression" dxfId="24" priority="3">
      <formula>AND($D$16=$E$35,NOT(ISBLANK(C21:C34)))</formula>
    </cfRule>
  </conditionalFormatting>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23" priority="1">
      <formula>AND($D$14=$E$24,NOT(ISBLANK(C21:C34)))</formula>
    </cfRule>
  </conditionalFormatting>
  <conditionalFormatting sqref="D15 E34">
    <cfRule type="expression" dxfId="22" priority="2">
      <formula>AND($D$15=$E$34,NOT(ISBLANK(C21:C34)))</formula>
    </cfRule>
  </conditionalFormatting>
  <conditionalFormatting sqref="D16 E35">
    <cfRule type="expression" dxfId="21" priority="3">
      <formula>AND($D$16=$E$35,NOT(ISBLANK(C21:C34)))</formula>
    </cfRule>
  </conditionalFormatting>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20" priority="1">
      <formula>AND($D$14=$E$24,NOT(ISBLANK(C21:C34)))</formula>
    </cfRule>
  </conditionalFormatting>
  <conditionalFormatting sqref="D15 E34">
    <cfRule type="expression" dxfId="19" priority="2">
      <formula>AND($D$15=$E$34,NOT(ISBLANK(C21:C34)))</formula>
    </cfRule>
  </conditionalFormatting>
  <conditionalFormatting sqref="D16 E35">
    <cfRule type="expression" dxfId="18" priority="3">
      <formula>AND($D$16=$E$35,NOT(ISBLANK(C21:C34)))</formula>
    </cfRule>
  </conditionalFormatting>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17" priority="1">
      <formula>AND($D$14=$E$24,NOT(ISBLANK(C21:C34)))</formula>
    </cfRule>
  </conditionalFormatting>
  <conditionalFormatting sqref="D15 E34">
    <cfRule type="expression" dxfId="16" priority="2">
      <formula>AND($D$15=$E$34,NOT(ISBLANK(C21:C34)))</formula>
    </cfRule>
  </conditionalFormatting>
  <conditionalFormatting sqref="D16 E35">
    <cfRule type="expression" dxfId="15" priority="3">
      <formula>AND($D$16=$E$35,NOT(ISBLANK(C21:C34)))</formula>
    </cfRule>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14" priority="1">
      <formula>AND($D$14=$E$24,NOT(ISBLANK(C21:C34)))</formula>
    </cfRule>
  </conditionalFormatting>
  <conditionalFormatting sqref="D15 E34">
    <cfRule type="expression" dxfId="13" priority="2">
      <formula>AND($D$15=$E$34,NOT(ISBLANK(C21:C34)))</formula>
    </cfRule>
  </conditionalFormatting>
  <conditionalFormatting sqref="D16 E35">
    <cfRule type="expression" dxfId="12" priority="3">
      <formula>AND($D$16=$E$35,NOT(ISBLANK(C21:C34)))</formula>
    </cfRule>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5"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11" priority="1">
      <formula>AND($D$14=$E$24,NOT(ISBLANK(C21:C34)))</formula>
    </cfRule>
  </conditionalFormatting>
  <conditionalFormatting sqref="D15 E34">
    <cfRule type="expression" dxfId="10" priority="2">
      <formula>AND($D$15=$E$34,NOT(ISBLANK(C21:C34)))</formula>
    </cfRule>
  </conditionalFormatting>
  <conditionalFormatting sqref="D16 E35">
    <cfRule type="expression" dxfId="9" priority="3">
      <formula>AND($D$16=$E$35,NOT(ISBLANK(C21:C34)))</formula>
    </cfRule>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8" priority="1">
      <formula>AND($D$14=$E$24,NOT(ISBLANK(C21:C34)))</formula>
    </cfRule>
  </conditionalFormatting>
  <conditionalFormatting sqref="D15 E34">
    <cfRule type="expression" dxfId="7" priority="2">
      <formula>AND($D$15=$E$34,NOT(ISBLANK(C21:C34)))</formula>
    </cfRule>
  </conditionalFormatting>
  <conditionalFormatting sqref="D16 E35">
    <cfRule type="expression" dxfId="6" priority="3">
      <formula>AND($D$16=$E$35,NOT(ISBLANK(C21:C34)))</formula>
    </cfRule>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3"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5" priority="1">
      <formula>AND($D$14=$E$24,NOT(ISBLANK(C21:C34)))</formula>
    </cfRule>
  </conditionalFormatting>
  <conditionalFormatting sqref="D15 E34">
    <cfRule type="expression" dxfId="4" priority="2">
      <formula>AND($D$15=$E$34,NOT(ISBLANK(C21:C34)))</formula>
    </cfRule>
  </conditionalFormatting>
  <conditionalFormatting sqref="D16 E35">
    <cfRule type="expression" dxfId="3" priority="3">
      <formula>AND($D$16=$E$35,NOT(ISBLANK(C21:C34)))</formula>
    </cfRule>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zoomScale="90" zoomScaleNormal="90" workbookViewId="0">
      <selection activeCell="A21" sqref="A21:A34"/>
    </sheetView>
  </sheetViews>
  <sheetFormatPr defaultRowHeight="15" x14ac:dyDescent="0.25"/>
  <cols>
    <col min="1" max="1" width="14.42578125" customWidth="1"/>
    <col min="2" max="2" width="16.85546875" customWidth="1"/>
    <col min="3" max="3" width="15.28515625" customWidth="1"/>
    <col min="4" max="4" width="16" customWidth="1"/>
    <col min="5" max="5" width="14.85546875" customWidth="1"/>
    <col min="6" max="6" width="17.7109375" customWidth="1"/>
    <col min="7" max="7" width="28.140625" customWidth="1"/>
  </cols>
  <sheetData>
    <row r="1" spans="1:7" ht="30" customHeight="1" x14ac:dyDescent="0.25">
      <c r="A1" s="49" t="s">
        <v>0</v>
      </c>
      <c r="B1" s="50"/>
      <c r="C1" s="50"/>
      <c r="D1" s="50"/>
      <c r="E1" s="50"/>
      <c r="F1" s="50"/>
      <c r="G1" s="53"/>
    </row>
    <row r="2" spans="1:7" ht="46.5" customHeight="1" x14ac:dyDescent="0.25">
      <c r="A2" s="51"/>
      <c r="B2" s="52"/>
      <c r="C2" s="52"/>
      <c r="D2" s="52"/>
      <c r="E2" s="52"/>
      <c r="F2" s="52"/>
      <c r="G2" s="54"/>
    </row>
    <row r="3" spans="1:7" ht="44.25" customHeight="1" x14ac:dyDescent="0.25">
      <c r="A3" s="51"/>
      <c r="B3" s="52"/>
      <c r="C3" s="52"/>
      <c r="D3" s="52"/>
      <c r="E3" s="52"/>
      <c r="F3" s="52"/>
      <c r="G3" s="54"/>
    </row>
    <row r="4" spans="1:7" ht="15" customHeight="1" thickBot="1" x14ac:dyDescent="0.3">
      <c r="A4" s="51"/>
      <c r="B4" s="52"/>
      <c r="C4" s="52"/>
      <c r="D4" s="52"/>
      <c r="E4" s="52"/>
      <c r="F4" s="52"/>
      <c r="G4" s="54"/>
    </row>
    <row r="5" spans="1:7" ht="42.75" customHeight="1" x14ac:dyDescent="0.25">
      <c r="A5" s="55" t="s">
        <v>1</v>
      </c>
      <c r="B5" s="56"/>
      <c r="C5" s="56"/>
      <c r="D5" s="56"/>
      <c r="E5" s="56"/>
      <c r="F5" s="56"/>
      <c r="G5" s="57"/>
    </row>
    <row r="6" spans="1:7" ht="28.5" customHeight="1" x14ac:dyDescent="0.25">
      <c r="A6" s="58" t="s">
        <v>34</v>
      </c>
      <c r="B6" s="59"/>
      <c r="C6" s="59"/>
      <c r="D6" s="59"/>
      <c r="E6" s="59"/>
      <c r="F6" s="59"/>
      <c r="G6" s="60"/>
    </row>
    <row r="7" spans="1:7" ht="57" customHeight="1" x14ac:dyDescent="0.25">
      <c r="A7" s="61" t="s">
        <v>36</v>
      </c>
      <c r="B7" s="62"/>
      <c r="C7" s="62"/>
      <c r="D7" s="62"/>
      <c r="E7" s="62"/>
      <c r="F7" s="62"/>
      <c r="G7" s="63"/>
    </row>
    <row r="8" spans="1:7" ht="65.25" customHeight="1" thickBot="1" x14ac:dyDescent="0.3">
      <c r="A8" s="64" t="s">
        <v>35</v>
      </c>
      <c r="B8" s="65"/>
      <c r="C8" s="65"/>
      <c r="D8" s="65"/>
      <c r="E8" s="65"/>
      <c r="F8" s="65"/>
      <c r="G8" s="66"/>
    </row>
    <row r="9" spans="1:7" ht="15.75" thickBot="1" x14ac:dyDescent="0.3">
      <c r="A9" s="25"/>
      <c r="B9" s="26"/>
      <c r="C9" s="26"/>
      <c r="D9" s="26"/>
      <c r="E9" s="26"/>
      <c r="F9" s="26"/>
      <c r="G9" s="27"/>
    </row>
    <row r="10" spans="1:7" ht="15.75" thickBot="1" x14ac:dyDescent="0.3">
      <c r="A10" s="67" t="s">
        <v>2</v>
      </c>
      <c r="B10" s="68"/>
      <c r="C10" s="68"/>
      <c r="D10" s="68"/>
      <c r="E10" s="68"/>
      <c r="F10" s="69"/>
      <c r="G10" s="28"/>
    </row>
    <row r="11" spans="1:7" ht="26.25" x14ac:dyDescent="0.4">
      <c r="A11" s="70" t="s">
        <v>3</v>
      </c>
      <c r="B11" s="71"/>
      <c r="C11" s="71"/>
      <c r="D11" s="72">
        <f ca="1">'School Budget (1)'!D11:F11</f>
        <v>0</v>
      </c>
      <c r="E11" s="72"/>
      <c r="F11" s="73"/>
      <c r="G11" s="29"/>
    </row>
    <row r="12" spans="1:7" ht="15.75" x14ac:dyDescent="0.25">
      <c r="A12" s="45" t="s">
        <v>4</v>
      </c>
      <c r="B12" s="46"/>
      <c r="C12" s="46"/>
      <c r="D12" s="47"/>
      <c r="E12" s="47"/>
      <c r="F12" s="48"/>
      <c r="G12" s="30"/>
    </row>
    <row r="13" spans="1:7" ht="15.75" x14ac:dyDescent="0.25">
      <c r="A13" s="45" t="s">
        <v>5</v>
      </c>
      <c r="B13" s="46"/>
      <c r="C13" s="46"/>
      <c r="D13" s="47"/>
      <c r="E13" s="47"/>
      <c r="F13" s="48"/>
      <c r="G13" s="31"/>
    </row>
    <row r="14" spans="1:7" ht="15.75" x14ac:dyDescent="0.25">
      <c r="A14" s="76" t="s">
        <v>6</v>
      </c>
      <c r="B14" s="77"/>
      <c r="C14" s="77"/>
      <c r="D14" s="78"/>
      <c r="E14" s="78"/>
      <c r="F14" s="79"/>
      <c r="G14" s="30"/>
    </row>
    <row r="15" spans="1:7" ht="15.75" x14ac:dyDescent="0.25">
      <c r="A15" s="76" t="s">
        <v>7</v>
      </c>
      <c r="B15" s="77"/>
      <c r="C15" s="77"/>
      <c r="D15" s="78"/>
      <c r="E15" s="78"/>
      <c r="F15" s="79"/>
      <c r="G15" s="30"/>
    </row>
    <row r="16" spans="1:7" ht="26.25" x14ac:dyDescent="0.4">
      <c r="A16" s="80" t="s">
        <v>8</v>
      </c>
      <c r="B16" s="81"/>
      <c r="C16" s="81"/>
      <c r="D16" s="82">
        <f>SUM(D14:F15)</f>
        <v>0</v>
      </c>
      <c r="E16" s="82"/>
      <c r="F16" s="83"/>
      <c r="G16" s="29"/>
    </row>
    <row r="17" spans="1:7" ht="27" thickBot="1" x14ac:dyDescent="0.45">
      <c r="A17" s="84" t="s">
        <v>9</v>
      </c>
      <c r="B17" s="85"/>
      <c r="C17" s="85"/>
      <c r="D17" s="86" t="e">
        <f>D16/D13</f>
        <v>#DIV/0!</v>
      </c>
      <c r="E17" s="86"/>
      <c r="F17" s="87"/>
      <c r="G17" s="29"/>
    </row>
    <row r="18" spans="1:7" ht="16.5" thickBot="1" x14ac:dyDescent="0.3">
      <c r="A18" s="32"/>
      <c r="B18" s="33"/>
      <c r="C18" s="33"/>
      <c r="D18" s="33"/>
      <c r="E18" s="34"/>
      <c r="F18" s="35"/>
      <c r="G18" s="36"/>
    </row>
    <row r="19" spans="1:7" ht="15.75" thickBot="1" x14ac:dyDescent="0.3">
      <c r="A19" s="88" t="s">
        <v>10</v>
      </c>
      <c r="B19" s="89"/>
      <c r="C19" s="89"/>
      <c r="D19" s="89"/>
      <c r="E19" s="89"/>
      <c r="F19" s="89"/>
      <c r="G19" s="90"/>
    </row>
    <row r="20" spans="1:7" ht="45.75" thickBot="1" x14ac:dyDescent="0.3">
      <c r="A20" s="2" t="s">
        <v>11</v>
      </c>
      <c r="B20" s="3" t="s">
        <v>12</v>
      </c>
      <c r="C20" s="4" t="s">
        <v>13</v>
      </c>
      <c r="D20" s="4" t="s">
        <v>14</v>
      </c>
      <c r="E20" s="4" t="s">
        <v>15</v>
      </c>
      <c r="F20" s="4" t="s">
        <v>16</v>
      </c>
      <c r="G20" s="5" t="s">
        <v>17</v>
      </c>
    </row>
    <row r="21" spans="1:7" ht="15.75" thickBot="1" x14ac:dyDescent="0.3">
      <c r="A21" s="91" t="s">
        <v>18</v>
      </c>
      <c r="B21" s="6" t="s">
        <v>19</v>
      </c>
      <c r="C21" s="7"/>
      <c r="D21" s="6">
        <f>C21*$D$13</f>
        <v>0</v>
      </c>
      <c r="E21" s="24" t="e">
        <f>D21/$D$24*$D$14</f>
        <v>#DIV/0!</v>
      </c>
      <c r="F21" s="8" t="e">
        <f>E21-G21</f>
        <v>#DIV/0!</v>
      </c>
      <c r="G21" s="9" t="e">
        <f>E21*0.1</f>
        <v>#DIV/0!</v>
      </c>
    </row>
    <row r="22" spans="1:7" ht="15.75" thickBot="1" x14ac:dyDescent="0.3">
      <c r="A22" s="92"/>
      <c r="B22" s="10" t="s">
        <v>20</v>
      </c>
      <c r="C22" s="7"/>
      <c r="D22" s="10">
        <f t="shared" ref="D22:D23" si="0">C22*$D$13</f>
        <v>0</v>
      </c>
      <c r="E22" s="11" t="e">
        <f>D22/$D$24*$D$14</f>
        <v>#DIV/0!</v>
      </c>
      <c r="F22" s="11" t="e">
        <f>E22-G22</f>
        <v>#DIV/0!</v>
      </c>
      <c r="G22" s="12" t="e">
        <f>E22*0.1</f>
        <v>#DIV/0!</v>
      </c>
    </row>
    <row r="23" spans="1:7" x14ac:dyDescent="0.25">
      <c r="A23" s="92"/>
      <c r="B23" s="10" t="s">
        <v>21</v>
      </c>
      <c r="C23" s="7"/>
      <c r="D23" s="10">
        <f t="shared" si="0"/>
        <v>0</v>
      </c>
      <c r="E23" s="11" t="e">
        <f>D23/$D$24*$D$14</f>
        <v>#DIV/0!</v>
      </c>
      <c r="F23" s="11" t="e">
        <f t="shared" ref="F23:F33" si="1">E23-G23</f>
        <v>#DIV/0!</v>
      </c>
      <c r="G23" s="12" t="e">
        <f t="shared" ref="G23:G33" si="2">E23*0.1</f>
        <v>#DIV/0!</v>
      </c>
    </row>
    <row r="24" spans="1:7" ht="15.75" thickBot="1" x14ac:dyDescent="0.3">
      <c r="A24" s="93"/>
      <c r="B24" s="13" t="s">
        <v>22</v>
      </c>
      <c r="C24" s="14">
        <f>SUM(C21:C23)</f>
        <v>0</v>
      </c>
      <c r="D24" s="14">
        <f t="shared" ref="D24:G24" si="3">SUM(D21:D23)</f>
        <v>0</v>
      </c>
      <c r="E24" s="15" t="e">
        <f t="shared" si="3"/>
        <v>#DIV/0!</v>
      </c>
      <c r="F24" s="15" t="e">
        <f t="shared" si="3"/>
        <v>#DIV/0!</v>
      </c>
      <c r="G24" s="16" t="e">
        <f t="shared" si="3"/>
        <v>#DIV/0!</v>
      </c>
    </row>
    <row r="25" spans="1:7" ht="15.75" thickBot="1" x14ac:dyDescent="0.3">
      <c r="A25" s="91" t="s">
        <v>23</v>
      </c>
      <c r="B25" s="6" t="s">
        <v>23</v>
      </c>
      <c r="C25" s="17"/>
      <c r="D25" s="6">
        <f>C25*$D$13</f>
        <v>0</v>
      </c>
      <c r="E25" s="8" t="e">
        <f t="shared" ref="E25:E33" si="4">D25/$D$34*$D$15</f>
        <v>#DIV/0!</v>
      </c>
      <c r="F25" s="8" t="e">
        <f t="shared" si="1"/>
        <v>#DIV/0!</v>
      </c>
      <c r="G25" s="9" t="e">
        <f t="shared" si="2"/>
        <v>#DIV/0!</v>
      </c>
    </row>
    <row r="26" spans="1:7" ht="15.75" thickBot="1" x14ac:dyDescent="0.3">
      <c r="A26" s="94"/>
      <c r="B26" s="10" t="s">
        <v>24</v>
      </c>
      <c r="C26" s="17"/>
      <c r="D26" s="10">
        <f t="shared" ref="D26:D33" si="5">C26*$D$13</f>
        <v>0</v>
      </c>
      <c r="E26" s="11" t="e">
        <f t="shared" si="4"/>
        <v>#DIV/0!</v>
      </c>
      <c r="F26" s="11" t="e">
        <f t="shared" si="1"/>
        <v>#DIV/0!</v>
      </c>
      <c r="G26" s="12" t="e">
        <f t="shared" si="2"/>
        <v>#DIV/0!</v>
      </c>
    </row>
    <row r="27" spans="1:7" ht="15.75" thickBot="1" x14ac:dyDescent="0.3">
      <c r="A27" s="94"/>
      <c r="B27" s="10" t="s">
        <v>25</v>
      </c>
      <c r="C27" s="17"/>
      <c r="D27" s="10">
        <f t="shared" si="5"/>
        <v>0</v>
      </c>
      <c r="E27" s="11" t="e">
        <f t="shared" si="4"/>
        <v>#DIV/0!</v>
      </c>
      <c r="F27" s="11" t="e">
        <f t="shared" si="1"/>
        <v>#DIV/0!</v>
      </c>
      <c r="G27" s="12" t="e">
        <f t="shared" si="2"/>
        <v>#DIV/0!</v>
      </c>
    </row>
    <row r="28" spans="1:7" ht="15.75" thickBot="1" x14ac:dyDescent="0.3">
      <c r="A28" s="94"/>
      <c r="B28" s="10" t="s">
        <v>26</v>
      </c>
      <c r="C28" s="17"/>
      <c r="D28" s="10">
        <f t="shared" si="5"/>
        <v>0</v>
      </c>
      <c r="E28" s="11" t="e">
        <f t="shared" si="4"/>
        <v>#DIV/0!</v>
      </c>
      <c r="F28" s="11" t="e">
        <f t="shared" si="1"/>
        <v>#DIV/0!</v>
      </c>
      <c r="G28" s="12" t="e">
        <f t="shared" si="2"/>
        <v>#DIV/0!</v>
      </c>
    </row>
    <row r="29" spans="1:7" ht="15.75" thickBot="1" x14ac:dyDescent="0.3">
      <c r="A29" s="94"/>
      <c r="B29" s="10" t="s">
        <v>27</v>
      </c>
      <c r="C29" s="17"/>
      <c r="D29" s="10">
        <f t="shared" si="5"/>
        <v>0</v>
      </c>
      <c r="E29" s="11" t="e">
        <f t="shared" si="4"/>
        <v>#DIV/0!</v>
      </c>
      <c r="F29" s="11" t="e">
        <f t="shared" si="1"/>
        <v>#DIV/0!</v>
      </c>
      <c r="G29" s="12" t="e">
        <f t="shared" si="2"/>
        <v>#DIV/0!</v>
      </c>
    </row>
    <row r="30" spans="1:7" ht="15.75" thickBot="1" x14ac:dyDescent="0.3">
      <c r="A30" s="94"/>
      <c r="B30" s="10" t="s">
        <v>28</v>
      </c>
      <c r="C30" s="17"/>
      <c r="D30" s="10">
        <f t="shared" si="5"/>
        <v>0</v>
      </c>
      <c r="E30" s="11" t="e">
        <f t="shared" si="4"/>
        <v>#DIV/0!</v>
      </c>
      <c r="F30" s="11" t="e">
        <f t="shared" si="1"/>
        <v>#DIV/0!</v>
      </c>
      <c r="G30" s="12" t="e">
        <f t="shared" si="2"/>
        <v>#DIV/0!</v>
      </c>
    </row>
    <row r="31" spans="1:7" ht="15.75" thickBot="1" x14ac:dyDescent="0.3">
      <c r="A31" s="94"/>
      <c r="B31" s="10" t="s">
        <v>29</v>
      </c>
      <c r="C31" s="17"/>
      <c r="D31" s="10">
        <f t="shared" si="5"/>
        <v>0</v>
      </c>
      <c r="E31" s="11" t="e">
        <f t="shared" si="4"/>
        <v>#DIV/0!</v>
      </c>
      <c r="F31" s="11" t="e">
        <f t="shared" si="1"/>
        <v>#DIV/0!</v>
      </c>
      <c r="G31" s="12" t="e">
        <f t="shared" si="2"/>
        <v>#DIV/0!</v>
      </c>
    </row>
    <row r="32" spans="1:7" ht="15.75" thickBot="1" x14ac:dyDescent="0.3">
      <c r="A32" s="94"/>
      <c r="B32" s="10" t="s">
        <v>30</v>
      </c>
      <c r="C32" s="17"/>
      <c r="D32" s="10">
        <f t="shared" si="5"/>
        <v>0</v>
      </c>
      <c r="E32" s="11" t="e">
        <f t="shared" si="4"/>
        <v>#DIV/0!</v>
      </c>
      <c r="F32" s="11" t="e">
        <f t="shared" si="1"/>
        <v>#DIV/0!</v>
      </c>
      <c r="G32" s="12" t="e">
        <f t="shared" si="2"/>
        <v>#DIV/0!</v>
      </c>
    </row>
    <row r="33" spans="1:7" x14ac:dyDescent="0.25">
      <c r="A33" s="94"/>
      <c r="B33" s="10" t="s">
        <v>31</v>
      </c>
      <c r="C33" s="17"/>
      <c r="D33" s="10">
        <f t="shared" si="5"/>
        <v>0</v>
      </c>
      <c r="E33" s="11" t="e">
        <f t="shared" si="4"/>
        <v>#DIV/0!</v>
      </c>
      <c r="F33" s="11" t="e">
        <f t="shared" si="1"/>
        <v>#DIV/0!</v>
      </c>
      <c r="G33" s="12" t="e">
        <f t="shared" si="2"/>
        <v>#DIV/0!</v>
      </c>
    </row>
    <row r="34" spans="1:7" ht="15.75" thickBot="1" x14ac:dyDescent="0.3">
      <c r="A34" s="95"/>
      <c r="B34" s="13" t="s">
        <v>32</v>
      </c>
      <c r="C34" s="14">
        <f>SUM(C25:C33)</f>
        <v>0</v>
      </c>
      <c r="D34" s="14">
        <f>SUM(D25:D33)</f>
        <v>0</v>
      </c>
      <c r="E34" s="18" t="e">
        <f>SUM(E25:E33)</f>
        <v>#DIV/0!</v>
      </c>
      <c r="F34" s="18" t="e">
        <f>SUM(F25:F33)</f>
        <v>#DIV/0!</v>
      </c>
      <c r="G34" s="19" t="e">
        <f>SUM(G25:G33)</f>
        <v>#DIV/0!</v>
      </c>
    </row>
    <row r="35" spans="1:7" ht="15.75" thickBot="1" x14ac:dyDescent="0.3">
      <c r="A35" s="74" t="s">
        <v>33</v>
      </c>
      <c r="B35" s="75"/>
      <c r="C35" s="20">
        <f>SUM(C24,C34)</f>
        <v>0</v>
      </c>
      <c r="D35" s="20">
        <f>SUM(D24,D34)</f>
        <v>0</v>
      </c>
      <c r="E35" s="21" t="e">
        <f>SUM(E24,E34)</f>
        <v>#DIV/0!</v>
      </c>
      <c r="F35" s="21" t="e">
        <f>SUM(F24,F34)</f>
        <v>#DIV/0!</v>
      </c>
      <c r="G35" s="22" t="e">
        <f>SUM(G24,G34)</f>
        <v>#DIV/0!</v>
      </c>
    </row>
    <row r="36" spans="1:7" ht="15.75" x14ac:dyDescent="0.25">
      <c r="A36" s="37"/>
      <c r="B36" s="35"/>
      <c r="C36" s="35"/>
      <c r="D36" s="38"/>
      <c r="E36" s="35"/>
      <c r="F36" s="35"/>
      <c r="G36" s="39"/>
    </row>
    <row r="37" spans="1:7" ht="16.5" thickBot="1" x14ac:dyDescent="0.3">
      <c r="A37" s="40"/>
      <c r="B37" s="41"/>
      <c r="C37" s="41"/>
      <c r="D37" s="42"/>
      <c r="E37" s="41"/>
      <c r="F37" s="43"/>
      <c r="G37" s="44"/>
    </row>
    <row r="38" spans="1:7" ht="15.75" x14ac:dyDescent="0.25">
      <c r="A38" s="1"/>
      <c r="B38" s="1"/>
      <c r="C38" s="1"/>
      <c r="D38" s="23"/>
      <c r="E38" s="1"/>
      <c r="F38" s="1"/>
      <c r="G38" s="23"/>
    </row>
  </sheetData>
  <mergeCells count="25">
    <mergeCell ref="A35:B35"/>
    <mergeCell ref="A14:C14"/>
    <mergeCell ref="D14:F14"/>
    <mergeCell ref="A15:C15"/>
    <mergeCell ref="D15:F15"/>
    <mergeCell ref="A16:C16"/>
    <mergeCell ref="D16:F16"/>
    <mergeCell ref="A17:C17"/>
    <mergeCell ref="D17:F17"/>
    <mergeCell ref="A19:G19"/>
    <mergeCell ref="A21:A24"/>
    <mergeCell ref="A25:A34"/>
    <mergeCell ref="A13:C13"/>
    <mergeCell ref="D13:F13"/>
    <mergeCell ref="A1:F4"/>
    <mergeCell ref="G1:G4"/>
    <mergeCell ref="A5:G5"/>
    <mergeCell ref="A6:G6"/>
    <mergeCell ref="A7:G7"/>
    <mergeCell ref="A8:G8"/>
    <mergeCell ref="A10:F10"/>
    <mergeCell ref="A11:C11"/>
    <mergeCell ref="D11:F11"/>
    <mergeCell ref="A12:C12"/>
    <mergeCell ref="D12:F12"/>
  </mergeCells>
  <conditionalFormatting sqref="D14 E24">
    <cfRule type="expression" dxfId="2" priority="1">
      <formula>AND($D$14=$E$24,NOT(ISBLANK(C21:C34)))</formula>
    </cfRule>
  </conditionalFormatting>
  <conditionalFormatting sqref="D15 E34">
    <cfRule type="expression" dxfId="1" priority="2">
      <formula>AND($D$15=$E$34,NOT(ISBLANK(C21:C34)))</formula>
    </cfRule>
  </conditionalFormatting>
  <conditionalFormatting sqref="D16 E35">
    <cfRule type="expression" dxfId="0" priority="3">
      <formula>AND($D$16=$E$35,NOT(ISBLANK(C21:C34)))</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School Budget (1)</vt:lpstr>
      <vt:lpstr>School Budget (2)</vt:lpstr>
      <vt:lpstr>School Budget (3)</vt:lpstr>
      <vt:lpstr>School Budget (4)</vt:lpstr>
      <vt:lpstr>School Budget (5)</vt:lpstr>
      <vt:lpstr>School Budget (6)</vt:lpstr>
      <vt:lpstr>School Budget (7)</vt:lpstr>
      <vt:lpstr>School Budget (8)</vt:lpstr>
      <vt:lpstr>School Budget (9)</vt:lpstr>
      <vt:lpstr>School Budget (10)</vt:lpstr>
      <vt:lpstr>School Budget (11)</vt:lpstr>
      <vt:lpstr>School Budget (12)</vt:lpstr>
      <vt:lpstr>School Budget (13)</vt:lpstr>
      <vt:lpstr>School Budget (14)</vt:lpstr>
      <vt:lpstr>School Budget (15)</vt:lpstr>
      <vt:lpstr>School Budget (16)</vt:lpstr>
      <vt:lpstr>School Budget (17)</vt:lpstr>
      <vt:lpstr>School Budget (18)</vt:lpstr>
      <vt:lpstr>School Budget (19)</vt:lpstr>
      <vt:lpstr>School Budget (20)</vt:lpstr>
      <vt:lpstr>School Budget (21)</vt:lpstr>
      <vt:lpstr>School Budget (22)</vt:lpstr>
      <vt:lpstr>School Budget (23)</vt:lpstr>
      <vt:lpstr>School Budget (24)</vt:lpstr>
      <vt:lpstr>School Budget (25)</vt:lpstr>
      <vt:lpstr>School Budget (26)</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LaViolette, Sara</dc:creator>
  <cp:lastModifiedBy>LaViolette, Sara</cp:lastModifiedBy>
  <dcterms:created xsi:type="dcterms:W3CDTF">2014-02-04T22:22:34Z</dcterms:created>
  <dcterms:modified xsi:type="dcterms:W3CDTF">2014-03-17T14:32:35Z</dcterms:modified>
</cp:coreProperties>
</file>