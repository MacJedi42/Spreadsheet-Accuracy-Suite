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344" yWindow="3768" windowWidth="17016" windowHeight="4920" activeTab="1"/>
  </bookViews>
  <sheets>
    <sheet name="Data" sheetId="1" r:id="rId1"/>
    <sheet name="DB barges vs UL NO barges" sheetId="2" r:id="rId2"/>
    <sheet name="River Analysis" sheetId="3" r:id="rId3"/>
  </sheets>
  <calcPr calcId="145621"/>
</workbook>
</file>

<file path=xl/calcChain.xml><?xml version="1.0" encoding="utf-8"?>
<calcChain xmlns="http://schemas.openxmlformats.org/spreadsheetml/2006/main">
  <c r="G407" i="1" l="1"/>
  <c r="H407" i="1"/>
  <c r="I407" i="1"/>
  <c r="J407" i="1"/>
  <c r="K407" i="1"/>
  <c r="L407" i="1"/>
  <c r="E407" i="1"/>
  <c r="D407" i="1"/>
  <c r="C407" i="1"/>
  <c r="B407" i="1"/>
  <c r="A407" i="1"/>
  <c r="G406" i="1" l="1"/>
  <c r="H406" i="1"/>
  <c r="I406" i="1"/>
  <c r="J406" i="1"/>
  <c r="K406" i="1"/>
  <c r="L406" i="1"/>
  <c r="E406" i="1"/>
  <c r="D406" i="1"/>
  <c r="C406" i="1"/>
  <c r="B406" i="1"/>
  <c r="A406" i="1"/>
  <c r="G405" i="1" l="1"/>
  <c r="H405" i="1"/>
  <c r="I405" i="1"/>
  <c r="J405" i="1"/>
  <c r="K405" i="1"/>
  <c r="L405" i="1"/>
  <c r="E405" i="1"/>
  <c r="D405" i="1"/>
  <c r="C405" i="1"/>
  <c r="B405" i="1"/>
  <c r="A405" i="1"/>
  <c r="G404" i="1" l="1"/>
  <c r="H404" i="1"/>
  <c r="I404" i="1"/>
  <c r="J404" i="1"/>
  <c r="K404" i="1"/>
  <c r="L404" i="1"/>
  <c r="E404" i="1"/>
  <c r="D404" i="1"/>
  <c r="C404" i="1"/>
  <c r="B404" i="1"/>
  <c r="A404" i="1"/>
  <c r="G403" i="1" l="1"/>
  <c r="H403" i="1"/>
  <c r="I403" i="1"/>
  <c r="J403" i="1"/>
  <c r="K403" i="1"/>
  <c r="L403" i="1"/>
  <c r="E403" i="1"/>
  <c r="D403" i="1"/>
  <c r="B403" i="1"/>
  <c r="A403" i="1"/>
  <c r="D402" i="1" l="1"/>
  <c r="C402" i="1"/>
  <c r="B402" i="1"/>
  <c r="E402" i="1" l="1"/>
  <c r="G402" i="1" s="1"/>
  <c r="H402" i="1"/>
  <c r="K402" i="1"/>
  <c r="L402" i="1"/>
  <c r="A402" i="1"/>
  <c r="J402" i="1" l="1"/>
  <c r="I402" i="1"/>
  <c r="E401" i="1"/>
  <c r="D401" i="1"/>
  <c r="C401" i="1"/>
  <c r="B401" i="1"/>
  <c r="A401" i="1" l="1"/>
  <c r="G401" i="1"/>
  <c r="H401" i="1"/>
  <c r="I401" i="1"/>
  <c r="J401" i="1"/>
  <c r="K401" i="1"/>
  <c r="L401" i="1"/>
  <c r="L400" i="1" l="1"/>
  <c r="K400" i="1"/>
  <c r="H400" i="1"/>
  <c r="E400" i="1"/>
  <c r="J400" i="1" s="1"/>
  <c r="A400" i="1"/>
  <c r="G400" i="1" l="1"/>
  <c r="I400" i="1"/>
  <c r="G399" i="1"/>
  <c r="H399" i="1"/>
  <c r="I399" i="1"/>
  <c r="J399" i="1"/>
  <c r="K399" i="1"/>
  <c r="L399" i="1"/>
  <c r="E399" i="1"/>
  <c r="D399" i="1"/>
  <c r="C399" i="1"/>
  <c r="B399" i="1"/>
  <c r="A399" i="1"/>
  <c r="G398" i="1" l="1"/>
  <c r="H398" i="1"/>
  <c r="I398" i="1"/>
  <c r="J398" i="1"/>
  <c r="K398" i="1"/>
  <c r="L398" i="1"/>
  <c r="E398" i="1"/>
  <c r="D398" i="1"/>
  <c r="C398" i="1"/>
  <c r="B398" i="1"/>
  <c r="A398" i="1"/>
  <c r="E397" i="1" l="1"/>
  <c r="D397" i="1"/>
  <c r="C397" i="1"/>
  <c r="B397" i="1"/>
  <c r="G397" i="1" l="1"/>
  <c r="H397" i="1"/>
  <c r="I397" i="1"/>
  <c r="J397" i="1"/>
  <c r="K397" i="1"/>
  <c r="L397" i="1"/>
  <c r="E396" i="1" l="1"/>
  <c r="D396" i="1"/>
  <c r="C396" i="1"/>
  <c r="B396" i="1"/>
  <c r="G396" i="1" l="1"/>
  <c r="H396" i="1"/>
  <c r="I396" i="1"/>
  <c r="J396" i="1"/>
  <c r="K396" i="1"/>
  <c r="L396" i="1"/>
  <c r="G395" i="1" l="1"/>
  <c r="H395" i="1"/>
  <c r="I395" i="1"/>
  <c r="J395" i="1"/>
  <c r="K395" i="1"/>
  <c r="L395" i="1"/>
  <c r="E395" i="1"/>
  <c r="D395" i="1"/>
  <c r="C395" i="1"/>
  <c r="B395" i="1"/>
  <c r="D394" i="1" l="1"/>
  <c r="C394" i="1"/>
  <c r="B394" i="1"/>
  <c r="H394" i="1" l="1"/>
  <c r="K394" i="1"/>
  <c r="L394" i="1"/>
  <c r="E394" i="1"/>
  <c r="G394" i="1" s="1"/>
  <c r="J394" i="1" l="1"/>
  <c r="I394" i="1"/>
  <c r="G393" i="1"/>
  <c r="H393" i="1"/>
  <c r="I393" i="1"/>
  <c r="J393" i="1"/>
  <c r="K393" i="1"/>
  <c r="L393" i="1"/>
  <c r="E393" i="1"/>
  <c r="D393" i="1"/>
  <c r="C393" i="1"/>
  <c r="B393" i="1"/>
  <c r="K392" i="1" l="1"/>
  <c r="H392" i="1"/>
  <c r="E392" i="1"/>
  <c r="G392" i="1" l="1"/>
  <c r="H391" i="1"/>
  <c r="K391" i="1"/>
  <c r="L391" i="1"/>
  <c r="D391" i="1"/>
  <c r="C391" i="1"/>
  <c r="E391" i="1" s="1"/>
  <c r="B391" i="1"/>
  <c r="J392" i="1" l="1"/>
  <c r="I392" i="1"/>
  <c r="G391" i="1"/>
  <c r="H390" i="1"/>
  <c r="K390" i="1"/>
  <c r="L390" i="1"/>
  <c r="E390" i="1"/>
  <c r="D390" i="1"/>
  <c r="C390" i="1"/>
  <c r="B390" i="1"/>
  <c r="J391" i="1" l="1"/>
  <c r="I391" i="1"/>
  <c r="G390" i="1"/>
  <c r="H389" i="1"/>
  <c r="K389" i="1"/>
  <c r="L389" i="1"/>
  <c r="E389" i="1"/>
  <c r="I390" i="1" s="1"/>
  <c r="D389" i="1"/>
  <c r="C389" i="1"/>
  <c r="B389" i="1"/>
  <c r="J390" i="1" l="1"/>
  <c r="G389" i="1"/>
  <c r="H388" i="1"/>
  <c r="K388" i="1"/>
  <c r="L388" i="1"/>
  <c r="D388" i="1"/>
  <c r="E388" i="1" s="1"/>
  <c r="C388" i="1"/>
  <c r="B388" i="1"/>
  <c r="J389" i="1" l="1"/>
  <c r="I389" i="1"/>
  <c r="G388" i="1"/>
  <c r="O11" i="3"/>
  <c r="H387" i="1"/>
  <c r="K387" i="1"/>
  <c r="L387" i="1"/>
  <c r="D387" i="1"/>
  <c r="C387" i="1"/>
  <c r="B387" i="1"/>
  <c r="E387" i="1" s="1"/>
  <c r="O9" i="3"/>
  <c r="O8" i="3"/>
  <c r="O15" i="3"/>
  <c r="O16" i="3"/>
  <c r="G386" i="1"/>
  <c r="H386" i="1"/>
  <c r="I386" i="1"/>
  <c r="J386" i="1"/>
  <c r="K386" i="1"/>
  <c r="L386" i="1"/>
  <c r="G385" i="1"/>
  <c r="H385" i="1"/>
  <c r="I385" i="1"/>
  <c r="J385" i="1"/>
  <c r="K385" i="1"/>
  <c r="L385" i="1"/>
  <c r="I387" i="1" l="1"/>
  <c r="J387" i="1"/>
  <c r="I388" i="1"/>
  <c r="J388" i="1"/>
  <c r="G387" i="1"/>
  <c r="O10" i="3"/>
  <c r="O17" i="3"/>
  <c r="O12" i="3"/>
  <c r="G384" i="1"/>
  <c r="H384" i="1"/>
  <c r="K384" i="1"/>
  <c r="L384" i="1" l="1"/>
  <c r="L392" i="1"/>
  <c r="A385" i="1"/>
  <c r="A386" i="1" s="1"/>
  <c r="A387" i="1" s="1"/>
  <c r="A388" i="1" s="1"/>
  <c r="A389" i="1" s="1"/>
  <c r="A390" i="1" s="1"/>
  <c r="A391" i="1" s="1"/>
  <c r="A392" i="1" s="1"/>
  <c r="A393" i="1" s="1"/>
  <c r="A394" i="1" s="1"/>
  <c r="A395" i="1" s="1"/>
  <c r="A396" i="1" s="1"/>
  <c r="A397"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s="1"/>
  <c r="J381" i="1" l="1"/>
  <c r="I381" i="1"/>
  <c r="G380" i="1"/>
  <c r="H380" i="1"/>
  <c r="K380" i="1"/>
  <c r="L380" i="1"/>
  <c r="E379" i="1" l="1"/>
  <c r="D379" i="1"/>
  <c r="C379" i="1"/>
  <c r="B379" i="1"/>
  <c r="H379" i="1"/>
  <c r="K379" i="1"/>
  <c r="L379" i="1"/>
  <c r="I380" i="1" l="1"/>
  <c r="J380" i="1"/>
  <c r="G379" i="1"/>
  <c r="B378" i="1"/>
  <c r="E378" i="1" s="1"/>
  <c r="C378" i="1"/>
  <c r="D378" i="1"/>
  <c r="I379" i="1" l="1"/>
  <c r="J379" i="1"/>
  <c r="G378" i="1"/>
  <c r="H378" i="1"/>
  <c r="K378" i="1"/>
  <c r="L378" i="1"/>
  <c r="H377" i="1" l="1"/>
  <c r="K377" i="1"/>
  <c r="L377" i="1"/>
  <c r="E377" i="1"/>
  <c r="D377" i="1"/>
  <c r="C377" i="1"/>
  <c r="B377" i="1"/>
  <c r="J378" i="1" l="1"/>
  <c r="I378" i="1"/>
  <c r="G377" i="1"/>
  <c r="H376" i="1"/>
  <c r="K376" i="1"/>
  <c r="L376" i="1"/>
  <c r="D376" i="1"/>
  <c r="C376" i="1"/>
  <c r="B376" i="1"/>
  <c r="E376" i="1" s="1"/>
  <c r="J377" i="1" l="1"/>
  <c r="I377" i="1"/>
  <c r="G376" i="1"/>
  <c r="D375" i="1"/>
  <c r="C375" i="1"/>
  <c r="E375" i="1" s="1"/>
  <c r="B375" i="1"/>
  <c r="J376" i="1" l="1"/>
  <c r="I376" i="1"/>
  <c r="G375" i="1"/>
  <c r="H375" i="1"/>
  <c r="K375" i="1"/>
  <c r="L375" i="1"/>
  <c r="H374" i="1" l="1"/>
  <c r="K374" i="1"/>
  <c r="L374" i="1"/>
  <c r="D374" i="1"/>
  <c r="E374" i="1" s="1"/>
  <c r="C374" i="1"/>
  <c r="B374" i="1"/>
  <c r="I375" i="1" l="1"/>
  <c r="J375" i="1"/>
  <c r="G374" i="1"/>
  <c r="H373" i="1"/>
  <c r="K373" i="1"/>
  <c r="L373" i="1"/>
  <c r="D373" i="1"/>
  <c r="C373" i="1"/>
  <c r="B373" i="1"/>
  <c r="E373" i="1" s="1"/>
  <c r="I374" i="1" l="1"/>
  <c r="G373" i="1"/>
  <c r="J374" i="1"/>
  <c r="H372" i="1"/>
  <c r="K372" i="1"/>
  <c r="L372" i="1"/>
  <c r="D372" i="1"/>
  <c r="C372" i="1"/>
  <c r="B372" i="1"/>
  <c r="E372" i="1" s="1"/>
  <c r="J373" i="1" l="1"/>
  <c r="I373" i="1"/>
  <c r="G372" i="1"/>
  <c r="H371" i="1"/>
  <c r="K371" i="1"/>
  <c r="L371" i="1"/>
  <c r="D371" i="1"/>
  <c r="C371" i="1"/>
  <c r="B371" i="1"/>
  <c r="E371" i="1" s="1"/>
  <c r="J372" i="1" l="1"/>
  <c r="I372" i="1"/>
  <c r="G371" i="1"/>
  <c r="I371" i="1"/>
  <c r="L370" i="1"/>
  <c r="K370" i="1"/>
  <c r="H370" i="1"/>
  <c r="E370" i="1"/>
  <c r="J371" i="1" s="1"/>
  <c r="G370" i="1" l="1"/>
  <c r="H369" i="1"/>
  <c r="K369" i="1"/>
  <c r="L369" i="1"/>
  <c r="D369" i="1"/>
  <c r="C369" i="1"/>
  <c r="B369" i="1"/>
  <c r="E369" i="1" s="1"/>
  <c r="J370" i="1" l="1"/>
  <c r="I370" i="1"/>
  <c r="G369" i="1"/>
  <c r="D368" i="1"/>
  <c r="C368" i="1"/>
  <c r="E368" i="1" s="1"/>
  <c r="B368" i="1"/>
  <c r="H368" i="1"/>
  <c r="K368" i="1"/>
  <c r="L368" i="1"/>
  <c r="G368" i="1" l="1"/>
  <c r="I369" i="1"/>
  <c r="J369" i="1"/>
  <c r="D367" i="1"/>
  <c r="C367" i="1"/>
  <c r="E367" i="1" s="1"/>
  <c r="B367" i="1"/>
  <c r="H367" i="1"/>
  <c r="K367" i="1"/>
  <c r="L367" i="1"/>
  <c r="G367" i="1" l="1"/>
  <c r="J368" i="1"/>
  <c r="I368" i="1"/>
  <c r="D366" i="1"/>
  <c r="C366" i="1"/>
  <c r="E366" i="1" s="1"/>
  <c r="B366" i="1"/>
  <c r="H366" i="1"/>
  <c r="K366" i="1"/>
  <c r="L366" i="1"/>
  <c r="G366" i="1" l="1"/>
  <c r="I367" i="1"/>
  <c r="J367" i="1"/>
  <c r="D365" i="1"/>
  <c r="C365" i="1"/>
  <c r="B365" i="1"/>
  <c r="H365" i="1" l="1"/>
  <c r="K365" i="1"/>
  <c r="L365" i="1"/>
  <c r="E365" i="1"/>
  <c r="J366" i="1" l="1"/>
  <c r="I366" i="1"/>
  <c r="G365" i="1"/>
  <c r="H364" i="1"/>
  <c r="K364" i="1"/>
  <c r="L364" i="1"/>
  <c r="D364" i="1"/>
  <c r="C364" i="1"/>
  <c r="B364" i="1"/>
  <c r="E364" i="1" s="1"/>
  <c r="I365" i="1" l="1"/>
  <c r="J365" i="1"/>
  <c r="G364" i="1"/>
  <c r="H363" i="1"/>
  <c r="K363" i="1"/>
  <c r="L363" i="1"/>
  <c r="D363" i="1"/>
  <c r="C363" i="1"/>
  <c r="B363" i="1"/>
  <c r="E363" i="1" s="1"/>
  <c r="I364" i="1" l="1"/>
  <c r="J364" i="1"/>
  <c r="G363" i="1"/>
  <c r="D362" i="1"/>
  <c r="C362" i="1"/>
  <c r="E362" i="1" s="1"/>
  <c r="B362" i="1"/>
  <c r="J363" i="1" l="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s="1"/>
  <c r="I360" i="1" l="1"/>
  <c r="J360" i="1"/>
  <c r="G359" i="1"/>
  <c r="H359" i="1"/>
  <c r="K359" i="1"/>
  <c r="L359" i="1"/>
  <c r="D358" i="1" l="1"/>
  <c r="C358" i="1"/>
  <c r="B358" i="1"/>
  <c r="E358" i="1" s="1"/>
  <c r="I359" i="1" l="1"/>
  <c r="J359" i="1"/>
  <c r="G358" i="1"/>
  <c r="H358" i="1"/>
  <c r="K358" i="1"/>
  <c r="L358" i="1"/>
  <c r="D357" i="1" l="1"/>
  <c r="C357" i="1"/>
  <c r="B357" i="1"/>
  <c r="E357" i="1" s="1"/>
  <c r="H357" i="1"/>
  <c r="K357" i="1"/>
  <c r="L357" i="1"/>
  <c r="J358" i="1" l="1"/>
  <c r="I358" i="1"/>
  <c r="G357" i="1"/>
  <c r="D356" i="1"/>
  <c r="C356" i="1"/>
  <c r="B356" i="1"/>
  <c r="E356" i="1" l="1"/>
  <c r="G356" i="1"/>
  <c r="H356" i="1"/>
  <c r="K356" i="1"/>
  <c r="L356" i="1"/>
  <c r="J357" i="1" l="1"/>
  <c r="I357" i="1"/>
  <c r="D355" i="1"/>
  <c r="C355" i="1"/>
  <c r="B355" i="1"/>
  <c r="E355" i="1" s="1"/>
  <c r="H355" i="1"/>
  <c r="K355" i="1"/>
  <c r="L355" i="1"/>
  <c r="J356" i="1" l="1"/>
  <c r="I356" i="1"/>
  <c r="I355" i="1"/>
  <c r="G355" i="1"/>
  <c r="J354" i="1"/>
  <c r="J353" i="1"/>
  <c r="J352" i="1"/>
  <c r="G354" i="1"/>
  <c r="G353" i="1"/>
  <c r="G352" i="1"/>
  <c r="G351" i="1"/>
  <c r="G350" i="1"/>
  <c r="E354" i="1"/>
  <c r="J355" i="1" s="1"/>
  <c r="E353" i="1"/>
  <c r="E352" i="1"/>
  <c r="E351" i="1"/>
  <c r="J351" i="1" s="1"/>
  <c r="E350" i="1"/>
  <c r="H354" i="1" l="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s="1"/>
  <c r="I342" i="1" l="1"/>
  <c r="J342" i="1"/>
  <c r="G341" i="1"/>
  <c r="H341" i="1"/>
  <c r="K341" i="1"/>
  <c r="L341" i="1"/>
  <c r="H340" i="1" l="1"/>
  <c r="K340" i="1"/>
  <c r="L340" i="1"/>
  <c r="D340" i="1"/>
  <c r="C340" i="1"/>
  <c r="B340" i="1"/>
  <c r="E340" i="1" l="1"/>
  <c r="H339" i="1"/>
  <c r="K339" i="1"/>
  <c r="L339" i="1"/>
  <c r="E339" i="1"/>
  <c r="G339" i="1" s="1"/>
  <c r="D339" i="1"/>
  <c r="C339" i="1"/>
  <c r="B339" i="1"/>
  <c r="J341" i="1" l="1"/>
  <c r="I341" i="1"/>
  <c r="G340" i="1"/>
  <c r="J340" i="1"/>
  <c r="I340" i="1"/>
  <c r="H338" i="1"/>
  <c r="K338" i="1"/>
  <c r="L338" i="1"/>
  <c r="D338" i="1"/>
  <c r="C338" i="1"/>
  <c r="E338" i="1" s="1"/>
  <c r="B338" i="1"/>
  <c r="J339" i="1" l="1"/>
  <c r="G338" i="1"/>
  <c r="I339" i="1"/>
  <c r="D337" i="1"/>
  <c r="C337" i="1"/>
  <c r="E337" i="1" s="1"/>
  <c r="B337" i="1"/>
  <c r="J338" i="1" l="1"/>
  <c r="I338" i="1"/>
  <c r="G337" i="1"/>
  <c r="H337" i="1"/>
  <c r="K337" i="1"/>
  <c r="L337" i="1"/>
  <c r="H336" i="1" l="1"/>
  <c r="K336" i="1"/>
  <c r="L336" i="1"/>
  <c r="E336" i="1"/>
  <c r="D336" i="1"/>
  <c r="C336" i="1"/>
  <c r="B336" i="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s="1"/>
  <c r="J334" i="1" l="1"/>
  <c r="G333" i="1"/>
  <c r="I334" i="1"/>
  <c r="D332" i="1"/>
  <c r="C332" i="1"/>
  <c r="B332" i="1"/>
  <c r="H332" i="1" l="1"/>
  <c r="K332" i="1"/>
  <c r="L332" i="1"/>
  <c r="E332" i="1"/>
  <c r="J333" i="1" l="1"/>
  <c r="I333" i="1"/>
  <c r="G332" i="1"/>
  <c r="H331" i="1"/>
  <c r="K331" i="1"/>
  <c r="L331" i="1"/>
  <c r="D331" i="1"/>
  <c r="C331" i="1"/>
  <c r="B331" i="1"/>
  <c r="E331" i="1" s="1"/>
  <c r="J332" i="1" l="1"/>
  <c r="I332" i="1"/>
  <c r="G331" i="1"/>
  <c r="H330" i="1"/>
  <c r="K330" i="1"/>
  <c r="L330" i="1"/>
  <c r="D330" i="1"/>
  <c r="C330" i="1"/>
  <c r="B330" i="1"/>
  <c r="E330" i="1" s="1"/>
  <c r="G330" i="1" l="1"/>
  <c r="J331" i="1"/>
  <c r="I331" i="1"/>
  <c r="D329" i="1"/>
  <c r="C329" i="1"/>
  <c r="E329" i="1" s="1"/>
  <c r="B329" i="1"/>
  <c r="H329" i="1"/>
  <c r="K329" i="1"/>
  <c r="L329" i="1"/>
  <c r="J330" i="1" l="1"/>
  <c r="G329" i="1"/>
  <c r="I330" i="1"/>
  <c r="H328" i="1"/>
  <c r="K328" i="1"/>
  <c r="L328" i="1"/>
  <c r="D328" i="1"/>
  <c r="C328" i="1"/>
  <c r="B328" i="1"/>
  <c r="E328" i="1" s="1"/>
  <c r="J329" i="1" l="1"/>
  <c r="G328" i="1"/>
  <c r="I329" i="1"/>
  <c r="D327" i="1"/>
  <c r="C327" i="1"/>
  <c r="E327" i="1" s="1"/>
  <c r="B327" i="1"/>
  <c r="J328" i="1" l="1"/>
  <c r="I328" i="1"/>
  <c r="G327" i="1"/>
  <c r="H327" i="1"/>
  <c r="K327" i="1"/>
  <c r="L327" i="1"/>
  <c r="D326" i="1" l="1"/>
  <c r="C326" i="1"/>
  <c r="B326" i="1"/>
  <c r="E326" i="1" s="1"/>
  <c r="I327" i="1" l="1"/>
  <c r="J327" i="1"/>
  <c r="G326" i="1"/>
  <c r="H326" i="1"/>
  <c r="K326" i="1"/>
  <c r="L326" i="1"/>
  <c r="H325" i="1" l="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E323" i="1" s="1"/>
  <c r="I324" i="1" s="1"/>
  <c r="B323" i="1"/>
  <c r="G323" i="1" l="1"/>
  <c r="J324" i="1"/>
  <c r="D322" i="1"/>
  <c r="C322" i="1"/>
  <c r="B322" i="1"/>
  <c r="E322" i="1" s="1"/>
  <c r="I323" i="1" s="1"/>
  <c r="J323" i="1" l="1"/>
  <c r="G322" i="1"/>
  <c r="H322" i="1"/>
  <c r="K322" i="1"/>
  <c r="L322" i="1"/>
  <c r="D321" i="1" l="1"/>
  <c r="C321" i="1"/>
  <c r="B321" i="1"/>
  <c r="E321" i="1" s="1"/>
  <c r="J322" i="1" l="1"/>
  <c r="I322" i="1"/>
  <c r="H320" i="1"/>
  <c r="K320" i="1"/>
  <c r="L320" i="1"/>
  <c r="G321" i="1"/>
  <c r="H321" i="1"/>
  <c r="K321" i="1"/>
  <c r="L321" i="1"/>
  <c r="D320" i="1" l="1"/>
  <c r="C320" i="1"/>
  <c r="B320" i="1"/>
  <c r="E320" i="1" s="1"/>
  <c r="I321" i="1" l="1"/>
  <c r="G320" i="1"/>
  <c r="J321" i="1"/>
  <c r="H319" i="1"/>
  <c r="K319" i="1"/>
  <c r="L319" i="1"/>
  <c r="D319" i="1"/>
  <c r="E319" i="1" s="1"/>
  <c r="J320" i="1" s="1"/>
  <c r="C319" i="1"/>
  <c r="B319" i="1"/>
  <c r="G319" i="1" l="1"/>
  <c r="I320" i="1"/>
  <c r="H318" i="1"/>
  <c r="K318" i="1"/>
  <c r="L318" i="1"/>
  <c r="D318" i="1"/>
  <c r="E318" i="1" s="1"/>
  <c r="C318" i="1"/>
  <c r="B318" i="1"/>
  <c r="I319" i="1" l="1"/>
  <c r="J319" i="1"/>
  <c r="G318" i="1"/>
  <c r="D317" i="1"/>
  <c r="C317" i="1"/>
  <c r="B317" i="1"/>
  <c r="E317" i="1" s="1"/>
  <c r="J318" i="1" s="1"/>
  <c r="I318" i="1" l="1"/>
  <c r="G317" i="1"/>
  <c r="H317" i="1"/>
  <c r="K317" i="1"/>
  <c r="L317" i="1"/>
  <c r="D316" i="1" l="1"/>
  <c r="C316" i="1"/>
  <c r="B316" i="1"/>
  <c r="E316" i="1" s="1"/>
  <c r="J317" i="1" l="1"/>
  <c r="I317" i="1"/>
  <c r="G316" i="1"/>
  <c r="H316" i="1"/>
  <c r="K316" i="1"/>
  <c r="L316" i="1"/>
  <c r="D315" i="1" l="1"/>
  <c r="C315" i="1"/>
  <c r="B315" i="1"/>
  <c r="E315" i="1" s="1"/>
  <c r="I316" i="1" l="1"/>
  <c r="J316" i="1"/>
  <c r="G315" i="1"/>
  <c r="H315" i="1"/>
  <c r="K315" i="1"/>
  <c r="L315" i="1"/>
  <c r="H314" i="1" l="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c r="I313" i="1"/>
  <c r="J313" i="1"/>
  <c r="H311" i="1" l="1"/>
  <c r="K311" i="1"/>
  <c r="L311" i="1"/>
  <c r="D311" i="1"/>
  <c r="C311" i="1"/>
  <c r="B311" i="1"/>
  <c r="E311" i="1" s="1"/>
  <c r="J312" i="1" l="1"/>
  <c r="I312" i="1"/>
  <c r="G311" i="1"/>
  <c r="H310" i="1"/>
  <c r="K310" i="1"/>
  <c r="L310" i="1"/>
  <c r="D310" i="1"/>
  <c r="C310" i="1"/>
  <c r="B310" i="1"/>
  <c r="E310" i="1" l="1"/>
  <c r="J311" i="1"/>
  <c r="I311" i="1"/>
  <c r="G310" i="1"/>
  <c r="D309" i="1"/>
  <c r="C309" i="1"/>
  <c r="B309" i="1"/>
  <c r="E309" i="1" l="1"/>
  <c r="I310" i="1"/>
  <c r="J310" i="1"/>
  <c r="G309" i="1"/>
  <c r="H309" i="1"/>
  <c r="K309" i="1"/>
  <c r="L309" i="1"/>
  <c r="D308" i="1" l="1"/>
  <c r="C308" i="1"/>
  <c r="B308" i="1"/>
  <c r="E308" i="1" s="1"/>
  <c r="I309" i="1" l="1"/>
  <c r="J309" i="1"/>
  <c r="G308" i="1"/>
  <c r="H308" i="1"/>
  <c r="K308" i="1"/>
  <c r="L308" i="1"/>
  <c r="H307" i="1" l="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s="1"/>
  <c r="I306" i="1" l="1"/>
  <c r="J306" i="1"/>
  <c r="G305" i="1"/>
  <c r="D304" i="1"/>
  <c r="C304" i="1"/>
  <c r="E304" i="1" s="1"/>
  <c r="B304" i="1"/>
  <c r="J305" i="1" l="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E298" i="1" s="1"/>
  <c r="D297" i="1"/>
  <c r="C297" i="1"/>
  <c r="B297" i="1"/>
  <c r="H297" i="1"/>
  <c r="K297" i="1"/>
  <c r="L297" i="1"/>
  <c r="D296" i="1"/>
  <c r="C296" i="1"/>
  <c r="B296" i="1"/>
  <c r="H296" i="1"/>
  <c r="K296" i="1"/>
  <c r="L296" i="1"/>
  <c r="H295" i="1"/>
  <c r="K295" i="1"/>
  <c r="L295" i="1"/>
  <c r="D295" i="1"/>
  <c r="C295" i="1"/>
  <c r="B295" i="1"/>
  <c r="D294" i="1"/>
  <c r="C294" i="1"/>
  <c r="B294" i="1"/>
  <c r="H294" i="1"/>
  <c r="K294" i="1"/>
  <c r="L294" i="1"/>
  <c r="J299" i="1" l="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E285" i="1" s="1"/>
  <c r="B285" i="1"/>
  <c r="H285" i="1"/>
  <c r="K285" i="1"/>
  <c r="L285" i="1"/>
  <c r="D284" i="1"/>
  <c r="C284" i="1"/>
  <c r="B284" i="1"/>
  <c r="H284" i="1"/>
  <c r="K284" i="1"/>
  <c r="L284" i="1"/>
  <c r="I298" i="1" l="1"/>
  <c r="I295" i="1"/>
  <c r="J295" i="1"/>
  <c r="E289" i="1"/>
  <c r="E287" i="1"/>
  <c r="G287" i="1" s="1"/>
  <c r="G297" i="1"/>
  <c r="E288" i="1"/>
  <c r="J289" i="1" s="1"/>
  <c r="E290" i="1"/>
  <c r="I291" i="1" s="1"/>
  <c r="E291" i="1"/>
  <c r="E292" i="1"/>
  <c r="E293" i="1"/>
  <c r="I296" i="1"/>
  <c r="I297" i="1"/>
  <c r="J297" i="1"/>
  <c r="E284" i="1"/>
  <c r="G284" i="1" s="1"/>
  <c r="E286" i="1"/>
  <c r="J286" i="1" s="1"/>
  <c r="J296" i="1"/>
  <c r="G289" i="1"/>
  <c r="G285" i="1"/>
  <c r="I285" i="1"/>
  <c r="G291" i="1"/>
  <c r="G292" i="1"/>
  <c r="I292" i="1"/>
  <c r="J292" i="1"/>
  <c r="G293" i="1"/>
  <c r="I293" i="1"/>
  <c r="J293" i="1"/>
  <c r="I289" i="1"/>
  <c r="D283" i="1"/>
  <c r="C283" i="1"/>
  <c r="B283" i="1"/>
  <c r="J291" i="1" l="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E257" i="1" s="1"/>
  <c r="B256" i="1"/>
  <c r="D256" i="1"/>
  <c r="C256" i="1"/>
  <c r="H256" i="1"/>
  <c r="K256" i="1"/>
  <c r="L256" i="1"/>
  <c r="H255" i="1"/>
  <c r="K255" i="1"/>
  <c r="L255" i="1"/>
  <c r="D255" i="1"/>
  <c r="C255" i="1"/>
  <c r="B255" i="1"/>
  <c r="H254" i="1"/>
  <c r="K254" i="1"/>
  <c r="L254" i="1"/>
  <c r="D254" i="1"/>
  <c r="C254" i="1"/>
  <c r="B254" i="1"/>
  <c r="H253" i="1"/>
  <c r="K253" i="1"/>
  <c r="L253" i="1"/>
  <c r="D253" i="1"/>
  <c r="C253" i="1"/>
  <c r="B253" i="1"/>
  <c r="E253" i="1" s="1"/>
  <c r="G253" i="1" s="1"/>
  <c r="D252" i="1"/>
  <c r="C252" i="1"/>
  <c r="B252" i="1"/>
  <c r="H252" i="1"/>
  <c r="K252" i="1"/>
  <c r="L252" i="1"/>
  <c r="D251" i="1"/>
  <c r="C251" i="1"/>
  <c r="B251" i="1"/>
  <c r="H251" i="1"/>
  <c r="K251" i="1"/>
  <c r="L251" i="1"/>
  <c r="H250" i="1"/>
  <c r="K250" i="1"/>
  <c r="L250" i="1"/>
  <c r="D250" i="1"/>
  <c r="C250" i="1"/>
  <c r="B250" i="1"/>
  <c r="D249" i="1"/>
  <c r="C249" i="1"/>
  <c r="B249" i="1"/>
  <c r="H249" i="1"/>
  <c r="K249" i="1"/>
  <c r="L249" i="1"/>
  <c r="E256" i="1" l="1"/>
  <c r="E260" i="1"/>
  <c r="G280" i="1"/>
  <c r="E277" i="1"/>
  <c r="J278" i="1" s="1"/>
  <c r="I280" i="1"/>
  <c r="I278" i="1"/>
  <c r="I281" i="1"/>
  <c r="E268" i="1"/>
  <c r="G268" i="1" s="1"/>
  <c r="E271" i="1"/>
  <c r="G271" i="1" s="1"/>
  <c r="E255" i="1"/>
  <c r="G255" i="1" s="1"/>
  <c r="E249" i="1"/>
  <c r="E250" i="1"/>
  <c r="I250" i="1" s="1"/>
  <c r="E252" i="1"/>
  <c r="I253" i="1" s="1"/>
  <c r="E258" i="1"/>
  <c r="G258" i="1" s="1"/>
  <c r="E259" i="1"/>
  <c r="G259" i="1" s="1"/>
  <c r="E261" i="1"/>
  <c r="J261" i="1" s="1"/>
  <c r="E265" i="1"/>
  <c r="G265" i="1" s="1"/>
  <c r="E266" i="1"/>
  <c r="G266" i="1" s="1"/>
  <c r="E276" i="1"/>
  <c r="I279" i="1"/>
  <c r="E264" i="1"/>
  <c r="I266" i="1"/>
  <c r="E273" i="1"/>
  <c r="G273" i="1" s="1"/>
  <c r="E270" i="1"/>
  <c r="G270" i="1" s="1"/>
  <c r="E272" i="1"/>
  <c r="G272" i="1" s="1"/>
  <c r="E275" i="1"/>
  <c r="J276" i="1" s="1"/>
  <c r="E251" i="1"/>
  <c r="E254" i="1"/>
  <c r="I254" i="1" s="1"/>
  <c r="E263" i="1"/>
  <c r="I264" i="1" s="1"/>
  <c r="E269" i="1"/>
  <c r="J269" i="1" s="1"/>
  <c r="E274" i="1"/>
  <c r="J274" i="1" s="1"/>
  <c r="E267" i="1"/>
  <c r="G267" i="1" s="1"/>
  <c r="J272" i="1"/>
  <c r="I272" i="1"/>
  <c r="G256" i="1"/>
  <c r="I256" i="1"/>
  <c r="G276" i="1"/>
  <c r="G251" i="1"/>
  <c r="G254" i="1"/>
  <c r="J254" i="1"/>
  <c r="J257" i="1"/>
  <c r="I257" i="1"/>
  <c r="G257" i="1"/>
  <c r="G249" i="1"/>
  <c r="G275" i="1"/>
  <c r="G252" i="1"/>
  <c r="J253" i="1"/>
  <c r="I252" i="1"/>
  <c r="G260" i="1"/>
  <c r="G264" i="1"/>
  <c r="J265" i="1"/>
  <c r="I265" i="1"/>
  <c r="I258" i="1"/>
  <c r="J277" i="1"/>
  <c r="J266" i="1"/>
  <c r="G262" i="1"/>
  <c r="I261" i="1" l="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J239" i="1" s="1"/>
  <c r="E241" i="1"/>
  <c r="I241" i="1" s="1"/>
  <c r="E242" i="1"/>
  <c r="G229" i="1"/>
  <c r="G231" i="1"/>
  <c r="J233" i="1"/>
  <c r="G237" i="1"/>
  <c r="I238" i="1"/>
  <c r="G239" i="1"/>
  <c r="G232" i="1"/>
  <c r="G234" i="1"/>
  <c r="I234" i="1"/>
  <c r="J235" i="1"/>
  <c r="G235" i="1"/>
  <c r="I235" i="1"/>
  <c r="G243" i="1"/>
  <c r="I243" i="1"/>
  <c r="J244" i="1"/>
  <c r="I244" i="1"/>
  <c r="I236" i="1"/>
  <c r="J234" i="1" l="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E219" i="1" s="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E211" i="1" s="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E195" i="1" s="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E23" i="1"/>
  <c r="E24" i="1"/>
  <c r="G24" i="1" s="1"/>
  <c r="E25" i="1"/>
  <c r="E26" i="1"/>
  <c r="E27" i="1"/>
  <c r="G27" i="1" s="1"/>
  <c r="E28" i="1"/>
  <c r="E29" i="1"/>
  <c r="E30" i="1"/>
  <c r="E31" i="1"/>
  <c r="E32" i="1"/>
  <c r="E33" i="1"/>
  <c r="E34" i="1"/>
  <c r="G34" i="1" s="1"/>
  <c r="E35" i="1"/>
  <c r="J36" i="1" s="1"/>
  <c r="E36" i="1"/>
  <c r="E37" i="1"/>
  <c r="E38" i="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G38" i="1"/>
  <c r="H37" i="1"/>
  <c r="G37" i="1"/>
  <c r="G35"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I22"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I35" i="1" l="1"/>
  <c r="I27" i="1"/>
  <c r="E220" i="1"/>
  <c r="E198" i="1"/>
  <c r="E206" i="1"/>
  <c r="I206" i="1" s="1"/>
  <c r="E214" i="1"/>
  <c r="J214" i="1" s="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E207" i="1"/>
  <c r="G207" i="1" s="1"/>
  <c r="E215" i="1"/>
  <c r="G226" i="1"/>
  <c r="E196" i="1"/>
  <c r="J196" i="1" s="1"/>
  <c r="E212" i="1"/>
  <c r="J212" i="1" s="1"/>
  <c r="G22" i="1"/>
  <c r="I21" i="1"/>
  <c r="J222" i="1"/>
  <c r="A43" i="1"/>
  <c r="A44" i="1" s="1"/>
  <c r="E194" i="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I16" i="1"/>
  <c r="E159" i="1"/>
  <c r="G159" i="1" s="1"/>
  <c r="E165" i="1"/>
  <c r="G165" i="1" s="1"/>
  <c r="E169" i="1"/>
  <c r="E171" i="1"/>
  <c r="G171" i="1" s="1"/>
  <c r="E158" i="1"/>
  <c r="G158" i="1" s="1"/>
  <c r="G9" i="1"/>
  <c r="G16" i="1"/>
  <c r="I17" i="1"/>
  <c r="J15" i="1"/>
  <c r="J13" i="1"/>
  <c r="I12" i="1"/>
  <c r="I10" i="1"/>
  <c r="I8" i="1"/>
  <c r="I46" i="1"/>
  <c r="E139" i="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J149" i="1" s="1"/>
  <c r="E151" i="1"/>
  <c r="E162" i="1"/>
  <c r="E164" i="1"/>
  <c r="E167" i="1"/>
  <c r="E172" i="1"/>
  <c r="I173" i="1" s="1"/>
  <c r="E178" i="1"/>
  <c r="E180" i="1"/>
  <c r="G180" i="1" s="1"/>
  <c r="E182" i="1"/>
  <c r="J183" i="1" s="1"/>
  <c r="E184" i="1"/>
  <c r="I185" i="1" s="1"/>
  <c r="E185" i="1"/>
  <c r="E187" i="1"/>
  <c r="E189" i="1"/>
  <c r="E191" i="1"/>
  <c r="E192" i="1"/>
  <c r="G192" i="1" s="1"/>
  <c r="E193" i="1"/>
  <c r="G193" i="1" s="1"/>
  <c r="E201" i="1"/>
  <c r="G201" i="1" s="1"/>
  <c r="E202" i="1"/>
  <c r="I203" i="1" s="1"/>
  <c r="E203" i="1"/>
  <c r="G203" i="1" s="1"/>
  <c r="E204" i="1"/>
  <c r="G204" i="1" s="1"/>
  <c r="E205" i="1"/>
  <c r="E208" i="1"/>
  <c r="I209" i="1" s="1"/>
  <c r="E216" i="1"/>
  <c r="G216" i="1" s="1"/>
  <c r="E217" i="1"/>
  <c r="E218" i="1"/>
  <c r="I219" i="1" s="1"/>
  <c r="I226" i="1"/>
  <c r="I224" i="1"/>
  <c r="G228" i="1"/>
  <c r="J227" i="1"/>
  <c r="G194" i="1"/>
  <c r="G195" i="1"/>
  <c r="I195" i="1"/>
  <c r="J195" i="1"/>
  <c r="G196" i="1"/>
  <c r="G198" i="1"/>
  <c r="G199" i="1"/>
  <c r="I199" i="1"/>
  <c r="J199" i="1"/>
  <c r="J200" i="1"/>
  <c r="I200" i="1"/>
  <c r="J206" i="1"/>
  <c r="G206" i="1"/>
  <c r="G210" i="1"/>
  <c r="I210" i="1"/>
  <c r="G211" i="1"/>
  <c r="I211" i="1"/>
  <c r="J211" i="1"/>
  <c r="G213" i="1"/>
  <c r="J213" i="1"/>
  <c r="G214" i="1"/>
  <c r="I214" i="1"/>
  <c r="G215" i="1"/>
  <c r="G219" i="1"/>
  <c r="J221" i="1"/>
  <c r="J220" i="1"/>
  <c r="I221" i="1"/>
  <c r="G220" i="1"/>
  <c r="I220" i="1"/>
  <c r="J11" i="1"/>
  <c r="I19" i="1"/>
  <c r="I15" i="1"/>
  <c r="I11" i="1"/>
  <c r="J8" i="1"/>
  <c r="J201" i="1"/>
  <c r="J204" i="1"/>
  <c r="J205" i="1"/>
  <c r="G205" i="1"/>
  <c r="I205" i="1"/>
  <c r="G208" i="1"/>
  <c r="I208" i="1"/>
  <c r="I139" i="1"/>
  <c r="I143" i="1"/>
  <c r="E197" i="1"/>
  <c r="J47" i="1"/>
  <c r="J46" i="1"/>
  <c r="L245" i="1"/>
  <c r="L193" i="1"/>
  <c r="E130" i="1"/>
  <c r="G130" i="1" s="1"/>
  <c r="E128" i="1"/>
  <c r="G128" i="1" s="1"/>
  <c r="E70" i="1"/>
  <c r="G70" i="1" s="1"/>
  <c r="E68" i="1"/>
  <c r="G68" i="1" s="1"/>
  <c r="E66" i="1"/>
  <c r="G66" i="1" s="1"/>
  <c r="E64" i="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G139" i="1"/>
  <c r="E140" i="1"/>
  <c r="I140" i="1" s="1"/>
  <c r="E144" i="1"/>
  <c r="E147" i="1"/>
  <c r="E150" i="1"/>
  <c r="I150" i="1" s="1"/>
  <c r="E153" i="1"/>
  <c r="E155" i="1"/>
  <c r="E157" i="1"/>
  <c r="J158" i="1" s="1"/>
  <c r="E160" i="1"/>
  <c r="E166" i="1"/>
  <c r="E170" i="1"/>
  <c r="E174" i="1"/>
  <c r="J174" i="1" s="1"/>
  <c r="E176" i="1"/>
  <c r="E177" i="1"/>
  <c r="I177" i="1" s="1"/>
  <c r="E179" i="1"/>
  <c r="G179" i="1" s="1"/>
  <c r="E181" i="1"/>
  <c r="E183" i="1"/>
  <c r="G183" i="1" s="1"/>
  <c r="E186" i="1"/>
  <c r="G186" i="1" s="1"/>
  <c r="E188" i="1"/>
  <c r="J189" i="1" s="1"/>
  <c r="E190" i="1"/>
  <c r="J191" i="1" s="1"/>
  <c r="G185" i="1"/>
  <c r="G187" i="1"/>
  <c r="G189" i="1"/>
  <c r="G191" i="1"/>
  <c r="G126" i="1"/>
  <c r="E125" i="1"/>
  <c r="I126" i="1" s="1"/>
  <c r="E123" i="1"/>
  <c r="E41" i="1"/>
  <c r="E122" i="1"/>
  <c r="E120" i="1"/>
  <c r="E118" i="1"/>
  <c r="E116" i="1"/>
  <c r="E114" i="1"/>
  <c r="E112" i="1"/>
  <c r="E110" i="1"/>
  <c r="E108" i="1"/>
  <c r="E106" i="1"/>
  <c r="E104" i="1"/>
  <c r="E76" i="1"/>
  <c r="E74" i="1"/>
  <c r="E72" i="1"/>
  <c r="G64"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J144" i="1" l="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<sst xmlns="http://schemas.openxmlformats.org/spreadsheetml/2006/main" count="53" uniqueCount="41">
  <si>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</si>
  <si>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</si>
  <si>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</si>
  <si>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</si>
  <si>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</si>
  <si>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</si>
  <si>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</si>
  <si>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</si>
  <si>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</si>
  <si>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</si>
  <si>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</si>
  <si>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</si>
  <si>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</si>
  <si>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</si>
  <si>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</si>
  <si>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</si>
  <si>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</si>
  <si>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</si>
  <si>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</si>
  <si>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</si>
  <si>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</si>
  <si>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</si>
  <si>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</si>
  <si>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</si>
  <si>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</si>
  <si>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</si>
  <si>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</si>
  <si>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</si>
  <si>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</si>
  <si>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</si>
  <si>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 xml:space="preserve">Weekly Grain Barges Unloaded </t>
  </si>
  <si>
    <t>Difference in barges</t>
  </si>
  <si>
    <t>Source:  GIPSA, New Orleans Field Office</t>
  </si>
  <si>
    <t>Week ending 1/12/13</t>
  </si>
  <si>
    <t>Week ending 1/19/13</t>
  </si>
  <si>
    <t>Drought of 2012 causes extreme low water conditions south of Locks 27 near St. Louis, MO.</t>
  </si>
  <si>
    <t>Grain Barges</t>
  </si>
  <si>
    <t>3-year average for the 7- week period</t>
  </si>
  <si>
    <t>Sum of 7 weeks ending:</t>
  </si>
  <si>
    <t>Recent Weeks:</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</si>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</sst>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4"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
      <b/>
      <sz val="11"/>
      <name val="Arial"/>
      <family val="2"/>
    </font>
  </fonts>
  <fills count="9">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68">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7" fillId="0" borderId="0" xfId="0" applyFont="1"/>
    <xf numFmtId="0" fontId="7" fillId="8" borderId="12" xfId="0" applyFont="1" applyFill="1" applyBorder="1"/>
    <xf numFmtId="0" fontId="7" fillId="8" borderId="13" xfId="0" applyFont="1" applyFill="1" applyBorder="1"/>
    <xf numFmtId="0" fontId="13" fillId="8" borderId="12" xfId="0" applyFont="1" applyFill="1" applyBorder="1"/>
    <xf numFmtId="0" fontId="13" fillId="8" borderId="13" xfId="0" applyFont="1" applyFill="1" applyBorder="1"/>
    <xf numFmtId="14" fontId="7" fillId="8" borderId="12" xfId="0" applyNumberFormat="1" applyFont="1" applyFill="1" applyBorder="1" applyAlignment="1">
      <alignment horizontal="left"/>
    </xf>
    <xf numFmtId="166" fontId="7" fillId="8" borderId="13" xfId="1" applyNumberFormat="1" applyFont="1" applyFill="1" applyBorder="1"/>
    <xf numFmtId="0" fontId="7" fillId="8" borderId="12" xfId="0" applyFont="1" applyFill="1" applyBorder="1" applyAlignment="1">
      <alignment horizontal="left"/>
    </xf>
    <xf numFmtId="0" fontId="0" fillId="8" borderId="12" xfId="0" applyFill="1" applyBorder="1"/>
    <xf numFmtId="0" fontId="0" fillId="8" borderId="13" xfId="0" applyFill="1" applyBorder="1"/>
    <xf numFmtId="0" fontId="3" fillId="8" borderId="16" xfId="0" applyFont="1" applyFill="1" applyBorder="1" applyAlignment="1">
      <alignment horizontal="left"/>
    </xf>
    <xf numFmtId="0" fontId="7" fillId="8" borderId="12" xfId="0" applyFont="1" applyFill="1" applyBorder="1" applyAlignment="1">
      <alignment horizontal="left" wrapText="1"/>
    </xf>
    <xf numFmtId="166" fontId="7" fillId="8" borderId="13" xfId="1" applyNumberFormat="1" applyFont="1" applyFill="1" applyBorder="1" applyAlignment="1">
      <alignment horizontal="center" vertical="center"/>
    </xf>
    <xf numFmtId="0" fontId="3" fillId="8" borderId="17" xfId="0" applyFont="1" applyFill="1" applyBorder="1" applyAlignment="1">
      <alignment horizontal="left"/>
    </xf>
    <xf numFmtId="0" fontId="9" fillId="0" borderId="0" xfId="0" applyFont="1" applyAlignment="1">
      <alignment horizontal="left" wrapText="1"/>
    </xf>
    <xf numFmtId="0" fontId="1" fillId="0" borderId="0" xfId="0" applyFont="1" applyAlignment="1">
      <alignment horizontal="left" wrapText="1"/>
    </xf>
    <xf numFmtId="0" fontId="13" fillId="7" borderId="10"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96504928354549"/>
          <c:y val="4.642603533669995E-2"/>
          <c:w val="0.86997904600769616"/>
          <c:h val="0.75562022138540486"/>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Data!$A$381:$A$407</c:f>
              <c:numCache>
                <c:formatCode>mm/dd/yy;@</c:formatCode>
                <c:ptCount val="27"/>
                <c:pt idx="0">
                  <c:v>41258</c:v>
                </c:pt>
                <c:pt idx="1">
                  <c:v>41265</c:v>
                </c:pt>
                <c:pt idx="2">
                  <c:v>41272</c:v>
                </c:pt>
                <c:pt idx="3">
                  <c:v>41279</c:v>
                </c:pt>
                <c:pt idx="4">
                  <c:v>41286</c:v>
                </c:pt>
                <c:pt idx="5">
                  <c:v>41293</c:v>
                </c:pt>
                <c:pt idx="6">
                  <c:v>41300</c:v>
                </c:pt>
                <c:pt idx="7">
                  <c:v>41307</c:v>
                </c:pt>
                <c:pt idx="8">
                  <c:v>41314</c:v>
                </c:pt>
                <c:pt idx="9">
                  <c:v>41321</c:v>
                </c:pt>
                <c:pt idx="10">
                  <c:v>41328</c:v>
                </c:pt>
                <c:pt idx="11">
                  <c:v>41335</c:v>
                </c:pt>
                <c:pt idx="12">
                  <c:v>41342</c:v>
                </c:pt>
                <c:pt idx="13">
                  <c:v>41349</c:v>
                </c:pt>
                <c:pt idx="14">
                  <c:v>41356</c:v>
                </c:pt>
                <c:pt idx="15">
                  <c:v>41363</c:v>
                </c:pt>
                <c:pt idx="16">
                  <c:v>41370</c:v>
                </c:pt>
                <c:pt idx="17">
                  <c:v>41377</c:v>
                </c:pt>
                <c:pt idx="18">
                  <c:v>41384</c:v>
                </c:pt>
                <c:pt idx="19">
                  <c:v>41391</c:v>
                </c:pt>
                <c:pt idx="20">
                  <c:v>41398</c:v>
                </c:pt>
                <c:pt idx="21">
                  <c:v>41405</c:v>
                </c:pt>
                <c:pt idx="22">
                  <c:v>41412</c:v>
                </c:pt>
                <c:pt idx="23">
                  <c:v>41419</c:v>
                </c:pt>
                <c:pt idx="24">
                  <c:v>41426</c:v>
                </c:pt>
                <c:pt idx="25">
                  <c:v>41433</c:v>
                </c:pt>
                <c:pt idx="26">
                  <c:v>41440</c:v>
                </c:pt>
              </c:numCache>
            </c:numRef>
          </c:cat>
          <c:val>
            <c:numRef>
              <c:f>Data!$E$381:$E$407</c:f>
              <c:numCache>
                <c:formatCode>0</c:formatCode>
                <c:ptCount val="27"/>
                <c:pt idx="0">
                  <c:v>361</c:v>
                </c:pt>
                <c:pt idx="1">
                  <c:v>282</c:v>
                </c:pt>
                <c:pt idx="2">
                  <c:v>199</c:v>
                </c:pt>
                <c:pt idx="3">
                  <c:v>252</c:v>
                </c:pt>
                <c:pt idx="4">
                  <c:v>255</c:v>
                </c:pt>
                <c:pt idx="5">
                  <c:v>358</c:v>
                </c:pt>
                <c:pt idx="6">
                  <c:v>307</c:v>
                </c:pt>
                <c:pt idx="7">
                  <c:v>273</c:v>
                </c:pt>
                <c:pt idx="8">
                  <c:v>305</c:v>
                </c:pt>
                <c:pt idx="9">
                  <c:v>306</c:v>
                </c:pt>
                <c:pt idx="10">
                  <c:v>270</c:v>
                </c:pt>
                <c:pt idx="11">
                  <c:v>218</c:v>
                </c:pt>
                <c:pt idx="12">
                  <c:v>376</c:v>
                </c:pt>
                <c:pt idx="13">
                  <c:v>290</c:v>
                </c:pt>
                <c:pt idx="14">
                  <c:v>248</c:v>
                </c:pt>
                <c:pt idx="15">
                  <c:v>250</c:v>
                </c:pt>
                <c:pt idx="16">
                  <c:v>182</c:v>
                </c:pt>
                <c:pt idx="17">
                  <c:v>216</c:v>
                </c:pt>
                <c:pt idx="18">
                  <c:v>178</c:v>
                </c:pt>
                <c:pt idx="19">
                  <c:v>76</c:v>
                </c:pt>
                <c:pt idx="20">
                  <c:v>291</c:v>
                </c:pt>
                <c:pt idx="21">
                  <c:v>204</c:v>
                </c:pt>
                <c:pt idx="22">
                  <c:v>289</c:v>
                </c:pt>
                <c:pt idx="23">
                  <c:v>271</c:v>
                </c:pt>
                <c:pt idx="24">
                  <c:v>248</c:v>
                </c:pt>
                <c:pt idx="25">
                  <c:v>96</c:v>
                </c:pt>
                <c:pt idx="26">
                  <c:v>243</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Data!$A$381:$A$407</c:f>
              <c:numCache>
                <c:formatCode>mm/dd/yy;@</c:formatCode>
                <c:ptCount val="27"/>
                <c:pt idx="0">
                  <c:v>41258</c:v>
                </c:pt>
                <c:pt idx="1">
                  <c:v>41265</c:v>
                </c:pt>
                <c:pt idx="2">
                  <c:v>41272</c:v>
                </c:pt>
                <c:pt idx="3">
                  <c:v>41279</c:v>
                </c:pt>
                <c:pt idx="4">
                  <c:v>41286</c:v>
                </c:pt>
                <c:pt idx="5">
                  <c:v>41293</c:v>
                </c:pt>
                <c:pt idx="6">
                  <c:v>41300</c:v>
                </c:pt>
                <c:pt idx="7">
                  <c:v>41307</c:v>
                </c:pt>
                <c:pt idx="8">
                  <c:v>41314</c:v>
                </c:pt>
                <c:pt idx="9">
                  <c:v>41321</c:v>
                </c:pt>
                <c:pt idx="10">
                  <c:v>41328</c:v>
                </c:pt>
                <c:pt idx="11">
                  <c:v>41335</c:v>
                </c:pt>
                <c:pt idx="12">
                  <c:v>41342</c:v>
                </c:pt>
                <c:pt idx="13">
                  <c:v>41349</c:v>
                </c:pt>
                <c:pt idx="14">
                  <c:v>41356</c:v>
                </c:pt>
                <c:pt idx="15">
                  <c:v>41363</c:v>
                </c:pt>
                <c:pt idx="16">
                  <c:v>41370</c:v>
                </c:pt>
                <c:pt idx="17">
                  <c:v>41377</c:v>
                </c:pt>
                <c:pt idx="18">
                  <c:v>41384</c:v>
                </c:pt>
                <c:pt idx="19">
                  <c:v>41391</c:v>
                </c:pt>
                <c:pt idx="20">
                  <c:v>41398</c:v>
                </c:pt>
                <c:pt idx="21">
                  <c:v>41405</c:v>
                </c:pt>
                <c:pt idx="22">
                  <c:v>41412</c:v>
                </c:pt>
                <c:pt idx="23">
                  <c:v>41419</c:v>
                </c:pt>
                <c:pt idx="24">
                  <c:v>41426</c:v>
                </c:pt>
                <c:pt idx="25">
                  <c:v>41433</c:v>
                </c:pt>
                <c:pt idx="26">
                  <c:v>41440</c:v>
                </c:pt>
              </c:numCache>
            </c:numRef>
          </c:cat>
          <c:val>
            <c:numRef>
              <c:f>Data!$F$381:$F$407</c:f>
              <c:numCache>
                <c:formatCode>0</c:formatCode>
                <c:ptCount val="27"/>
                <c:pt idx="0">
                  <c:v>634</c:v>
                </c:pt>
                <c:pt idx="1">
                  <c:v>696</c:v>
                </c:pt>
                <c:pt idx="2">
                  <c:v>600</c:v>
                </c:pt>
                <c:pt idx="3">
                  <c:v>427</c:v>
                </c:pt>
                <c:pt idx="4">
                  <c:v>509</c:v>
                </c:pt>
                <c:pt idx="5">
                  <c:v>572</c:v>
                </c:pt>
                <c:pt idx="6">
                  <c:v>643</c:v>
                </c:pt>
                <c:pt idx="7">
                  <c:v>513</c:v>
                </c:pt>
                <c:pt idx="8">
                  <c:v>531</c:v>
                </c:pt>
                <c:pt idx="9">
                  <c:v>498</c:v>
                </c:pt>
                <c:pt idx="10">
                  <c:v>589</c:v>
                </c:pt>
                <c:pt idx="11">
                  <c:v>503</c:v>
                </c:pt>
                <c:pt idx="12">
                  <c:v>380</c:v>
                </c:pt>
                <c:pt idx="13">
                  <c:v>448</c:v>
                </c:pt>
                <c:pt idx="14">
                  <c:v>397</c:v>
                </c:pt>
                <c:pt idx="15">
                  <c:v>363</c:v>
                </c:pt>
                <c:pt idx="16">
                  <c:v>311</c:v>
                </c:pt>
                <c:pt idx="17">
                  <c:v>327</c:v>
                </c:pt>
                <c:pt idx="18">
                  <c:v>378</c:v>
                </c:pt>
                <c:pt idx="19">
                  <c:v>278</c:v>
                </c:pt>
                <c:pt idx="20">
                  <c:v>234</c:v>
                </c:pt>
                <c:pt idx="21">
                  <c:v>202</c:v>
                </c:pt>
                <c:pt idx="22">
                  <c:v>376</c:v>
                </c:pt>
                <c:pt idx="23">
                  <c:v>382</c:v>
                </c:pt>
                <c:pt idx="24">
                  <c:v>267</c:v>
                </c:pt>
                <c:pt idx="25">
                  <c:v>313</c:v>
                </c:pt>
                <c:pt idx="26">
                  <c:v>260</c:v>
                </c:pt>
              </c:numCache>
            </c:numRef>
          </c:val>
          <c:smooth val="0"/>
        </c:ser>
        <c:dLbls>
          <c:showLegendKey val="0"/>
          <c:showVal val="0"/>
          <c:showCatName val="0"/>
          <c:showSerName val="0"/>
          <c:showPercent val="0"/>
          <c:showBubbleSize val="0"/>
        </c:dLbls>
        <c:marker val="1"/>
        <c:smooth val="0"/>
        <c:axId val="105560704"/>
        <c:axId val="105599744"/>
      </c:lineChart>
      <c:dateAx>
        <c:axId val="105560704"/>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105599744"/>
        <c:crosses val="autoZero"/>
        <c:auto val="1"/>
        <c:lblOffset val="100"/>
        <c:baseTimeUnit val="days"/>
        <c:majorUnit val="7"/>
        <c:majorTimeUnit val="days"/>
        <c:minorUnit val="1"/>
        <c:minorTimeUnit val="days"/>
      </c:dateAx>
      <c:valAx>
        <c:axId val="105599744"/>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105560704"/>
        <c:crosses val="autoZero"/>
        <c:crossBetween val="between"/>
      </c:valAx>
      <c:spPr>
        <a:solidFill>
          <a:srgbClr val="FFFFFF"/>
        </a:solidFill>
        <a:ln w="12700">
          <a:solidFill>
            <a:srgbClr val="C0C0C0"/>
          </a:solidFill>
          <a:prstDash val="solid"/>
        </a:ln>
      </c:spPr>
    </c:plotArea>
    <c:legend>
      <c:legendPos val="r"/>
      <c:layout>
        <c:manualLayout>
          <c:xMode val="edge"/>
          <c:yMode val="edge"/>
          <c:x val="0.54905326443369384"/>
          <c:y val="6.8486248726024351E-2"/>
          <c:w val="0.43157002505361786"/>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Weekly Grain</a:t>
            </a:r>
            <a:r>
              <a:rPr lang="en-US" baseline="0"/>
              <a:t> Barges Unloaded in the New Orleans Port Region</a:t>
            </a:r>
            <a:endParaRPr lang="en-US"/>
          </a:p>
        </c:rich>
      </c:tx>
      <c:layout>
        <c:manualLayout>
          <c:xMode val="edge"/>
          <c:yMode val="edge"/>
          <c:x val="0.14693417516921928"/>
          <c:y val="1.2482762484482551E-2"/>
        </c:manualLayout>
      </c:layout>
      <c:overlay val="0"/>
    </c:title>
    <c:autoTitleDeleted val="0"/>
    <c:plotArea>
      <c:layout>
        <c:manualLayout>
          <c:layoutTarget val="inner"/>
          <c:xMode val="edge"/>
          <c:yMode val="edge"/>
          <c:x val="0.12606254017279236"/>
          <c:y val="0.13348864707495456"/>
          <c:w val="0.82639846224524327"/>
          <c:h val="0.67658083043153638"/>
        </c:manualLayout>
      </c:layout>
      <c:lineChart>
        <c:grouping val="standard"/>
        <c:varyColors val="0"/>
        <c:ser>
          <c:idx val="0"/>
          <c:order val="0"/>
          <c:tx>
            <c:v>2012-2013</c:v>
          </c:tx>
          <c:marker>
            <c:symbol val="none"/>
          </c:marker>
          <c:cat>
            <c:numRef>
              <c:f>Data!$A$332:$A$396</c:f>
              <c:numCache>
                <c:formatCode>mm/dd/yy;@</c:formatCode>
                <c:ptCount val="65"/>
                <c:pt idx="0">
                  <c:v>40915</c:v>
                </c:pt>
                <c:pt idx="1">
                  <c:v>40922</c:v>
                </c:pt>
                <c:pt idx="2">
                  <c:v>40929</c:v>
                </c:pt>
                <c:pt idx="3">
                  <c:v>40936</c:v>
                </c:pt>
                <c:pt idx="4">
                  <c:v>40943</c:v>
                </c:pt>
                <c:pt idx="5">
                  <c:v>40950</c:v>
                </c:pt>
                <c:pt idx="6">
                  <c:v>40957</c:v>
                </c:pt>
                <c:pt idx="7">
                  <c:v>40964</c:v>
                </c:pt>
                <c:pt idx="8">
                  <c:v>40971</c:v>
                </c:pt>
                <c:pt idx="9">
                  <c:v>40978</c:v>
                </c:pt>
                <c:pt idx="10">
                  <c:v>40985</c:v>
                </c:pt>
                <c:pt idx="11">
                  <c:v>40992</c:v>
                </c:pt>
                <c:pt idx="12">
                  <c:v>40999</c:v>
                </c:pt>
                <c:pt idx="13">
                  <c:v>41006</c:v>
                </c:pt>
                <c:pt idx="14">
                  <c:v>41013</c:v>
                </c:pt>
                <c:pt idx="15">
                  <c:v>41020</c:v>
                </c:pt>
                <c:pt idx="16">
                  <c:v>41027</c:v>
                </c:pt>
                <c:pt idx="17">
                  <c:v>41034</c:v>
                </c:pt>
                <c:pt idx="18">
                  <c:v>41041</c:v>
                </c:pt>
                <c:pt idx="19">
                  <c:v>41048</c:v>
                </c:pt>
                <c:pt idx="20">
                  <c:v>41055</c:v>
                </c:pt>
                <c:pt idx="21">
                  <c:v>41062</c:v>
                </c:pt>
                <c:pt idx="22">
                  <c:v>41069</c:v>
                </c:pt>
                <c:pt idx="23">
                  <c:v>41076</c:v>
                </c:pt>
                <c:pt idx="24">
                  <c:v>41083</c:v>
                </c:pt>
                <c:pt idx="25">
                  <c:v>41090</c:v>
                </c:pt>
                <c:pt idx="26">
                  <c:v>41097</c:v>
                </c:pt>
                <c:pt idx="27">
                  <c:v>41104</c:v>
                </c:pt>
                <c:pt idx="28">
                  <c:v>41111</c:v>
                </c:pt>
                <c:pt idx="29">
                  <c:v>41118</c:v>
                </c:pt>
                <c:pt idx="30">
                  <c:v>41125</c:v>
                </c:pt>
                <c:pt idx="31">
                  <c:v>41132</c:v>
                </c:pt>
                <c:pt idx="32">
                  <c:v>41139</c:v>
                </c:pt>
                <c:pt idx="33">
                  <c:v>41146</c:v>
                </c:pt>
                <c:pt idx="34">
                  <c:v>41153</c:v>
                </c:pt>
                <c:pt idx="35">
                  <c:v>41160</c:v>
                </c:pt>
                <c:pt idx="36">
                  <c:v>41167</c:v>
                </c:pt>
                <c:pt idx="37">
                  <c:v>41174</c:v>
                </c:pt>
                <c:pt idx="38">
                  <c:v>41181</c:v>
                </c:pt>
                <c:pt idx="39">
                  <c:v>41188</c:v>
                </c:pt>
                <c:pt idx="40">
                  <c:v>41195</c:v>
                </c:pt>
                <c:pt idx="41">
                  <c:v>41202</c:v>
                </c:pt>
                <c:pt idx="42">
                  <c:v>41209</c:v>
                </c:pt>
                <c:pt idx="43">
                  <c:v>41216</c:v>
                </c:pt>
                <c:pt idx="44">
                  <c:v>41223</c:v>
                </c:pt>
                <c:pt idx="45">
                  <c:v>41230</c:v>
                </c:pt>
                <c:pt idx="46">
                  <c:v>41237</c:v>
                </c:pt>
                <c:pt idx="47">
                  <c:v>41244</c:v>
                </c:pt>
                <c:pt idx="48">
                  <c:v>41251</c:v>
                </c:pt>
                <c:pt idx="49">
                  <c:v>41258</c:v>
                </c:pt>
                <c:pt idx="50">
                  <c:v>41265</c:v>
                </c:pt>
                <c:pt idx="51">
                  <c:v>41272</c:v>
                </c:pt>
                <c:pt idx="52">
                  <c:v>41279</c:v>
                </c:pt>
                <c:pt idx="53">
                  <c:v>41286</c:v>
                </c:pt>
                <c:pt idx="54">
                  <c:v>41293</c:v>
                </c:pt>
                <c:pt idx="55">
                  <c:v>41300</c:v>
                </c:pt>
                <c:pt idx="56">
                  <c:v>41307</c:v>
                </c:pt>
                <c:pt idx="57">
                  <c:v>41314</c:v>
                </c:pt>
                <c:pt idx="58">
                  <c:v>41321</c:v>
                </c:pt>
                <c:pt idx="59">
                  <c:v>41328</c:v>
                </c:pt>
                <c:pt idx="60">
                  <c:v>41335</c:v>
                </c:pt>
                <c:pt idx="61">
                  <c:v>41342</c:v>
                </c:pt>
                <c:pt idx="62">
                  <c:v>41349</c:v>
                </c:pt>
                <c:pt idx="63">
                  <c:v>41356</c:v>
                </c:pt>
                <c:pt idx="64">
                  <c:v>41363</c:v>
                </c:pt>
              </c:numCache>
            </c:numRef>
          </c:cat>
          <c:val>
            <c:numRef>
              <c:f>Data!$F$332:$F$396</c:f>
              <c:numCache>
                <c:formatCode>General</c:formatCode>
                <c:ptCount val="65"/>
                <c:pt idx="0">
                  <c:v>681</c:v>
                </c:pt>
                <c:pt idx="1">
                  <c:v>840</c:v>
                </c:pt>
                <c:pt idx="2">
                  <c:v>772</c:v>
                </c:pt>
                <c:pt idx="3">
                  <c:v>793</c:v>
                </c:pt>
                <c:pt idx="4">
                  <c:v>657</c:v>
                </c:pt>
                <c:pt idx="5">
                  <c:v>713</c:v>
                </c:pt>
                <c:pt idx="6">
                  <c:v>601</c:v>
                </c:pt>
                <c:pt idx="7">
                  <c:v>563</c:v>
                </c:pt>
                <c:pt idx="8">
                  <c:v>593</c:v>
                </c:pt>
                <c:pt idx="9">
                  <c:v>493</c:v>
                </c:pt>
                <c:pt idx="10">
                  <c:v>457</c:v>
                </c:pt>
                <c:pt idx="11" formatCode="0">
                  <c:v>496</c:v>
                </c:pt>
                <c:pt idx="12" formatCode="0">
                  <c:v>482</c:v>
                </c:pt>
                <c:pt idx="13" formatCode="0">
                  <c:v>495</c:v>
                </c:pt>
                <c:pt idx="14" formatCode="0">
                  <c:v>649</c:v>
                </c:pt>
                <c:pt idx="15" formatCode="0">
                  <c:v>476</c:v>
                </c:pt>
                <c:pt idx="16" formatCode="0">
                  <c:v>312</c:v>
                </c:pt>
                <c:pt idx="17" formatCode="0">
                  <c:v>416</c:v>
                </c:pt>
                <c:pt idx="18" formatCode="0">
                  <c:v>651</c:v>
                </c:pt>
                <c:pt idx="19" formatCode="0">
                  <c:v>417</c:v>
                </c:pt>
                <c:pt idx="20" formatCode="0">
                  <c:v>430</c:v>
                </c:pt>
                <c:pt idx="21" formatCode="0">
                  <c:v>360</c:v>
                </c:pt>
                <c:pt idx="22" formatCode="0">
                  <c:v>243</c:v>
                </c:pt>
                <c:pt idx="23" formatCode="0">
                  <c:v>425</c:v>
                </c:pt>
                <c:pt idx="24" formatCode="0">
                  <c:v>366</c:v>
                </c:pt>
                <c:pt idx="25" formatCode="0">
                  <c:v>498</c:v>
                </c:pt>
                <c:pt idx="26" formatCode="0">
                  <c:v>449</c:v>
                </c:pt>
                <c:pt idx="27" formatCode="0">
                  <c:v>391</c:v>
                </c:pt>
                <c:pt idx="28" formatCode="0">
                  <c:v>506</c:v>
                </c:pt>
                <c:pt idx="29" formatCode="0">
                  <c:v>456</c:v>
                </c:pt>
                <c:pt idx="30" formatCode="0">
                  <c:v>465</c:v>
                </c:pt>
                <c:pt idx="31" formatCode="0">
                  <c:v>556</c:v>
                </c:pt>
                <c:pt idx="32" formatCode="0">
                  <c:v>502</c:v>
                </c:pt>
                <c:pt idx="33" formatCode="0">
                  <c:v>554</c:v>
                </c:pt>
                <c:pt idx="34" formatCode="0">
                  <c:v>228</c:v>
                </c:pt>
                <c:pt idx="35" formatCode="0">
                  <c:v>469</c:v>
                </c:pt>
                <c:pt idx="36" formatCode="0">
                  <c:v>603</c:v>
                </c:pt>
                <c:pt idx="37" formatCode="0">
                  <c:v>649</c:v>
                </c:pt>
                <c:pt idx="38" formatCode="0">
                  <c:v>686</c:v>
                </c:pt>
                <c:pt idx="39" formatCode="0">
                  <c:v>598</c:v>
                </c:pt>
                <c:pt idx="40" formatCode="0">
                  <c:v>714</c:v>
                </c:pt>
                <c:pt idx="41" formatCode="0">
                  <c:v>814</c:v>
                </c:pt>
                <c:pt idx="42" formatCode="0">
                  <c:v>843</c:v>
                </c:pt>
                <c:pt idx="43" formatCode="0">
                  <c:v>848</c:v>
                </c:pt>
                <c:pt idx="44" formatCode="0">
                  <c:v>831</c:v>
                </c:pt>
                <c:pt idx="45" formatCode="0">
                  <c:v>905</c:v>
                </c:pt>
                <c:pt idx="46" formatCode="0">
                  <c:v>655</c:v>
                </c:pt>
                <c:pt idx="47" formatCode="0">
                  <c:v>635</c:v>
                </c:pt>
                <c:pt idx="48" formatCode="0">
                  <c:v>632</c:v>
                </c:pt>
                <c:pt idx="49" formatCode="0">
                  <c:v>634</c:v>
                </c:pt>
                <c:pt idx="50" formatCode="0">
                  <c:v>696</c:v>
                </c:pt>
                <c:pt idx="51" formatCode="0">
                  <c:v>600</c:v>
                </c:pt>
                <c:pt idx="52" formatCode="0">
                  <c:v>427</c:v>
                </c:pt>
                <c:pt idx="53" formatCode="0">
                  <c:v>509</c:v>
                </c:pt>
                <c:pt idx="54" formatCode="0">
                  <c:v>572</c:v>
                </c:pt>
                <c:pt idx="55" formatCode="0">
                  <c:v>643</c:v>
                </c:pt>
                <c:pt idx="56" formatCode="0">
                  <c:v>513</c:v>
                </c:pt>
                <c:pt idx="57" formatCode="0">
                  <c:v>531</c:v>
                </c:pt>
                <c:pt idx="58" formatCode="0">
                  <c:v>498</c:v>
                </c:pt>
                <c:pt idx="59" formatCode="0">
                  <c:v>589</c:v>
                </c:pt>
                <c:pt idx="60" formatCode="0">
                  <c:v>503</c:v>
                </c:pt>
                <c:pt idx="61" formatCode="0">
                  <c:v>380</c:v>
                </c:pt>
                <c:pt idx="62" formatCode="0">
                  <c:v>448</c:v>
                </c:pt>
                <c:pt idx="63" formatCode="0">
                  <c:v>397</c:v>
                </c:pt>
                <c:pt idx="64" formatCode="0">
                  <c:v>363</c:v>
                </c:pt>
              </c:numCache>
            </c:numRef>
          </c:val>
          <c:smooth val="0"/>
        </c:ser>
        <c:ser>
          <c:idx val="1"/>
          <c:order val="1"/>
          <c:tx>
            <c:v>3-Year Average</c:v>
          </c:tx>
          <c:marker>
            <c:symbol val="none"/>
          </c:marker>
          <c:cat>
            <c:numRef>
              <c:f>Data!$A$332:$A$396</c:f>
              <c:numCache>
                <c:formatCode>mm/dd/yy;@</c:formatCode>
                <c:ptCount val="65"/>
                <c:pt idx="0">
                  <c:v>40915</c:v>
                </c:pt>
                <c:pt idx="1">
                  <c:v>40922</c:v>
                </c:pt>
                <c:pt idx="2">
                  <c:v>40929</c:v>
                </c:pt>
                <c:pt idx="3">
                  <c:v>40936</c:v>
                </c:pt>
                <c:pt idx="4">
                  <c:v>40943</c:v>
                </c:pt>
                <c:pt idx="5">
                  <c:v>40950</c:v>
                </c:pt>
                <c:pt idx="6">
                  <c:v>40957</c:v>
                </c:pt>
                <c:pt idx="7">
                  <c:v>40964</c:v>
                </c:pt>
                <c:pt idx="8">
                  <c:v>40971</c:v>
                </c:pt>
                <c:pt idx="9">
                  <c:v>40978</c:v>
                </c:pt>
                <c:pt idx="10">
                  <c:v>40985</c:v>
                </c:pt>
                <c:pt idx="11">
                  <c:v>40992</c:v>
                </c:pt>
                <c:pt idx="12">
                  <c:v>40999</c:v>
                </c:pt>
                <c:pt idx="13">
                  <c:v>41006</c:v>
                </c:pt>
                <c:pt idx="14">
                  <c:v>41013</c:v>
                </c:pt>
                <c:pt idx="15">
                  <c:v>41020</c:v>
                </c:pt>
                <c:pt idx="16">
                  <c:v>41027</c:v>
                </c:pt>
                <c:pt idx="17">
                  <c:v>41034</c:v>
                </c:pt>
                <c:pt idx="18">
                  <c:v>41041</c:v>
                </c:pt>
                <c:pt idx="19">
                  <c:v>41048</c:v>
                </c:pt>
                <c:pt idx="20">
                  <c:v>41055</c:v>
                </c:pt>
                <c:pt idx="21">
                  <c:v>41062</c:v>
                </c:pt>
                <c:pt idx="22">
                  <c:v>41069</c:v>
                </c:pt>
                <c:pt idx="23">
                  <c:v>41076</c:v>
                </c:pt>
                <c:pt idx="24">
                  <c:v>41083</c:v>
                </c:pt>
                <c:pt idx="25">
                  <c:v>41090</c:v>
                </c:pt>
                <c:pt idx="26">
                  <c:v>41097</c:v>
                </c:pt>
                <c:pt idx="27">
                  <c:v>41104</c:v>
                </c:pt>
                <c:pt idx="28">
                  <c:v>41111</c:v>
                </c:pt>
                <c:pt idx="29">
                  <c:v>41118</c:v>
                </c:pt>
                <c:pt idx="30">
                  <c:v>41125</c:v>
                </c:pt>
                <c:pt idx="31">
                  <c:v>41132</c:v>
                </c:pt>
                <c:pt idx="32">
                  <c:v>41139</c:v>
                </c:pt>
                <c:pt idx="33">
                  <c:v>41146</c:v>
                </c:pt>
                <c:pt idx="34">
                  <c:v>41153</c:v>
                </c:pt>
                <c:pt idx="35">
                  <c:v>41160</c:v>
                </c:pt>
                <c:pt idx="36">
                  <c:v>41167</c:v>
                </c:pt>
                <c:pt idx="37">
                  <c:v>41174</c:v>
                </c:pt>
                <c:pt idx="38">
                  <c:v>41181</c:v>
                </c:pt>
                <c:pt idx="39">
                  <c:v>41188</c:v>
                </c:pt>
                <c:pt idx="40">
                  <c:v>41195</c:v>
                </c:pt>
                <c:pt idx="41">
                  <c:v>41202</c:v>
                </c:pt>
                <c:pt idx="42">
                  <c:v>41209</c:v>
                </c:pt>
                <c:pt idx="43">
                  <c:v>41216</c:v>
                </c:pt>
                <c:pt idx="44">
                  <c:v>41223</c:v>
                </c:pt>
                <c:pt idx="45">
                  <c:v>41230</c:v>
                </c:pt>
                <c:pt idx="46">
                  <c:v>41237</c:v>
                </c:pt>
                <c:pt idx="47">
                  <c:v>41244</c:v>
                </c:pt>
                <c:pt idx="48">
                  <c:v>41251</c:v>
                </c:pt>
                <c:pt idx="49">
                  <c:v>41258</c:v>
                </c:pt>
                <c:pt idx="50">
                  <c:v>41265</c:v>
                </c:pt>
                <c:pt idx="51">
                  <c:v>41272</c:v>
                </c:pt>
                <c:pt idx="52">
                  <c:v>41279</c:v>
                </c:pt>
                <c:pt idx="53">
                  <c:v>41286</c:v>
                </c:pt>
                <c:pt idx="54">
                  <c:v>41293</c:v>
                </c:pt>
                <c:pt idx="55">
                  <c:v>41300</c:v>
                </c:pt>
                <c:pt idx="56">
                  <c:v>41307</c:v>
                </c:pt>
                <c:pt idx="57">
                  <c:v>41314</c:v>
                </c:pt>
                <c:pt idx="58">
                  <c:v>41321</c:v>
                </c:pt>
                <c:pt idx="59">
                  <c:v>41328</c:v>
                </c:pt>
                <c:pt idx="60">
                  <c:v>41335</c:v>
                </c:pt>
                <c:pt idx="61">
                  <c:v>41342</c:v>
                </c:pt>
                <c:pt idx="62">
                  <c:v>41349</c:v>
                </c:pt>
                <c:pt idx="63">
                  <c:v>41356</c:v>
                </c:pt>
                <c:pt idx="64">
                  <c:v>41363</c:v>
                </c:pt>
              </c:numCache>
            </c:numRef>
          </c:cat>
          <c:val>
            <c:numRef>
              <c:f>Data!$L$332:$L$396</c:f>
              <c:numCache>
                <c:formatCode>0</c:formatCode>
                <c:ptCount val="65"/>
                <c:pt idx="0">
                  <c:v>674</c:v>
                </c:pt>
                <c:pt idx="1">
                  <c:v>673</c:v>
                </c:pt>
                <c:pt idx="2">
                  <c:v>658.33333333333337</c:v>
                </c:pt>
                <c:pt idx="3">
                  <c:v>694.66666666666663</c:v>
                </c:pt>
                <c:pt idx="4">
                  <c:v>660.66666666666663</c:v>
                </c:pt>
                <c:pt idx="5">
                  <c:v>646</c:v>
                </c:pt>
                <c:pt idx="6">
                  <c:v>664.66666666666663</c:v>
                </c:pt>
                <c:pt idx="7">
                  <c:v>640</c:v>
                </c:pt>
                <c:pt idx="8">
                  <c:v>625.33333333333337</c:v>
                </c:pt>
                <c:pt idx="9">
                  <c:v>569.66666666666663</c:v>
                </c:pt>
                <c:pt idx="10">
                  <c:v>636.33333333333337</c:v>
                </c:pt>
                <c:pt idx="11">
                  <c:v>639.66666666666663</c:v>
                </c:pt>
                <c:pt idx="12">
                  <c:v>528.33333333333337</c:v>
                </c:pt>
                <c:pt idx="13">
                  <c:v>532.66666666666663</c:v>
                </c:pt>
                <c:pt idx="14">
                  <c:v>510.33333333333331</c:v>
                </c:pt>
                <c:pt idx="15">
                  <c:v>336.33333333333331</c:v>
                </c:pt>
                <c:pt idx="16">
                  <c:v>424.66666666666669</c:v>
                </c:pt>
                <c:pt idx="17">
                  <c:v>475.66666666666669</c:v>
                </c:pt>
                <c:pt idx="18">
                  <c:v>459.33333333333331</c:v>
                </c:pt>
                <c:pt idx="19">
                  <c:v>453.66666666666669</c:v>
                </c:pt>
                <c:pt idx="20">
                  <c:v>470.33333333333331</c:v>
                </c:pt>
                <c:pt idx="21">
                  <c:v>467.66666666666669</c:v>
                </c:pt>
                <c:pt idx="22">
                  <c:v>472.33333333333331</c:v>
                </c:pt>
                <c:pt idx="23">
                  <c:v>483.33333333333331</c:v>
                </c:pt>
                <c:pt idx="24">
                  <c:v>489.33333333333331</c:v>
                </c:pt>
                <c:pt idx="25">
                  <c:v>492</c:v>
                </c:pt>
                <c:pt idx="26">
                  <c:v>508.33333333333331</c:v>
                </c:pt>
                <c:pt idx="27">
                  <c:v>539.66666666666663</c:v>
                </c:pt>
                <c:pt idx="28">
                  <c:v>511.66666666666669</c:v>
                </c:pt>
                <c:pt idx="29">
                  <c:v>410.66666666666669</c:v>
                </c:pt>
                <c:pt idx="30">
                  <c:v>494.33333333333331</c:v>
                </c:pt>
                <c:pt idx="31">
                  <c:v>499</c:v>
                </c:pt>
                <c:pt idx="32">
                  <c:v>501.66666666666669</c:v>
                </c:pt>
                <c:pt idx="33">
                  <c:v>494.33333333333331</c:v>
                </c:pt>
                <c:pt idx="34">
                  <c:v>494.66666666666669</c:v>
                </c:pt>
                <c:pt idx="35">
                  <c:v>435</c:v>
                </c:pt>
                <c:pt idx="36">
                  <c:v>483.33333333333331</c:v>
                </c:pt>
                <c:pt idx="37">
                  <c:v>561.33333333333337</c:v>
                </c:pt>
                <c:pt idx="38">
                  <c:v>529</c:v>
                </c:pt>
                <c:pt idx="39">
                  <c:v>522</c:v>
                </c:pt>
                <c:pt idx="40">
                  <c:v>575</c:v>
                </c:pt>
                <c:pt idx="41">
                  <c:v>622.33333333333337</c:v>
                </c:pt>
                <c:pt idx="42">
                  <c:v>653.33333333333337</c:v>
                </c:pt>
                <c:pt idx="43">
                  <c:v>686</c:v>
                </c:pt>
                <c:pt idx="44">
                  <c:v>746</c:v>
                </c:pt>
                <c:pt idx="45">
                  <c:v>778.66666666666663</c:v>
                </c:pt>
                <c:pt idx="46">
                  <c:v>640.66666666666663</c:v>
                </c:pt>
                <c:pt idx="47">
                  <c:v>712.33333333333337</c:v>
                </c:pt>
                <c:pt idx="48">
                  <c:v>705.66666666666663</c:v>
                </c:pt>
                <c:pt idx="49">
                  <c:v>618.33333333333337</c:v>
                </c:pt>
                <c:pt idx="50">
                  <c:v>633.66666666666663</c:v>
                </c:pt>
                <c:pt idx="51">
                  <c:v>584</c:v>
                </c:pt>
                <c:pt idx="52">
                  <c:v>711.66666666666663</c:v>
                </c:pt>
                <c:pt idx="53">
                  <c:v>727</c:v>
                </c:pt>
                <c:pt idx="54">
                  <c:v>684.33333333333337</c:v>
                </c:pt>
                <c:pt idx="55">
                  <c:v>747</c:v>
                </c:pt>
                <c:pt idx="56">
                  <c:v>650.66666666666663</c:v>
                </c:pt>
                <c:pt idx="57">
                  <c:v>668.33333333333337</c:v>
                </c:pt>
                <c:pt idx="58">
                  <c:v>678</c:v>
                </c:pt>
                <c:pt idx="59">
                  <c:v>658.66666666666663</c:v>
                </c:pt>
                <c:pt idx="60">
                  <c:v>628</c:v>
                </c:pt>
                <c:pt idx="61">
                  <c:v>546.33333333333337</c:v>
                </c:pt>
                <c:pt idx="62">
                  <c:v>596.33333333333337</c:v>
                </c:pt>
                <c:pt idx="63">
                  <c:v>591.33333333333337</c:v>
                </c:pt>
                <c:pt idx="64">
                  <c:v>468</c:v>
                </c:pt>
              </c:numCache>
            </c:numRef>
          </c:val>
          <c:smooth val="0"/>
        </c:ser>
        <c:dLbls>
          <c:showLegendKey val="0"/>
          <c:showVal val="0"/>
          <c:showCatName val="0"/>
          <c:showSerName val="0"/>
          <c:showPercent val="0"/>
          <c:showBubbleSize val="0"/>
        </c:dLbls>
        <c:marker val="1"/>
        <c:smooth val="0"/>
        <c:axId val="111155840"/>
        <c:axId val="111157632"/>
      </c:lineChart>
      <c:dateAx>
        <c:axId val="111155840"/>
        <c:scaling>
          <c:orientation val="minMax"/>
        </c:scaling>
        <c:delete val="0"/>
        <c:axPos val="b"/>
        <c:numFmt formatCode="mm/dd/yy;@" sourceLinked="1"/>
        <c:majorTickMark val="out"/>
        <c:minorTickMark val="none"/>
        <c:tickLblPos val="nextTo"/>
        <c:crossAx val="111157632"/>
        <c:crosses val="autoZero"/>
        <c:auto val="1"/>
        <c:lblOffset val="100"/>
        <c:baseTimeUnit val="days"/>
      </c:dateAx>
      <c:valAx>
        <c:axId val="111157632"/>
        <c:scaling>
          <c:orientation val="minMax"/>
          <c:max val="950"/>
          <c:min val="200"/>
        </c:scaling>
        <c:delete val="0"/>
        <c:axPos val="l"/>
        <c:majorGridlines/>
        <c:title>
          <c:tx>
            <c:rich>
              <a:bodyPr rot="-5400000" vert="horz"/>
              <a:lstStyle/>
              <a:p>
                <a:pPr>
                  <a:defRPr/>
                </a:pPr>
                <a:r>
                  <a:rPr lang="en-US"/>
                  <a:t>Number of Grain</a:t>
                </a:r>
                <a:r>
                  <a:rPr lang="en-US" baseline="0"/>
                  <a:t> Barges</a:t>
                </a:r>
                <a:endParaRPr lang="en-US"/>
              </a:p>
            </c:rich>
          </c:tx>
          <c:layout>
            <c:manualLayout>
              <c:xMode val="edge"/>
              <c:yMode val="edge"/>
              <c:x val="2.2348485554571359E-2"/>
              <c:y val="0.32602100642518256"/>
            </c:manualLayout>
          </c:layout>
          <c:overlay val="0"/>
        </c:title>
        <c:numFmt formatCode="General" sourceLinked="1"/>
        <c:majorTickMark val="out"/>
        <c:minorTickMark val="none"/>
        <c:tickLblPos val="nextTo"/>
        <c:crossAx val="111155840"/>
        <c:crosses val="autoZero"/>
        <c:crossBetween val="between"/>
      </c:valAx>
    </c:plotArea>
    <c:legend>
      <c:legendPos val="r"/>
      <c:layout>
        <c:manualLayout>
          <c:xMode val="edge"/>
          <c:yMode val="edge"/>
          <c:x val="0.73114016082843269"/>
          <c:y val="0.6748404197097343"/>
          <c:w val="0.19744992053137472"/>
          <c:h val="9.5909912443302631E-2"/>
        </c:manualLayout>
      </c:layout>
      <c:overlay val="0"/>
      <c:spPr>
        <a:solidFill>
          <a:schemeClr val="bg1"/>
        </a:solidFill>
        <a:ln>
          <a:solidFill>
            <a:schemeClr val="tx1">
              <a:lumMod val="50000"/>
              <a:lumOff val="50000"/>
            </a:schemeClr>
          </a:solidFill>
        </a:ln>
      </c:spPr>
    </c:legend>
    <c:plotVisOnly val="1"/>
    <c:dispBlanksAs val="gap"/>
    <c:showDLblsOverMax val="0"/>
  </c:chart>
  <c:spPr>
    <a:ln w="15875">
      <a:solidFill>
        <a:schemeClr val="tx1"/>
      </a:solidFill>
    </a:ln>
  </c:spPr>
  <c:printSettings>
    <c:headerFooter/>
    <c:pageMargins b="0.75" l="0.7" r="0.7" t="0.75" header="0.3" footer="0.3"/>
    <c:pageSetup/>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71887</xdr:colOff>
      <xdr:row>3</xdr:row>
      <xdr:rowOff>50319</xdr:rowOff>
    </xdr:from>
    <xdr:to>
      <xdr:col>5</xdr:col>
      <xdr:colOff>115018</xdr:colOff>
      <xdr:row>6</xdr:row>
      <xdr:rowOff>143774</xdr:rowOff>
    </xdr:to>
    <xdr:sp macro="" textlink="">
      <xdr:nvSpPr>
        <xdr:cNvPr id="2050" name="Rectangle 2"/>
        <xdr:cNvSpPr>
          <a:spLocks noChangeArrowheads="1"/>
        </xdr:cNvSpPr>
      </xdr:nvSpPr>
      <xdr:spPr bwMode="auto">
        <a:xfrm>
          <a:off x="675736" y="553527"/>
          <a:ext cx="2458527" cy="589473"/>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June</a:t>
          </a:r>
          <a:r>
            <a:rPr lang="en-US" sz="900" b="0" i="0" strike="noStrike" baseline="0">
              <a:solidFill>
                <a:srgbClr val="000000"/>
              </a:solidFill>
              <a:latin typeface="Times New Roman"/>
              <a:cs typeface="Times New Roman"/>
            </a:rPr>
            <a:t> 15</a:t>
          </a:r>
          <a:r>
            <a:rPr lang="en-US" sz="900" b="0" i="0" strike="noStrike">
              <a:solidFill>
                <a:srgbClr val="000000"/>
              </a:solidFill>
              <a:latin typeface="Times New Roman"/>
              <a:cs typeface="Times New Roman"/>
            </a:rPr>
            <a:t>: 243 grain barges</a:t>
          </a:r>
          <a:r>
            <a:rPr lang="en-US" sz="900" b="0" i="0" strike="noStrike" baseline="0">
              <a:solidFill>
                <a:srgbClr val="000000"/>
              </a:solidFill>
              <a:latin typeface="Times New Roman"/>
              <a:cs typeface="Times New Roman"/>
            </a:rPr>
            <a:t> moved down river, up 153 percent from the previous week, 260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down 17 percent</a:t>
          </a:r>
          <a:r>
            <a:rPr lang="en-US" sz="900" b="0" i="0" strike="noStrike" baseline="0">
              <a:solidFill>
                <a:srgbClr val="000000"/>
              </a:solidFill>
              <a:latin typeface="Times New Roman"/>
              <a:cs typeface="Times New Roman"/>
            </a:rPr>
            <a: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0.01011</cdr:x>
      <cdr:y>0.24344</cdr:y>
    </cdr:from>
    <cdr:to>
      <cdr:x>0.06336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58268" y="746656"/>
          <a:ext cx="306860" cy="96998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414671</xdr:colOff>
      <xdr:row>29</xdr:row>
      <xdr:rowOff>136276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0.01952</cdr:x>
      <cdr:y>0.94875</cdr:y>
    </cdr:from>
    <cdr:to>
      <cdr:x>0.89489</cdr:x>
      <cdr:y>0.99606</cdr:y>
    </cdr:to>
    <cdr:sp macro="" textlink="">
      <cdr:nvSpPr>
        <cdr:cNvPr id="2" name="TextBox 1"/>
        <cdr:cNvSpPr txBox="1"/>
      </cdr:nvSpPr>
      <cdr:spPr>
        <a:xfrm xmlns:a="http://schemas.openxmlformats.org/drawingml/2006/main">
          <a:off x="115187" y="4264544"/>
          <a:ext cx="5165651" cy="212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a:t>Source:</a:t>
          </a:r>
          <a:r>
            <a:rPr lang="en-US" sz="1000" baseline="0"/>
            <a:t>  GIPSA, New Orleans Field Office </a:t>
          </a:r>
          <a:endParaRPr lang="en-US" sz="10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7"/>
  <sheetViews>
    <sheetView zoomScale="86" zoomScaleNormal="86" workbookViewId="0">
      <pane ySplit="6" topLeftCell="A396" activePane="bottomLeft" state="frozen"/>
      <selection pane="bottomLeft" activeCell="F410" sqref="F410"/>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62" t="s">
        <v>21</v>
      </c>
      <c r="B1" s="62"/>
      <c r="C1" s="62"/>
      <c r="D1" s="62"/>
      <c r="E1" s="62"/>
      <c r="F1" s="62"/>
      <c r="G1" s="62"/>
      <c r="H1" s="38"/>
      <c r="I1" s="28"/>
      <c r="J1" s="28"/>
      <c r="K1" s="28"/>
    </row>
    <row r="2" spans="1:13" x14ac:dyDescent="0.25">
      <c r="A2" s="63" t="s">
        <v>22</v>
      </c>
      <c r="B2" s="63"/>
      <c r="C2" s="63"/>
      <c r="D2" s="63"/>
      <c r="E2" s="63"/>
      <c r="F2" s="63"/>
      <c r="G2" s="63"/>
      <c r="H2" s="63"/>
      <c r="I2" s="63"/>
      <c r="J2" s="63"/>
      <c r="K2" s="63"/>
    </row>
    <row r="3" spans="1:13" x14ac:dyDescent="0.25">
      <c r="A3" s="63"/>
      <c r="B3" s="63"/>
      <c r="C3" s="63"/>
      <c r="D3" s="63"/>
      <c r="E3" s="63"/>
      <c r="F3" s="63"/>
      <c r="G3" s="63"/>
      <c r="H3" s="63"/>
      <c r="I3" s="63"/>
      <c r="J3" s="63"/>
      <c r="K3" s="63"/>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07"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35</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35</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35</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35</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35</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35</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35</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35</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35</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40</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3:O30"/>
  <sheetViews>
    <sheetView workbookViewId="0">
      <selection activeCell="N26" sqref="N26"/>
    </sheetView>
  </sheetViews>
  <sheetFormatPr defaultRowHeight="13.2" x14ac:dyDescent="0.25"/>
  <cols>
    <col min="14" max="14" width="35" bestFit="1" customWidth="1"/>
    <col min="15" max="15" width="13.77734375" bestFit="1" customWidth="1"/>
  </cols>
  <sheetData>
    <row r="3" spans="13:15" ht="13.8" thickBot="1" x14ac:dyDescent="0.3"/>
    <row r="4" spans="13:15" ht="13.8" x14ac:dyDescent="0.25">
      <c r="M4" s="48"/>
      <c r="N4" s="64" t="s">
        <v>30</v>
      </c>
      <c r="O4" s="65"/>
    </row>
    <row r="5" spans="13:15" ht="14.4" thickBot="1" x14ac:dyDescent="0.3">
      <c r="M5" s="48"/>
      <c r="N5" s="66"/>
      <c r="O5" s="67"/>
    </row>
    <row r="6" spans="13:15" ht="13.8" x14ac:dyDescent="0.25">
      <c r="M6" s="48"/>
      <c r="N6" s="49"/>
      <c r="O6" s="50"/>
    </row>
    <row r="7" spans="13:15" ht="13.8" x14ac:dyDescent="0.25">
      <c r="M7" s="48"/>
      <c r="N7" s="51" t="s">
        <v>38</v>
      </c>
      <c r="O7" s="52" t="s">
        <v>36</v>
      </c>
    </row>
    <row r="8" spans="13:15" ht="13.8" x14ac:dyDescent="0.25">
      <c r="M8" s="48"/>
      <c r="N8" s="53">
        <v>41293</v>
      </c>
      <c r="O8" s="54">
        <f>SUM(Data!F380:F386)</f>
        <v>4070</v>
      </c>
    </row>
    <row r="9" spans="13:15" ht="13.8" x14ac:dyDescent="0.25">
      <c r="M9" s="48"/>
      <c r="N9" s="53">
        <v>40929</v>
      </c>
      <c r="O9" s="54">
        <f>SUM(Data!F328:F334)</f>
        <v>4864</v>
      </c>
    </row>
    <row r="10" spans="13:15" ht="13.8" x14ac:dyDescent="0.25">
      <c r="M10" s="48"/>
      <c r="N10" s="55" t="s">
        <v>31</v>
      </c>
      <c r="O10" s="54">
        <f>O8-O9</f>
        <v>-794</v>
      </c>
    </row>
    <row r="11" spans="13:15" ht="13.8" x14ac:dyDescent="0.25">
      <c r="M11" s="48"/>
      <c r="N11" s="59" t="s">
        <v>37</v>
      </c>
      <c r="O11" s="60">
        <f>SUM(Data!F224:F230,Data!F276:F282,Data!F328:F334)/3</f>
        <v>4664.666666666667</v>
      </c>
    </row>
    <row r="12" spans="13:15" ht="13.8" x14ac:dyDescent="0.25">
      <c r="M12" s="48"/>
      <c r="N12" s="55" t="s">
        <v>31</v>
      </c>
      <c r="O12" s="54">
        <f>O8-O11</f>
        <v>-594.66666666666697</v>
      </c>
    </row>
    <row r="13" spans="13:15" ht="13.8" x14ac:dyDescent="0.25">
      <c r="M13" s="48"/>
      <c r="N13" s="56"/>
      <c r="O13" s="57"/>
    </row>
    <row r="14" spans="13:15" ht="13.8" x14ac:dyDescent="0.25">
      <c r="M14" s="48"/>
      <c r="N14" s="51" t="s">
        <v>39</v>
      </c>
      <c r="O14" s="52"/>
    </row>
    <row r="15" spans="13:15" ht="13.8" x14ac:dyDescent="0.25">
      <c r="M15" s="48"/>
      <c r="N15" s="49" t="s">
        <v>34</v>
      </c>
      <c r="O15" s="54">
        <f>Data!F386</f>
        <v>572</v>
      </c>
    </row>
    <row r="16" spans="13:15" ht="13.8" customHeight="1" x14ac:dyDescent="0.25">
      <c r="M16" s="48"/>
      <c r="N16" s="49" t="s">
        <v>33</v>
      </c>
      <c r="O16" s="54">
        <f>Data!F385</f>
        <v>509</v>
      </c>
    </row>
    <row r="17" spans="13:15" ht="13.8" x14ac:dyDescent="0.25">
      <c r="M17" s="48"/>
      <c r="N17" s="49" t="s">
        <v>31</v>
      </c>
      <c r="O17" s="54">
        <f>O15-O16</f>
        <v>63</v>
      </c>
    </row>
    <row r="18" spans="13:15" ht="14.4" thickBot="1" x14ac:dyDescent="0.3">
      <c r="M18" s="48"/>
      <c r="N18" s="58" t="s">
        <v>32</v>
      </c>
      <c r="O18" s="61"/>
    </row>
    <row r="19" spans="13:15" ht="13.8" x14ac:dyDescent="0.25">
      <c r="M19" s="48"/>
    </row>
    <row r="20" spans="13:15" ht="13.8" x14ac:dyDescent="0.25">
      <c r="M20" s="48"/>
    </row>
    <row r="21" spans="13:15" ht="13.8" x14ac:dyDescent="0.25">
      <c r="M21" s="48"/>
      <c r="N21" s="48"/>
    </row>
    <row r="22" spans="13:15" ht="13.8" x14ac:dyDescent="0.25">
      <c r="M22" s="48"/>
      <c r="N22" s="48"/>
    </row>
    <row r="23" spans="13:15" ht="13.8" x14ac:dyDescent="0.25">
      <c r="M23" s="48"/>
      <c r="N23" s="48"/>
    </row>
    <row r="24" spans="13:15" ht="13.8" x14ac:dyDescent="0.25">
      <c r="M24" s="48"/>
      <c r="N24" s="48"/>
    </row>
    <row r="25" spans="13:15" ht="13.8" x14ac:dyDescent="0.25">
      <c r="M25" s="48"/>
      <c r="N25" s="48"/>
    </row>
    <row r="26" spans="13:15" ht="13.8" x14ac:dyDescent="0.25">
      <c r="M26" s="48"/>
      <c r="N26" s="48"/>
    </row>
    <row r="27" spans="13:15" ht="13.8" x14ac:dyDescent="0.25">
      <c r="M27" s="48"/>
      <c r="N27" s="48"/>
    </row>
    <row r="28" spans="13:15" ht="13.8" x14ac:dyDescent="0.25">
      <c r="M28" s="48"/>
      <c r="N28" s="48"/>
    </row>
    <row r="29" spans="13:15" ht="13.8" x14ac:dyDescent="0.25">
      <c r="M29" s="48"/>
      <c r="N29" s="48"/>
    </row>
    <row r="30" spans="13:15" ht="13.8" x14ac:dyDescent="0.25">
      <c r="M30" s="48"/>
    </row>
  </sheetData>
  <mergeCells count="1">
    <mergeCell ref="N4:O5"/>
  </mergeCells>
  <pageMargins left="0.7" right="0.7" top="0.75" bottom="0.75" header="0.3" footer="0.3"/>
  <ignoredErrors>
    <ignoredError sqref="O8:O9"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DB barges vs UL NO barges</vt:lpstr>
      <vt:lpstr>River Analysis</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2012-10-03T14:10:30Z</cp:lastPrinted>
  <dcterms:created xsi:type="dcterms:W3CDTF">2006-06-12T19:05:10Z</dcterms:created>
  <dcterms:modified xsi:type="dcterms:W3CDTF">2013-06-18T14:15:59Z</dcterms:modified>
</cp:coreProperties>
</file>