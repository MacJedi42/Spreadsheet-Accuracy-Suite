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5210" windowHeight="7410"/>
  </bookViews>
  <sheets>
    <sheet name="TRANSPLANT DATA" sheetId="1" r:id="rId1"/>
  </sheets>
  <definedNames>
    <definedName name="_xlnm.Print_Area" localSheetId="0">'TRANSPLANT DATA'!$A$1:$M$45</definedName>
  </definedNames>
  <calcPr calcId="125725"/>
</workbook>
</file>

<file path=xl/calcChain.xml><?xml version="1.0" encoding="utf-8"?>
<calcChain xmlns="http://schemas.openxmlformats.org/spreadsheetml/2006/main">
  <c r="C35" i="1"/>
  <c r="C25"/>
  <c r="C19"/>
  <c r="C13"/>
  <c r="C7"/>
  <c r="C26" l="1"/>
</calcChain>
</file>

<file path=xl/sharedStrings.xml><?xml version="1.0" encoding="utf-8"?>
<sst xmlns="http://schemas.openxmlformats.org/spreadsheetml/2006/main" count="83" uniqueCount="58">
  <si>
    <t>Lynn Stephens</t>
  </si>
  <si>
    <t>e</t>
  </si>
  <si>
    <t>516-70-1532</t>
  </si>
  <si>
    <t>CITY/ENTITY</t>
  </si>
  <si>
    <t>Barbara</t>
  </si>
  <si>
    <t>Kidney</t>
  </si>
  <si>
    <t>Baylor Dallas  -  URN</t>
  </si>
  <si>
    <t>Eval.</t>
  </si>
  <si>
    <t>DEP CODE</t>
  </si>
  <si>
    <t>PATIENT</t>
  </si>
  <si>
    <t>TOTAL</t>
  </si>
  <si>
    <t>ID#</t>
  </si>
  <si>
    <t>DOB</t>
  </si>
  <si>
    <t>ENTITY</t>
  </si>
  <si>
    <t>CM STATUS</t>
  </si>
  <si>
    <t>CM open</t>
  </si>
  <si>
    <t>TYPE</t>
  </si>
  <si>
    <t>FACILITY</t>
  </si>
  <si>
    <t>STATUS</t>
  </si>
  <si>
    <t>POTENTIAL TRANSPLANT - NO EVALUATION REQUESTED</t>
  </si>
  <si>
    <t>Carrollton</t>
  </si>
  <si>
    <t>SCT</t>
  </si>
  <si>
    <t>TBD</t>
  </si>
  <si>
    <t>Liver</t>
  </si>
  <si>
    <t>PRE-TRANSPLANT EVALUATION REQUESTED</t>
  </si>
  <si>
    <t xml:space="preserve">TOTAL  </t>
  </si>
  <si>
    <t>PRE-TRANSPLANT EVALUATION APPROVED</t>
  </si>
  <si>
    <t>TRANSPLANTS APPROVED &amp; PENDING</t>
  </si>
  <si>
    <t>s</t>
  </si>
  <si>
    <t>Baylor/Dallas</t>
  </si>
  <si>
    <t>GRAND TOTAL PENDING</t>
  </si>
  <si>
    <t>STATUS POST TRANSPLANT</t>
  </si>
  <si>
    <t>Closed 5/12/08</t>
  </si>
  <si>
    <t>Post 3/13/08/Term 3/1/08</t>
  </si>
  <si>
    <t>No COBRA, UHC 1st, MD 2nd</t>
  </si>
  <si>
    <t>Closed11/18/05</t>
  </si>
  <si>
    <t>MD Anderson</t>
  </si>
  <si>
    <t>Post 11/19/04</t>
  </si>
  <si>
    <t>Post 8/31/04;close 1/26/06</t>
  </si>
  <si>
    <t>Txp stable</t>
  </si>
  <si>
    <t>GRAND TOTAL COMPLETED</t>
  </si>
  <si>
    <t>OTHER</t>
  </si>
  <si>
    <t>Closed 5/28/02</t>
  </si>
  <si>
    <t>Expired 5/24/02</t>
  </si>
  <si>
    <t>Closed 1/14/08</t>
  </si>
  <si>
    <t>Lung</t>
  </si>
  <si>
    <t>St Paul/Dallas</t>
  </si>
  <si>
    <t>Expired 1/12/08</t>
  </si>
  <si>
    <t>Closed 4/12/10</t>
  </si>
  <si>
    <r>
      <t>Baylor/D</t>
    </r>
    <r>
      <rPr>
        <b/>
        <sz val="8"/>
        <rFont val="Arial"/>
        <family val="2"/>
      </rPr>
      <t>+</t>
    </r>
    <r>
      <rPr>
        <sz val="8"/>
        <rFont val="Arial"/>
        <family val="2"/>
      </rPr>
      <t>AS/FtWorth</t>
    </r>
  </si>
  <si>
    <t>Expired 4/8/10</t>
  </si>
  <si>
    <t>CM open for CA; closed 5/16/12</t>
  </si>
  <si>
    <t>**admit 8/31/12 for cadaveric txp 9/1/12**</t>
  </si>
  <si>
    <t>closed 6/04/12</t>
  </si>
  <si>
    <t>Closed 6/04/12; No eval req./hodgkins lymphoma</t>
  </si>
  <si>
    <t>Closed 5/16/12</t>
  </si>
  <si>
    <t>MC PRIME 5/1/13</t>
  </si>
  <si>
    <t>Closed 5/1/13</t>
  </si>
</sst>
</file>

<file path=xl/styles.xml><?xml version="1.0" encoding="utf-8"?>
<styleSheet xmlns="http://schemas.openxmlformats.org/spreadsheetml/2006/main">
  <numFmts count="4">
    <numFmt numFmtId="164" formatCode="m/d/yy"/>
    <numFmt numFmtId="165" formatCode="mm/dd/yy"/>
    <numFmt numFmtId="166" formatCode="000\-00\-0000"/>
    <numFmt numFmtId="167" formatCode="00000000"/>
  </numFmts>
  <fonts count="3">
    <font>
      <sz val="8"/>
      <name val="Arial"/>
      <family val="2"/>
    </font>
    <font>
      <b/>
      <sz val="6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165" fontId="0" fillId="0" borderId="0" xfId="0" applyNumberFormat="1" applyAlignment="1">
      <alignment horizontal="left"/>
    </xf>
    <xf numFmtId="0" fontId="1" fillId="0" borderId="0" xfId="0" applyFont="1" applyAlignment="1">
      <alignment textRotation="90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 applyAlignment="1">
      <alignment horizontal="left"/>
    </xf>
    <xf numFmtId="166" fontId="0" fillId="0" borderId="0" xfId="0" applyNumberFormat="1"/>
    <xf numFmtId="0" fontId="2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167" fontId="0" fillId="0" borderId="0" xfId="0" applyNumberFormat="1"/>
    <xf numFmtId="14" fontId="0" fillId="0" borderId="0" xfId="0" applyNumberFormat="1"/>
    <xf numFmtId="0" fontId="0" fillId="0" borderId="0" xfId="0" applyFill="1"/>
    <xf numFmtId="0" fontId="0" fillId="0" borderId="0" xfId="0" applyFill="1" applyBorder="1"/>
    <xf numFmtId="164" fontId="0" fillId="0" borderId="0" xfId="0" applyNumberFormat="1" applyFill="1"/>
    <xf numFmtId="165" fontId="0" fillId="0" borderId="0" xfId="0" applyNumberFormat="1" applyFill="1" applyAlignment="1">
      <alignment horizontal="left"/>
    </xf>
    <xf numFmtId="164" fontId="0" fillId="0" borderId="0" xfId="0" applyNumberFormat="1" applyFill="1" applyBorder="1"/>
    <xf numFmtId="0" fontId="0" fillId="0" borderId="0" xfId="0" applyAlignment="1">
      <alignment horizontal="left"/>
    </xf>
    <xf numFmtId="0" fontId="0" fillId="2" borderId="0" xfId="0" applyFill="1"/>
    <xf numFmtId="0" fontId="2" fillId="2" borderId="0" xfId="0" applyFont="1" applyFill="1"/>
    <xf numFmtId="164" fontId="0" fillId="2" borderId="0" xfId="0" applyNumberFormat="1" applyFill="1"/>
    <xf numFmtId="165" fontId="0" fillId="2" borderId="0" xfId="0" applyNumberFormat="1" applyFill="1" applyAlignment="1">
      <alignment horizontal="left"/>
    </xf>
    <xf numFmtId="164" fontId="0" fillId="0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0"/>
  <sheetViews>
    <sheetView tabSelected="1" topLeftCell="A2" zoomScaleNormal="100" zoomScaleSheetLayoutView="110" workbookViewId="0">
      <selection activeCell="C28" sqref="C28:C31"/>
    </sheetView>
  </sheetViews>
  <sheetFormatPr defaultRowHeight="11.25"/>
  <cols>
    <col min="1" max="1" width="2.5" customWidth="1"/>
    <col min="2" max="2" width="34.6640625" bestFit="1" customWidth="1"/>
    <col min="3" max="3" width="3.83203125" customWidth="1"/>
    <col min="4" max="4" width="11.33203125" customWidth="1"/>
    <col min="5" max="5" width="11.33203125" style="1" customWidth="1"/>
    <col min="6" max="6" width="15.6640625" bestFit="1" customWidth="1"/>
    <col min="7" max="7" width="13.83203125" customWidth="1"/>
    <col min="8" max="8" width="8.83203125" style="2" customWidth="1"/>
    <col min="9" max="9" width="15.83203125" customWidth="1"/>
    <col min="10" max="10" width="18.83203125" customWidth="1"/>
    <col min="11" max="11" width="22.33203125" bestFit="1" customWidth="1"/>
    <col min="13" max="13" width="15.33203125" customWidth="1"/>
  </cols>
  <sheetData>
    <row r="1" spans="1:11" hidden="1">
      <c r="B1" t="s">
        <v>0</v>
      </c>
      <c r="C1" t="s">
        <v>1</v>
      </c>
      <c r="D1" t="s">
        <v>2</v>
      </c>
      <c r="F1" t="s">
        <v>3</v>
      </c>
      <c r="G1" t="s">
        <v>4</v>
      </c>
      <c r="H1" s="2">
        <v>36018</v>
      </c>
      <c r="I1" t="s">
        <v>5</v>
      </c>
      <c r="J1" t="s">
        <v>6</v>
      </c>
      <c r="K1" t="s">
        <v>7</v>
      </c>
    </row>
    <row r="2" spans="1:11" ht="43.5">
      <c r="A2" s="3" t="s">
        <v>8</v>
      </c>
      <c r="B2" s="4" t="s">
        <v>9</v>
      </c>
      <c r="C2" s="3" t="s">
        <v>10</v>
      </c>
      <c r="D2" s="4" t="s">
        <v>11</v>
      </c>
      <c r="E2" s="5" t="s">
        <v>12</v>
      </c>
      <c r="F2" s="4" t="s">
        <v>13</v>
      </c>
      <c r="G2" s="4" t="s">
        <v>14</v>
      </c>
      <c r="H2" s="6" t="s">
        <v>15</v>
      </c>
      <c r="I2" s="4" t="s">
        <v>16</v>
      </c>
      <c r="J2" s="4" t="s">
        <v>17</v>
      </c>
      <c r="K2" s="4" t="s">
        <v>18</v>
      </c>
    </row>
    <row r="3" spans="1:11" s="18" customFormat="1">
      <c r="B3" s="19" t="s">
        <v>19</v>
      </c>
      <c r="E3" s="20"/>
      <c r="H3" s="21"/>
    </row>
    <row r="4" spans="1:11" ht="10.5" customHeight="1"/>
    <row r="5" spans="1:11" ht="10.5" customHeight="1"/>
    <row r="6" spans="1:11">
      <c r="D6" s="7"/>
    </row>
    <row r="7" spans="1:11">
      <c r="B7" s="8" t="s">
        <v>10</v>
      </c>
      <c r="C7">
        <f>SUM(C4:C6)</f>
        <v>0</v>
      </c>
    </row>
    <row r="8" spans="1:11" s="18" customFormat="1">
      <c r="B8" s="19" t="s">
        <v>24</v>
      </c>
      <c r="E8" s="20"/>
      <c r="H8" s="21"/>
    </row>
    <row r="13" spans="1:11">
      <c r="B13" s="8" t="s">
        <v>25</v>
      </c>
      <c r="C13">
        <f>SUM(C9:C12)</f>
        <v>0</v>
      </c>
    </row>
    <row r="14" spans="1:11" s="18" customFormat="1">
      <c r="B14" s="19" t="s">
        <v>26</v>
      </c>
      <c r="E14" s="20"/>
      <c r="H14" s="21"/>
    </row>
    <row r="17" spans="1:13">
      <c r="D17" s="7"/>
    </row>
    <row r="18" spans="1:13">
      <c r="D18" s="7"/>
    </row>
    <row r="19" spans="1:13">
      <c r="B19" s="8" t="s">
        <v>25</v>
      </c>
      <c r="C19">
        <f>SUM(C15:C18)</f>
        <v>0</v>
      </c>
    </row>
    <row r="20" spans="1:13" s="18" customFormat="1">
      <c r="B20" s="19" t="s">
        <v>27</v>
      </c>
      <c r="E20" s="20"/>
      <c r="H20" s="21"/>
    </row>
    <row r="23" spans="1:13">
      <c r="D23" s="7"/>
    </row>
    <row r="24" spans="1:13">
      <c r="D24" s="7"/>
    </row>
    <row r="25" spans="1:13">
      <c r="B25" s="8" t="s">
        <v>10</v>
      </c>
      <c r="C25">
        <f>SUM(C21:C24)</f>
        <v>0</v>
      </c>
    </row>
    <row r="26" spans="1:13">
      <c r="B26" s="8" t="s">
        <v>30</v>
      </c>
      <c r="C26">
        <f>SUM(C7)+(C13)+(C19)+(C25)</f>
        <v>0</v>
      </c>
    </row>
    <row r="27" spans="1:13" s="18" customFormat="1">
      <c r="B27" s="19" t="s">
        <v>31</v>
      </c>
      <c r="E27" s="20"/>
      <c r="H27" s="21"/>
    </row>
    <row r="28" spans="1:13" s="12" customFormat="1">
      <c r="A28" s="12" t="s">
        <v>28</v>
      </c>
      <c r="C28" s="12">
        <v>1</v>
      </c>
      <c r="E28" s="22"/>
      <c r="F28" s="12" t="s">
        <v>20</v>
      </c>
      <c r="G28" s="12" t="s">
        <v>57</v>
      </c>
      <c r="H28" s="15">
        <v>39892</v>
      </c>
      <c r="I28" s="12" t="s">
        <v>5</v>
      </c>
      <c r="J28" s="12" t="s">
        <v>29</v>
      </c>
      <c r="K28" s="12" t="s">
        <v>52</v>
      </c>
      <c r="M28" s="12" t="s">
        <v>56</v>
      </c>
    </row>
    <row r="29" spans="1:13">
      <c r="A29" t="s">
        <v>28</v>
      </c>
      <c r="C29">
        <v>1</v>
      </c>
      <c r="E29" s="9"/>
      <c r="F29" t="s">
        <v>20</v>
      </c>
      <c r="G29" t="s">
        <v>32</v>
      </c>
      <c r="H29" s="2">
        <v>39178</v>
      </c>
      <c r="I29" t="s">
        <v>5</v>
      </c>
      <c r="J29" t="s">
        <v>29</v>
      </c>
      <c r="K29" t="s">
        <v>33</v>
      </c>
      <c r="L29" t="s">
        <v>34</v>
      </c>
    </row>
    <row r="30" spans="1:13">
      <c r="A30" t="s">
        <v>28</v>
      </c>
      <c r="C30">
        <v>1</v>
      </c>
      <c r="D30" s="10"/>
      <c r="E30" s="9"/>
      <c r="F30" t="s">
        <v>20</v>
      </c>
      <c r="G30" t="s">
        <v>35</v>
      </c>
      <c r="H30" s="2">
        <v>38125</v>
      </c>
      <c r="I30" t="s">
        <v>21</v>
      </c>
      <c r="J30" t="s">
        <v>36</v>
      </c>
      <c r="K30" t="s">
        <v>37</v>
      </c>
    </row>
    <row r="31" spans="1:13">
      <c r="A31" t="s">
        <v>1</v>
      </c>
      <c r="C31">
        <v>1</v>
      </c>
      <c r="D31" s="7"/>
      <c r="E31" s="9"/>
      <c r="F31" t="s">
        <v>20</v>
      </c>
      <c r="G31" t="s">
        <v>55</v>
      </c>
      <c r="H31" s="2">
        <v>37909</v>
      </c>
      <c r="I31" t="s">
        <v>23</v>
      </c>
      <c r="J31" t="s">
        <v>6</v>
      </c>
      <c r="K31" t="s">
        <v>38</v>
      </c>
      <c r="L31" t="s">
        <v>39</v>
      </c>
      <c r="M31" t="s">
        <v>51</v>
      </c>
    </row>
    <row r="32" spans="1:13">
      <c r="D32" s="7"/>
    </row>
    <row r="33" spans="1:12">
      <c r="D33" s="7"/>
      <c r="L33" s="11"/>
    </row>
    <row r="34" spans="1:12">
      <c r="D34" s="7"/>
    </row>
    <row r="35" spans="1:12">
      <c r="B35" s="8" t="s">
        <v>40</v>
      </c>
      <c r="C35">
        <f>SUM(C28:C34)</f>
        <v>4</v>
      </c>
    </row>
    <row r="36" spans="1:12" s="18" customFormat="1">
      <c r="B36" s="19" t="s">
        <v>41</v>
      </c>
      <c r="E36" s="20"/>
      <c r="H36" s="21"/>
    </row>
    <row r="37" spans="1:12" ht="10.5" customHeight="1">
      <c r="A37" t="s">
        <v>1</v>
      </c>
      <c r="F37" t="s">
        <v>20</v>
      </c>
      <c r="G37" t="s">
        <v>53</v>
      </c>
      <c r="H37" s="2">
        <v>40549</v>
      </c>
      <c r="I37" t="s">
        <v>21</v>
      </c>
      <c r="J37" t="s">
        <v>22</v>
      </c>
      <c r="K37" t="s">
        <v>54</v>
      </c>
    </row>
    <row r="38" spans="1:12">
      <c r="A38" t="s">
        <v>28</v>
      </c>
      <c r="D38" s="7"/>
      <c r="E38" s="9"/>
      <c r="F38" t="s">
        <v>20</v>
      </c>
      <c r="G38" t="s">
        <v>42</v>
      </c>
      <c r="H38" s="2">
        <v>37279</v>
      </c>
      <c r="I38" t="s">
        <v>23</v>
      </c>
      <c r="J38" t="s">
        <v>22</v>
      </c>
      <c r="K38" t="s">
        <v>43</v>
      </c>
    </row>
    <row r="39" spans="1:12" s="12" customFormat="1">
      <c r="A39" t="s">
        <v>28</v>
      </c>
      <c r="B39"/>
      <c r="C39"/>
      <c r="D39"/>
      <c r="E39" s="9"/>
      <c r="F39" t="s">
        <v>20</v>
      </c>
      <c r="G39" t="s">
        <v>44</v>
      </c>
      <c r="H39" s="2">
        <v>37964</v>
      </c>
      <c r="I39" t="s">
        <v>45</v>
      </c>
      <c r="J39" t="s">
        <v>46</v>
      </c>
      <c r="K39" t="s">
        <v>47</v>
      </c>
      <c r="L39"/>
    </row>
    <row r="40" spans="1:12">
      <c r="A40" t="s">
        <v>1</v>
      </c>
      <c r="E40" s="9"/>
      <c r="F40" t="s">
        <v>20</v>
      </c>
      <c r="G40" t="s">
        <v>48</v>
      </c>
      <c r="H40" s="2">
        <v>40039</v>
      </c>
      <c r="I40" t="s">
        <v>23</v>
      </c>
      <c r="J40" t="s">
        <v>49</v>
      </c>
      <c r="K40" t="s">
        <v>50</v>
      </c>
    </row>
    <row r="41" spans="1:12" ht="10.5" customHeight="1"/>
    <row r="42" spans="1:12">
      <c r="B42" s="8"/>
      <c r="D42" s="7"/>
    </row>
    <row r="48" spans="1:12" s="12" customFormat="1">
      <c r="A48" s="13"/>
      <c r="B48" s="13"/>
      <c r="C48" s="13"/>
      <c r="E48" s="14"/>
      <c r="H48" s="15"/>
    </row>
    <row r="86" spans="3:6">
      <c r="D86" s="13"/>
      <c r="E86" s="16"/>
      <c r="F86" s="13"/>
    </row>
    <row r="91" spans="3:6">
      <c r="C91" s="17"/>
    </row>
    <row r="93" spans="3:6">
      <c r="C93" s="17"/>
    </row>
    <row r="94" spans="3:6">
      <c r="C94" s="17"/>
    </row>
    <row r="110" ht="14.25" customHeight="1"/>
  </sheetData>
  <printOptions gridLines="1" gridLinesSet="0"/>
  <pageMargins left="0" right="0" top="0.74" bottom="0.4" header="0.25" footer="0.21"/>
  <pageSetup paperSize="5" orientation="landscape" r:id="rId1"/>
  <headerFooter alignWithMargins="0">
    <oddHeader xml:space="preserve">&amp;C&amp;"Arial,Bold"&amp;12Carrollton&amp;14 &amp;9TRANSPLANT DATA SEPTEMBER 2013&amp;14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TRANSPLANT DATA</vt:lpstr>
      <vt:lpstr>'TRANSPLANT DATA'!Print_Area</vt:lpstr>
    </vt:vector>
  </TitlesOfParts>
  <Company>TMLIEBP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Cathy Chavez</dc:creator>
  <cp:lastModifiedBy>jrickman</cp:lastModifiedBy>
  <dcterms:created xsi:type="dcterms:W3CDTF">2011-08-05T14:09:15Z</dcterms:created>
  <dcterms:modified xsi:type="dcterms:W3CDTF">2013-10-14T15:39:34Z</dcterms:modified>
</cp:coreProperties>
</file>