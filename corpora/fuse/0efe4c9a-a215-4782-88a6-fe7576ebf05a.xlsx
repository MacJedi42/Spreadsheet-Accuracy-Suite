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6135" windowWidth="25260" windowHeight="619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139" i="1"/>
  <c r="D139"/>
  <c r="E139"/>
  <c r="F139"/>
  <c r="I139"/>
  <c r="J139"/>
  <c r="K139"/>
  <c r="L139"/>
  <c r="M139"/>
  <c r="N139"/>
  <c r="O139"/>
  <c r="P139"/>
  <c r="B139"/>
  <c r="B136"/>
  <c r="C136"/>
  <c r="D136"/>
  <c r="E136"/>
  <c r="F136"/>
  <c r="G136"/>
  <c r="G139" s="1"/>
  <c r="H136"/>
  <c r="H139" s="1"/>
  <c r="I136"/>
  <c r="J136"/>
  <c r="K136"/>
  <c r="L136"/>
  <c r="M136"/>
  <c r="N136"/>
  <c r="O136"/>
  <c r="P136"/>
  <c r="C48"/>
  <c r="D48"/>
  <c r="E48"/>
  <c r="F48"/>
  <c r="G48"/>
  <c r="H48"/>
  <c r="I48"/>
  <c r="J48"/>
  <c r="K48"/>
  <c r="L48"/>
  <c r="M48"/>
  <c r="N48"/>
  <c r="O48"/>
  <c r="P48"/>
  <c r="B48"/>
</calcChain>
</file>

<file path=xl/sharedStrings.xml><?xml version="1.0" encoding="utf-8"?>
<sst xmlns="http://schemas.openxmlformats.org/spreadsheetml/2006/main" count="134" uniqueCount="124">
  <si>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</si>
  <si>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</si>
  <si>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</si>
  <si>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</si>
  <si>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</si>
  <si>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</si>
  <si>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</si>
  <si>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</si>
  <si>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</si>
  <si>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</si>
  <si>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</si>
  <si>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</si>
  <si>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</si>
  <si>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</si>
  <si>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</si>
  <si>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</si>
  <si>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Millard District</t>
  </si>
  <si>
    <t>Morgan District</t>
  </si>
  <si>
    <t>Nebo District</t>
  </si>
  <si>
    <t>North Sanpete District</t>
  </si>
  <si>
    <t>North Summit District</t>
  </si>
  <si>
    <t>Park City District</t>
  </si>
  <si>
    <t>Piute District</t>
  </si>
  <si>
    <t>Rich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</si>
  <si>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</si>
  <si>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</si>
  <si>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</si>
  <si>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</si>
  <si>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</si>
  <si>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</si>
  <si>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</si>
  <si>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</si>
  <si>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</si>
  <si>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</si>
  <si>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</si>
  <si>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Salt Lake District</t>
  </si>
  <si>
    <t>Ogden District</t>
  </si>
  <si>
    <t>Provo District</t>
  </si>
  <si>
    <t>Logan District</t>
  </si>
  <si>
    <t>Murray District</t>
  </si>
  <si>
    <t>Ogden Preparatory Academy</t>
  </si>
  <si>
    <t>American Preparatory Academy</t>
  </si>
  <si>
    <t>Freedom Academy</t>
  </si>
  <si>
    <t>Pinnacle Canyon Academy</t>
  </si>
  <si>
    <t>City Academy</t>
  </si>
  <si>
    <t>Success School</t>
  </si>
  <si>
    <t>Soldier Hollow Charter School</t>
  </si>
  <si>
    <t>Uintah River High</t>
  </si>
  <si>
    <t>John Hancock Charter School</t>
  </si>
  <si>
    <t>Thomas Edison - North</t>
  </si>
  <si>
    <t>Timpanogos Academy</t>
  </si>
  <si>
    <t>Salt Lake Arts Academy</t>
  </si>
  <si>
    <t>Fast Forward High</t>
  </si>
  <si>
    <t>Ranches Academy</t>
  </si>
  <si>
    <t>Summit Academy</t>
  </si>
  <si>
    <t>Itineris Early College High</t>
  </si>
  <si>
    <t>Moab Community School</t>
  </si>
  <si>
    <t>East Hollywood High</t>
  </si>
  <si>
    <t>Lincoln Academy</t>
  </si>
  <si>
    <t>Wasatch Peak Academy</t>
  </si>
  <si>
    <t>North Star Academy</t>
  </si>
  <si>
    <t>Reagan Academy</t>
  </si>
  <si>
    <t>American Leadership Academy</t>
  </si>
  <si>
    <t>Navigator Pointe Academy</t>
  </si>
  <si>
    <t>Odyssey Charter School</t>
  </si>
  <si>
    <t>Intech Collegiate High School</t>
  </si>
  <si>
    <t>Entheos Academy</t>
  </si>
  <si>
    <t>Lakeview Academy</t>
  </si>
  <si>
    <t>Legacy Preparatory Academy</t>
  </si>
  <si>
    <t>Liberty Academy</t>
  </si>
  <si>
    <t>Monticello Academy</t>
  </si>
  <si>
    <t>Mountainville Academy</t>
  </si>
  <si>
    <t>Paradigm High School</t>
  </si>
  <si>
    <t>Renaissance Academy</t>
  </si>
  <si>
    <t>Channing Hall</t>
  </si>
  <si>
    <t>Spectrum Academy</t>
  </si>
  <si>
    <t>Syracuse Arts Academy</t>
  </si>
  <si>
    <t>George Washington Academy</t>
  </si>
  <si>
    <t>Noah Webster Academy</t>
  </si>
  <si>
    <t>Open Classroom</t>
  </si>
  <si>
    <t>Canyon Rim Academy</t>
  </si>
  <si>
    <t>Guadalupe School</t>
  </si>
  <si>
    <t>Dual Immersion Academy</t>
  </si>
  <si>
    <t>Edith Bowen Laboratory School</t>
  </si>
  <si>
    <t>Quest Academy</t>
  </si>
  <si>
    <t>Utah Virtual Academy</t>
  </si>
  <si>
    <t>DISTRICT TOTAL</t>
  </si>
  <si>
    <t>CHARTER TOTAL</t>
  </si>
  <si>
    <t>GRAND TOTAL</t>
  </si>
  <si>
    <t>District</t>
  </si>
  <si>
    <t>K</t>
  </si>
  <si>
    <t>Special Education</t>
  </si>
  <si>
    <t>Self-Cont.</t>
  </si>
  <si>
    <t>Resource</t>
  </si>
  <si>
    <t>North Davis Preparatory Academy</t>
  </si>
  <si>
    <t>Canyons District</t>
  </si>
  <si>
    <t>District Total</t>
  </si>
  <si>
    <t>Self-cont.</t>
  </si>
  <si>
    <t>Average Daily Membership (ADM) by District, FY 2010</t>
  </si>
  <si>
    <t>Beehive Science &amp; Technology Academy (bs</t>
  </si>
  <si>
    <t>Excelsior Academy</t>
  </si>
  <si>
    <t>Gateway Preparatory Academy</t>
  </si>
  <si>
    <t>Hawthorn Academy</t>
  </si>
  <si>
    <t>Merit College Preparatory Academy</t>
  </si>
  <si>
    <t>Oquirrh Mountain Charter School</t>
  </si>
  <si>
    <t>Providence Hall</t>
  </si>
  <si>
    <t>Rockwell Charter High School</t>
  </si>
  <si>
    <t>Success Academy</t>
  </si>
  <si>
    <t>Tuacahn High School For The Performing A</t>
  </si>
  <si>
    <t>Venture Academy</t>
  </si>
  <si>
    <t>Average Daily Membership (ADM) by Charter School, FY 2010</t>
  </si>
  <si>
    <t>Academy for Math Engineering &amp; Science (AMES)</t>
  </si>
  <si>
    <t>C.S. Lewis Academy</t>
  </si>
  <si>
    <t>Da Vinci Academy</t>
  </si>
  <si>
    <t>Early Light Academy at Daybreak</t>
  </si>
  <si>
    <t>Karl G. Maeser Preparatory Academy</t>
  </si>
  <si>
    <t>No. UT Acad for Math, Engineering &amp; Science (NUAMES)</t>
  </si>
  <si>
    <t>Open High School of Utah</t>
  </si>
  <si>
    <t>Salt Lake Center for Science Education</t>
  </si>
  <si>
    <t>Salt Lake School for the Performing Arts</t>
  </si>
  <si>
    <t>Utah County Academy of Science (UCAS)</t>
  </si>
  <si>
    <t>Vista at Entrada</t>
  </si>
  <si>
    <t>Walden School of Liberal Arts</t>
  </si>
  <si>
    <t>Utah Schools For Deaf &amp; Blind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</si>
</sst>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3" xfId="0" applyNumberFormat="1" applyBorder="1"/>
    <xf numFmtId="164" fontId="0" fillId="0" borderId="0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0" fontId="1" fillId="0" borderId="0" xfId="0" applyFont="1" applyBorder="1"/>
    <xf numFmtId="164" fontId="1" fillId="0" borderId="0" xfId="0" applyNumberFormat="1" applyFont="1" applyBorder="1"/>
    <xf numFmtId="164" fontId="0" fillId="0" borderId="2" xfId="0" applyNumberFormat="1" applyBorder="1"/>
    <xf numFmtId="0" fontId="0" fillId="0" borderId="7" xfId="0" applyBorder="1"/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8" xfId="0" applyFont="1" applyBorder="1"/>
    <xf numFmtId="0" fontId="0" fillId="0" borderId="11" xfId="0" applyBorder="1"/>
    <xf numFmtId="0" fontId="1" fillId="0" borderId="12" xfId="0" applyFont="1" applyBorder="1" applyAlignment="1">
      <alignment horizontal="center"/>
    </xf>
    <xf numFmtId="164" fontId="0" fillId="0" borderId="11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8" xfId="0" applyBorder="1"/>
    <xf numFmtId="164" fontId="0" fillId="0" borderId="12" xfId="0" applyNumberFormat="1" applyBorder="1"/>
    <xf numFmtId="0" fontId="0" fillId="0" borderId="15" xfId="0" applyBorder="1"/>
    <xf numFmtId="0" fontId="1" fillId="0" borderId="16" xfId="0" applyFont="1" applyBorder="1"/>
    <xf numFmtId="0" fontId="1" fillId="0" borderId="17" xfId="0" applyFont="1" applyBorder="1"/>
    <xf numFmtId="164" fontId="0" fillId="0" borderId="19" xfId="0" applyNumberFormat="1" applyFont="1" applyBorder="1"/>
    <xf numFmtId="164" fontId="0" fillId="0" borderId="20" xfId="0" applyNumberFormat="1" applyFont="1" applyBorder="1"/>
    <xf numFmtId="0" fontId="0" fillId="0" borderId="21" xfId="0" applyBorder="1"/>
    <xf numFmtId="0" fontId="0" fillId="0" borderId="9" xfId="0" applyFont="1" applyBorder="1" applyAlignment="1">
      <alignment horizontal="left"/>
    </xf>
    <xf numFmtId="165" fontId="0" fillId="0" borderId="13" xfId="0" applyNumberFormat="1" applyFont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165" fontId="0" fillId="0" borderId="13" xfId="0" applyNumberFormat="1" applyBorder="1"/>
    <xf numFmtId="165" fontId="0" fillId="0" borderId="4" xfId="0" applyNumberFormat="1" applyBorder="1"/>
    <xf numFmtId="165" fontId="0" fillId="0" borderId="14" xfId="0" applyNumberFormat="1" applyBorder="1"/>
    <xf numFmtId="165" fontId="0" fillId="0" borderId="5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165" fontId="1" fillId="0" borderId="22" xfId="0" applyNumberFormat="1" applyFont="1" applyBorder="1"/>
    <xf numFmtId="165" fontId="1" fillId="0" borderId="6" xfId="0" applyNumberFormat="1" applyFont="1" applyBorder="1"/>
    <xf numFmtId="165" fontId="1" fillId="0" borderId="23" xfId="0" applyNumberFormat="1" applyFont="1" applyBorder="1"/>
    <xf numFmtId="165" fontId="1" fillId="0" borderId="24" xfId="0" applyNumberFormat="1" applyFont="1" applyBorder="1"/>
    <xf numFmtId="165" fontId="1" fillId="0" borderId="12" xfId="0" applyNumberFormat="1" applyFont="1" applyBorder="1"/>
    <xf numFmtId="0" fontId="0" fillId="0" borderId="10" xfId="0" applyFont="1" applyBorder="1" applyAlignment="1">
      <alignment horizontal="left"/>
    </xf>
    <xf numFmtId="165" fontId="0" fillId="0" borderId="14" xfId="0" applyNumberFormat="1" applyFont="1" applyBorder="1" applyAlignment="1">
      <alignment horizontal="right"/>
    </xf>
    <xf numFmtId="165" fontId="0" fillId="0" borderId="25" xfId="0" applyNumberFormat="1" applyFont="1" applyBorder="1" applyAlignment="1">
      <alignment horizontal="right"/>
    </xf>
    <xf numFmtId="165" fontId="0" fillId="0" borderId="26" xfId="0" applyNumberFormat="1" applyFont="1" applyBorder="1" applyAlignment="1">
      <alignment horizontal="right"/>
    </xf>
    <xf numFmtId="165" fontId="0" fillId="0" borderId="27" xfId="0" applyNumberFormat="1" applyFont="1" applyBorder="1" applyAlignment="1">
      <alignment horizontal="right"/>
    </xf>
    <xf numFmtId="165" fontId="0" fillId="0" borderId="28" xfId="0" applyNumberFormat="1" applyFont="1" applyBorder="1" applyAlignment="1">
      <alignment horizontal="right"/>
    </xf>
    <xf numFmtId="0" fontId="1" fillId="0" borderId="33" xfId="0" applyFont="1" applyBorder="1"/>
    <xf numFmtId="164" fontId="1" fillId="0" borderId="33" xfId="0" applyNumberFormat="1" applyFont="1" applyBorder="1"/>
    <xf numFmtId="0" fontId="1" fillId="0" borderId="29" xfId="0" applyFont="1" applyBorder="1"/>
    <xf numFmtId="165" fontId="1" fillId="0" borderId="30" xfId="0" applyNumberFormat="1" applyFont="1" applyBorder="1"/>
    <xf numFmtId="165" fontId="1" fillId="0" borderId="31" xfId="0" applyNumberFormat="1" applyFont="1" applyBorder="1"/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P139"/>
  <sheetViews>
    <sheetView tabSelected="1" view="pageLayout" zoomScaleNormal="100" workbookViewId="0">
      <selection activeCell="B6" sqref="B6"/>
    </sheetView>
  </sheetViews>
  <sheetFormatPr defaultRowHeight="15"/>
  <cols>
    <col min="1" max="1" width="21" customWidth="1"/>
    <col min="2" max="3" width="10.85546875" bestFit="1" customWidth="1"/>
    <col min="4" max="4" width="10.42578125" bestFit="1" customWidth="1"/>
    <col min="5" max="6" width="10.85546875" bestFit="1" customWidth="1"/>
    <col min="7" max="7" width="10.28515625" bestFit="1" customWidth="1"/>
    <col min="8" max="10" width="10.85546875" bestFit="1" customWidth="1"/>
    <col min="11" max="11" width="10.28515625" bestFit="1" customWidth="1"/>
    <col min="12" max="13" width="10.85546875" bestFit="1" customWidth="1"/>
    <col min="14" max="14" width="10.42578125" bestFit="1" customWidth="1"/>
    <col min="15" max="15" width="10.85546875" bestFit="1" customWidth="1"/>
    <col min="16" max="16" width="10.42578125" bestFit="1" customWidth="1"/>
  </cols>
  <sheetData>
    <row r="3" spans="1:16" ht="18.75">
      <c r="A3" s="58" t="s">
        <v>98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9.5" thickBo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3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59" t="s">
        <v>91</v>
      </c>
      <c r="P5" s="60"/>
    </row>
    <row r="6" spans="1:16" ht="15.75" thickBot="1">
      <c r="A6" s="14" t="s">
        <v>89</v>
      </c>
      <c r="B6" s="19" t="s">
        <v>90</v>
      </c>
      <c r="C6" s="19">
        <v>1</v>
      </c>
      <c r="D6" s="19">
        <v>2</v>
      </c>
      <c r="E6" s="19">
        <v>3</v>
      </c>
      <c r="F6" s="19">
        <v>4</v>
      </c>
      <c r="G6" s="19">
        <v>5</v>
      </c>
      <c r="H6" s="19">
        <v>6</v>
      </c>
      <c r="I6" s="19">
        <v>7</v>
      </c>
      <c r="J6" s="19">
        <v>8</v>
      </c>
      <c r="K6" s="19">
        <v>9</v>
      </c>
      <c r="L6" s="19">
        <v>10</v>
      </c>
      <c r="M6" s="19">
        <v>11</v>
      </c>
      <c r="N6" s="19">
        <v>12</v>
      </c>
      <c r="O6" s="4" t="s">
        <v>93</v>
      </c>
      <c r="P6" s="5" t="s">
        <v>97</v>
      </c>
    </row>
    <row r="7" spans="1:16">
      <c r="A7" s="30" t="s">
        <v>0</v>
      </c>
      <c r="B7" s="20">
        <v>5685.6555555555551</v>
      </c>
      <c r="C7" s="20">
        <v>5627.6222222222223</v>
      </c>
      <c r="D7" s="20">
        <v>5313.9888888888891</v>
      </c>
      <c r="E7" s="20">
        <v>5352.0666666666666</v>
      </c>
      <c r="F7" s="20">
        <v>5079.0333333333338</v>
      </c>
      <c r="G7" s="20">
        <v>5062.3944444444442</v>
      </c>
      <c r="H7" s="20">
        <v>4729.3277777777776</v>
      </c>
      <c r="I7" s="20">
        <v>4504.583333333333</v>
      </c>
      <c r="J7" s="20">
        <v>4425.55</v>
      </c>
      <c r="K7" s="20">
        <v>4561.1722222222224</v>
      </c>
      <c r="L7" s="20">
        <v>4183.166666666667</v>
      </c>
      <c r="M7" s="20">
        <v>4151.3944444444442</v>
      </c>
      <c r="N7" s="20">
        <v>3745.8944444444446</v>
      </c>
      <c r="O7" s="20">
        <v>4849.6444444444442</v>
      </c>
      <c r="P7" s="6">
        <v>1324.9055555555556</v>
      </c>
    </row>
    <row r="8" spans="1:16">
      <c r="A8" s="30" t="s">
        <v>1</v>
      </c>
      <c r="B8" s="21">
        <v>142.34444444444443</v>
      </c>
      <c r="C8" s="21">
        <v>131.9</v>
      </c>
      <c r="D8" s="21">
        <v>120.23333333333333</v>
      </c>
      <c r="E8" s="21">
        <v>113.24444444444444</v>
      </c>
      <c r="F8" s="21">
        <v>122.38333333333334</v>
      </c>
      <c r="G8" s="21">
        <v>117.31111111111112</v>
      </c>
      <c r="H8" s="21">
        <v>133.89444444444445</v>
      </c>
      <c r="I8" s="21">
        <v>121.93888888888888</v>
      </c>
      <c r="J8" s="21">
        <v>122.53888888888889</v>
      </c>
      <c r="K8" s="21">
        <v>118.6</v>
      </c>
      <c r="L8" s="21">
        <v>109.17777777777778</v>
      </c>
      <c r="M8" s="21">
        <v>108.13333333333334</v>
      </c>
      <c r="N8" s="21">
        <v>97.311111111111117</v>
      </c>
      <c r="O8" s="21">
        <v>189.97222222222223</v>
      </c>
      <c r="P8" s="8">
        <v>19.027777777777779</v>
      </c>
    </row>
    <row r="9" spans="1:16">
      <c r="A9" s="30" t="s">
        <v>2</v>
      </c>
      <c r="B9" s="21">
        <v>912.7166666666667</v>
      </c>
      <c r="C9" s="21">
        <v>922.20555555555552</v>
      </c>
      <c r="D9" s="21">
        <v>880</v>
      </c>
      <c r="E9" s="21">
        <v>886.76666666666665</v>
      </c>
      <c r="F9" s="21">
        <v>846.99444444444441</v>
      </c>
      <c r="G9" s="21">
        <v>885.13333333333333</v>
      </c>
      <c r="H9" s="21">
        <v>837.93333333333328</v>
      </c>
      <c r="I9" s="21">
        <v>795.15</v>
      </c>
      <c r="J9" s="21">
        <v>792.77777777777783</v>
      </c>
      <c r="K9" s="21">
        <v>762.4666666666667</v>
      </c>
      <c r="L9" s="21">
        <v>782.27777777777783</v>
      </c>
      <c r="M9" s="21">
        <v>794.3</v>
      </c>
      <c r="N9" s="21">
        <v>670.01111111111106</v>
      </c>
      <c r="O9" s="21">
        <v>907.76111111111106</v>
      </c>
      <c r="P9" s="8">
        <v>250.84444444444443</v>
      </c>
    </row>
    <row r="10" spans="1:16">
      <c r="A10" s="30" t="s">
        <v>3</v>
      </c>
      <c r="B10" s="21">
        <v>1306.4222222222222</v>
      </c>
      <c r="C10" s="21">
        <v>1194.7944444444445</v>
      </c>
      <c r="D10" s="21">
        <v>1247.3499999999999</v>
      </c>
      <c r="E10" s="21">
        <v>1132.2222222222222</v>
      </c>
      <c r="F10" s="21">
        <v>1209.5666666666666</v>
      </c>
      <c r="G10" s="21">
        <v>1134.6833333333334</v>
      </c>
      <c r="H10" s="21">
        <v>1158.7388888888888</v>
      </c>
      <c r="I10" s="21">
        <v>1107.4000000000001</v>
      </c>
      <c r="J10" s="21">
        <v>1089.6388888888889</v>
      </c>
      <c r="K10" s="21">
        <v>1058.9388888888889</v>
      </c>
      <c r="L10" s="21">
        <v>1075.5388888888888</v>
      </c>
      <c r="M10" s="21">
        <v>971.60555555555561</v>
      </c>
      <c r="N10" s="21">
        <v>925.41111111111115</v>
      </c>
      <c r="O10" s="21">
        <v>1378.0611111111111</v>
      </c>
      <c r="P10" s="8">
        <v>255.96666666666667</v>
      </c>
    </row>
    <row r="11" spans="1:16">
      <c r="A11" s="16" t="s">
        <v>95</v>
      </c>
      <c r="B11" s="22">
        <v>2455.8222222222221</v>
      </c>
      <c r="C11" s="22">
        <v>2525.0611111111111</v>
      </c>
      <c r="D11" s="22">
        <v>2580.1555555555556</v>
      </c>
      <c r="E11" s="22">
        <v>2540.4499999999998</v>
      </c>
      <c r="F11" s="22">
        <v>2608.1444444444446</v>
      </c>
      <c r="G11" s="22">
        <v>2422.4666666666667</v>
      </c>
      <c r="H11" s="22">
        <v>2443.6</v>
      </c>
      <c r="I11" s="22">
        <v>2443.0611111111111</v>
      </c>
      <c r="J11" s="22">
        <v>2345.9777777777776</v>
      </c>
      <c r="K11" s="22">
        <v>2547.0055555555555</v>
      </c>
      <c r="L11" s="22">
        <v>2546.8944444444446</v>
      </c>
      <c r="M11" s="22">
        <v>2400.5222222222224</v>
      </c>
      <c r="N11" s="22">
        <v>2378.4666666666667</v>
      </c>
      <c r="O11" s="22">
        <v>2641.15</v>
      </c>
      <c r="P11" s="9">
        <v>964.2</v>
      </c>
    </row>
    <row r="12" spans="1:16">
      <c r="A12" s="30" t="s">
        <v>4</v>
      </c>
      <c r="B12" s="21">
        <v>321.95555555555558</v>
      </c>
      <c r="C12" s="21">
        <v>279.02777777777777</v>
      </c>
      <c r="D12" s="21">
        <v>305.42777777777781</v>
      </c>
      <c r="E12" s="21">
        <v>283.76111111111112</v>
      </c>
      <c r="F12" s="21">
        <v>264.70555555555558</v>
      </c>
      <c r="G12" s="21">
        <v>279.71111111111111</v>
      </c>
      <c r="H12" s="21">
        <v>255.05</v>
      </c>
      <c r="I12" s="21">
        <v>240.30555555555554</v>
      </c>
      <c r="J12" s="21">
        <v>224.28333333333333</v>
      </c>
      <c r="K12" s="21">
        <v>235.82222222222222</v>
      </c>
      <c r="L12" s="21">
        <v>232.77777777777777</v>
      </c>
      <c r="M12" s="21">
        <v>220.62222222222223</v>
      </c>
      <c r="N12" s="21">
        <v>217.95</v>
      </c>
      <c r="O12" s="21">
        <v>398.57222222222219</v>
      </c>
      <c r="P12" s="8">
        <v>115.89444444444445</v>
      </c>
    </row>
    <row r="13" spans="1:16">
      <c r="A13" s="30" t="s">
        <v>5</v>
      </c>
      <c r="B13" s="21">
        <v>10.355555555555556</v>
      </c>
      <c r="C13" s="21">
        <v>16.794444444444444</v>
      </c>
      <c r="D13" s="21">
        <v>9.1888888888888882</v>
      </c>
      <c r="E13" s="21">
        <v>9.5555555555555554</v>
      </c>
      <c r="F13" s="21">
        <v>9.4944444444444436</v>
      </c>
      <c r="G13" s="21">
        <v>16.083333333333332</v>
      </c>
      <c r="H13" s="21">
        <v>9</v>
      </c>
      <c r="I13" s="21">
        <v>9.75</v>
      </c>
      <c r="J13" s="21">
        <v>11</v>
      </c>
      <c r="K13" s="21">
        <v>8</v>
      </c>
      <c r="L13" s="21">
        <v>18.072222222222223</v>
      </c>
      <c r="M13" s="21">
        <v>11.322222222222223</v>
      </c>
      <c r="N13" s="21">
        <v>8.1777777777777771</v>
      </c>
      <c r="O13" s="21">
        <v>14.811111111111112</v>
      </c>
      <c r="P13" s="8">
        <v>0</v>
      </c>
    </row>
    <row r="14" spans="1:16">
      <c r="A14" s="30" t="s">
        <v>6</v>
      </c>
      <c r="B14" s="21">
        <v>5577.583333333333</v>
      </c>
      <c r="C14" s="21">
        <v>5298.7111111111108</v>
      </c>
      <c r="D14" s="21">
        <v>5231.0666666666666</v>
      </c>
      <c r="E14" s="21">
        <v>5176.0277777777774</v>
      </c>
      <c r="F14" s="21">
        <v>5080.5611111111111</v>
      </c>
      <c r="G14" s="21">
        <v>5020.1277777777777</v>
      </c>
      <c r="H14" s="21">
        <v>4773.45</v>
      </c>
      <c r="I14" s="21">
        <v>4849.3277777777776</v>
      </c>
      <c r="J14" s="21">
        <v>4622.05</v>
      </c>
      <c r="K14" s="21">
        <v>4713.1055555555558</v>
      </c>
      <c r="L14" s="21">
        <v>4554.2888888888892</v>
      </c>
      <c r="M14" s="21">
        <v>4279.1333333333332</v>
      </c>
      <c r="N14" s="21">
        <v>4341.083333333333</v>
      </c>
      <c r="O14" s="21">
        <v>4811.5222222222219</v>
      </c>
      <c r="P14" s="8">
        <v>1618.4833333333333</v>
      </c>
    </row>
    <row r="15" spans="1:16">
      <c r="A15" s="30" t="s">
        <v>7</v>
      </c>
      <c r="B15" s="21">
        <v>357.88888888888891</v>
      </c>
      <c r="C15" s="21">
        <v>381.72222222222223</v>
      </c>
      <c r="D15" s="21">
        <v>352.4111111111111</v>
      </c>
      <c r="E15" s="21">
        <v>354.42777777777781</v>
      </c>
      <c r="F15" s="21">
        <v>328.63888888888891</v>
      </c>
      <c r="G15" s="21">
        <v>355.88888888888891</v>
      </c>
      <c r="H15" s="21">
        <v>292.31111111111113</v>
      </c>
      <c r="I15" s="21">
        <v>311.23888888888888</v>
      </c>
      <c r="J15" s="21">
        <v>302.03888888888889</v>
      </c>
      <c r="K15" s="21">
        <v>299.26111111111112</v>
      </c>
      <c r="L15" s="21">
        <v>319.7</v>
      </c>
      <c r="M15" s="21">
        <v>287.29444444444442</v>
      </c>
      <c r="N15" s="21">
        <v>251.15555555555557</v>
      </c>
      <c r="O15" s="21">
        <v>431.3388888888889</v>
      </c>
      <c r="P15" s="8">
        <v>186.25</v>
      </c>
    </row>
    <row r="16" spans="1:16">
      <c r="A16" s="16" t="s">
        <v>8</v>
      </c>
      <c r="B16" s="22">
        <v>187.95555555555555</v>
      </c>
      <c r="C16" s="22">
        <v>203.03333333333333</v>
      </c>
      <c r="D16" s="22">
        <v>188.96666666666667</v>
      </c>
      <c r="E16" s="22">
        <v>172.34444444444443</v>
      </c>
      <c r="F16" s="22">
        <v>169.78888888888889</v>
      </c>
      <c r="G16" s="22">
        <v>176.73888888888888</v>
      </c>
      <c r="H16" s="22">
        <v>174.77777777777777</v>
      </c>
      <c r="I16" s="22">
        <v>190.22777777777779</v>
      </c>
      <c r="J16" s="22">
        <v>150.03888888888889</v>
      </c>
      <c r="K16" s="22">
        <v>164.53888888888889</v>
      </c>
      <c r="L16" s="22">
        <v>142.67777777777778</v>
      </c>
      <c r="M16" s="22">
        <v>178.36111111111111</v>
      </c>
      <c r="N16" s="22">
        <v>154.25</v>
      </c>
      <c r="O16" s="22">
        <v>314.69444444444446</v>
      </c>
      <c r="P16" s="9">
        <v>40.327777777777776</v>
      </c>
    </row>
    <row r="17" spans="1:16">
      <c r="A17" s="30" t="s">
        <v>9</v>
      </c>
      <c r="B17" s="21">
        <v>77.11666666666666</v>
      </c>
      <c r="C17" s="21">
        <v>69.783333333333331</v>
      </c>
      <c r="D17" s="21">
        <v>72.327777777777783</v>
      </c>
      <c r="E17" s="21">
        <v>70.677777777777777</v>
      </c>
      <c r="F17" s="21">
        <v>68.222222222222229</v>
      </c>
      <c r="G17" s="21">
        <v>74.927777777777777</v>
      </c>
      <c r="H17" s="21">
        <v>78.661111111111111</v>
      </c>
      <c r="I17" s="21">
        <v>70.5</v>
      </c>
      <c r="J17" s="21">
        <v>70.238888888888894</v>
      </c>
      <c r="K17" s="21">
        <v>60.444444444444443</v>
      </c>
      <c r="L17" s="21">
        <v>52.655555555555559</v>
      </c>
      <c r="M17" s="21">
        <v>58.833333333333336</v>
      </c>
      <c r="N17" s="21">
        <v>62.177777777777777</v>
      </c>
      <c r="O17" s="21">
        <v>78.361111111111114</v>
      </c>
      <c r="P17" s="8">
        <v>24.727777777777778</v>
      </c>
    </row>
    <row r="18" spans="1:16">
      <c r="A18" s="30" t="s">
        <v>10</v>
      </c>
      <c r="B18" s="21">
        <v>110.57777777777778</v>
      </c>
      <c r="C18" s="21">
        <v>112.96111111111111</v>
      </c>
      <c r="D18" s="21">
        <v>104.77777777777777</v>
      </c>
      <c r="E18" s="21">
        <v>132.5888888888889</v>
      </c>
      <c r="F18" s="21">
        <v>100.23333333333333</v>
      </c>
      <c r="G18" s="21">
        <v>102.5</v>
      </c>
      <c r="H18" s="21">
        <v>108.55</v>
      </c>
      <c r="I18" s="21">
        <v>109.89444444444445</v>
      </c>
      <c r="J18" s="21">
        <v>132.49444444444444</v>
      </c>
      <c r="K18" s="21">
        <v>113.98888888888889</v>
      </c>
      <c r="L18" s="21">
        <v>112.88333333333334</v>
      </c>
      <c r="M18" s="21">
        <v>94.094444444444449</v>
      </c>
      <c r="N18" s="21">
        <v>116.20555555555555</v>
      </c>
      <c r="O18" s="21">
        <v>119.63333333333334</v>
      </c>
      <c r="P18" s="8">
        <v>59.06111111111111</v>
      </c>
    </row>
    <row r="19" spans="1:16">
      <c r="A19" s="30" t="s">
        <v>11</v>
      </c>
      <c r="B19" s="21">
        <v>5464.5444444444447</v>
      </c>
      <c r="C19" s="21">
        <v>5730.583333333333</v>
      </c>
      <c r="D19" s="21">
        <v>5282.9111111111115</v>
      </c>
      <c r="E19" s="21">
        <v>5470.2333333333336</v>
      </c>
      <c r="F19" s="21">
        <v>5348.3888888888887</v>
      </c>
      <c r="G19" s="21">
        <v>5118.8611111111113</v>
      </c>
      <c r="H19" s="21">
        <v>5033.4666666666662</v>
      </c>
      <c r="I19" s="21">
        <v>4839.3944444444442</v>
      </c>
      <c r="J19" s="21">
        <v>4866.5722222222221</v>
      </c>
      <c r="K19" s="21">
        <v>4584.833333333333</v>
      </c>
      <c r="L19" s="21">
        <v>4624.4555555555553</v>
      </c>
      <c r="M19" s="21">
        <v>4605.4333333333334</v>
      </c>
      <c r="N19" s="21">
        <v>3995.411111111111</v>
      </c>
      <c r="O19" s="21">
        <v>5080.7</v>
      </c>
      <c r="P19" s="8">
        <v>1796.2333333333333</v>
      </c>
    </row>
    <row r="20" spans="1:16">
      <c r="A20" s="30" t="s">
        <v>12</v>
      </c>
      <c r="B20" s="21">
        <v>664.54444444444448</v>
      </c>
      <c r="C20" s="21">
        <v>664.91666666666663</v>
      </c>
      <c r="D20" s="21">
        <v>651.47777777777776</v>
      </c>
      <c r="E20" s="21">
        <v>625.5</v>
      </c>
      <c r="F20" s="21">
        <v>665.78888888888889</v>
      </c>
      <c r="G20" s="21">
        <v>681.37777777777774</v>
      </c>
      <c r="H20" s="21">
        <v>667.69444444444446</v>
      </c>
      <c r="I20" s="21">
        <v>595.36666666666667</v>
      </c>
      <c r="J20" s="21">
        <v>641.57222222222219</v>
      </c>
      <c r="K20" s="21">
        <v>588.32777777777778</v>
      </c>
      <c r="L20" s="21">
        <v>603.97222222222217</v>
      </c>
      <c r="M20" s="21">
        <v>580.93888888888887</v>
      </c>
      <c r="N20" s="21">
        <v>551.33888888888885</v>
      </c>
      <c r="O20" s="21">
        <v>935.14444444444439</v>
      </c>
      <c r="P20" s="8">
        <v>155.09444444444443</v>
      </c>
    </row>
    <row r="21" spans="1:16">
      <c r="A21" s="16" t="s">
        <v>13</v>
      </c>
      <c r="B21" s="22">
        <v>3835.4833333333331</v>
      </c>
      <c r="C21" s="22">
        <v>4017.661111111111</v>
      </c>
      <c r="D21" s="22">
        <v>3942.45</v>
      </c>
      <c r="E21" s="22">
        <v>3869.9888888888891</v>
      </c>
      <c r="F21" s="22">
        <v>3865.5611111111111</v>
      </c>
      <c r="G21" s="22">
        <v>3665.6166666666668</v>
      </c>
      <c r="H21" s="22">
        <v>3615.3833333333332</v>
      </c>
      <c r="I21" s="22">
        <v>3473.1722222222224</v>
      </c>
      <c r="J21" s="22">
        <v>3453.5666666666666</v>
      </c>
      <c r="K21" s="22">
        <v>3407.2777777777778</v>
      </c>
      <c r="L21" s="22">
        <v>3371.8444444444444</v>
      </c>
      <c r="M21" s="22">
        <v>3200.411111111111</v>
      </c>
      <c r="N21" s="22">
        <v>3088.1944444444443</v>
      </c>
      <c r="O21" s="22">
        <v>3873.8277777777776</v>
      </c>
      <c r="P21" s="9">
        <v>1557.65</v>
      </c>
    </row>
    <row r="22" spans="1:16">
      <c r="A22" s="30" t="s">
        <v>14</v>
      </c>
      <c r="B22" s="21">
        <v>149.63888888888889</v>
      </c>
      <c r="C22" s="21">
        <v>176.5888888888889</v>
      </c>
      <c r="D22" s="21">
        <v>182.35</v>
      </c>
      <c r="E22" s="21">
        <v>169.4111111111111</v>
      </c>
      <c r="F22" s="21">
        <v>163.65</v>
      </c>
      <c r="G22" s="21">
        <v>178.99444444444444</v>
      </c>
      <c r="H22" s="21">
        <v>156.73888888888888</v>
      </c>
      <c r="I22" s="21">
        <v>161.80000000000001</v>
      </c>
      <c r="J22" s="21">
        <v>178.67777777777778</v>
      </c>
      <c r="K22" s="21">
        <v>159.46666666666667</v>
      </c>
      <c r="L22" s="21">
        <v>185.9111111111111</v>
      </c>
      <c r="M22" s="21">
        <v>167.65555555555557</v>
      </c>
      <c r="N22" s="21">
        <v>149.15</v>
      </c>
      <c r="O22" s="21">
        <v>193.1611111111111</v>
      </c>
      <c r="P22" s="8">
        <v>51.81666666666667</v>
      </c>
    </row>
    <row r="23" spans="1:16">
      <c r="A23" s="30" t="s">
        <v>15</v>
      </c>
      <c r="B23" s="21">
        <v>97.5</v>
      </c>
      <c r="C23" s="21">
        <v>103.56666666666666</v>
      </c>
      <c r="D23" s="21">
        <v>92.85</v>
      </c>
      <c r="E23" s="21">
        <v>73.527777777777771</v>
      </c>
      <c r="F23" s="21">
        <v>85.227777777777774</v>
      </c>
      <c r="G23" s="21">
        <v>99.63333333333334</v>
      </c>
      <c r="H23" s="21">
        <v>95.88333333333334</v>
      </c>
      <c r="I23" s="21">
        <v>76.766666666666666</v>
      </c>
      <c r="J23" s="21">
        <v>91.1</v>
      </c>
      <c r="K23" s="21">
        <v>91.566666666666663</v>
      </c>
      <c r="L23" s="21">
        <v>76.961111111111109</v>
      </c>
      <c r="M23" s="21">
        <v>84.388888888888886</v>
      </c>
      <c r="N23" s="21">
        <v>96.25555555555556</v>
      </c>
      <c r="O23" s="21">
        <v>138.76666666666668</v>
      </c>
      <c r="P23" s="8">
        <v>15.938888888888888</v>
      </c>
    </row>
    <row r="24" spans="1:16">
      <c r="A24" s="30" t="s">
        <v>38</v>
      </c>
      <c r="B24" s="21">
        <v>614.64444444444439</v>
      </c>
      <c r="C24" s="21">
        <v>531.29999999999995</v>
      </c>
      <c r="D24" s="21">
        <v>492.22222222222223</v>
      </c>
      <c r="E24" s="21">
        <v>474.87222222222221</v>
      </c>
      <c r="F24" s="21">
        <v>416.78333333333336</v>
      </c>
      <c r="G24" s="21">
        <v>431.89444444444445</v>
      </c>
      <c r="H24" s="21">
        <v>434.38333333333333</v>
      </c>
      <c r="I24" s="21">
        <v>455.83333333333331</v>
      </c>
      <c r="J24" s="21">
        <v>424.52222222222224</v>
      </c>
      <c r="K24" s="21">
        <v>421.93888888888887</v>
      </c>
      <c r="L24" s="21">
        <v>426.26111111111112</v>
      </c>
      <c r="M24" s="21">
        <v>396.7</v>
      </c>
      <c r="N24" s="21">
        <v>421.75555555555553</v>
      </c>
      <c r="O24" s="21">
        <v>519.80555555555554</v>
      </c>
      <c r="P24" s="8">
        <v>145.68333333333334</v>
      </c>
    </row>
    <row r="25" spans="1:16">
      <c r="A25" s="30" t="s">
        <v>16</v>
      </c>
      <c r="B25" s="21">
        <v>216.98888888888888</v>
      </c>
      <c r="C25" s="21">
        <v>204.18333333333334</v>
      </c>
      <c r="D25" s="21">
        <v>209.1611111111111</v>
      </c>
      <c r="E25" s="21">
        <v>206.82777777777778</v>
      </c>
      <c r="F25" s="21">
        <v>206.53333333333333</v>
      </c>
      <c r="G25" s="21">
        <v>201.55555555555554</v>
      </c>
      <c r="H25" s="21">
        <v>209.47222222222223</v>
      </c>
      <c r="I25" s="21">
        <v>229.35</v>
      </c>
      <c r="J25" s="21">
        <v>183.72777777777779</v>
      </c>
      <c r="K25" s="21">
        <v>222.4</v>
      </c>
      <c r="L25" s="21">
        <v>239.56666666666666</v>
      </c>
      <c r="M25" s="21">
        <v>206.42777777777778</v>
      </c>
      <c r="N25" s="21">
        <v>207.38888888888889</v>
      </c>
      <c r="O25" s="21">
        <v>397.15</v>
      </c>
      <c r="P25" s="8">
        <v>50.077777777777776</v>
      </c>
    </row>
    <row r="26" spans="1:16">
      <c r="A26" s="16" t="s">
        <v>17</v>
      </c>
      <c r="B26" s="22">
        <v>179.91666666666666</v>
      </c>
      <c r="C26" s="22">
        <v>190.09444444444443</v>
      </c>
      <c r="D26" s="22">
        <v>177.42222222222222</v>
      </c>
      <c r="E26" s="22">
        <v>166.36111111111111</v>
      </c>
      <c r="F26" s="22">
        <v>179.08333333333334</v>
      </c>
      <c r="G26" s="22">
        <v>186.48888888888888</v>
      </c>
      <c r="H26" s="22">
        <v>183.6888888888889</v>
      </c>
      <c r="I26" s="22">
        <v>172.07222222222222</v>
      </c>
      <c r="J26" s="22">
        <v>186.60555555555555</v>
      </c>
      <c r="K26" s="22">
        <v>172.6</v>
      </c>
      <c r="L26" s="22">
        <v>168.22222222222223</v>
      </c>
      <c r="M26" s="22">
        <v>177.01111111111112</v>
      </c>
      <c r="N26" s="22">
        <v>163.18333333333334</v>
      </c>
      <c r="O26" s="22">
        <v>142.77222222222221</v>
      </c>
      <c r="P26" s="9">
        <v>32.62222222222222</v>
      </c>
    </row>
    <row r="27" spans="1:16">
      <c r="A27" s="30" t="s">
        <v>39</v>
      </c>
      <c r="B27" s="21">
        <v>511.03333333333336</v>
      </c>
      <c r="C27" s="21">
        <v>466.65</v>
      </c>
      <c r="D27" s="21">
        <v>486.95</v>
      </c>
      <c r="E27" s="21">
        <v>458.89444444444445</v>
      </c>
      <c r="F27" s="21">
        <v>477.95</v>
      </c>
      <c r="G27" s="21">
        <v>480.90555555555557</v>
      </c>
      <c r="H27" s="21">
        <v>460.97777777777776</v>
      </c>
      <c r="I27" s="21">
        <v>485.17777777777781</v>
      </c>
      <c r="J27" s="21">
        <v>512.1</v>
      </c>
      <c r="K27" s="21">
        <v>489.2</v>
      </c>
      <c r="L27" s="21">
        <v>529.44444444444446</v>
      </c>
      <c r="M27" s="21">
        <v>494.66666666666669</v>
      </c>
      <c r="N27" s="21">
        <v>511.94444444444446</v>
      </c>
      <c r="O27" s="21">
        <v>555.60555555555561</v>
      </c>
      <c r="P27" s="8">
        <v>111.34444444444445</v>
      </c>
    </row>
    <row r="28" spans="1:16">
      <c r="A28" s="30" t="s">
        <v>18</v>
      </c>
      <c r="B28" s="21">
        <v>2340.7333333333331</v>
      </c>
      <c r="C28" s="21">
        <v>2472.3111111111111</v>
      </c>
      <c r="D28" s="21">
        <v>2352.0833333333335</v>
      </c>
      <c r="E28" s="21">
        <v>2301.0833333333335</v>
      </c>
      <c r="F28" s="21">
        <v>2200.4722222222222</v>
      </c>
      <c r="G28" s="21">
        <v>2260.85</v>
      </c>
      <c r="H28" s="21">
        <v>2150.8166666666666</v>
      </c>
      <c r="I28" s="21">
        <v>2102.0777777777776</v>
      </c>
      <c r="J28" s="21">
        <v>2022.5111111111112</v>
      </c>
      <c r="K28" s="21">
        <v>1878.411111111111</v>
      </c>
      <c r="L28" s="21">
        <v>1842.3333333333333</v>
      </c>
      <c r="M28" s="21">
        <v>1761.4722222222222</v>
      </c>
      <c r="N28" s="21">
        <v>1685.3055555555557</v>
      </c>
      <c r="O28" s="21">
        <v>2903.6111111111113</v>
      </c>
      <c r="P28" s="8">
        <v>818.39444444444439</v>
      </c>
    </row>
    <row r="29" spans="1:16">
      <c r="A29" s="30" t="s">
        <v>19</v>
      </c>
      <c r="B29" s="21">
        <v>193.58333333333334</v>
      </c>
      <c r="C29" s="21">
        <v>172.64444444444445</v>
      </c>
      <c r="D29" s="21">
        <v>186.65555555555557</v>
      </c>
      <c r="E29" s="21">
        <v>200.27222222222221</v>
      </c>
      <c r="F29" s="21">
        <v>183.44444444444446</v>
      </c>
      <c r="G29" s="21">
        <v>186.48333333333332</v>
      </c>
      <c r="H29" s="21">
        <v>164.91666666666666</v>
      </c>
      <c r="I29" s="21">
        <v>191.53333333333333</v>
      </c>
      <c r="J29" s="21">
        <v>155.62777777777777</v>
      </c>
      <c r="K29" s="21">
        <v>178.1611111111111</v>
      </c>
      <c r="L29" s="21">
        <v>171.38333333333333</v>
      </c>
      <c r="M29" s="21">
        <v>139.35</v>
      </c>
      <c r="N29" s="21">
        <v>149.39444444444445</v>
      </c>
      <c r="O29" s="21">
        <v>259.15555555555557</v>
      </c>
      <c r="P29" s="8">
        <v>38.18333333333333</v>
      </c>
    </row>
    <row r="30" spans="1:16">
      <c r="A30" s="30" t="s">
        <v>20</v>
      </c>
      <c r="B30" s="21">
        <v>92.24444444444444</v>
      </c>
      <c r="C30" s="21">
        <v>81.477777777777774</v>
      </c>
      <c r="D30" s="21">
        <v>77.283333333333331</v>
      </c>
      <c r="E30" s="21">
        <v>78.788888888888891</v>
      </c>
      <c r="F30" s="21">
        <v>73.50555555555556</v>
      </c>
      <c r="G30" s="21">
        <v>74.63333333333334</v>
      </c>
      <c r="H30" s="21">
        <v>79.13333333333334</v>
      </c>
      <c r="I30" s="21">
        <v>65.788888888888891</v>
      </c>
      <c r="J30" s="21">
        <v>64.516666666666666</v>
      </c>
      <c r="K30" s="21">
        <v>69.650000000000006</v>
      </c>
      <c r="L30" s="21">
        <v>88.427777777777777</v>
      </c>
      <c r="M30" s="21">
        <v>72.416666666666671</v>
      </c>
      <c r="N30" s="21">
        <v>78.955555555555549</v>
      </c>
      <c r="O30" s="21">
        <v>100.91111111111111</v>
      </c>
      <c r="P30" s="8">
        <v>3.05</v>
      </c>
    </row>
    <row r="31" spans="1:16">
      <c r="A31" s="16" t="s">
        <v>36</v>
      </c>
      <c r="B31" s="22">
        <v>1160.7055555555555</v>
      </c>
      <c r="C31" s="22">
        <v>1160.2388888888888</v>
      </c>
      <c r="D31" s="22">
        <v>1115.5222222222221</v>
      </c>
      <c r="E31" s="22">
        <v>1022.5555555555555</v>
      </c>
      <c r="F31" s="22">
        <v>1013.3888888888889</v>
      </c>
      <c r="G31" s="22">
        <v>1041.3666666666666</v>
      </c>
      <c r="H31" s="22">
        <v>969.9666666666667</v>
      </c>
      <c r="I31" s="22">
        <v>827.26111111111106</v>
      </c>
      <c r="J31" s="22">
        <v>787.19444444444446</v>
      </c>
      <c r="K31" s="22">
        <v>821.27222222222224</v>
      </c>
      <c r="L31" s="22">
        <v>795.46111111111111</v>
      </c>
      <c r="M31" s="22">
        <v>721.2833333333333</v>
      </c>
      <c r="N31" s="22">
        <v>624.92777777777781</v>
      </c>
      <c r="O31" s="22">
        <v>1024.0444444444445</v>
      </c>
      <c r="P31" s="9">
        <v>365.54444444444442</v>
      </c>
    </row>
    <row r="32" spans="1:16">
      <c r="A32" s="30" t="s">
        <v>21</v>
      </c>
      <c r="B32" s="21">
        <v>286.03888888888889</v>
      </c>
      <c r="C32" s="21">
        <v>354.78333333333336</v>
      </c>
      <c r="D32" s="21">
        <v>359.76111111111112</v>
      </c>
      <c r="E32" s="21">
        <v>347.43333333333334</v>
      </c>
      <c r="F32" s="21">
        <v>365.99444444444447</v>
      </c>
      <c r="G32" s="21">
        <v>358.64444444444445</v>
      </c>
      <c r="H32" s="21">
        <v>348.75</v>
      </c>
      <c r="I32" s="21">
        <v>357.47222222222223</v>
      </c>
      <c r="J32" s="21">
        <v>362.75555555555553</v>
      </c>
      <c r="K32" s="21">
        <v>348.46666666666664</v>
      </c>
      <c r="L32" s="21">
        <v>339.51666666666665</v>
      </c>
      <c r="M32" s="21">
        <v>341.09444444444443</v>
      </c>
      <c r="N32" s="21">
        <v>337.16666666666669</v>
      </c>
      <c r="O32" s="21">
        <v>288.00555555555553</v>
      </c>
      <c r="P32" s="8">
        <v>75.87777777777778</v>
      </c>
    </row>
    <row r="33" spans="1:16">
      <c r="A33" s="30" t="s">
        <v>22</v>
      </c>
      <c r="B33" s="21">
        <v>20.222222222222221</v>
      </c>
      <c r="C33" s="21">
        <v>25.738888888888887</v>
      </c>
      <c r="D33" s="21">
        <v>19.322222222222223</v>
      </c>
      <c r="E33" s="21">
        <v>18.322222222222223</v>
      </c>
      <c r="F33" s="21">
        <v>21.766666666666666</v>
      </c>
      <c r="G33" s="21">
        <v>14.844444444444445</v>
      </c>
      <c r="H33" s="21">
        <v>16.227777777777778</v>
      </c>
      <c r="I33" s="21">
        <v>31.038888888888888</v>
      </c>
      <c r="J33" s="21">
        <v>29.333333333333332</v>
      </c>
      <c r="K33" s="21">
        <v>26.011111111111113</v>
      </c>
      <c r="L33" s="21">
        <v>33.666666666666664</v>
      </c>
      <c r="M33" s="21">
        <v>23.127777777777776</v>
      </c>
      <c r="N33" s="21">
        <v>33.016666666666666</v>
      </c>
      <c r="O33" s="21">
        <v>47.027777777777779</v>
      </c>
      <c r="P33" s="8">
        <v>6</v>
      </c>
    </row>
    <row r="34" spans="1:16">
      <c r="A34" s="30" t="s">
        <v>37</v>
      </c>
      <c r="B34" s="21">
        <v>1108.0666666666666</v>
      </c>
      <c r="C34" s="21">
        <v>1127.3555555555556</v>
      </c>
      <c r="D34" s="21">
        <v>1004.3722222222223</v>
      </c>
      <c r="E34" s="21">
        <v>998.55555555555554</v>
      </c>
      <c r="F34" s="21">
        <v>999.97777777777776</v>
      </c>
      <c r="G34" s="21">
        <v>933.75555555555559</v>
      </c>
      <c r="H34" s="21">
        <v>960.94444444444446</v>
      </c>
      <c r="I34" s="21">
        <v>896.98333333333335</v>
      </c>
      <c r="J34" s="21">
        <v>878.37222222222226</v>
      </c>
      <c r="K34" s="21">
        <v>948.62222222222226</v>
      </c>
      <c r="L34" s="21">
        <v>864.74444444444441</v>
      </c>
      <c r="M34" s="21">
        <v>867.97222222222217</v>
      </c>
      <c r="N34" s="21">
        <v>889.8</v>
      </c>
      <c r="O34" s="21">
        <v>1066.05</v>
      </c>
      <c r="P34" s="8">
        <v>602.40555555555557</v>
      </c>
    </row>
    <row r="35" spans="1:16">
      <c r="A35" s="30" t="s">
        <v>23</v>
      </c>
      <c r="B35" s="21">
        <v>39.68888888888889</v>
      </c>
      <c r="C35" s="21">
        <v>55.62777777777778</v>
      </c>
      <c r="D35" s="21">
        <v>28.555555555555557</v>
      </c>
      <c r="E35" s="21">
        <v>35.9</v>
      </c>
      <c r="F35" s="21">
        <v>33.388888888888886</v>
      </c>
      <c r="G35" s="21">
        <v>36.950000000000003</v>
      </c>
      <c r="H35" s="21">
        <v>30.594444444444445</v>
      </c>
      <c r="I35" s="21">
        <v>34.472222222222221</v>
      </c>
      <c r="J35" s="21">
        <v>28.661111111111111</v>
      </c>
      <c r="K35" s="21">
        <v>28.45</v>
      </c>
      <c r="L35" s="21">
        <v>38.18333333333333</v>
      </c>
      <c r="M35" s="21">
        <v>28.594444444444445</v>
      </c>
      <c r="N35" s="21">
        <v>31.522222222222222</v>
      </c>
      <c r="O35" s="21">
        <v>39.85</v>
      </c>
      <c r="P35" s="8">
        <v>6.7944444444444443</v>
      </c>
    </row>
    <row r="36" spans="1:16">
      <c r="A36" s="16" t="s">
        <v>35</v>
      </c>
      <c r="B36" s="22">
        <v>2072.4611111111112</v>
      </c>
      <c r="C36" s="22">
        <v>2134.8166666666666</v>
      </c>
      <c r="D36" s="22">
        <v>1978.1333333333334</v>
      </c>
      <c r="E36" s="22">
        <v>1917.3611111111111</v>
      </c>
      <c r="F36" s="22">
        <v>1925.2444444444445</v>
      </c>
      <c r="G36" s="22">
        <v>1725.3166666666666</v>
      </c>
      <c r="H36" s="22">
        <v>1666.3055555555557</v>
      </c>
      <c r="I36" s="22">
        <v>1546.85</v>
      </c>
      <c r="J36" s="22">
        <v>1523.6722222222222</v>
      </c>
      <c r="K36" s="22">
        <v>1612.0611111111111</v>
      </c>
      <c r="L36" s="22">
        <v>1530.661111111111</v>
      </c>
      <c r="M36" s="22">
        <v>1560.3</v>
      </c>
      <c r="N36" s="22">
        <v>1440.8</v>
      </c>
      <c r="O36" s="22">
        <v>1858.05</v>
      </c>
      <c r="P36" s="9">
        <v>954.05</v>
      </c>
    </row>
    <row r="37" spans="1:16">
      <c r="A37" s="30" t="s">
        <v>24</v>
      </c>
      <c r="B37" s="21">
        <v>201.27777777777777</v>
      </c>
      <c r="C37" s="21">
        <v>247.32777777777778</v>
      </c>
      <c r="D37" s="21">
        <v>210.98333333333332</v>
      </c>
      <c r="E37" s="21">
        <v>199.03888888888889</v>
      </c>
      <c r="F37" s="21">
        <v>212.69444444444446</v>
      </c>
      <c r="G37" s="21">
        <v>225.66666666666666</v>
      </c>
      <c r="H37" s="21">
        <v>207.01111111111112</v>
      </c>
      <c r="I37" s="21">
        <v>214.63888888888889</v>
      </c>
      <c r="J37" s="21">
        <v>222.62222222222223</v>
      </c>
      <c r="K37" s="21">
        <v>232.35</v>
      </c>
      <c r="L37" s="21">
        <v>239.74444444444444</v>
      </c>
      <c r="M37" s="21">
        <v>233.13333333333333</v>
      </c>
      <c r="N37" s="21">
        <v>235.1</v>
      </c>
      <c r="O37" s="21">
        <v>256.11666666666667</v>
      </c>
      <c r="P37" s="8">
        <v>36.06111111111111</v>
      </c>
    </row>
    <row r="38" spans="1:16">
      <c r="A38" s="30" t="s">
        <v>25</v>
      </c>
      <c r="B38" s="21">
        <v>381.48888888888888</v>
      </c>
      <c r="C38" s="21">
        <v>365.85555555555555</v>
      </c>
      <c r="D38" s="21">
        <v>381.60555555555555</v>
      </c>
      <c r="E38" s="21">
        <v>337.79444444444442</v>
      </c>
      <c r="F38" s="21">
        <v>351.82222222222219</v>
      </c>
      <c r="G38" s="21">
        <v>348.3</v>
      </c>
      <c r="H38" s="21">
        <v>361.75</v>
      </c>
      <c r="I38" s="21">
        <v>351.27222222222224</v>
      </c>
      <c r="J38" s="21">
        <v>320.3</v>
      </c>
      <c r="K38" s="21">
        <v>321.35000000000002</v>
      </c>
      <c r="L38" s="21">
        <v>298.35555555555555</v>
      </c>
      <c r="M38" s="21">
        <v>308.34444444444443</v>
      </c>
      <c r="N38" s="21">
        <v>321.72777777777776</v>
      </c>
      <c r="O38" s="21">
        <v>475.25</v>
      </c>
      <c r="P38" s="8">
        <v>62.911111111111111</v>
      </c>
    </row>
    <row r="39" spans="1:16">
      <c r="A39" s="30" t="s">
        <v>26</v>
      </c>
      <c r="B39" s="21">
        <v>247.4388888888889</v>
      </c>
      <c r="C39" s="21">
        <v>234.56666666666666</v>
      </c>
      <c r="D39" s="21">
        <v>218.4111111111111</v>
      </c>
      <c r="E39" s="21">
        <v>241.61111111111111</v>
      </c>
      <c r="F39" s="21">
        <v>231.1</v>
      </c>
      <c r="G39" s="21">
        <v>238.74444444444444</v>
      </c>
      <c r="H39" s="21">
        <v>223.9111111111111</v>
      </c>
      <c r="I39" s="21">
        <v>227.26666666666668</v>
      </c>
      <c r="J39" s="21">
        <v>214.63333333333333</v>
      </c>
      <c r="K39" s="21">
        <v>200.37222222222223</v>
      </c>
      <c r="L39" s="21">
        <v>220.61666666666667</v>
      </c>
      <c r="M39" s="21">
        <v>207.86111111111111</v>
      </c>
      <c r="N39" s="21">
        <v>238.87777777777777</v>
      </c>
      <c r="O39" s="21">
        <v>372.98333333333335</v>
      </c>
      <c r="P39" s="8">
        <v>44.305555555555557</v>
      </c>
    </row>
    <row r="40" spans="1:16">
      <c r="A40" s="30" t="s">
        <v>27</v>
      </c>
      <c r="B40" s="21">
        <v>121.58333333333333</v>
      </c>
      <c r="C40" s="21">
        <v>118.29444444444445</v>
      </c>
      <c r="D40" s="21">
        <v>125.05555555555556</v>
      </c>
      <c r="E40" s="21">
        <v>95.5</v>
      </c>
      <c r="F40" s="21">
        <v>120.47777777777777</v>
      </c>
      <c r="G40" s="21">
        <v>107.72222222222223</v>
      </c>
      <c r="H40" s="21">
        <v>119.43888888888888</v>
      </c>
      <c r="I40" s="21">
        <v>116.58888888888889</v>
      </c>
      <c r="J40" s="21">
        <v>105.61666666666666</v>
      </c>
      <c r="K40" s="21">
        <v>104.01111111111111</v>
      </c>
      <c r="L40" s="21">
        <v>96.944444444444443</v>
      </c>
      <c r="M40" s="21">
        <v>97.25</v>
      </c>
      <c r="N40" s="21">
        <v>89.588888888888889</v>
      </c>
      <c r="O40" s="21">
        <v>142.6888888888889</v>
      </c>
      <c r="P40" s="8">
        <v>10</v>
      </c>
    </row>
    <row r="41" spans="1:16">
      <c r="A41" s="16" t="s">
        <v>28</v>
      </c>
      <c r="B41" s="22">
        <v>9.1444444444444439</v>
      </c>
      <c r="C41" s="22">
        <v>12.633333333333333</v>
      </c>
      <c r="D41" s="22">
        <v>15.75</v>
      </c>
      <c r="E41" s="22">
        <v>10.744444444444444</v>
      </c>
      <c r="F41" s="22">
        <v>18.622222222222224</v>
      </c>
      <c r="G41" s="22">
        <v>14.772222222222222</v>
      </c>
      <c r="H41" s="22">
        <v>15.21111111111111</v>
      </c>
      <c r="I41" s="22">
        <v>19.350000000000001</v>
      </c>
      <c r="J41" s="22">
        <v>19.205555555555556</v>
      </c>
      <c r="K41" s="22">
        <v>25.155555555555555</v>
      </c>
      <c r="L41" s="22">
        <v>18.261111111111113</v>
      </c>
      <c r="M41" s="22">
        <v>21.233333333333334</v>
      </c>
      <c r="N41" s="22">
        <v>22.227777777777778</v>
      </c>
      <c r="O41" s="22">
        <v>18.183333333333334</v>
      </c>
      <c r="P41" s="9">
        <v>2.9277777777777776</v>
      </c>
    </row>
    <row r="42" spans="1:16">
      <c r="A42" s="30" t="s">
        <v>29</v>
      </c>
      <c r="B42" s="21">
        <v>1094.7111111111112</v>
      </c>
      <c r="C42" s="21">
        <v>1116.0555555555557</v>
      </c>
      <c r="D42" s="21">
        <v>1058.9944444444445</v>
      </c>
      <c r="E42" s="21">
        <v>1078.6444444444444</v>
      </c>
      <c r="F42" s="21">
        <v>1091.5944444444444</v>
      </c>
      <c r="G42" s="21">
        <v>1042.3277777777778</v>
      </c>
      <c r="H42" s="21">
        <v>975.63333333333333</v>
      </c>
      <c r="I42" s="21">
        <v>956.97777777777776</v>
      </c>
      <c r="J42" s="21">
        <v>909.08333333333337</v>
      </c>
      <c r="K42" s="21">
        <v>921.01666666666665</v>
      </c>
      <c r="L42" s="21">
        <v>886.86666666666667</v>
      </c>
      <c r="M42" s="21">
        <v>844.14444444444439</v>
      </c>
      <c r="N42" s="21">
        <v>719.9</v>
      </c>
      <c r="O42" s="21">
        <v>1061.5166666666667</v>
      </c>
      <c r="P42" s="8">
        <v>451.72222222222223</v>
      </c>
    </row>
    <row r="43" spans="1:16">
      <c r="A43" s="30" t="s">
        <v>30</v>
      </c>
      <c r="B43" s="21">
        <v>626.35555555555561</v>
      </c>
      <c r="C43" s="21">
        <v>620.85</v>
      </c>
      <c r="D43" s="21">
        <v>552.95000000000005</v>
      </c>
      <c r="E43" s="21">
        <v>554.91666666666663</v>
      </c>
      <c r="F43" s="21">
        <v>487.72777777777776</v>
      </c>
      <c r="G43" s="21">
        <v>517.11666666666667</v>
      </c>
      <c r="H43" s="21">
        <v>518.98333333333335</v>
      </c>
      <c r="I43" s="21">
        <v>430.36111111111109</v>
      </c>
      <c r="J43" s="21">
        <v>422.65555555555557</v>
      </c>
      <c r="K43" s="21">
        <v>389.35</v>
      </c>
      <c r="L43" s="21">
        <v>395.44444444444446</v>
      </c>
      <c r="M43" s="21">
        <v>398.26666666666665</v>
      </c>
      <c r="N43" s="21">
        <v>330.28888888888889</v>
      </c>
      <c r="O43" s="21">
        <v>531.82222222222219</v>
      </c>
      <c r="P43" s="8">
        <v>157.9388888888889</v>
      </c>
    </row>
    <row r="44" spans="1:16">
      <c r="A44" s="30" t="s">
        <v>31</v>
      </c>
      <c r="B44" s="21">
        <v>411.70555555555558</v>
      </c>
      <c r="C44" s="21">
        <v>383.43333333333334</v>
      </c>
      <c r="D44" s="21">
        <v>418.15</v>
      </c>
      <c r="E44" s="21">
        <v>385.57777777777778</v>
      </c>
      <c r="F44" s="21">
        <v>411.12777777777779</v>
      </c>
      <c r="G44" s="21">
        <v>378.9111111111111</v>
      </c>
      <c r="H44" s="21">
        <v>406.86666666666667</v>
      </c>
      <c r="I44" s="21">
        <v>363.46666666666664</v>
      </c>
      <c r="J44" s="21">
        <v>381.82222222222219</v>
      </c>
      <c r="K44" s="21">
        <v>358.40555555555557</v>
      </c>
      <c r="L44" s="21">
        <v>351.32222222222219</v>
      </c>
      <c r="M44" s="21">
        <v>311.36666666666667</v>
      </c>
      <c r="N44" s="21">
        <v>279.20555555555558</v>
      </c>
      <c r="O44" s="21">
        <v>543.99444444444441</v>
      </c>
      <c r="P44" s="8">
        <v>82.088888888888889</v>
      </c>
    </row>
    <row r="45" spans="1:16">
      <c r="A45" s="30" t="s">
        <v>32</v>
      </c>
      <c r="B45" s="21">
        <v>2163.5777777777776</v>
      </c>
      <c r="C45" s="21">
        <v>2152.5166666666669</v>
      </c>
      <c r="D45" s="21">
        <v>2077.8000000000002</v>
      </c>
      <c r="E45" s="21">
        <v>1943.9722222222222</v>
      </c>
      <c r="F45" s="21">
        <v>2075.4333333333334</v>
      </c>
      <c r="G45" s="21">
        <v>2006.8</v>
      </c>
      <c r="H45" s="21">
        <v>1926.8722222222223</v>
      </c>
      <c r="I45" s="21">
        <v>1922.7277777777779</v>
      </c>
      <c r="J45" s="21">
        <v>1912.6888888888889</v>
      </c>
      <c r="K45" s="21">
        <v>1755.2111111111112</v>
      </c>
      <c r="L45" s="21">
        <v>1605.95</v>
      </c>
      <c r="M45" s="21">
        <v>1636.7611111111112</v>
      </c>
      <c r="N45" s="21">
        <v>1575.4222222222222</v>
      </c>
      <c r="O45" s="21">
        <v>2175.9</v>
      </c>
      <c r="P45" s="8">
        <v>461.89444444444445</v>
      </c>
    </row>
    <row r="46" spans="1:16">
      <c r="A46" s="30" t="s">
        <v>33</v>
      </c>
      <c r="B46" s="21">
        <v>53.977777777777774</v>
      </c>
      <c r="C46" s="21">
        <v>47.588888888888889</v>
      </c>
      <c r="D46" s="21">
        <v>41.338888888888889</v>
      </c>
      <c r="E46" s="21">
        <v>39.744444444444447</v>
      </c>
      <c r="F46" s="21">
        <v>48.1</v>
      </c>
      <c r="G46" s="21">
        <v>39.033333333333331</v>
      </c>
      <c r="H46" s="21">
        <v>45.988888888888887</v>
      </c>
      <c r="I46" s="21">
        <v>38.31666666666667</v>
      </c>
      <c r="J46" s="21">
        <v>42.56666666666667</v>
      </c>
      <c r="K46" s="21">
        <v>34.672222222222224</v>
      </c>
      <c r="L46" s="21">
        <v>45.866666666666667</v>
      </c>
      <c r="M46" s="21">
        <v>36.327777777777776</v>
      </c>
      <c r="N46" s="21">
        <v>43.494444444444447</v>
      </c>
      <c r="O46" s="21">
        <v>57.8</v>
      </c>
      <c r="P46" s="8">
        <v>2.6833333333333331</v>
      </c>
    </row>
    <row r="47" spans="1:16" ht="15.75" thickBot="1">
      <c r="A47" s="25" t="s">
        <v>34</v>
      </c>
      <c r="B47" s="28">
        <v>2244.3777777777777</v>
      </c>
      <c r="C47" s="28">
        <v>2349.9888888888891</v>
      </c>
      <c r="D47" s="28">
        <v>2380.4166666666665</v>
      </c>
      <c r="E47" s="28">
        <v>2356.0777777777776</v>
      </c>
      <c r="F47" s="28">
        <v>2398.7277777777776</v>
      </c>
      <c r="G47" s="28">
        <v>2320.9611111111112</v>
      </c>
      <c r="H47" s="28">
        <v>2372.1333333333332</v>
      </c>
      <c r="I47" s="28">
        <v>2297.0166666666669</v>
      </c>
      <c r="J47" s="28">
        <v>2171.4611111111112</v>
      </c>
      <c r="K47" s="28">
        <v>2192.4555555555557</v>
      </c>
      <c r="L47" s="28">
        <v>2156.4444444444443</v>
      </c>
      <c r="M47" s="28">
        <v>2061.1999999999998</v>
      </c>
      <c r="N47" s="28">
        <v>2074.7277777777776</v>
      </c>
      <c r="O47" s="28">
        <v>3014.7777777777778</v>
      </c>
      <c r="P47" s="29">
        <v>868.97222222222217</v>
      </c>
    </row>
    <row r="48" spans="1:16" ht="16.5" thickTop="1" thickBot="1">
      <c r="A48" s="51" t="s">
        <v>96</v>
      </c>
      <c r="B48" s="52">
        <f>SUM(B7:B47)</f>
        <v>43750.072222222218</v>
      </c>
      <c r="C48" s="52">
        <f t="shared" ref="C48:P48" si="0">SUM(C7:C47)</f>
        <v>44083.26666666667</v>
      </c>
      <c r="D48" s="52">
        <f t="shared" si="0"/>
        <v>42526.833333333328</v>
      </c>
      <c r="E48" s="52">
        <f t="shared" si="0"/>
        <v>41903.644444444421</v>
      </c>
      <c r="F48" s="52">
        <f t="shared" si="0"/>
        <v>41561.344444444454</v>
      </c>
      <c r="G48" s="52">
        <f t="shared" si="0"/>
        <v>40566.494444444448</v>
      </c>
      <c r="H48" s="52">
        <f t="shared" si="0"/>
        <v>39414.438888888886</v>
      </c>
      <c r="I48" s="52">
        <f t="shared" si="0"/>
        <v>38233.772222222207</v>
      </c>
      <c r="J48" s="52">
        <f t="shared" si="0"/>
        <v>37402.372222222206</v>
      </c>
      <c r="K48" s="52">
        <f t="shared" si="0"/>
        <v>37226.411111111105</v>
      </c>
      <c r="L48" s="52">
        <f t="shared" si="0"/>
        <v>36376.944444444445</v>
      </c>
      <c r="M48" s="52">
        <f t="shared" si="0"/>
        <v>35140.750000000007</v>
      </c>
      <c r="N48" s="52">
        <f t="shared" si="0"/>
        <v>33354.166666666672</v>
      </c>
      <c r="O48" s="52">
        <f t="shared" si="0"/>
        <v>44210.194444444453</v>
      </c>
      <c r="P48" s="52">
        <f t="shared" si="0"/>
        <v>13827.955555555551</v>
      </c>
    </row>
    <row r="49" spans="1:16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8.75">
      <c r="A54" s="58" t="s">
        <v>110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</row>
    <row r="55" spans="1:16" ht="19.5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13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56" t="s">
        <v>91</v>
      </c>
      <c r="P56" s="57"/>
    </row>
    <row r="57" spans="1:16" ht="15.75" thickBot="1">
      <c r="A57" s="14" t="s">
        <v>89</v>
      </c>
      <c r="B57" s="19" t="s">
        <v>90</v>
      </c>
      <c r="C57" s="19">
        <v>1</v>
      </c>
      <c r="D57" s="19">
        <v>2</v>
      </c>
      <c r="E57" s="19">
        <v>3</v>
      </c>
      <c r="F57" s="19">
        <v>4</v>
      </c>
      <c r="G57" s="19">
        <v>5</v>
      </c>
      <c r="H57" s="19">
        <v>6</v>
      </c>
      <c r="I57" s="19">
        <v>7</v>
      </c>
      <c r="J57" s="19">
        <v>8</v>
      </c>
      <c r="K57" s="19">
        <v>9</v>
      </c>
      <c r="L57" s="19">
        <v>10</v>
      </c>
      <c r="M57" s="19">
        <v>11</v>
      </c>
      <c r="N57" s="19">
        <v>12</v>
      </c>
      <c r="O57" s="4" t="s">
        <v>93</v>
      </c>
      <c r="P57" s="5" t="s">
        <v>97</v>
      </c>
    </row>
    <row r="58" spans="1:16">
      <c r="A58" s="13" t="s">
        <v>111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137.01111111111112</v>
      </c>
      <c r="L58" s="20">
        <v>117.91666666666667</v>
      </c>
      <c r="M58" s="20">
        <v>116.7</v>
      </c>
      <c r="N58" s="20">
        <v>93.472222222222229</v>
      </c>
      <c r="O58" s="20">
        <v>25.616666666666667</v>
      </c>
      <c r="P58" s="6">
        <v>0</v>
      </c>
    </row>
    <row r="59" spans="1:16">
      <c r="A59" s="15" t="s">
        <v>62</v>
      </c>
      <c r="B59" s="21">
        <v>81.272222222222226</v>
      </c>
      <c r="C59" s="21">
        <v>95.00555555555556</v>
      </c>
      <c r="D59" s="21">
        <v>96.761111111111106</v>
      </c>
      <c r="E59" s="21">
        <v>109.96666666666667</v>
      </c>
      <c r="F59" s="21">
        <v>83.36666666666666</v>
      </c>
      <c r="G59" s="21">
        <v>96.011111111111106</v>
      </c>
      <c r="H59" s="21">
        <v>103.03333333333333</v>
      </c>
      <c r="I59" s="21">
        <v>126.38888888888889</v>
      </c>
      <c r="J59" s="21">
        <v>142.86666666666667</v>
      </c>
      <c r="K59" s="21">
        <v>144.60555555555555</v>
      </c>
      <c r="L59" s="21">
        <v>115.27222222222223</v>
      </c>
      <c r="M59" s="21">
        <v>108.62222222222222</v>
      </c>
      <c r="N59" s="21">
        <v>102.61666666666666</v>
      </c>
      <c r="O59" s="21">
        <v>175.59444444444443</v>
      </c>
      <c r="P59" s="8">
        <v>32.994444444444447</v>
      </c>
    </row>
    <row r="60" spans="1:16">
      <c r="A60" s="15" t="s">
        <v>41</v>
      </c>
      <c r="B60" s="21">
        <v>101.12777777777778</v>
      </c>
      <c r="C60" s="21">
        <v>106.07222222222222</v>
      </c>
      <c r="D60" s="21">
        <v>107.05555555555556</v>
      </c>
      <c r="E60" s="21">
        <v>118.07777777777778</v>
      </c>
      <c r="F60" s="21">
        <v>120.52777777777777</v>
      </c>
      <c r="G60" s="21">
        <v>121.99444444444444</v>
      </c>
      <c r="H60" s="21">
        <v>118.7</v>
      </c>
      <c r="I60" s="21">
        <v>125.96111111111111</v>
      </c>
      <c r="J60" s="21">
        <v>104.76111111111111</v>
      </c>
      <c r="K60" s="21">
        <v>69.816666666666663</v>
      </c>
      <c r="L60" s="21">
        <v>0</v>
      </c>
      <c r="M60" s="21">
        <v>0</v>
      </c>
      <c r="N60" s="21">
        <v>0</v>
      </c>
      <c r="O60" s="21">
        <v>87.594444444444449</v>
      </c>
      <c r="P60" s="8">
        <v>4.8444444444444441</v>
      </c>
    </row>
    <row r="61" spans="1:16">
      <c r="A61" s="15" t="s">
        <v>99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55.866666666666667</v>
      </c>
      <c r="J61" s="21">
        <v>39.6</v>
      </c>
      <c r="K61" s="21">
        <v>39.12222222222222</v>
      </c>
      <c r="L61" s="21">
        <v>30.977777777777778</v>
      </c>
      <c r="M61" s="21">
        <v>21</v>
      </c>
      <c r="N61" s="21">
        <v>4.7611111111111111</v>
      </c>
      <c r="O61" s="21">
        <v>18.972222222222221</v>
      </c>
      <c r="P61" s="8">
        <v>1.0055555555555555</v>
      </c>
    </row>
    <row r="62" spans="1:16">
      <c r="A62" s="16" t="s">
        <v>80</v>
      </c>
      <c r="B62" s="22">
        <v>78.927777777777777</v>
      </c>
      <c r="C62" s="22">
        <v>73.944444444444443</v>
      </c>
      <c r="D62" s="22">
        <v>72.88333333333334</v>
      </c>
      <c r="E62" s="22">
        <v>72.99444444444444</v>
      </c>
      <c r="F62" s="22">
        <v>72.011111111111106</v>
      </c>
      <c r="G62" s="22">
        <v>71.927777777777777</v>
      </c>
      <c r="H62" s="22">
        <v>71.00555555555556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37.666666666666664</v>
      </c>
      <c r="P62" s="9">
        <v>0.56666666666666665</v>
      </c>
    </row>
    <row r="63" spans="1:16">
      <c r="A63" s="15" t="s">
        <v>74</v>
      </c>
      <c r="B63" s="21">
        <v>76.461111111111109</v>
      </c>
      <c r="C63" s="21">
        <v>77.972222222222229</v>
      </c>
      <c r="D63" s="21">
        <v>76</v>
      </c>
      <c r="E63" s="21">
        <v>74.99444444444444</v>
      </c>
      <c r="F63" s="21">
        <v>74.905555555555551</v>
      </c>
      <c r="G63" s="21">
        <v>74.922222222222217</v>
      </c>
      <c r="H63" s="21">
        <v>77.87777777777778</v>
      </c>
      <c r="I63" s="21">
        <v>59.25</v>
      </c>
      <c r="J63" s="21">
        <v>49</v>
      </c>
      <c r="K63" s="21">
        <v>0</v>
      </c>
      <c r="L63" s="21">
        <v>0</v>
      </c>
      <c r="M63" s="21">
        <v>0</v>
      </c>
      <c r="N63" s="21">
        <v>0</v>
      </c>
      <c r="O63" s="21">
        <v>61</v>
      </c>
      <c r="P63" s="8">
        <v>3</v>
      </c>
    </row>
    <row r="64" spans="1:16">
      <c r="A64" s="15" t="s">
        <v>44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35.861111111111114</v>
      </c>
      <c r="K64" s="21">
        <v>37.094444444444441</v>
      </c>
      <c r="L64" s="21">
        <v>48.62222222222222</v>
      </c>
      <c r="M64" s="21">
        <v>28.183333333333334</v>
      </c>
      <c r="N64" s="21">
        <v>17.116666666666667</v>
      </c>
      <c r="O64" s="21">
        <v>18.133333333333333</v>
      </c>
      <c r="P64" s="8">
        <v>14.233333333333333</v>
      </c>
    </row>
    <row r="65" spans="1:16">
      <c r="A65" s="15" t="s">
        <v>112</v>
      </c>
      <c r="B65" s="21">
        <v>45.355555555555554</v>
      </c>
      <c r="C65" s="21">
        <v>51.272222222222226</v>
      </c>
      <c r="D65" s="21">
        <v>43.394444444444446</v>
      </c>
      <c r="E65" s="21">
        <v>34.233333333333334</v>
      </c>
      <c r="F65" s="21">
        <v>42.1</v>
      </c>
      <c r="G65" s="21">
        <v>32.15</v>
      </c>
      <c r="H65" s="21">
        <v>31.661111111111111</v>
      </c>
      <c r="I65" s="21">
        <v>19.133333333333333</v>
      </c>
      <c r="J65" s="21">
        <v>12.811111111111112</v>
      </c>
      <c r="K65" s="21">
        <v>0</v>
      </c>
      <c r="L65" s="21">
        <v>0</v>
      </c>
      <c r="M65" s="21">
        <v>0</v>
      </c>
      <c r="N65" s="21">
        <v>0</v>
      </c>
      <c r="O65" s="21">
        <v>67.483333333333334</v>
      </c>
      <c r="P65" s="8">
        <v>4.7777777777777777</v>
      </c>
    </row>
    <row r="66" spans="1:16">
      <c r="A66" s="15" t="s">
        <v>113</v>
      </c>
      <c r="B66" s="21">
        <v>0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65.411111111111111</v>
      </c>
      <c r="J66" s="21">
        <v>64.166666666666671</v>
      </c>
      <c r="K66" s="21">
        <v>86.466666666666669</v>
      </c>
      <c r="L66" s="21">
        <v>84.194444444444443</v>
      </c>
      <c r="M66" s="21">
        <v>63.905555555555559</v>
      </c>
      <c r="N66" s="21">
        <v>46.077777777777776</v>
      </c>
      <c r="O66" s="21">
        <v>53.194444444444443</v>
      </c>
      <c r="P66" s="8">
        <v>1.4833333333333334</v>
      </c>
    </row>
    <row r="67" spans="1:16">
      <c r="A67" s="16" t="s">
        <v>82</v>
      </c>
      <c r="B67" s="22">
        <v>94.38333333333334</v>
      </c>
      <c r="C67" s="22">
        <v>64.161111111111111</v>
      </c>
      <c r="D67" s="22">
        <v>68.272222222222226</v>
      </c>
      <c r="E67" s="22">
        <v>49.644444444444446</v>
      </c>
      <c r="F67" s="22">
        <v>43.18888888888889</v>
      </c>
      <c r="G67" s="22">
        <v>33.261111111111113</v>
      </c>
      <c r="H67" s="22">
        <v>40.844444444444441</v>
      </c>
      <c r="I67" s="22">
        <v>22.894444444444446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22.494444444444444</v>
      </c>
      <c r="P67" s="9">
        <v>2.4944444444444445</v>
      </c>
    </row>
    <row r="68" spans="1:16">
      <c r="A68" s="15" t="s">
        <v>114</v>
      </c>
      <c r="B68" s="21">
        <v>72.022222222222226</v>
      </c>
      <c r="C68" s="21">
        <v>71.705555555555549</v>
      </c>
      <c r="D68" s="21">
        <v>70.205555555555549</v>
      </c>
      <c r="E68" s="21">
        <v>72.677777777777777</v>
      </c>
      <c r="F68" s="21">
        <v>74.905555555555551</v>
      </c>
      <c r="G68" s="21">
        <v>73.11666666666666</v>
      </c>
      <c r="H68" s="21">
        <v>72.422222222222217</v>
      </c>
      <c r="I68" s="21">
        <v>91.50555555555556</v>
      </c>
      <c r="J68" s="21">
        <v>52.983333333333334</v>
      </c>
      <c r="K68" s="21">
        <v>0</v>
      </c>
      <c r="L68" s="21">
        <v>0</v>
      </c>
      <c r="M68" s="21">
        <v>0</v>
      </c>
      <c r="N68" s="21">
        <v>0</v>
      </c>
      <c r="O68" s="21">
        <v>56.31666666666667</v>
      </c>
      <c r="P68" s="8">
        <v>5.0944444444444441</v>
      </c>
    </row>
    <row r="69" spans="1:16">
      <c r="A69" s="15" t="s">
        <v>57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58.416666666666664</v>
      </c>
      <c r="L69" s="21">
        <v>55.6</v>
      </c>
      <c r="M69" s="21">
        <v>71.155555555555551</v>
      </c>
      <c r="N69" s="21">
        <v>81.599999999999994</v>
      </c>
      <c r="O69" s="21">
        <v>46.93333333333333</v>
      </c>
      <c r="P69" s="8">
        <v>1.1333333333333333</v>
      </c>
    </row>
    <row r="70" spans="1:16">
      <c r="A70" s="15" t="s">
        <v>83</v>
      </c>
      <c r="B70" s="21">
        <v>47.927777777777777</v>
      </c>
      <c r="C70" s="21">
        <v>47.927777777777777</v>
      </c>
      <c r="D70" s="21">
        <v>47.905555555555559</v>
      </c>
      <c r="E70" s="21">
        <v>50</v>
      </c>
      <c r="F70" s="21">
        <v>51.916666666666664</v>
      </c>
      <c r="G70" s="21">
        <v>52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28.177777777777777</v>
      </c>
      <c r="P70" s="8">
        <v>2</v>
      </c>
    </row>
    <row r="71" spans="1:16">
      <c r="A71" s="15" t="s">
        <v>66</v>
      </c>
      <c r="B71" s="21">
        <v>50.888888888888886</v>
      </c>
      <c r="C71" s="21">
        <v>50.388888888888886</v>
      </c>
      <c r="D71" s="21">
        <v>55.68888888888889</v>
      </c>
      <c r="E71" s="21">
        <v>52.211111111111109</v>
      </c>
      <c r="F71" s="21">
        <v>54.62777777777778</v>
      </c>
      <c r="G71" s="21">
        <v>55.31666666666667</v>
      </c>
      <c r="H71" s="21">
        <v>54.594444444444441</v>
      </c>
      <c r="I71" s="21">
        <v>47.427777777777777</v>
      </c>
      <c r="J71" s="21">
        <v>43.06111111111111</v>
      </c>
      <c r="K71" s="21">
        <v>24.338888888888889</v>
      </c>
      <c r="L71" s="21">
        <v>0</v>
      </c>
      <c r="M71" s="21">
        <v>0</v>
      </c>
      <c r="N71" s="21">
        <v>0</v>
      </c>
      <c r="O71" s="21">
        <v>60.166666666666664</v>
      </c>
      <c r="P71" s="8">
        <v>6.6888888888888891</v>
      </c>
    </row>
    <row r="72" spans="1:16">
      <c r="A72" s="16" t="s">
        <v>100</v>
      </c>
      <c r="B72" s="22">
        <v>70.555555555555557</v>
      </c>
      <c r="C72" s="22">
        <v>70.327777777777783</v>
      </c>
      <c r="D72" s="22">
        <v>71.13333333333334</v>
      </c>
      <c r="E72" s="22">
        <v>71.472222222222229</v>
      </c>
      <c r="F72" s="22">
        <v>70.922222222222217</v>
      </c>
      <c r="G72" s="22">
        <v>70.900000000000006</v>
      </c>
      <c r="H72" s="22">
        <v>70.427777777777777</v>
      </c>
      <c r="I72" s="22">
        <v>68.977777777777774</v>
      </c>
      <c r="J72" s="22">
        <v>68.311111111111117</v>
      </c>
      <c r="K72" s="22">
        <v>0</v>
      </c>
      <c r="L72" s="22">
        <v>0</v>
      </c>
      <c r="M72" s="22">
        <v>0</v>
      </c>
      <c r="N72" s="22">
        <v>0</v>
      </c>
      <c r="O72" s="22">
        <v>38.055555555555557</v>
      </c>
      <c r="P72" s="9">
        <v>2.8166666666666669</v>
      </c>
    </row>
    <row r="73" spans="1:16">
      <c r="A73" s="15" t="s">
        <v>52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29.044444444444444</v>
      </c>
      <c r="L73" s="21">
        <v>40.027777777777779</v>
      </c>
      <c r="M73" s="21">
        <v>68.438888888888883</v>
      </c>
      <c r="N73" s="21">
        <v>75.75</v>
      </c>
      <c r="O73" s="21">
        <v>44.18888888888889</v>
      </c>
      <c r="P73" s="8">
        <v>0</v>
      </c>
    </row>
    <row r="74" spans="1:16">
      <c r="A74" s="15" t="s">
        <v>42</v>
      </c>
      <c r="B74" s="21">
        <v>77.588888888888889</v>
      </c>
      <c r="C74" s="21">
        <v>77.05</v>
      </c>
      <c r="D74" s="21">
        <v>76.516666666666666</v>
      </c>
      <c r="E74" s="21">
        <v>78.388888888888886</v>
      </c>
      <c r="F74" s="21">
        <v>68.75555555555556</v>
      </c>
      <c r="G74" s="21">
        <v>96.283333333333331</v>
      </c>
      <c r="H74" s="21">
        <v>93.888888888888886</v>
      </c>
      <c r="I74" s="21">
        <v>51.094444444444441</v>
      </c>
      <c r="J74" s="21">
        <v>43.666666666666664</v>
      </c>
      <c r="K74" s="21">
        <v>0</v>
      </c>
      <c r="L74" s="21">
        <v>0</v>
      </c>
      <c r="M74" s="21">
        <v>0</v>
      </c>
      <c r="N74" s="21">
        <v>0</v>
      </c>
      <c r="O74" s="21">
        <v>64.183333333333337</v>
      </c>
      <c r="P74" s="8">
        <v>1.4111111111111112</v>
      </c>
    </row>
    <row r="75" spans="1:16">
      <c r="A75" s="15" t="s">
        <v>101</v>
      </c>
      <c r="B75" s="21">
        <v>62.333333333333336</v>
      </c>
      <c r="C75" s="21">
        <v>66.833333333333329</v>
      </c>
      <c r="D75" s="21">
        <v>70.061111111111117</v>
      </c>
      <c r="E75" s="21">
        <v>65.50555555555556</v>
      </c>
      <c r="F75" s="21">
        <v>58.144444444444446</v>
      </c>
      <c r="G75" s="21">
        <v>47.672222222222224</v>
      </c>
      <c r="H75" s="21">
        <v>47.833333333333336</v>
      </c>
      <c r="I75" s="21">
        <v>47.616666666666667</v>
      </c>
      <c r="J75" s="21">
        <v>27.572222222222223</v>
      </c>
      <c r="K75" s="21">
        <v>0</v>
      </c>
      <c r="L75" s="21">
        <v>0</v>
      </c>
      <c r="M75" s="21">
        <v>0</v>
      </c>
      <c r="N75" s="21">
        <v>0</v>
      </c>
      <c r="O75" s="21">
        <v>53.322222222222223</v>
      </c>
      <c r="P75" s="8">
        <v>6.0555555555555554</v>
      </c>
    </row>
    <row r="76" spans="1:16">
      <c r="A76" s="15" t="s">
        <v>77</v>
      </c>
      <c r="B76" s="21">
        <v>51.43333333333333</v>
      </c>
      <c r="C76" s="21">
        <v>51.177777777777777</v>
      </c>
      <c r="D76" s="21">
        <v>74.733333333333334</v>
      </c>
      <c r="E76" s="21">
        <v>72.150000000000006</v>
      </c>
      <c r="F76" s="21">
        <v>48.516666666666666</v>
      </c>
      <c r="G76" s="21">
        <v>72.522222222222226</v>
      </c>
      <c r="H76" s="21">
        <v>45.955555555555556</v>
      </c>
      <c r="I76" s="21">
        <v>46.866666666666667</v>
      </c>
      <c r="J76" s="21">
        <v>23.466666666666665</v>
      </c>
      <c r="K76" s="21">
        <v>0</v>
      </c>
      <c r="L76" s="21">
        <v>0</v>
      </c>
      <c r="M76" s="21">
        <v>0</v>
      </c>
      <c r="N76" s="21">
        <v>0</v>
      </c>
      <c r="O76" s="21">
        <v>41.944444444444443</v>
      </c>
      <c r="P76" s="8">
        <v>7.4444444444444446</v>
      </c>
    </row>
    <row r="77" spans="1:16">
      <c r="A77" s="16" t="s">
        <v>81</v>
      </c>
      <c r="B77" s="22">
        <v>28.966666666666665</v>
      </c>
      <c r="C77" s="22">
        <v>27.022222222222222</v>
      </c>
      <c r="D77" s="22">
        <v>23.011111111111113</v>
      </c>
      <c r="E77" s="22">
        <v>20.011111111111113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10.088888888888889</v>
      </c>
      <c r="P77" s="9">
        <v>0</v>
      </c>
    </row>
    <row r="78" spans="1:16">
      <c r="A78" s="15" t="s">
        <v>102</v>
      </c>
      <c r="B78" s="21">
        <v>75.977777777777774</v>
      </c>
      <c r="C78" s="21">
        <v>79.63333333333334</v>
      </c>
      <c r="D78" s="21">
        <v>78.516666666666666</v>
      </c>
      <c r="E78" s="21">
        <v>78.266666666666666</v>
      </c>
      <c r="F78" s="21">
        <v>80.816666666666663</v>
      </c>
      <c r="G78" s="21">
        <v>76.055555555555557</v>
      </c>
      <c r="H78" s="21">
        <v>70.916666666666671</v>
      </c>
      <c r="I78" s="21">
        <v>95.444444444444443</v>
      </c>
      <c r="J78" s="21">
        <v>45.511111111111113</v>
      </c>
      <c r="K78" s="21">
        <v>0</v>
      </c>
      <c r="L78" s="21">
        <v>0</v>
      </c>
      <c r="M78" s="21">
        <v>0</v>
      </c>
      <c r="N78" s="21">
        <v>0</v>
      </c>
      <c r="O78" s="21">
        <v>42.594444444444441</v>
      </c>
      <c r="P78" s="8">
        <v>6.15</v>
      </c>
    </row>
    <row r="79" spans="1:16">
      <c r="A79" s="15" t="s">
        <v>65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55.616666666666667</v>
      </c>
      <c r="L79" s="21">
        <v>40.855555555555554</v>
      </c>
      <c r="M79" s="21">
        <v>31.2</v>
      </c>
      <c r="N79" s="21">
        <v>27.494444444444444</v>
      </c>
      <c r="O79" s="21">
        <v>10.622222222222222</v>
      </c>
      <c r="P79" s="8">
        <v>2</v>
      </c>
    </row>
    <row r="80" spans="1:16">
      <c r="A80" s="15" t="s">
        <v>55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123.30555555555556</v>
      </c>
      <c r="N80" s="21">
        <v>85.927777777777777</v>
      </c>
      <c r="O80" s="21">
        <v>0</v>
      </c>
      <c r="P80" s="8">
        <v>0</v>
      </c>
    </row>
    <row r="81" spans="1:16">
      <c r="A81" s="15" t="s">
        <v>48</v>
      </c>
      <c r="B81" s="21">
        <v>19.972222222222221</v>
      </c>
      <c r="C81" s="21">
        <v>20.005555555555556</v>
      </c>
      <c r="D81" s="21">
        <v>18.7</v>
      </c>
      <c r="E81" s="21">
        <v>21</v>
      </c>
      <c r="F81" s="21">
        <v>19.383333333333333</v>
      </c>
      <c r="G81" s="21">
        <v>18.655555555555555</v>
      </c>
      <c r="H81" s="21">
        <v>22</v>
      </c>
      <c r="I81" s="21">
        <v>18.627777777777776</v>
      </c>
      <c r="J81" s="21">
        <v>17.277777777777779</v>
      </c>
      <c r="K81" s="21">
        <v>0</v>
      </c>
      <c r="L81" s="21">
        <v>0</v>
      </c>
      <c r="M81" s="21">
        <v>0</v>
      </c>
      <c r="N81" s="21">
        <v>0</v>
      </c>
      <c r="O81" s="21">
        <v>20.75</v>
      </c>
      <c r="P81" s="8">
        <v>2.6555555555555554</v>
      </c>
    </row>
    <row r="82" spans="1:16">
      <c r="A82" s="16" t="s">
        <v>115</v>
      </c>
      <c r="B82" s="22">
        <v>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102.27222222222223</v>
      </c>
      <c r="L82" s="22">
        <v>73.827777777777783</v>
      </c>
      <c r="M82" s="22">
        <v>56.06111111111111</v>
      </c>
      <c r="N82" s="22">
        <v>37.87777777777778</v>
      </c>
      <c r="O82" s="22">
        <v>0.25555555555555554</v>
      </c>
      <c r="P82" s="9">
        <v>0</v>
      </c>
    </row>
    <row r="83" spans="1:16">
      <c r="A83" s="15" t="s">
        <v>67</v>
      </c>
      <c r="B83" s="21">
        <v>74.172222222222217</v>
      </c>
      <c r="C83" s="21">
        <v>75.905555555555551</v>
      </c>
      <c r="D83" s="21">
        <v>98.62777777777778</v>
      </c>
      <c r="E83" s="21">
        <v>99.138888888888886</v>
      </c>
      <c r="F83" s="21">
        <v>73.411111111111111</v>
      </c>
      <c r="G83" s="21">
        <v>67.95</v>
      </c>
      <c r="H83" s="21">
        <v>71.788888888888891</v>
      </c>
      <c r="I83" s="21">
        <v>60.18333333333333</v>
      </c>
      <c r="J83" s="21">
        <v>33.422222222222224</v>
      </c>
      <c r="K83" s="21">
        <v>23.055555555555557</v>
      </c>
      <c r="L83" s="21">
        <v>0</v>
      </c>
      <c r="M83" s="21">
        <v>0</v>
      </c>
      <c r="N83" s="21">
        <v>0</v>
      </c>
      <c r="O83" s="21">
        <v>71.344444444444449</v>
      </c>
      <c r="P83" s="8">
        <v>2.7777777777777776E-2</v>
      </c>
    </row>
    <row r="84" spans="1:16">
      <c r="A84" s="15" t="s">
        <v>68</v>
      </c>
      <c r="B84" s="21">
        <v>76.394444444444446</v>
      </c>
      <c r="C84" s="21">
        <v>76.811111111111117</v>
      </c>
      <c r="D84" s="21">
        <v>76.538888888888891</v>
      </c>
      <c r="E84" s="21">
        <v>76.205555555555549</v>
      </c>
      <c r="F84" s="21">
        <v>75.188888888888883</v>
      </c>
      <c r="G84" s="21">
        <v>74.972222222222229</v>
      </c>
      <c r="H84" s="21">
        <v>70.25555555555556</v>
      </c>
      <c r="I84" s="21">
        <v>60.077777777777776</v>
      </c>
      <c r="J84" s="21">
        <v>52.866666666666667</v>
      </c>
      <c r="K84" s="21">
        <v>69.605555555555554</v>
      </c>
      <c r="L84" s="21">
        <v>22.533333333333335</v>
      </c>
      <c r="M84" s="21">
        <v>0</v>
      </c>
      <c r="N84" s="21">
        <v>0</v>
      </c>
      <c r="O84" s="21">
        <v>50.68333333333333</v>
      </c>
      <c r="P84" s="8">
        <v>6.6555555555555559</v>
      </c>
    </row>
    <row r="85" spans="1:16">
      <c r="A85" s="15" t="s">
        <v>69</v>
      </c>
      <c r="B85" s="21">
        <v>62.62222222222222</v>
      </c>
      <c r="C85" s="21">
        <v>52.65</v>
      </c>
      <c r="D85" s="21">
        <v>49.911111111111111</v>
      </c>
      <c r="E85" s="21">
        <v>48.5</v>
      </c>
      <c r="F85" s="21">
        <v>42.711111111111109</v>
      </c>
      <c r="G85" s="21">
        <v>40.911111111111111</v>
      </c>
      <c r="H85" s="21">
        <v>46.905555555555559</v>
      </c>
      <c r="I85" s="21">
        <v>28.477777777777778</v>
      </c>
      <c r="J85" s="21">
        <v>27.044444444444444</v>
      </c>
      <c r="K85" s="21">
        <v>22.044444444444444</v>
      </c>
      <c r="L85" s="21">
        <v>5.2388888888888889</v>
      </c>
      <c r="M85" s="21">
        <v>9.8000000000000007</v>
      </c>
      <c r="N85" s="21">
        <v>0</v>
      </c>
      <c r="O85" s="21">
        <v>36.805555555555557</v>
      </c>
      <c r="P85" s="8">
        <v>2.6388888888888888</v>
      </c>
    </row>
    <row r="86" spans="1:16">
      <c r="A86" s="15" t="s">
        <v>58</v>
      </c>
      <c r="B86" s="21">
        <v>41.705555555555556</v>
      </c>
      <c r="C86" s="21">
        <v>48.772222222222226</v>
      </c>
      <c r="D86" s="21">
        <v>49.011111111111113</v>
      </c>
      <c r="E86" s="21">
        <v>49.7</v>
      </c>
      <c r="F86" s="21">
        <v>49.916666666666664</v>
      </c>
      <c r="G86" s="21">
        <v>49.705555555555556</v>
      </c>
      <c r="H86" s="21">
        <v>71.99444444444444</v>
      </c>
      <c r="I86" s="21">
        <v>82.45</v>
      </c>
      <c r="J86" s="21">
        <v>82.544444444444451</v>
      </c>
      <c r="K86" s="21">
        <v>56.15</v>
      </c>
      <c r="L86" s="21">
        <v>0</v>
      </c>
      <c r="M86" s="21">
        <v>0</v>
      </c>
      <c r="N86" s="21">
        <v>0</v>
      </c>
      <c r="O86" s="21">
        <v>85.416666666666671</v>
      </c>
      <c r="P86" s="8">
        <v>4.9833333333333334</v>
      </c>
    </row>
    <row r="87" spans="1:16">
      <c r="A87" s="16" t="s">
        <v>103</v>
      </c>
      <c r="B87" s="22">
        <v>0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93.738888888888894</v>
      </c>
      <c r="L87" s="22">
        <v>66.955555555555549</v>
      </c>
      <c r="M87" s="22">
        <v>47.422222222222224</v>
      </c>
      <c r="N87" s="22">
        <v>47.144444444444446</v>
      </c>
      <c r="O87" s="22">
        <v>29.45</v>
      </c>
      <c r="P87" s="9">
        <v>13.594444444444445</v>
      </c>
    </row>
    <row r="88" spans="1:16">
      <c r="A88" s="15" t="s">
        <v>56</v>
      </c>
      <c r="B88" s="21">
        <v>10.866666666666667</v>
      </c>
      <c r="C88" s="21">
        <v>3.25</v>
      </c>
      <c r="D88" s="21">
        <v>8.1722222222222225</v>
      </c>
      <c r="E88" s="21">
        <v>7.4722222222222223</v>
      </c>
      <c r="F88" s="21">
        <v>6.5388888888888888</v>
      </c>
      <c r="G88" s="21">
        <v>7.4611111111111112</v>
      </c>
      <c r="H88" s="21">
        <v>7.0888888888888886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6.416666666666667</v>
      </c>
      <c r="P88" s="8">
        <v>0.64444444444444449</v>
      </c>
    </row>
    <row r="89" spans="1:16">
      <c r="A89" s="15" t="s">
        <v>70</v>
      </c>
      <c r="B89" s="21">
        <v>72.094444444444449</v>
      </c>
      <c r="C89" s="21">
        <v>70.49444444444444</v>
      </c>
      <c r="D89" s="21">
        <v>73.2</v>
      </c>
      <c r="E89" s="21">
        <v>72.205555555555549</v>
      </c>
      <c r="F89" s="21">
        <v>71.788888888888891</v>
      </c>
      <c r="G89" s="21">
        <v>72.033333333333331</v>
      </c>
      <c r="H89" s="21">
        <v>71.2</v>
      </c>
      <c r="I89" s="21">
        <v>69.155555555555551</v>
      </c>
      <c r="J89" s="21">
        <v>92.738888888888894</v>
      </c>
      <c r="K89" s="21">
        <v>54.677777777777777</v>
      </c>
      <c r="L89" s="21">
        <v>0</v>
      </c>
      <c r="M89" s="21">
        <v>0</v>
      </c>
      <c r="N89" s="21">
        <v>0</v>
      </c>
      <c r="O89" s="21">
        <v>43.172222222222224</v>
      </c>
      <c r="P89" s="8">
        <v>9.7222222222222214</v>
      </c>
    </row>
    <row r="90" spans="1:16">
      <c r="A90" s="15" t="s">
        <v>71</v>
      </c>
      <c r="B90" s="21">
        <v>78.86666666666666</v>
      </c>
      <c r="C90" s="21">
        <v>79.577777777777783</v>
      </c>
      <c r="D90" s="21">
        <v>96.683333333333337</v>
      </c>
      <c r="E90" s="21">
        <v>79.911111111111111</v>
      </c>
      <c r="F90" s="21">
        <v>78.511111111111106</v>
      </c>
      <c r="G90" s="21">
        <v>99.694444444444443</v>
      </c>
      <c r="H90" s="21">
        <v>71.45</v>
      </c>
      <c r="I90" s="21">
        <v>32.711111111111109</v>
      </c>
      <c r="J90" s="21">
        <v>34.327777777777776</v>
      </c>
      <c r="K90" s="21">
        <v>0</v>
      </c>
      <c r="L90" s="21">
        <v>0</v>
      </c>
      <c r="M90" s="21">
        <v>0</v>
      </c>
      <c r="N90" s="21">
        <v>0</v>
      </c>
      <c r="O90" s="21">
        <v>58.12777777777778</v>
      </c>
      <c r="P90" s="8">
        <v>2.0055555555555555</v>
      </c>
    </row>
    <row r="91" spans="1:16">
      <c r="A91" s="15" t="s">
        <v>63</v>
      </c>
      <c r="B91" s="21">
        <v>51.855555555555554</v>
      </c>
      <c r="C91" s="21">
        <v>51.666666666666664</v>
      </c>
      <c r="D91" s="21">
        <v>53.044444444444444</v>
      </c>
      <c r="E91" s="21">
        <v>52.544444444444444</v>
      </c>
      <c r="F91" s="21">
        <v>53.044444444444444</v>
      </c>
      <c r="G91" s="21">
        <v>53.444444444444443</v>
      </c>
      <c r="H91" s="21">
        <v>52.211111111111109</v>
      </c>
      <c r="I91" s="21">
        <v>48.744444444444447</v>
      </c>
      <c r="J91" s="21">
        <v>45.638888888888886</v>
      </c>
      <c r="K91" s="21">
        <v>25.65</v>
      </c>
      <c r="L91" s="21">
        <v>0</v>
      </c>
      <c r="M91" s="21">
        <v>0</v>
      </c>
      <c r="N91" s="21">
        <v>0</v>
      </c>
      <c r="O91" s="21">
        <v>39.405555555555559</v>
      </c>
      <c r="P91" s="8">
        <v>6.6388888888888893</v>
      </c>
    </row>
    <row r="92" spans="1:16">
      <c r="A92" s="16" t="s">
        <v>116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149.47222222222223</v>
      </c>
      <c r="M92" s="22">
        <v>101.28888888888889</v>
      </c>
      <c r="N92" s="22">
        <v>113.56111111111112</v>
      </c>
      <c r="O92" s="22">
        <v>1.9888888888888889</v>
      </c>
      <c r="P92" s="9">
        <v>0</v>
      </c>
    </row>
    <row r="93" spans="1:16">
      <c r="A93" s="15" t="s">
        <v>78</v>
      </c>
      <c r="B93" s="21">
        <v>73.638888888888886</v>
      </c>
      <c r="C93" s="21">
        <v>71.827777777777783</v>
      </c>
      <c r="D93" s="21">
        <v>75.75555555555556</v>
      </c>
      <c r="E93" s="21">
        <v>69.511111111111106</v>
      </c>
      <c r="F93" s="21">
        <v>72.905555555555551</v>
      </c>
      <c r="G93" s="21">
        <v>73.688888888888883</v>
      </c>
      <c r="H93" s="21">
        <v>54.827777777777776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47.927777777777777</v>
      </c>
      <c r="P93" s="8">
        <v>1</v>
      </c>
    </row>
    <row r="94" spans="1:16">
      <c r="A94" s="15" t="s">
        <v>94</v>
      </c>
      <c r="B94" s="21">
        <v>95.816666666666663</v>
      </c>
      <c r="C94" s="21">
        <v>106.1</v>
      </c>
      <c r="D94" s="21">
        <v>106.44444444444444</v>
      </c>
      <c r="E94" s="21">
        <v>106.31666666666666</v>
      </c>
      <c r="F94" s="21">
        <v>106.63333333333334</v>
      </c>
      <c r="G94" s="21">
        <v>110.85555555555555</v>
      </c>
      <c r="H94" s="21">
        <v>107.97777777777777</v>
      </c>
      <c r="I94" s="21">
        <v>84.388888888888886</v>
      </c>
      <c r="J94" s="21">
        <v>84.361111111111114</v>
      </c>
      <c r="K94" s="21">
        <v>46.583333333333336</v>
      </c>
      <c r="L94" s="21">
        <v>0</v>
      </c>
      <c r="M94" s="21">
        <v>0</v>
      </c>
      <c r="N94" s="21">
        <v>0</v>
      </c>
      <c r="O94" s="21">
        <v>64.894444444444446</v>
      </c>
      <c r="P94" s="8">
        <v>0</v>
      </c>
    </row>
    <row r="95" spans="1:16">
      <c r="A95" s="15" t="s">
        <v>60</v>
      </c>
      <c r="B95" s="21">
        <v>49.37222222222222</v>
      </c>
      <c r="C95" s="21">
        <v>50.022222222222226</v>
      </c>
      <c r="D95" s="21">
        <v>49.833333333333336</v>
      </c>
      <c r="E95" s="21">
        <v>49.344444444444441</v>
      </c>
      <c r="F95" s="21">
        <v>49.988888888888887</v>
      </c>
      <c r="G95" s="21">
        <v>50.244444444444447</v>
      </c>
      <c r="H95" s="21">
        <v>50.972222222222221</v>
      </c>
      <c r="I95" s="21">
        <v>51.227777777777774</v>
      </c>
      <c r="J95" s="21">
        <v>52.033333333333331</v>
      </c>
      <c r="K95" s="21">
        <v>42.822222222222223</v>
      </c>
      <c r="L95" s="21">
        <v>0</v>
      </c>
      <c r="M95" s="21">
        <v>0</v>
      </c>
      <c r="N95" s="21">
        <v>0</v>
      </c>
      <c r="O95" s="21">
        <v>49.105555555555554</v>
      </c>
      <c r="P95" s="8">
        <v>0</v>
      </c>
    </row>
    <row r="96" spans="1:16">
      <c r="A96" s="15" t="s">
        <v>64</v>
      </c>
      <c r="B96" s="21">
        <v>45.738888888888887</v>
      </c>
      <c r="C96" s="21">
        <v>55.37222222222222</v>
      </c>
      <c r="D96" s="21">
        <v>53.694444444444443</v>
      </c>
      <c r="E96" s="21">
        <v>51.544444444444444</v>
      </c>
      <c r="F96" s="21">
        <v>72.738888888888894</v>
      </c>
      <c r="G96" s="21">
        <v>56.855555555555554</v>
      </c>
      <c r="H96" s="21">
        <v>48.033333333333331</v>
      </c>
      <c r="I96" s="21">
        <v>35.083333333333336</v>
      </c>
      <c r="J96" s="21">
        <v>17.361111111111111</v>
      </c>
      <c r="K96" s="21">
        <v>0</v>
      </c>
      <c r="L96" s="21">
        <v>0</v>
      </c>
      <c r="M96" s="21">
        <v>0</v>
      </c>
      <c r="N96" s="21">
        <v>0</v>
      </c>
      <c r="O96" s="21">
        <v>20.994444444444444</v>
      </c>
      <c r="P96" s="8">
        <v>6.4722222222222223</v>
      </c>
    </row>
    <row r="97" spans="1:16">
      <c r="A97" s="16" t="s">
        <v>40</v>
      </c>
      <c r="B97" s="22">
        <v>52.93333333333333</v>
      </c>
      <c r="C97" s="22">
        <v>53</v>
      </c>
      <c r="D97" s="22">
        <v>51.016666666666666</v>
      </c>
      <c r="E97" s="22">
        <v>52.388888888888886</v>
      </c>
      <c r="F97" s="22">
        <v>49.444444444444443</v>
      </c>
      <c r="G97" s="22">
        <v>68.594444444444449</v>
      </c>
      <c r="H97" s="22">
        <v>77.933333333333337</v>
      </c>
      <c r="I97" s="22">
        <v>77.111111111111114</v>
      </c>
      <c r="J97" s="22">
        <v>65.522222222222226</v>
      </c>
      <c r="K97" s="22">
        <v>61.922222222222224</v>
      </c>
      <c r="L97" s="22">
        <v>0</v>
      </c>
      <c r="M97" s="22">
        <v>0</v>
      </c>
      <c r="N97" s="22">
        <v>0</v>
      </c>
      <c r="O97" s="22">
        <v>62.083333333333336</v>
      </c>
      <c r="P97" s="9">
        <v>3.5222222222222221</v>
      </c>
    </row>
    <row r="98" spans="1:16">
      <c r="A98" s="15" t="s">
        <v>79</v>
      </c>
      <c r="B98" s="21">
        <v>57.005555555555553</v>
      </c>
      <c r="C98" s="21">
        <v>62.65</v>
      </c>
      <c r="D98" s="21">
        <v>47</v>
      </c>
      <c r="E98" s="21">
        <v>43.43333333333333</v>
      </c>
      <c r="F98" s="21">
        <v>47.655555555555559</v>
      </c>
      <c r="G98" s="21">
        <v>25.638888888888889</v>
      </c>
      <c r="H98" s="21">
        <v>28.43888888888889</v>
      </c>
      <c r="I98" s="21">
        <v>26.844444444444445</v>
      </c>
      <c r="J98" s="21">
        <v>19.155555555555555</v>
      </c>
      <c r="K98" s="21">
        <v>0</v>
      </c>
      <c r="L98" s="21">
        <v>0</v>
      </c>
      <c r="M98" s="21">
        <v>0</v>
      </c>
      <c r="N98" s="21">
        <v>0</v>
      </c>
      <c r="O98" s="21">
        <v>15.244444444444444</v>
      </c>
      <c r="P98" s="8">
        <v>12.972222222222221</v>
      </c>
    </row>
    <row r="99" spans="1:16">
      <c r="A99" s="15" t="s">
        <v>117</v>
      </c>
      <c r="B99" s="21">
        <v>0</v>
      </c>
      <c r="C99" s="21">
        <v>0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114.62777777777778</v>
      </c>
      <c r="L99" s="21">
        <v>5.416666666666667</v>
      </c>
      <c r="M99" s="21">
        <v>0.53333333333333333</v>
      </c>
      <c r="N99" s="21">
        <v>0</v>
      </c>
      <c r="O99" s="21">
        <v>4.6611111111111114</v>
      </c>
      <c r="P99" s="8">
        <v>0</v>
      </c>
    </row>
    <row r="100" spans="1:16">
      <c r="A100" s="15" t="s">
        <v>104</v>
      </c>
      <c r="B100" s="21">
        <v>73.772222222222226</v>
      </c>
      <c r="C100" s="21">
        <v>90.161111111111111</v>
      </c>
      <c r="D100" s="21">
        <v>81.261111111111106</v>
      </c>
      <c r="E100" s="21">
        <v>68.838888888888889</v>
      </c>
      <c r="F100" s="21">
        <v>66.38333333333334</v>
      </c>
      <c r="G100" s="21">
        <v>72.36666666666666</v>
      </c>
      <c r="H100" s="21">
        <v>50.888888888888886</v>
      </c>
      <c r="I100" s="21">
        <v>35.700000000000003</v>
      </c>
      <c r="J100" s="21">
        <v>38.261111111111113</v>
      </c>
      <c r="K100" s="21">
        <v>0</v>
      </c>
      <c r="L100" s="21">
        <v>0</v>
      </c>
      <c r="M100" s="21">
        <v>0</v>
      </c>
      <c r="N100" s="21">
        <v>0</v>
      </c>
      <c r="O100" s="21">
        <v>46.927777777777777</v>
      </c>
      <c r="P100" s="8">
        <v>4.0611111111111109</v>
      </c>
    </row>
    <row r="101" spans="1:16">
      <c r="A101" s="15" t="s">
        <v>72</v>
      </c>
      <c r="B101" s="21">
        <v>0</v>
      </c>
      <c r="C101" s="21">
        <v>0</v>
      </c>
      <c r="D101" s="21">
        <v>0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146.9388888888889</v>
      </c>
      <c r="L101" s="21">
        <v>158.61666666666667</v>
      </c>
      <c r="M101" s="21">
        <v>96.533333333333331</v>
      </c>
      <c r="N101" s="21">
        <v>70.061111111111117</v>
      </c>
      <c r="O101" s="21">
        <v>42.68888888888889</v>
      </c>
      <c r="P101" s="8">
        <v>0</v>
      </c>
    </row>
    <row r="102" spans="1:16" ht="15.75" thickBot="1">
      <c r="A102" s="23" t="s">
        <v>43</v>
      </c>
      <c r="B102" s="24">
        <v>32.983333333333334</v>
      </c>
      <c r="C102" s="24">
        <v>25.055555555555557</v>
      </c>
      <c r="D102" s="24">
        <v>31.772222222222222</v>
      </c>
      <c r="E102" s="24">
        <v>24.316666666666666</v>
      </c>
      <c r="F102" s="24">
        <v>31.983333333333334</v>
      </c>
      <c r="G102" s="24">
        <v>26.283333333333335</v>
      </c>
      <c r="H102" s="24">
        <v>30.844444444444445</v>
      </c>
      <c r="I102" s="24">
        <v>28.577777777777779</v>
      </c>
      <c r="J102" s="24">
        <v>25.983333333333334</v>
      </c>
      <c r="K102" s="24">
        <v>37.538888888888891</v>
      </c>
      <c r="L102" s="24">
        <v>28.5</v>
      </c>
      <c r="M102" s="24">
        <v>25.816666666666666</v>
      </c>
      <c r="N102" s="24">
        <v>24.205555555555556</v>
      </c>
      <c r="O102" s="24">
        <v>43.366666666666667</v>
      </c>
      <c r="P102" s="12">
        <v>71.533333333333331</v>
      </c>
    </row>
    <row r="103" spans="1:16">
      <c r="A103" s="3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>
      <c r="A104" s="3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>
      <c r="A105" s="3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>
      <c r="A106" s="3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8.75">
      <c r="A107" s="58" t="s">
        <v>110</v>
      </c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</row>
    <row r="108" spans="1:16" ht="19.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13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56" t="s">
        <v>91</v>
      </c>
      <c r="P109" s="57"/>
    </row>
    <row r="110" spans="1:16" ht="15.75" thickBot="1">
      <c r="A110" s="14" t="s">
        <v>89</v>
      </c>
      <c r="B110" s="19" t="s">
        <v>90</v>
      </c>
      <c r="C110" s="19">
        <v>1</v>
      </c>
      <c r="D110" s="19">
        <v>2</v>
      </c>
      <c r="E110" s="19">
        <v>3</v>
      </c>
      <c r="F110" s="19">
        <v>4</v>
      </c>
      <c r="G110" s="19">
        <v>5</v>
      </c>
      <c r="H110" s="19">
        <v>6</v>
      </c>
      <c r="I110" s="19">
        <v>7</v>
      </c>
      <c r="J110" s="19">
        <v>8</v>
      </c>
      <c r="K110" s="19">
        <v>9</v>
      </c>
      <c r="L110" s="19">
        <v>10</v>
      </c>
      <c r="M110" s="19">
        <v>11</v>
      </c>
      <c r="N110" s="19">
        <v>12</v>
      </c>
      <c r="O110" s="4" t="s">
        <v>92</v>
      </c>
      <c r="P110" s="5" t="s">
        <v>93</v>
      </c>
    </row>
    <row r="111" spans="1:16">
      <c r="A111" s="31" t="s">
        <v>105</v>
      </c>
      <c r="B111" s="32">
        <v>99.361111111111114</v>
      </c>
      <c r="C111" s="32">
        <v>100.96666666666667</v>
      </c>
      <c r="D111" s="32">
        <v>99.405555555555551</v>
      </c>
      <c r="E111" s="32">
        <v>100.00555555555556</v>
      </c>
      <c r="F111" s="32">
        <v>99.966666666666669</v>
      </c>
      <c r="G111" s="32">
        <v>100.35</v>
      </c>
      <c r="H111" s="32">
        <v>98.794444444444451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3">
        <v>58.077777777777776</v>
      </c>
      <c r="P111" s="48">
        <v>0</v>
      </c>
    </row>
    <row r="112" spans="1:16">
      <c r="A112" s="31" t="s">
        <v>84</v>
      </c>
      <c r="B112" s="32">
        <v>82.394444444444446</v>
      </c>
      <c r="C112" s="32">
        <v>100.26111111111111</v>
      </c>
      <c r="D112" s="32">
        <v>72.266666666666666</v>
      </c>
      <c r="E112" s="32">
        <v>73.044444444444451</v>
      </c>
      <c r="F112" s="32">
        <v>67.777777777777771</v>
      </c>
      <c r="G112" s="32">
        <v>67.12777777777778</v>
      </c>
      <c r="H112" s="32">
        <v>43.094444444444441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3">
        <v>55.955555555555556</v>
      </c>
      <c r="P112" s="49">
        <v>2</v>
      </c>
    </row>
    <row r="113" spans="1:16">
      <c r="A113" s="31" t="s">
        <v>53</v>
      </c>
      <c r="B113" s="32">
        <v>48.305555555555557</v>
      </c>
      <c r="C113" s="32">
        <v>49.533333333333331</v>
      </c>
      <c r="D113" s="32">
        <v>48.738888888888887</v>
      </c>
      <c r="E113" s="32">
        <v>48.87777777777778</v>
      </c>
      <c r="F113" s="32">
        <v>48.805555555555557</v>
      </c>
      <c r="G113" s="32">
        <v>48.016666666666666</v>
      </c>
      <c r="H113" s="32">
        <v>47.905555555555559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3">
        <v>36.994444444444447</v>
      </c>
      <c r="P113" s="49">
        <v>0</v>
      </c>
    </row>
    <row r="114" spans="1:16">
      <c r="A114" s="31" t="s">
        <v>61</v>
      </c>
      <c r="B114" s="32">
        <v>74.983333333333334</v>
      </c>
      <c r="C114" s="32">
        <v>77.905555555555551</v>
      </c>
      <c r="D114" s="32">
        <v>76.55</v>
      </c>
      <c r="E114" s="32">
        <v>76.105555555555554</v>
      </c>
      <c r="F114" s="32">
        <v>76.227777777777774</v>
      </c>
      <c r="G114" s="32">
        <v>76.49444444444444</v>
      </c>
      <c r="H114" s="32">
        <v>76.433333333333337</v>
      </c>
      <c r="I114" s="32">
        <v>71.216666666666669</v>
      </c>
      <c r="J114" s="32">
        <v>61.405555555555559</v>
      </c>
      <c r="K114" s="32">
        <v>0</v>
      </c>
      <c r="L114" s="32">
        <v>0</v>
      </c>
      <c r="M114" s="32">
        <v>0</v>
      </c>
      <c r="N114" s="32">
        <v>0</v>
      </c>
      <c r="O114" s="33">
        <v>79.794444444444451</v>
      </c>
      <c r="P114" s="49">
        <v>2</v>
      </c>
    </row>
    <row r="115" spans="1:16">
      <c r="A115" s="45" t="s">
        <v>73</v>
      </c>
      <c r="B115" s="46">
        <v>77</v>
      </c>
      <c r="C115" s="46">
        <v>77.805555555555557</v>
      </c>
      <c r="D115" s="46">
        <v>74.45</v>
      </c>
      <c r="E115" s="46">
        <v>75.733333333333334</v>
      </c>
      <c r="F115" s="46">
        <v>76.855555555555554</v>
      </c>
      <c r="G115" s="46">
        <v>75.655555555555551</v>
      </c>
      <c r="H115" s="46">
        <v>67.966666666666669</v>
      </c>
      <c r="I115" s="46">
        <v>51</v>
      </c>
      <c r="J115" s="46">
        <v>39</v>
      </c>
      <c r="K115" s="46">
        <v>35.633333333333333</v>
      </c>
      <c r="L115" s="46">
        <v>0</v>
      </c>
      <c r="M115" s="46">
        <v>0</v>
      </c>
      <c r="N115" s="46">
        <v>0</v>
      </c>
      <c r="O115" s="47">
        <v>38.505555555555553</v>
      </c>
      <c r="P115" s="50">
        <v>5</v>
      </c>
    </row>
    <row r="116" spans="1:16">
      <c r="A116" s="15" t="s">
        <v>106</v>
      </c>
      <c r="B116" s="34">
        <v>0</v>
      </c>
      <c r="C116" s="34">
        <v>0</v>
      </c>
      <c r="D116" s="34">
        <v>0</v>
      </c>
      <c r="E116" s="34">
        <v>0</v>
      </c>
      <c r="F116" s="34">
        <v>0</v>
      </c>
      <c r="G116" s="34">
        <v>0</v>
      </c>
      <c r="H116" s="34">
        <v>0</v>
      </c>
      <c r="I116" s="34">
        <v>92.311111111111117</v>
      </c>
      <c r="J116" s="34">
        <v>105.37777777777778</v>
      </c>
      <c r="K116" s="34">
        <v>53.06666666666667</v>
      </c>
      <c r="L116" s="34">
        <v>39.87777777777778</v>
      </c>
      <c r="M116" s="34">
        <v>48.494444444444447</v>
      </c>
      <c r="N116" s="34">
        <v>42.966666666666669</v>
      </c>
      <c r="O116" s="34">
        <v>52.4</v>
      </c>
      <c r="P116" s="35">
        <v>5</v>
      </c>
    </row>
    <row r="117" spans="1:16">
      <c r="A117" s="15" t="s">
        <v>51</v>
      </c>
      <c r="B117" s="34">
        <v>0</v>
      </c>
      <c r="C117" s="34">
        <v>0</v>
      </c>
      <c r="D117" s="34">
        <v>0</v>
      </c>
      <c r="E117" s="34">
        <v>0</v>
      </c>
      <c r="F117" s="34">
        <v>0</v>
      </c>
      <c r="G117" s="34">
        <v>68.083333333333329</v>
      </c>
      <c r="H117" s="34">
        <v>66.788888888888891</v>
      </c>
      <c r="I117" s="34">
        <v>67.894444444444446</v>
      </c>
      <c r="J117" s="34">
        <v>66.361111111111114</v>
      </c>
      <c r="K117" s="34">
        <v>0</v>
      </c>
      <c r="L117" s="34">
        <v>0</v>
      </c>
      <c r="M117" s="34">
        <v>0</v>
      </c>
      <c r="N117" s="34">
        <v>0</v>
      </c>
      <c r="O117" s="34">
        <v>17.666666666666668</v>
      </c>
      <c r="P117" s="35">
        <v>0.25</v>
      </c>
    </row>
    <row r="118" spans="1:16">
      <c r="A118" s="15" t="s">
        <v>118</v>
      </c>
      <c r="B118" s="34">
        <v>0</v>
      </c>
      <c r="C118" s="34">
        <v>0</v>
      </c>
      <c r="D118" s="34">
        <v>0</v>
      </c>
      <c r="E118" s="34">
        <v>0</v>
      </c>
      <c r="F118" s="34">
        <v>0</v>
      </c>
      <c r="G118" s="34">
        <v>0</v>
      </c>
      <c r="H118" s="34">
        <v>56.87777777777778</v>
      </c>
      <c r="I118" s="34">
        <v>57.394444444444446</v>
      </c>
      <c r="J118" s="34">
        <v>83.427777777777777</v>
      </c>
      <c r="K118" s="34">
        <v>20.05</v>
      </c>
      <c r="L118" s="34">
        <v>0</v>
      </c>
      <c r="M118" s="34">
        <v>0</v>
      </c>
      <c r="N118" s="34">
        <v>0</v>
      </c>
      <c r="O118" s="34">
        <v>22.572222222222223</v>
      </c>
      <c r="P118" s="35">
        <v>0</v>
      </c>
    </row>
    <row r="119" spans="1:16">
      <c r="A119" s="15" t="s">
        <v>119</v>
      </c>
      <c r="B119" s="34">
        <v>0</v>
      </c>
      <c r="C119" s="34">
        <v>0</v>
      </c>
      <c r="D119" s="34">
        <v>0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25.516666666666666</v>
      </c>
      <c r="L119" s="34">
        <v>46.244444444444447</v>
      </c>
      <c r="M119" s="34">
        <v>39.62777777777778</v>
      </c>
      <c r="N119" s="34">
        <v>27.5</v>
      </c>
      <c r="O119" s="34">
        <v>7.5111111111111111</v>
      </c>
      <c r="P119" s="35">
        <v>0</v>
      </c>
    </row>
    <row r="120" spans="1:16">
      <c r="A120" s="16" t="s">
        <v>46</v>
      </c>
      <c r="B120" s="36">
        <v>38.43888888888889</v>
      </c>
      <c r="C120" s="36">
        <v>25.927777777777777</v>
      </c>
      <c r="D120" s="36">
        <v>28.56111111111111</v>
      </c>
      <c r="E120" s="36">
        <v>30.261111111111113</v>
      </c>
      <c r="F120" s="36">
        <v>23.43888888888889</v>
      </c>
      <c r="G120" s="36">
        <v>18.544444444444444</v>
      </c>
      <c r="H120" s="36">
        <v>15.688888888888888</v>
      </c>
      <c r="I120" s="36">
        <v>11.1</v>
      </c>
      <c r="J120" s="36">
        <v>7.4388888888888891</v>
      </c>
      <c r="K120" s="36">
        <v>0</v>
      </c>
      <c r="L120" s="36">
        <v>0</v>
      </c>
      <c r="M120" s="36">
        <v>0</v>
      </c>
      <c r="N120" s="36">
        <v>0</v>
      </c>
      <c r="O120" s="36">
        <v>33.344444444444441</v>
      </c>
      <c r="P120" s="37">
        <v>0</v>
      </c>
    </row>
    <row r="121" spans="1:16">
      <c r="A121" s="15" t="s">
        <v>75</v>
      </c>
      <c r="B121" s="34">
        <v>13.75</v>
      </c>
      <c r="C121" s="34">
        <v>13.394444444444444</v>
      </c>
      <c r="D121" s="34">
        <v>20.294444444444444</v>
      </c>
      <c r="E121" s="34">
        <v>13.716666666666667</v>
      </c>
      <c r="F121" s="34">
        <v>20.822222222222223</v>
      </c>
      <c r="G121" s="34">
        <v>16.611111111111111</v>
      </c>
      <c r="H121" s="34">
        <v>16.661111111111111</v>
      </c>
      <c r="I121" s="34">
        <v>11.188888888888888</v>
      </c>
      <c r="J121" s="34">
        <v>15.966666666666667</v>
      </c>
      <c r="K121" s="34">
        <v>0</v>
      </c>
      <c r="L121" s="34">
        <v>0</v>
      </c>
      <c r="M121" s="34">
        <v>0</v>
      </c>
      <c r="N121" s="34">
        <v>0</v>
      </c>
      <c r="O121" s="34">
        <v>112.37222222222222</v>
      </c>
      <c r="P121" s="35">
        <v>9.0611111111111118</v>
      </c>
    </row>
    <row r="122" spans="1:16">
      <c r="A122" s="15" t="s">
        <v>107</v>
      </c>
      <c r="B122" s="34">
        <v>0</v>
      </c>
      <c r="C122" s="34">
        <v>0</v>
      </c>
      <c r="D122" s="34">
        <v>0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62.455555555555556</v>
      </c>
      <c r="L122" s="34">
        <v>97.594444444444449</v>
      </c>
      <c r="M122" s="34">
        <v>92.37777777777778</v>
      </c>
      <c r="N122" s="34">
        <v>79.183333333333337</v>
      </c>
      <c r="O122" s="34">
        <v>0</v>
      </c>
      <c r="P122" s="35">
        <v>0</v>
      </c>
    </row>
    <row r="123" spans="1:16">
      <c r="A123" s="15" t="s">
        <v>45</v>
      </c>
      <c r="B123" s="34">
        <v>0</v>
      </c>
      <c r="C123" s="34">
        <v>0</v>
      </c>
      <c r="D123" s="34">
        <v>0</v>
      </c>
      <c r="E123" s="34">
        <v>0</v>
      </c>
      <c r="F123" s="34">
        <v>0</v>
      </c>
      <c r="G123" s="34">
        <v>0</v>
      </c>
      <c r="H123" s="34">
        <v>0</v>
      </c>
      <c r="I123" s="34">
        <v>0.35555555555555557</v>
      </c>
      <c r="J123" s="34">
        <v>2.3222222222222224</v>
      </c>
      <c r="K123" s="34">
        <v>8.4666666666666668</v>
      </c>
      <c r="L123" s="34">
        <v>17.744444444444444</v>
      </c>
      <c r="M123" s="34">
        <v>21.027777777777779</v>
      </c>
      <c r="N123" s="34">
        <v>5.2555555555555555</v>
      </c>
      <c r="O123" s="34">
        <v>0.71111111111111114</v>
      </c>
      <c r="P123" s="35">
        <v>0.85555555555555551</v>
      </c>
    </row>
    <row r="124" spans="1:16">
      <c r="A124" s="15" t="s">
        <v>54</v>
      </c>
      <c r="B124" s="34">
        <v>96.216666666666669</v>
      </c>
      <c r="C124" s="34">
        <v>99.738888888888894</v>
      </c>
      <c r="D124" s="34">
        <v>100.77777777777777</v>
      </c>
      <c r="E124" s="34">
        <v>101.35</v>
      </c>
      <c r="F124" s="34">
        <v>101.53333333333333</v>
      </c>
      <c r="G124" s="34">
        <v>103.02222222222223</v>
      </c>
      <c r="H124" s="34">
        <v>98.644444444444446</v>
      </c>
      <c r="I124" s="34">
        <v>95.661111111111111</v>
      </c>
      <c r="J124" s="34">
        <v>90.477777777777774</v>
      </c>
      <c r="K124" s="34">
        <v>97.316666666666663</v>
      </c>
      <c r="L124" s="34">
        <v>0</v>
      </c>
      <c r="M124" s="34">
        <v>0</v>
      </c>
      <c r="N124" s="34">
        <v>0</v>
      </c>
      <c r="O124" s="34">
        <v>59.333333333333336</v>
      </c>
      <c r="P124" s="35">
        <v>9.7166666666666668</v>
      </c>
    </row>
    <row r="125" spans="1:16">
      <c r="A125" s="16" t="s">
        <v>76</v>
      </c>
      <c r="B125" s="36">
        <v>110.86111111111111</v>
      </c>
      <c r="C125" s="36">
        <v>106.68888888888888</v>
      </c>
      <c r="D125" s="36">
        <v>105.67777777777778</v>
      </c>
      <c r="E125" s="36">
        <v>105.88888888888889</v>
      </c>
      <c r="F125" s="36">
        <v>106.87777777777778</v>
      </c>
      <c r="G125" s="36">
        <v>117.58333333333333</v>
      </c>
      <c r="H125" s="36">
        <v>113.82222222222222</v>
      </c>
      <c r="I125" s="36">
        <v>82.61666666666666</v>
      </c>
      <c r="J125" s="36">
        <v>48.3</v>
      </c>
      <c r="K125" s="36">
        <v>0</v>
      </c>
      <c r="L125" s="36">
        <v>0</v>
      </c>
      <c r="M125" s="36">
        <v>0</v>
      </c>
      <c r="N125" s="36">
        <v>0</v>
      </c>
      <c r="O125" s="36">
        <v>61.43333333333333</v>
      </c>
      <c r="P125" s="37">
        <v>2.9611111111111112</v>
      </c>
    </row>
    <row r="126" spans="1:16">
      <c r="A126" s="15" t="s">
        <v>49</v>
      </c>
      <c r="B126" s="34">
        <v>148.17777777777778</v>
      </c>
      <c r="C126" s="34">
        <v>142.22222222222223</v>
      </c>
      <c r="D126" s="34">
        <v>118.26111111111111</v>
      </c>
      <c r="E126" s="34">
        <v>142.68333333333334</v>
      </c>
      <c r="F126" s="34">
        <v>105.11111111111111</v>
      </c>
      <c r="G126" s="34">
        <v>96.033333333333331</v>
      </c>
      <c r="H126" s="34">
        <v>91.35</v>
      </c>
      <c r="I126" s="34">
        <v>105.51666666666667</v>
      </c>
      <c r="J126" s="34">
        <v>55.427777777777777</v>
      </c>
      <c r="K126" s="34">
        <v>0</v>
      </c>
      <c r="L126" s="34">
        <v>0</v>
      </c>
      <c r="M126" s="34">
        <v>0</v>
      </c>
      <c r="N126" s="34">
        <v>0</v>
      </c>
      <c r="O126" s="34">
        <v>83.13333333333334</v>
      </c>
      <c r="P126" s="35">
        <v>14.527777777777779</v>
      </c>
    </row>
    <row r="127" spans="1:16">
      <c r="A127" s="15" t="s">
        <v>50</v>
      </c>
      <c r="B127" s="34">
        <v>49.772222222222226</v>
      </c>
      <c r="C127" s="34">
        <v>49.12222222222222</v>
      </c>
      <c r="D127" s="34">
        <v>49.972222222222221</v>
      </c>
      <c r="E127" s="34">
        <v>50.611111111111114</v>
      </c>
      <c r="F127" s="34">
        <v>50</v>
      </c>
      <c r="G127" s="34">
        <v>50</v>
      </c>
      <c r="H127" s="34">
        <v>57.266666666666666</v>
      </c>
      <c r="I127" s="34">
        <v>56.105555555555554</v>
      </c>
      <c r="J127" s="34">
        <v>64.522222222222226</v>
      </c>
      <c r="K127" s="34">
        <v>0</v>
      </c>
      <c r="L127" s="34">
        <v>0</v>
      </c>
      <c r="M127" s="34">
        <v>0</v>
      </c>
      <c r="N127" s="34">
        <v>0</v>
      </c>
      <c r="O127" s="34">
        <v>22</v>
      </c>
      <c r="P127" s="35">
        <v>0</v>
      </c>
    </row>
    <row r="128" spans="1:16">
      <c r="A128" s="15" t="s">
        <v>108</v>
      </c>
      <c r="B128" s="34">
        <v>0</v>
      </c>
      <c r="C128" s="34">
        <v>0</v>
      </c>
      <c r="D128" s="34">
        <v>0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70.13333333333334</v>
      </c>
      <c r="L128" s="34">
        <v>66.25</v>
      </c>
      <c r="M128" s="34">
        <v>60.227777777777774</v>
      </c>
      <c r="N128" s="34">
        <v>47.616666666666667</v>
      </c>
      <c r="O128" s="34">
        <v>23.183333333333334</v>
      </c>
      <c r="P128" s="35">
        <v>0</v>
      </c>
    </row>
    <row r="129" spans="1:16">
      <c r="A129" s="15" t="s">
        <v>47</v>
      </c>
      <c r="B129" s="34">
        <v>0</v>
      </c>
      <c r="C129" s="34">
        <v>0</v>
      </c>
      <c r="D129" s="34">
        <v>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14.766666666666667</v>
      </c>
      <c r="L129" s="34">
        <v>8.905555555555555</v>
      </c>
      <c r="M129" s="34">
        <v>11.005555555555556</v>
      </c>
      <c r="N129" s="34">
        <v>12.327777777777778</v>
      </c>
      <c r="O129" s="34">
        <v>7.7</v>
      </c>
      <c r="P129" s="35">
        <v>0</v>
      </c>
    </row>
    <row r="130" spans="1:16">
      <c r="A130" s="16" t="s">
        <v>120</v>
      </c>
      <c r="B130" s="36">
        <v>0</v>
      </c>
      <c r="C130" s="36">
        <v>0</v>
      </c>
      <c r="D130" s="36">
        <v>0</v>
      </c>
      <c r="E130" s="36">
        <v>0</v>
      </c>
      <c r="F130" s="36">
        <v>0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>
        <v>129.98888888888888</v>
      </c>
      <c r="M130" s="36">
        <v>118.00555555555556</v>
      </c>
      <c r="N130" s="36">
        <v>100.73333333333333</v>
      </c>
      <c r="O130" s="36">
        <v>4.9555555555555557</v>
      </c>
      <c r="P130" s="37">
        <v>0</v>
      </c>
    </row>
    <row r="131" spans="1:16">
      <c r="A131" s="15" t="s">
        <v>85</v>
      </c>
      <c r="B131" s="34">
        <v>85.772222222222226</v>
      </c>
      <c r="C131" s="34">
        <v>89.288888888888891</v>
      </c>
      <c r="D131" s="34">
        <v>93.86666666666666</v>
      </c>
      <c r="E131" s="34">
        <v>83.827777777777783</v>
      </c>
      <c r="F131" s="34">
        <v>95.338888888888889</v>
      </c>
      <c r="G131" s="34">
        <v>95.683333333333337</v>
      </c>
      <c r="H131" s="34">
        <v>114.27222222222223</v>
      </c>
      <c r="I131" s="34">
        <v>130.13888888888889</v>
      </c>
      <c r="J131" s="34">
        <v>151.25555555555556</v>
      </c>
      <c r="K131" s="34">
        <v>118.2</v>
      </c>
      <c r="L131" s="34">
        <v>96.472222222222229</v>
      </c>
      <c r="M131" s="34">
        <v>45.12222222222222</v>
      </c>
      <c r="N131" s="34">
        <v>17.977777777777778</v>
      </c>
      <c r="O131" s="34">
        <v>127.18888888888888</v>
      </c>
      <c r="P131" s="35">
        <v>1</v>
      </c>
    </row>
    <row r="132" spans="1:16">
      <c r="A132" s="15" t="s">
        <v>109</v>
      </c>
      <c r="B132" s="34">
        <v>47.488888888888887</v>
      </c>
      <c r="C132" s="34">
        <v>49.244444444444447</v>
      </c>
      <c r="D132" s="34">
        <v>46.93333333333333</v>
      </c>
      <c r="E132" s="34">
        <v>50.844444444444441</v>
      </c>
      <c r="F132" s="34">
        <v>46.861111111111114</v>
      </c>
      <c r="G132" s="34">
        <v>45.744444444444447</v>
      </c>
      <c r="H132" s="34">
        <v>47.25</v>
      </c>
      <c r="I132" s="34">
        <v>46.344444444444441</v>
      </c>
      <c r="J132" s="34">
        <v>43.56111111111111</v>
      </c>
      <c r="K132" s="34">
        <v>15.155555555555555</v>
      </c>
      <c r="L132" s="34">
        <v>0</v>
      </c>
      <c r="M132" s="34">
        <v>0</v>
      </c>
      <c r="N132" s="34">
        <v>0</v>
      </c>
      <c r="O132" s="34">
        <v>26.744444444444444</v>
      </c>
      <c r="P132" s="35">
        <v>5.6166666666666663</v>
      </c>
    </row>
    <row r="133" spans="1:16">
      <c r="A133" s="15" t="s">
        <v>121</v>
      </c>
      <c r="B133" s="34">
        <v>89.216666666666669</v>
      </c>
      <c r="C133" s="34">
        <v>93.272222222222226</v>
      </c>
      <c r="D133" s="34">
        <v>87.533333333333331</v>
      </c>
      <c r="E133" s="34">
        <v>88.472222222222229</v>
      </c>
      <c r="F133" s="34">
        <v>96.716666666666669</v>
      </c>
      <c r="G133" s="34">
        <v>91.038888888888891</v>
      </c>
      <c r="H133" s="34">
        <v>83.933333333333337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42.966666666666669</v>
      </c>
      <c r="P133" s="35">
        <v>3.6222222222222222</v>
      </c>
    </row>
    <row r="134" spans="1:16">
      <c r="A134" s="15" t="s">
        <v>122</v>
      </c>
      <c r="B134" s="34">
        <v>24.066666666666666</v>
      </c>
      <c r="C134" s="34">
        <v>23.583333333333332</v>
      </c>
      <c r="D134" s="34">
        <v>13.655555555555555</v>
      </c>
      <c r="E134" s="34">
        <v>25.961111111111112</v>
      </c>
      <c r="F134" s="34">
        <v>15.511111111111111</v>
      </c>
      <c r="G134" s="34">
        <v>19.149999999999999</v>
      </c>
      <c r="H134" s="34">
        <v>10.616666666666667</v>
      </c>
      <c r="I134" s="34">
        <v>20.861111111111111</v>
      </c>
      <c r="J134" s="34">
        <v>18.022222222222222</v>
      </c>
      <c r="K134" s="34">
        <v>24.738888888888887</v>
      </c>
      <c r="L134" s="34">
        <v>24.005555555555556</v>
      </c>
      <c r="M134" s="34">
        <v>16.927777777777777</v>
      </c>
      <c r="N134" s="34">
        <v>21.572222222222223</v>
      </c>
      <c r="O134" s="34">
        <v>31.194444444444443</v>
      </c>
      <c r="P134" s="35">
        <v>1.2166666666666666</v>
      </c>
    </row>
    <row r="135" spans="1:16" ht="15.75" thickBot="1">
      <c r="A135" s="25" t="s">
        <v>59</v>
      </c>
      <c r="B135" s="38">
        <v>49.68333333333333</v>
      </c>
      <c r="C135" s="38">
        <v>49.37222222222222</v>
      </c>
      <c r="D135" s="38">
        <v>49.755555555555553</v>
      </c>
      <c r="E135" s="38">
        <v>47.966666666666669</v>
      </c>
      <c r="F135" s="38">
        <v>73.611111111111114</v>
      </c>
      <c r="G135" s="38">
        <v>49.7</v>
      </c>
      <c r="H135" s="38">
        <v>49.93333333333333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32.93888888888889</v>
      </c>
      <c r="P135" s="39">
        <v>1</v>
      </c>
    </row>
    <row r="136" spans="1:16" ht="16.5" thickTop="1" thickBot="1">
      <c r="A136" s="26" t="s">
        <v>87</v>
      </c>
      <c r="B136" s="40">
        <f t="shared" ref="B136:P136" si="1">SUM(B58:B135)</f>
        <v>3120.5222222222228</v>
      </c>
      <c r="C136" s="40">
        <f t="shared" si="1"/>
        <v>3153.1444444444451</v>
      </c>
      <c r="D136" s="40">
        <f t="shared" si="1"/>
        <v>3141.5055555555555</v>
      </c>
      <c r="E136" s="40">
        <f t="shared" si="1"/>
        <v>3111.3166666666657</v>
      </c>
      <c r="F136" s="40">
        <f t="shared" si="1"/>
        <v>3022.3888888888891</v>
      </c>
      <c r="G136" s="40">
        <f t="shared" si="1"/>
        <v>3087.327777777778</v>
      </c>
      <c r="H136" s="40">
        <f t="shared" si="1"/>
        <v>2997.2722222222228</v>
      </c>
      <c r="I136" s="40">
        <f t="shared" si="1"/>
        <v>2569.905555555556</v>
      </c>
      <c r="J136" s="40">
        <f t="shared" si="1"/>
        <v>2303.0444444444447</v>
      </c>
      <c r="K136" s="40">
        <f t="shared" si="1"/>
        <v>2133.661111111111</v>
      </c>
      <c r="L136" s="40">
        <f t="shared" si="1"/>
        <v>1581.1111111111111</v>
      </c>
      <c r="M136" s="40">
        <f t="shared" si="1"/>
        <v>1433.7833333333331</v>
      </c>
      <c r="N136" s="40">
        <f t="shared" si="1"/>
        <v>1194.8000000000004</v>
      </c>
      <c r="O136" s="40">
        <f t="shared" si="1"/>
        <v>2944.7333333333327</v>
      </c>
      <c r="P136" s="41">
        <f t="shared" si="1"/>
        <v>319.14999999999992</v>
      </c>
    </row>
    <row r="137" spans="1:16" ht="14.25" customHeight="1" thickBot="1">
      <c r="A137" s="27" t="s">
        <v>86</v>
      </c>
      <c r="B137" s="42">
        <v>43750.072222222218</v>
      </c>
      <c r="C137" s="42">
        <v>44083.26666666667</v>
      </c>
      <c r="D137" s="42">
        <v>42526.833333333328</v>
      </c>
      <c r="E137" s="42">
        <v>41903.644444444421</v>
      </c>
      <c r="F137" s="42">
        <v>41561.344444444454</v>
      </c>
      <c r="G137" s="42">
        <v>40566.494444444448</v>
      </c>
      <c r="H137" s="42">
        <v>39414.438888888886</v>
      </c>
      <c r="I137" s="42">
        <v>38233.772222222207</v>
      </c>
      <c r="J137" s="42">
        <v>37402.372222222206</v>
      </c>
      <c r="K137" s="42">
        <v>37226.411111111105</v>
      </c>
      <c r="L137" s="42">
        <v>36376.944444444445</v>
      </c>
      <c r="M137" s="42">
        <v>35140.750000000007</v>
      </c>
      <c r="N137" s="42">
        <v>33354.166666666672</v>
      </c>
      <c r="O137" s="42">
        <v>44210.194444444453</v>
      </c>
      <c r="P137" s="43">
        <v>13827.955555555551</v>
      </c>
    </row>
    <row r="138" spans="1:16" ht="15.75" thickBot="1">
      <c r="A138" s="53" t="s">
        <v>123</v>
      </c>
      <c r="B138" s="54">
        <v>0.89444444444444449</v>
      </c>
      <c r="C138" s="54">
        <v>0.42222222222222222</v>
      </c>
      <c r="D138" s="54">
        <v>0.89444444444444449</v>
      </c>
      <c r="E138" s="54">
        <v>0.75555555555555554</v>
      </c>
      <c r="F138" s="54">
        <v>0.14444444444444443</v>
      </c>
      <c r="G138" s="54">
        <v>0.57222222222222219</v>
      </c>
      <c r="H138" s="54">
        <v>0.30555555555555558</v>
      </c>
      <c r="I138" s="54">
        <v>0.44444444444444442</v>
      </c>
      <c r="J138" s="54">
        <v>0.3611111111111111</v>
      </c>
      <c r="K138" s="54">
        <v>0.84444444444444444</v>
      </c>
      <c r="L138" s="54">
        <v>1.05</v>
      </c>
      <c r="M138" s="54">
        <v>1.6888888888888889</v>
      </c>
      <c r="N138" s="54">
        <v>0.24444444444444444</v>
      </c>
      <c r="O138" s="54">
        <v>0.39444444444444443</v>
      </c>
      <c r="P138" s="55">
        <v>314.23888888888888</v>
      </c>
    </row>
    <row r="139" spans="1:16" ht="16.5" thickTop="1" thickBot="1">
      <c r="A139" s="17" t="s">
        <v>88</v>
      </c>
      <c r="B139" s="44">
        <f>SUM(B136:B138)</f>
        <v>46871.488888888882</v>
      </c>
      <c r="C139" s="44">
        <f t="shared" ref="C139:P139" si="2">SUM(C136:C138)</f>
        <v>47236.833333333336</v>
      </c>
      <c r="D139" s="44">
        <f t="shared" si="2"/>
        <v>45669.23333333333</v>
      </c>
      <c r="E139" s="44">
        <f t="shared" si="2"/>
        <v>45015.716666666645</v>
      </c>
      <c r="F139" s="44">
        <f t="shared" si="2"/>
        <v>44583.877777777787</v>
      </c>
      <c r="G139" s="44">
        <f t="shared" si="2"/>
        <v>43654.39444444445</v>
      </c>
      <c r="H139" s="44">
        <f t="shared" si="2"/>
        <v>42412.016666666663</v>
      </c>
      <c r="I139" s="44">
        <f t="shared" si="2"/>
        <v>40804.122222222206</v>
      </c>
      <c r="J139" s="44">
        <f t="shared" si="2"/>
        <v>39705.777777777759</v>
      </c>
      <c r="K139" s="44">
        <f t="shared" si="2"/>
        <v>39360.916666666664</v>
      </c>
      <c r="L139" s="44">
        <f t="shared" si="2"/>
        <v>37959.105555555558</v>
      </c>
      <c r="M139" s="44">
        <f t="shared" si="2"/>
        <v>36576.222222222226</v>
      </c>
      <c r="N139" s="44">
        <f t="shared" si="2"/>
        <v>34549.211111111115</v>
      </c>
      <c r="O139" s="44">
        <f t="shared" si="2"/>
        <v>47155.322222222225</v>
      </c>
      <c r="P139" s="44">
        <f t="shared" si="2"/>
        <v>14461.344444444439</v>
      </c>
    </row>
  </sheetData>
  <mergeCells count="6">
    <mergeCell ref="O109:P109"/>
    <mergeCell ref="A3:P3"/>
    <mergeCell ref="O5:P5"/>
    <mergeCell ref="A54:P54"/>
    <mergeCell ref="O56:P56"/>
    <mergeCell ref="A107:P107"/>
  </mergeCells>
  <pageMargins left="0.66" right="0.2" top="0.5" bottom="0.5" header="0.3" footer="0.55000000000000004"/>
  <pageSetup scale="70" orientation="landscape" r:id="rId1"/>
  <headerFooter>
    <oddHeader xml:space="preserve">&amp;LData Source: USOE Warehouse
Compiler: Data and Statistics&amp;C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etew</dc:creator>
  <cp:lastModifiedBy>Windows User</cp:lastModifiedBy>
  <cp:lastPrinted>2010-12-21T22:14:29Z</cp:lastPrinted>
  <dcterms:created xsi:type="dcterms:W3CDTF">2009-12-10T19:22:12Z</dcterms:created>
  <dcterms:modified xsi:type="dcterms:W3CDTF">2010-12-21T22:14:30Z</dcterms:modified>
</cp:coreProperties>
</file>