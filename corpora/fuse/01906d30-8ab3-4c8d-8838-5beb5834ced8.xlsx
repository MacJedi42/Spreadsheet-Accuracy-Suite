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4795" windowHeight="12210"/>
  </bookViews>
  <sheets>
    <sheet name="Entitlement Usage" sheetId="2" r:id="rId1"/>
  </sheets>
  <definedNames>
    <definedName name="_xlnm.Print_Area" localSheetId="0">'Entitlement Usage'!$A$1:$O$77</definedName>
    <definedName name="titleregion1.c5.m76">'Entitlement Usage'!$C$5</definedName>
  </definedNames>
  <calcPr calcId="145621"/>
</workbook>
</file>

<file path=xl/calcChain.xml><?xml version="1.0" encoding="utf-8"?>
<calcChain xmlns="http://schemas.openxmlformats.org/spreadsheetml/2006/main">
  <c r="G77" i="2" l="1"/>
  <c r="H77" i="2"/>
  <c r="I77" i="2"/>
  <c r="J77" i="2"/>
  <c r="K77" i="2"/>
  <c r="L77" i="2"/>
  <c r="M77" i="2"/>
  <c r="F77" i="2"/>
  <c r="N7" i="2" l="1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6" i="2"/>
  <c r="O6" i="2" s="1"/>
  <c r="D3" i="2" l="1"/>
  <c r="D4" i="2" s="1"/>
</calcChain>
</file>

<file path=xl/sharedStrings.xml><?xml version="1.0" encoding="utf-8"?>
<sst xmlns="http://schemas.openxmlformats.org/spreadsheetml/2006/main" count="163" uniqueCount="104">
  <si>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</si>
  <si>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</si>
  <si>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</si>
  <si>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</si>
  <si>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</si>
  <si>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</si>
  <si>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</si>
  <si>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</si>
  <si>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BLUEBERRY CULTIVATED FRZ CTN-30 LB</t>
  </si>
  <si>
    <t>Poultry</t>
  </si>
  <si>
    <t>BEEF SPP PTY HSTYLE CKD 2.0MMA CTN-40 LB</t>
  </si>
  <si>
    <t>Survey Number</t>
  </si>
  <si>
    <t>Dairy</t>
  </si>
  <si>
    <t>CHEESE BLEND AMER SKM YEL SLC LVS-6/5 LB</t>
  </si>
  <si>
    <t>CHEESE CHED RDU FAT YEL SHRED BAG-6/5 LB</t>
  </si>
  <si>
    <t>CHEESE MOZ LM PART SKM SHRD FRZ BOX-30LB</t>
  </si>
  <si>
    <t>CHEESE MOZ LM PT SKM STRING BOX-360/1 OZ</t>
  </si>
  <si>
    <t>CHEESE PROCESS YEL SLC LVS-6/5 LB</t>
  </si>
  <si>
    <t>Grains</t>
  </si>
  <si>
    <t>PANCAKES WHOLE WHEAT FZN-144 COUNT</t>
  </si>
  <si>
    <t>TORTILLA WHOLE WHEAT FZN 8 CTN-12/24"</t>
  </si>
  <si>
    <t>Oils</t>
  </si>
  <si>
    <t>OIL SOYBEAN LOW SAT FAT BTL-6/1 GAL</t>
  </si>
  <si>
    <t>Pasta/Rice</t>
  </si>
  <si>
    <t>RICE BRN US#1 LONG PARBOILED PKG-24/2 LB</t>
  </si>
  <si>
    <t>WHOLE GRAIN PASTA MACARONI CTN-20 LB</t>
  </si>
  <si>
    <t>WHOLE GRAIN PASTA ROTINI MAC CTN-20 LB</t>
  </si>
  <si>
    <t>WHOLE GRAIN SPAGHETTI CTN-20 LB</t>
  </si>
  <si>
    <t>PEANUT BUTTER SMOOTH JAR-6/5 LB</t>
  </si>
  <si>
    <t>Flour</t>
  </si>
  <si>
    <t>FLOUR WHOLE WHEAT BAG-8/5 LB</t>
  </si>
  <si>
    <t>APPLE SLICES CAN-6/10</t>
  </si>
  <si>
    <t>APPLESAUCE CAN-6/10</t>
  </si>
  <si>
    <t>APPLESAUCE CUP-96/4.5</t>
  </si>
  <si>
    <t>APRICOT FRZ CUP-96/4.5 OZ</t>
  </si>
  <si>
    <t>APRICOTS DICED EX LT SUCROSE CAN 6/10</t>
  </si>
  <si>
    <t>CHERRIES DRIED PKG-4/4 LB</t>
  </si>
  <si>
    <t>CRANBERRY SAUCE CAN-6/10</t>
  </si>
  <si>
    <t>MIXED FRUIT EX LT SUCROSE CAN-6/10</t>
  </si>
  <si>
    <t>PEACH FREESTONE DICED FRZ CUP-96/4.4 OZ</t>
  </si>
  <si>
    <t>PEACHES CLING DICED EXLTSUCROSE CAN-6/10</t>
  </si>
  <si>
    <t>PEACHES CLING SLC EXLT SUCROSE CAN-6/10</t>
  </si>
  <si>
    <t>PEARS DICED EX LT SUCROSE CAN-6/10</t>
  </si>
  <si>
    <t>PEARS SLICES EX LT SUCROSE CAN-6/10</t>
  </si>
  <si>
    <t>RAISINS BOX-144/1.33 OZ</t>
  </si>
  <si>
    <t>STRAWBERRY FRZ CTN-30 LB</t>
  </si>
  <si>
    <t>STRAWBERRY FRZ CUP-96/4.5 OZ</t>
  </si>
  <si>
    <t>STRAWBERRY SLICES FRZ CTN-30 LB</t>
  </si>
  <si>
    <t>Juice</t>
  </si>
  <si>
    <t>ORANGE JUICE SINGLE CTN-70/4 OZ</t>
  </si>
  <si>
    <t>BEANS BLACK TURTLE CAN-6/10</t>
  </si>
  <si>
    <t>BEANS GARBANZO CAN-6/10</t>
  </si>
  <si>
    <t>BEANS GREAT NORTHERN CAN-6/10</t>
  </si>
  <si>
    <t>BEANS PINTO CAN-6/10</t>
  </si>
  <si>
    <t>BEANS RED KIDNEY CAN-6/10</t>
  </si>
  <si>
    <t>BEANS REFRIED CAN-6/10</t>
  </si>
  <si>
    <t>Vegetables</t>
  </si>
  <si>
    <t>BEANS GREEN CAN-6/10</t>
  </si>
  <si>
    <t>BEANS GREEN FRZ CTN-30 LB</t>
  </si>
  <si>
    <t>BROCCOLI FRZ PKG-6/5 LB</t>
  </si>
  <si>
    <t>CARROTS CAN-6/10</t>
  </si>
  <si>
    <t>CARROTS FRZ CTN-30 LB</t>
  </si>
  <si>
    <t>CORN FRZ CTN-30 LB</t>
  </si>
  <si>
    <t>CORN WHOLE KERNEL(LIQ) CAN-6/10</t>
  </si>
  <si>
    <t>PEAS GREEN FRZ CTN-30 LB</t>
  </si>
  <si>
    <t>POTATOES OVENS FRY PKG-6/5 LB</t>
  </si>
  <si>
    <t>POTATOES ROUNDS FRZ PKG-6/5 LB</t>
  </si>
  <si>
    <t>POTATOES WEDGE FAT FREE FRZ PKG-6/5 LB</t>
  </si>
  <si>
    <t>SPAGHETTI SAUCE MEATLESS POUCH-6/106 OZ</t>
  </si>
  <si>
    <t>SPINACH CHOPPED FRZ IQF CTN-20 LB</t>
  </si>
  <si>
    <t>SWEET POTATOES RANDOM CUT FRZ PKG-6/5 LB</t>
  </si>
  <si>
    <t>TOMATO DICED POUCH-6/102 OZ</t>
  </si>
  <si>
    <t>TOMATO PASTE POUCH-6/111 OZ</t>
  </si>
  <si>
    <t>TOMATO SALSA POUCH-6/106 OZ</t>
  </si>
  <si>
    <t>TOMATO SAUCE POUCH-6/106 OZ</t>
  </si>
  <si>
    <t>Meat</t>
  </si>
  <si>
    <t>BEEF 100% PTY 90/10 FRZ 2.0MMA CTN-40 LB</t>
  </si>
  <si>
    <t>BEEF CRUMBLES W/SPP PKG-4/10 LB</t>
  </si>
  <si>
    <t>BEEF FINE GROUND FRZ CTN-40 LB</t>
  </si>
  <si>
    <t>PORK HAM WATERAD FRZ PKG 4/10 LB</t>
  </si>
  <si>
    <t>PORK HAM WTRAD RDUSOD SLC FRZ PKG-8/5 LB</t>
  </si>
  <si>
    <t>PORK ROAST LEG FRZ CTN-32-40 LB</t>
  </si>
  <si>
    <t>CHICKEN DICED CTN-40 LB</t>
  </si>
  <si>
    <t>CHICKEN FAJITA STRIPS CTN-30 LB</t>
  </si>
  <si>
    <t>EGGS WHOLE FRZ CTN-6/5 LB</t>
  </si>
  <si>
    <t>TURKEY BREAST DELI FRZ CTN-40 LB</t>
  </si>
  <si>
    <t>TURKEY HAMS SMKD FRZ CTN-40 LB</t>
  </si>
  <si>
    <t>TURKEY ROASTS FRZ CTN-32-48 LB</t>
  </si>
  <si>
    <t>TURKEY TACO FILLING CTN-30 LB</t>
  </si>
  <si>
    <t>Fruits</t>
  </si>
  <si>
    <t>Beans</t>
  </si>
  <si>
    <t>USDA Category</t>
  </si>
  <si>
    <t>Material ID</t>
  </si>
  <si>
    <t>Material Description</t>
  </si>
  <si>
    <t>Cost Per Case</t>
  </si>
  <si>
    <t>School Year 2014-2015 Spring Survey Estimated Entitlement Usage Calculator</t>
  </si>
  <si>
    <t>Entitlement Used</t>
  </si>
  <si>
    <t>Estimated Entitlement:</t>
  </si>
  <si>
    <t>Entitlement Used:</t>
  </si>
  <si>
    <t>Remaining Entitlement:</t>
  </si>
  <si>
    <t>Total Number of Cases</t>
  </si>
  <si>
    <t>Number of Cases To Be Delivered Each Month:</t>
  </si>
  <si>
    <t>Peanut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</si>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</sst>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 applyProtection="1"/>
    <xf numFmtId="0" fontId="0" fillId="0" borderId="0" xfId="0" applyProtection="1"/>
    <xf numFmtId="0" fontId="0" fillId="0" borderId="0" xfId="0" applyAlignment="1" applyProtection="1">
      <alignment horizontal="right"/>
    </xf>
    <xf numFmtId="44" fontId="0" fillId="0" borderId="0" xfId="0" applyNumberFormat="1" applyProtection="1"/>
    <xf numFmtId="0" fontId="0" fillId="0" borderId="0" xfId="0" applyAlignment="1" applyProtection="1">
      <alignment horizontal="center" wrapText="1"/>
    </xf>
    <xf numFmtId="0" fontId="0" fillId="0" borderId="0" xfId="0" applyAlignment="1" applyProtection="1">
      <alignment wrapText="1"/>
    </xf>
    <xf numFmtId="0" fontId="0" fillId="0" borderId="0" xfId="0" applyAlignment="1" applyProtection="1">
      <alignment textRotation="90" wrapText="1"/>
    </xf>
    <xf numFmtId="0" fontId="0" fillId="0" borderId="1" xfId="0" applyBorder="1" applyAlignment="1" applyProtection="1">
      <alignment horizontal="center"/>
    </xf>
    <xf numFmtId="0" fontId="0" fillId="0" borderId="1" xfId="0" applyBorder="1" applyProtection="1"/>
    <xf numFmtId="44" fontId="0" fillId="0" borderId="1" xfId="1" applyFont="1" applyBorder="1" applyProtection="1"/>
    <xf numFmtId="1" fontId="0" fillId="3" borderId="2" xfId="0" applyNumberFormat="1" applyFill="1" applyBorder="1" applyProtection="1"/>
    <xf numFmtId="1" fontId="0" fillId="2" borderId="2" xfId="0" applyNumberFormat="1" applyFill="1" applyBorder="1" applyProtection="1"/>
    <xf numFmtId="0" fontId="0" fillId="0" borderId="3" xfId="0" applyBorder="1" applyAlignment="1" applyProtection="1">
      <alignment horizontal="right"/>
    </xf>
    <xf numFmtId="7" fontId="0" fillId="3" borderId="0" xfId="1" applyNumberFormat="1" applyFont="1" applyFill="1" applyProtection="1">
      <protection locked="0"/>
    </xf>
    <xf numFmtId="1" fontId="0" fillId="3" borderId="2" xfId="0" applyNumberFormat="1" applyFill="1" applyBorder="1" applyProtection="1">
      <protection locked="0"/>
    </xf>
    <xf numFmtId="0" fontId="2" fillId="0" borderId="0" xfId="0" applyFont="1" applyProtection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8.28515625" style="2" customWidth="1"/>
    <col min="2" max="2" width="11.28515625" style="2" customWidth="1"/>
    <col min="3" max="3" width="8.5703125" style="2" customWidth="1"/>
    <col min="4" max="4" width="42.7109375" style="2" customWidth="1"/>
    <col min="5" max="5" width="9.5703125" style="2" customWidth="1"/>
    <col min="6" max="13" width="3.7109375" style="2" bestFit="1" customWidth="1"/>
    <col min="14" max="14" width="8.140625" style="2" customWidth="1"/>
    <col min="15" max="15" width="11.28515625" style="2" customWidth="1"/>
    <col min="16" max="16384" width="9.140625" style="2"/>
  </cols>
  <sheetData>
    <row r="1" spans="1:15" x14ac:dyDescent="0.25">
      <c r="A1" s="1" t="s">
        <v>95</v>
      </c>
      <c r="B1" s="1"/>
      <c r="C1" s="1"/>
      <c r="D1" s="1"/>
    </row>
    <row r="2" spans="1:15" x14ac:dyDescent="0.25">
      <c r="B2" s="1"/>
      <c r="C2" s="3" t="s">
        <v>97</v>
      </c>
      <c r="D2" s="14"/>
    </row>
    <row r="3" spans="1:15" x14ac:dyDescent="0.25">
      <c r="B3" s="1"/>
      <c r="C3" s="3" t="s">
        <v>98</v>
      </c>
      <c r="D3" s="4">
        <f>SUM(O6:O76)</f>
        <v>0</v>
      </c>
    </row>
    <row r="4" spans="1:15" x14ac:dyDescent="0.25">
      <c r="B4" s="1"/>
      <c r="C4" s="3" t="s">
        <v>99</v>
      </c>
      <c r="D4" s="4">
        <f>D2-D3</f>
        <v>0</v>
      </c>
    </row>
    <row r="5" spans="1:15" ht="69" customHeight="1" x14ac:dyDescent="0.25">
      <c r="A5" s="5" t="s">
        <v>11</v>
      </c>
      <c r="B5" s="6" t="s">
        <v>91</v>
      </c>
      <c r="C5" s="5" t="s">
        <v>92</v>
      </c>
      <c r="D5" s="2" t="s">
        <v>93</v>
      </c>
      <c r="E5" s="5" t="s">
        <v>94</v>
      </c>
      <c r="F5" s="7" t="s">
        <v>0</v>
      </c>
      <c r="G5" s="7" t="s">
        <v>1</v>
      </c>
      <c r="H5" s="7" t="s">
        <v>2</v>
      </c>
      <c r="I5" s="7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5" t="s">
        <v>100</v>
      </c>
      <c r="O5" s="5" t="s">
        <v>96</v>
      </c>
    </row>
    <row r="6" spans="1:15" x14ac:dyDescent="0.25">
      <c r="A6" s="8">
        <v>1</v>
      </c>
      <c r="B6" s="9" t="s">
        <v>12</v>
      </c>
      <c r="C6" s="8">
        <v>100036</v>
      </c>
      <c r="D6" s="9" t="s">
        <v>13</v>
      </c>
      <c r="E6" s="10">
        <v>54.903000000000006</v>
      </c>
      <c r="F6" s="15"/>
      <c r="G6" s="15"/>
      <c r="H6" s="15"/>
      <c r="I6" s="15"/>
      <c r="J6" s="15"/>
      <c r="K6" s="15"/>
      <c r="L6" s="15"/>
      <c r="M6" s="15"/>
      <c r="N6" s="2">
        <f>SUM(F6:M6)</f>
        <v>0</v>
      </c>
      <c r="O6" s="4">
        <f>N6*E6</f>
        <v>0</v>
      </c>
    </row>
    <row r="7" spans="1:15" x14ac:dyDescent="0.25">
      <c r="A7" s="8">
        <v>1</v>
      </c>
      <c r="B7" s="9" t="s">
        <v>12</v>
      </c>
      <c r="C7" s="8">
        <v>100012</v>
      </c>
      <c r="D7" s="9" t="s">
        <v>14</v>
      </c>
      <c r="E7" s="10">
        <v>54.902999999999999</v>
      </c>
      <c r="F7" s="15"/>
      <c r="G7" s="15"/>
      <c r="H7" s="15"/>
      <c r="I7" s="15"/>
      <c r="J7" s="15"/>
      <c r="K7" s="15"/>
      <c r="L7" s="15"/>
      <c r="M7" s="15"/>
      <c r="N7" s="2">
        <f t="shared" ref="N7:N70" si="0">SUM(F7:M7)</f>
        <v>0</v>
      </c>
      <c r="O7" s="4">
        <f t="shared" ref="O7:O70" si="1">N7*E7</f>
        <v>0</v>
      </c>
    </row>
    <row r="8" spans="1:15" x14ac:dyDescent="0.25">
      <c r="A8" s="8">
        <v>1</v>
      </c>
      <c r="B8" s="9" t="s">
        <v>12</v>
      </c>
      <c r="C8" s="8">
        <v>100021</v>
      </c>
      <c r="D8" s="9" t="s">
        <v>15</v>
      </c>
      <c r="E8" s="10">
        <v>51.510000000000005</v>
      </c>
      <c r="F8" s="15"/>
      <c r="G8" s="15"/>
      <c r="H8" s="15"/>
      <c r="I8" s="15"/>
      <c r="J8" s="15"/>
      <c r="K8" s="15"/>
      <c r="L8" s="15"/>
      <c r="M8" s="15"/>
      <c r="N8" s="2">
        <f t="shared" si="0"/>
        <v>0</v>
      </c>
      <c r="O8" s="4">
        <f t="shared" si="1"/>
        <v>0</v>
      </c>
    </row>
    <row r="9" spans="1:15" x14ac:dyDescent="0.25">
      <c r="A9" s="8">
        <v>1</v>
      </c>
      <c r="B9" s="9" t="s">
        <v>12</v>
      </c>
      <c r="C9" s="8">
        <v>110396</v>
      </c>
      <c r="D9" s="9" t="s">
        <v>16</v>
      </c>
      <c r="E9" s="10">
        <v>38.6325</v>
      </c>
      <c r="F9" s="15"/>
      <c r="G9" s="15"/>
      <c r="H9" s="15"/>
      <c r="I9" s="15"/>
      <c r="J9" s="15"/>
      <c r="K9" s="15"/>
      <c r="L9" s="15"/>
      <c r="M9" s="15"/>
      <c r="N9" s="2">
        <f t="shared" si="0"/>
        <v>0</v>
      </c>
      <c r="O9" s="4">
        <f t="shared" si="1"/>
        <v>0</v>
      </c>
    </row>
    <row r="10" spans="1:15" x14ac:dyDescent="0.25">
      <c r="A10" s="8">
        <v>1</v>
      </c>
      <c r="B10" s="9" t="s">
        <v>12</v>
      </c>
      <c r="C10" s="8">
        <v>100018</v>
      </c>
      <c r="D10" s="9" t="s">
        <v>17</v>
      </c>
      <c r="E10" s="10">
        <v>54.903000000000006</v>
      </c>
      <c r="F10" s="15"/>
      <c r="G10" s="15"/>
      <c r="H10" s="15"/>
      <c r="I10" s="15"/>
      <c r="J10" s="15"/>
      <c r="K10" s="15"/>
      <c r="L10" s="15"/>
      <c r="M10" s="15"/>
      <c r="N10" s="2">
        <f t="shared" si="0"/>
        <v>0</v>
      </c>
      <c r="O10" s="4">
        <f t="shared" si="1"/>
        <v>0</v>
      </c>
    </row>
    <row r="11" spans="1:15" x14ac:dyDescent="0.25">
      <c r="A11" s="8">
        <v>1</v>
      </c>
      <c r="B11" s="9" t="s">
        <v>18</v>
      </c>
      <c r="C11" s="8">
        <v>110393</v>
      </c>
      <c r="D11" s="9" t="s">
        <v>19</v>
      </c>
      <c r="E11" s="10">
        <v>7.7036399999999992</v>
      </c>
      <c r="F11" s="15"/>
      <c r="G11" s="15"/>
      <c r="H11" s="15"/>
      <c r="I11" s="15"/>
      <c r="J11" s="15"/>
      <c r="K11" s="15"/>
      <c r="L11" s="15"/>
      <c r="M11" s="15"/>
      <c r="N11" s="2">
        <f t="shared" si="0"/>
        <v>0</v>
      </c>
      <c r="O11" s="4">
        <f t="shared" si="1"/>
        <v>0</v>
      </c>
    </row>
    <row r="12" spans="1:15" x14ac:dyDescent="0.25">
      <c r="A12" s="8">
        <v>1</v>
      </c>
      <c r="B12" s="9" t="s">
        <v>18</v>
      </c>
      <c r="C12" s="8">
        <v>110394</v>
      </c>
      <c r="D12" s="9" t="s">
        <v>20</v>
      </c>
      <c r="E12" s="10">
        <v>12.889800000000001</v>
      </c>
      <c r="F12" s="15"/>
      <c r="G12" s="15"/>
      <c r="H12" s="15"/>
      <c r="I12" s="15"/>
      <c r="J12" s="15"/>
      <c r="K12" s="15"/>
      <c r="L12" s="15"/>
      <c r="M12" s="15"/>
      <c r="N12" s="2">
        <f t="shared" si="0"/>
        <v>0</v>
      </c>
      <c r="O12" s="4">
        <f t="shared" si="1"/>
        <v>0</v>
      </c>
    </row>
    <row r="13" spans="1:15" x14ac:dyDescent="0.25">
      <c r="A13" s="8">
        <v>1</v>
      </c>
      <c r="B13" s="9" t="s">
        <v>21</v>
      </c>
      <c r="C13" s="8">
        <v>100442</v>
      </c>
      <c r="D13" s="9" t="s">
        <v>22</v>
      </c>
      <c r="E13" s="10">
        <v>38.059559999999998</v>
      </c>
      <c r="F13" s="15"/>
      <c r="G13" s="12"/>
      <c r="H13" s="12"/>
      <c r="I13" s="12"/>
      <c r="J13" s="12"/>
      <c r="K13" s="15"/>
      <c r="L13" s="12"/>
      <c r="M13" s="12"/>
      <c r="N13" s="2">
        <f t="shared" si="0"/>
        <v>0</v>
      </c>
      <c r="O13" s="4">
        <f t="shared" si="1"/>
        <v>0</v>
      </c>
    </row>
    <row r="14" spans="1:15" x14ac:dyDescent="0.25">
      <c r="A14" s="8">
        <v>1</v>
      </c>
      <c r="B14" s="9" t="s">
        <v>23</v>
      </c>
      <c r="C14" s="8">
        <v>100500</v>
      </c>
      <c r="D14" s="9" t="s">
        <v>24</v>
      </c>
      <c r="E14" s="10">
        <v>36.201599999999999</v>
      </c>
      <c r="F14" s="15"/>
      <c r="G14" s="15"/>
      <c r="H14" s="15"/>
      <c r="I14" s="15"/>
      <c r="J14" s="15"/>
      <c r="K14" s="15"/>
      <c r="L14" s="15"/>
      <c r="M14" s="15"/>
      <c r="N14" s="2">
        <f t="shared" si="0"/>
        <v>0</v>
      </c>
      <c r="O14" s="4">
        <f t="shared" si="1"/>
        <v>0</v>
      </c>
    </row>
    <row r="15" spans="1:15" x14ac:dyDescent="0.25">
      <c r="A15" s="8">
        <v>1</v>
      </c>
      <c r="B15" s="9" t="s">
        <v>23</v>
      </c>
      <c r="C15" s="8">
        <v>100919</v>
      </c>
      <c r="D15" s="9" t="s">
        <v>25</v>
      </c>
      <c r="E15" s="10">
        <v>7.4820000000000002</v>
      </c>
      <c r="F15" s="15"/>
      <c r="G15" s="12"/>
      <c r="H15" s="12"/>
      <c r="I15" s="12"/>
      <c r="J15" s="12"/>
      <c r="K15" s="15"/>
      <c r="L15" s="12"/>
      <c r="M15" s="12"/>
      <c r="N15" s="2">
        <f t="shared" si="0"/>
        <v>0</v>
      </c>
      <c r="O15" s="4">
        <f t="shared" si="1"/>
        <v>0</v>
      </c>
    </row>
    <row r="16" spans="1:15" x14ac:dyDescent="0.25">
      <c r="A16" s="8">
        <v>1</v>
      </c>
      <c r="B16" s="9" t="s">
        <v>23</v>
      </c>
      <c r="C16" s="8">
        <v>100434</v>
      </c>
      <c r="D16" s="9" t="s">
        <v>26</v>
      </c>
      <c r="E16" s="10">
        <v>7.4580000000000002</v>
      </c>
      <c r="F16" s="15"/>
      <c r="G16" s="15"/>
      <c r="H16" s="15"/>
      <c r="I16" s="15"/>
      <c r="J16" s="15"/>
      <c r="K16" s="15"/>
      <c r="L16" s="15"/>
      <c r="M16" s="15"/>
      <c r="N16" s="2">
        <f t="shared" si="0"/>
        <v>0</v>
      </c>
      <c r="O16" s="4">
        <f t="shared" si="1"/>
        <v>0</v>
      </c>
    </row>
    <row r="17" spans="1:15" x14ac:dyDescent="0.25">
      <c r="A17" s="8">
        <v>1</v>
      </c>
      <c r="B17" s="9" t="s">
        <v>23</v>
      </c>
      <c r="C17" s="8">
        <v>100427</v>
      </c>
      <c r="D17" s="9" t="s">
        <v>27</v>
      </c>
      <c r="E17" s="10">
        <v>7.4739999999999993</v>
      </c>
      <c r="F17" s="15"/>
      <c r="G17" s="12"/>
      <c r="H17" s="12"/>
      <c r="I17" s="12"/>
      <c r="J17" s="12"/>
      <c r="K17" s="15"/>
      <c r="L17" s="12"/>
      <c r="M17" s="12"/>
      <c r="N17" s="2">
        <f t="shared" si="0"/>
        <v>0</v>
      </c>
      <c r="O17" s="4">
        <f t="shared" si="1"/>
        <v>0</v>
      </c>
    </row>
    <row r="18" spans="1:15" x14ac:dyDescent="0.25">
      <c r="A18" s="8">
        <v>1</v>
      </c>
      <c r="B18" s="9" t="s">
        <v>102</v>
      </c>
      <c r="C18" s="8">
        <v>100396</v>
      </c>
      <c r="D18" s="9" t="s">
        <v>28</v>
      </c>
      <c r="E18" s="10">
        <v>30.795000000000002</v>
      </c>
      <c r="F18" s="15"/>
      <c r="G18" s="12"/>
      <c r="H18" s="12"/>
      <c r="I18" s="12"/>
      <c r="J18" s="12"/>
      <c r="K18" s="15"/>
      <c r="L18" s="12"/>
      <c r="M18" s="12"/>
      <c r="N18" s="2">
        <f t="shared" si="0"/>
        <v>0</v>
      </c>
      <c r="O18" s="4">
        <f t="shared" si="1"/>
        <v>0</v>
      </c>
    </row>
    <row r="19" spans="1:15" x14ac:dyDescent="0.25">
      <c r="A19" s="8">
        <v>1</v>
      </c>
      <c r="B19" s="9" t="s">
        <v>29</v>
      </c>
      <c r="C19" s="8">
        <v>100410</v>
      </c>
      <c r="D19" s="9" t="s">
        <v>30</v>
      </c>
      <c r="E19" s="10">
        <v>10.792</v>
      </c>
      <c r="F19" s="15"/>
      <c r="G19" s="12"/>
      <c r="H19" s="12"/>
      <c r="I19" s="12"/>
      <c r="J19" s="11"/>
      <c r="K19" s="12"/>
      <c r="L19" s="12"/>
      <c r="M19" s="12"/>
      <c r="N19" s="2">
        <f t="shared" si="0"/>
        <v>0</v>
      </c>
      <c r="O19" s="4">
        <f t="shared" si="1"/>
        <v>0</v>
      </c>
    </row>
    <row r="20" spans="1:15" x14ac:dyDescent="0.25">
      <c r="A20" s="8">
        <v>2</v>
      </c>
      <c r="B20" s="9" t="s">
        <v>89</v>
      </c>
      <c r="C20" s="8">
        <v>100206</v>
      </c>
      <c r="D20" s="9" t="s">
        <v>31</v>
      </c>
      <c r="E20" s="10">
        <v>29.039399999999997</v>
      </c>
      <c r="F20" s="12"/>
      <c r="G20" s="15"/>
      <c r="H20" s="15"/>
      <c r="I20" s="15"/>
      <c r="J20" s="15"/>
      <c r="K20" s="15"/>
      <c r="L20" s="15"/>
      <c r="M20" s="15"/>
      <c r="N20" s="2">
        <f t="shared" si="0"/>
        <v>0</v>
      </c>
      <c r="O20" s="4">
        <f t="shared" si="1"/>
        <v>0</v>
      </c>
    </row>
    <row r="21" spans="1:15" x14ac:dyDescent="0.25">
      <c r="A21" s="8">
        <v>2</v>
      </c>
      <c r="B21" s="9" t="s">
        <v>89</v>
      </c>
      <c r="C21" s="8">
        <v>100208</v>
      </c>
      <c r="D21" s="9" t="s">
        <v>32</v>
      </c>
      <c r="E21" s="10">
        <v>20.035350000000001</v>
      </c>
      <c r="F21" s="12"/>
      <c r="G21" s="15"/>
      <c r="H21" s="15"/>
      <c r="I21" s="15"/>
      <c r="J21" s="15"/>
      <c r="K21" s="15"/>
      <c r="L21" s="15"/>
      <c r="M21" s="15"/>
      <c r="N21" s="2">
        <f t="shared" si="0"/>
        <v>0</v>
      </c>
      <c r="O21" s="4">
        <f t="shared" si="1"/>
        <v>0</v>
      </c>
    </row>
    <row r="22" spans="1:15" x14ac:dyDescent="0.25">
      <c r="A22" s="8">
        <v>2</v>
      </c>
      <c r="B22" s="9" t="s">
        <v>89</v>
      </c>
      <c r="C22" s="8">
        <v>110361</v>
      </c>
      <c r="D22" s="9" t="s">
        <v>33</v>
      </c>
      <c r="E22" s="10">
        <v>15.3954</v>
      </c>
      <c r="F22" s="12"/>
      <c r="G22" s="15"/>
      <c r="H22" s="15"/>
      <c r="I22" s="15"/>
      <c r="J22" s="15"/>
      <c r="K22" s="15"/>
      <c r="L22" s="15"/>
      <c r="M22" s="15"/>
      <c r="N22" s="2">
        <f t="shared" si="0"/>
        <v>0</v>
      </c>
      <c r="O22" s="4">
        <f t="shared" si="1"/>
        <v>0</v>
      </c>
    </row>
    <row r="23" spans="1:15" x14ac:dyDescent="0.25">
      <c r="A23" s="8">
        <v>2</v>
      </c>
      <c r="B23" s="9" t="s">
        <v>89</v>
      </c>
      <c r="C23" s="8">
        <v>100261</v>
      </c>
      <c r="D23" s="9" t="s">
        <v>34</v>
      </c>
      <c r="E23" s="10">
        <v>34.795200000000001</v>
      </c>
      <c r="F23" s="15"/>
      <c r="G23" s="15"/>
      <c r="H23" s="15"/>
      <c r="I23" s="15"/>
      <c r="J23" s="15"/>
      <c r="K23" s="15"/>
      <c r="L23" s="15"/>
      <c r="M23" s="15"/>
      <c r="N23" s="2">
        <f t="shared" si="0"/>
        <v>0</v>
      </c>
      <c r="O23" s="4">
        <f t="shared" si="1"/>
        <v>0</v>
      </c>
    </row>
    <row r="24" spans="1:15" x14ac:dyDescent="0.25">
      <c r="A24" s="8">
        <v>2</v>
      </c>
      <c r="B24" s="9" t="s">
        <v>89</v>
      </c>
      <c r="C24" s="8">
        <v>110230</v>
      </c>
      <c r="D24" s="9" t="s">
        <v>35</v>
      </c>
      <c r="E24" s="10">
        <v>30.208949999999998</v>
      </c>
      <c r="F24" s="15"/>
      <c r="G24" s="15"/>
      <c r="H24" s="15"/>
      <c r="I24" s="15"/>
      <c r="J24" s="15"/>
      <c r="K24" s="15"/>
      <c r="L24" s="15"/>
      <c r="M24" s="15"/>
      <c r="N24" s="2">
        <f t="shared" si="0"/>
        <v>0</v>
      </c>
      <c r="O24" s="4">
        <f t="shared" si="1"/>
        <v>0</v>
      </c>
    </row>
    <row r="25" spans="1:15" x14ac:dyDescent="0.25">
      <c r="A25" s="8">
        <v>2</v>
      </c>
      <c r="B25" s="9" t="s">
        <v>89</v>
      </c>
      <c r="C25" s="8">
        <v>100244</v>
      </c>
      <c r="D25" s="9" t="s">
        <v>8</v>
      </c>
      <c r="E25" s="10">
        <v>25.070999999999994</v>
      </c>
      <c r="F25" s="12"/>
      <c r="G25" s="15"/>
      <c r="H25" s="15"/>
      <c r="I25" s="15"/>
      <c r="J25" s="15"/>
      <c r="K25" s="15"/>
      <c r="L25" s="15"/>
      <c r="M25" s="15"/>
      <c r="N25" s="2">
        <f t="shared" si="0"/>
        <v>0</v>
      </c>
      <c r="O25" s="4">
        <f t="shared" si="1"/>
        <v>0</v>
      </c>
    </row>
    <row r="26" spans="1:15" x14ac:dyDescent="0.25">
      <c r="A26" s="8">
        <v>2</v>
      </c>
      <c r="B26" s="9" t="s">
        <v>89</v>
      </c>
      <c r="C26" s="8">
        <v>100299</v>
      </c>
      <c r="D26" s="9" t="s">
        <v>36</v>
      </c>
      <c r="E26" s="10">
        <v>75.020799999999994</v>
      </c>
      <c r="F26" s="12"/>
      <c r="G26" s="12"/>
      <c r="H26" s="15"/>
      <c r="I26" s="12"/>
      <c r="J26" s="12"/>
      <c r="K26" s="12"/>
      <c r="L26" s="15"/>
      <c r="M26" s="12"/>
      <c r="N26" s="2">
        <f t="shared" si="0"/>
        <v>0</v>
      </c>
      <c r="O26" s="4">
        <f t="shared" si="1"/>
        <v>0</v>
      </c>
    </row>
    <row r="27" spans="1:15" x14ac:dyDescent="0.25">
      <c r="A27" s="8">
        <v>2</v>
      </c>
      <c r="B27" s="9" t="s">
        <v>89</v>
      </c>
      <c r="C27" s="8">
        <v>100214</v>
      </c>
      <c r="D27" s="9" t="s">
        <v>37</v>
      </c>
      <c r="E27" s="10">
        <v>22.444800000000001</v>
      </c>
      <c r="F27" s="12"/>
      <c r="G27" s="15"/>
      <c r="H27" s="12"/>
      <c r="I27" s="12"/>
      <c r="J27" s="12"/>
      <c r="K27" s="15"/>
      <c r="L27" s="12"/>
      <c r="M27" s="12"/>
      <c r="N27" s="2">
        <f t="shared" si="0"/>
        <v>0</v>
      </c>
      <c r="O27" s="4">
        <f t="shared" si="1"/>
        <v>0</v>
      </c>
    </row>
    <row r="28" spans="1:15" x14ac:dyDescent="0.25">
      <c r="A28" s="8">
        <v>2</v>
      </c>
      <c r="B28" s="9" t="s">
        <v>89</v>
      </c>
      <c r="C28" s="8">
        <v>110233</v>
      </c>
      <c r="D28" s="9" t="s">
        <v>38</v>
      </c>
      <c r="E28" s="10">
        <v>31.696649999999998</v>
      </c>
      <c r="F28" s="12"/>
      <c r="G28" s="15"/>
      <c r="H28" s="15"/>
      <c r="I28" s="15"/>
      <c r="J28" s="15"/>
      <c r="K28" s="15"/>
      <c r="L28" s="15"/>
      <c r="M28" s="15"/>
      <c r="N28" s="2">
        <f t="shared" si="0"/>
        <v>0</v>
      </c>
      <c r="O28" s="4">
        <f t="shared" si="1"/>
        <v>0</v>
      </c>
    </row>
    <row r="29" spans="1:15" x14ac:dyDescent="0.25">
      <c r="A29" s="8">
        <v>2</v>
      </c>
      <c r="B29" s="9" t="s">
        <v>89</v>
      </c>
      <c r="C29" s="8">
        <v>100241</v>
      </c>
      <c r="D29" s="9" t="s">
        <v>39</v>
      </c>
      <c r="E29" s="10">
        <v>28.577999999999999</v>
      </c>
      <c r="F29" s="12"/>
      <c r="G29" s="15"/>
      <c r="H29" s="15"/>
      <c r="I29" s="15"/>
      <c r="J29" s="15"/>
      <c r="K29" s="15"/>
      <c r="L29" s="15"/>
      <c r="M29" s="15"/>
      <c r="N29" s="2">
        <f t="shared" si="0"/>
        <v>0</v>
      </c>
      <c r="O29" s="4">
        <f t="shared" si="1"/>
        <v>0</v>
      </c>
    </row>
    <row r="30" spans="1:15" x14ac:dyDescent="0.25">
      <c r="A30" s="8">
        <v>2</v>
      </c>
      <c r="B30" s="9" t="s">
        <v>89</v>
      </c>
      <c r="C30" s="8">
        <v>110234</v>
      </c>
      <c r="D30" s="9" t="s">
        <v>40</v>
      </c>
      <c r="E30" s="10">
        <v>33.39</v>
      </c>
      <c r="F30" s="12"/>
      <c r="G30" s="15"/>
      <c r="H30" s="15"/>
      <c r="I30" s="15"/>
      <c r="J30" s="15"/>
      <c r="K30" s="15"/>
      <c r="L30" s="15"/>
      <c r="M30" s="15"/>
      <c r="N30" s="2">
        <f t="shared" si="0"/>
        <v>0</v>
      </c>
      <c r="O30" s="4">
        <f t="shared" si="1"/>
        <v>0</v>
      </c>
    </row>
    <row r="31" spans="1:15" x14ac:dyDescent="0.25">
      <c r="A31" s="8">
        <v>2</v>
      </c>
      <c r="B31" s="9" t="s">
        <v>89</v>
      </c>
      <c r="C31" s="8">
        <v>110236</v>
      </c>
      <c r="D31" s="9" t="s">
        <v>41</v>
      </c>
      <c r="E31" s="10">
        <v>32.495624999999997</v>
      </c>
      <c r="F31" s="12"/>
      <c r="G31" s="15"/>
      <c r="H31" s="15"/>
      <c r="I31" s="15"/>
      <c r="J31" s="15"/>
      <c r="K31" s="15"/>
      <c r="L31" s="15"/>
      <c r="M31" s="15"/>
      <c r="N31" s="2">
        <f t="shared" si="0"/>
        <v>0</v>
      </c>
      <c r="O31" s="4">
        <f t="shared" si="1"/>
        <v>0</v>
      </c>
    </row>
    <row r="32" spans="1:15" x14ac:dyDescent="0.25">
      <c r="A32" s="8">
        <v>2</v>
      </c>
      <c r="B32" s="9" t="s">
        <v>89</v>
      </c>
      <c r="C32" s="8">
        <v>110237</v>
      </c>
      <c r="D32" s="9" t="s">
        <v>42</v>
      </c>
      <c r="E32" s="10">
        <v>29.435400000000001</v>
      </c>
      <c r="F32" s="12"/>
      <c r="G32" s="15"/>
      <c r="H32" s="15"/>
      <c r="I32" s="15"/>
      <c r="J32" s="15"/>
      <c r="K32" s="15"/>
      <c r="L32" s="15"/>
      <c r="M32" s="15"/>
      <c r="N32" s="2">
        <f t="shared" si="0"/>
        <v>0</v>
      </c>
      <c r="O32" s="4">
        <f t="shared" si="1"/>
        <v>0</v>
      </c>
    </row>
    <row r="33" spans="1:15" x14ac:dyDescent="0.25">
      <c r="A33" s="8">
        <v>2</v>
      </c>
      <c r="B33" s="9" t="s">
        <v>89</v>
      </c>
      <c r="C33" s="8">
        <v>110239</v>
      </c>
      <c r="D33" s="9" t="s">
        <v>43</v>
      </c>
      <c r="E33" s="10">
        <v>29.0641</v>
      </c>
      <c r="F33" s="12"/>
      <c r="G33" s="15"/>
      <c r="H33" s="15"/>
      <c r="I33" s="15"/>
      <c r="J33" s="15"/>
      <c r="K33" s="15"/>
      <c r="L33" s="15"/>
      <c r="M33" s="15"/>
      <c r="N33" s="2">
        <f t="shared" si="0"/>
        <v>0</v>
      </c>
      <c r="O33" s="4">
        <f t="shared" si="1"/>
        <v>0</v>
      </c>
    </row>
    <row r="34" spans="1:15" x14ac:dyDescent="0.25">
      <c r="A34" s="8">
        <v>2</v>
      </c>
      <c r="B34" s="9" t="s">
        <v>89</v>
      </c>
      <c r="C34" s="8">
        <v>100293</v>
      </c>
      <c r="D34" s="9" t="s">
        <v>44</v>
      </c>
      <c r="E34" s="10">
        <v>19.275600000000001</v>
      </c>
      <c r="F34" s="12"/>
      <c r="G34" s="15"/>
      <c r="H34" s="15"/>
      <c r="I34" s="15"/>
      <c r="J34" s="15"/>
      <c r="K34" s="15"/>
      <c r="L34" s="15"/>
      <c r="M34" s="15"/>
      <c r="N34" s="2">
        <f t="shared" si="0"/>
        <v>0</v>
      </c>
      <c r="O34" s="4">
        <f t="shared" si="1"/>
        <v>0</v>
      </c>
    </row>
    <row r="35" spans="1:15" x14ac:dyDescent="0.25">
      <c r="A35" s="8">
        <v>2</v>
      </c>
      <c r="B35" s="9" t="s">
        <v>89</v>
      </c>
      <c r="C35" s="8">
        <v>100253</v>
      </c>
      <c r="D35" s="9" t="s">
        <v>45</v>
      </c>
      <c r="E35" s="10">
        <v>29.475000000000001</v>
      </c>
      <c r="F35" s="15"/>
      <c r="G35" s="15"/>
      <c r="H35" s="15"/>
      <c r="I35" s="15"/>
      <c r="J35" s="15"/>
      <c r="K35" s="15"/>
      <c r="L35" s="15"/>
      <c r="M35" s="15"/>
      <c r="N35" s="2">
        <f t="shared" si="0"/>
        <v>0</v>
      </c>
      <c r="O35" s="4">
        <f t="shared" si="1"/>
        <v>0</v>
      </c>
    </row>
    <row r="36" spans="1:15" x14ac:dyDescent="0.25">
      <c r="A36" s="8">
        <v>2</v>
      </c>
      <c r="B36" s="9" t="s">
        <v>89</v>
      </c>
      <c r="C36" s="8">
        <v>100256</v>
      </c>
      <c r="D36" s="9" t="s">
        <v>46</v>
      </c>
      <c r="E36" s="10">
        <v>34.8705</v>
      </c>
      <c r="F36" s="15"/>
      <c r="G36" s="15"/>
      <c r="H36" s="15"/>
      <c r="I36" s="15"/>
      <c r="J36" s="15"/>
      <c r="K36" s="15"/>
      <c r="L36" s="15"/>
      <c r="M36" s="15"/>
      <c r="N36" s="2">
        <f t="shared" si="0"/>
        <v>0</v>
      </c>
      <c r="O36" s="4">
        <f t="shared" si="1"/>
        <v>0</v>
      </c>
    </row>
    <row r="37" spans="1:15" x14ac:dyDescent="0.25">
      <c r="A37" s="8">
        <v>2</v>
      </c>
      <c r="B37" s="9" t="s">
        <v>89</v>
      </c>
      <c r="C37" s="8">
        <v>100254</v>
      </c>
      <c r="D37" s="9" t="s">
        <v>47</v>
      </c>
      <c r="E37" s="10">
        <v>27</v>
      </c>
      <c r="F37" s="12"/>
      <c r="G37" s="15"/>
      <c r="H37" s="15"/>
      <c r="I37" s="15"/>
      <c r="J37" s="15"/>
      <c r="K37" s="15"/>
      <c r="L37" s="15"/>
      <c r="M37" s="15"/>
      <c r="N37" s="2">
        <f t="shared" si="0"/>
        <v>0</v>
      </c>
      <c r="O37" s="4">
        <f t="shared" si="1"/>
        <v>0</v>
      </c>
    </row>
    <row r="38" spans="1:15" x14ac:dyDescent="0.25">
      <c r="A38" s="8">
        <v>2</v>
      </c>
      <c r="B38" s="9" t="s">
        <v>48</v>
      </c>
      <c r="C38" s="8">
        <v>100277</v>
      </c>
      <c r="D38" s="9" t="s">
        <v>49</v>
      </c>
      <c r="E38" s="10">
        <v>8.8995999999999995</v>
      </c>
      <c r="F38" s="12"/>
      <c r="G38" s="12"/>
      <c r="H38" s="15"/>
      <c r="I38" s="15"/>
      <c r="J38" s="15"/>
      <c r="K38" s="15"/>
      <c r="L38" s="15"/>
      <c r="M38" s="15"/>
      <c r="N38" s="2">
        <f t="shared" si="0"/>
        <v>0</v>
      </c>
      <c r="O38" s="4">
        <f t="shared" si="1"/>
        <v>0</v>
      </c>
    </row>
    <row r="39" spans="1:15" x14ac:dyDescent="0.25">
      <c r="A39" s="8">
        <v>3</v>
      </c>
      <c r="B39" s="9" t="s">
        <v>90</v>
      </c>
      <c r="C39" s="8">
        <v>100359</v>
      </c>
      <c r="D39" s="9" t="s">
        <v>50</v>
      </c>
      <c r="E39" s="10">
        <v>16.2972</v>
      </c>
      <c r="F39" s="15"/>
      <c r="G39" s="15"/>
      <c r="H39" s="15"/>
      <c r="I39" s="15"/>
      <c r="J39" s="15"/>
      <c r="K39" s="15"/>
      <c r="L39" s="15"/>
      <c r="M39" s="15"/>
      <c r="N39" s="2">
        <f t="shared" si="0"/>
        <v>0</v>
      </c>
      <c r="O39" s="4">
        <f t="shared" si="1"/>
        <v>0</v>
      </c>
    </row>
    <row r="40" spans="1:15" x14ac:dyDescent="0.25">
      <c r="A40" s="8">
        <v>3</v>
      </c>
      <c r="B40" s="9" t="s">
        <v>90</v>
      </c>
      <c r="C40" s="8">
        <v>100360</v>
      </c>
      <c r="D40" s="9" t="s">
        <v>51</v>
      </c>
      <c r="E40" s="10">
        <v>14.9283</v>
      </c>
      <c r="F40" s="15"/>
      <c r="G40" s="12"/>
      <c r="H40" s="12"/>
      <c r="I40" s="12"/>
      <c r="J40" s="15"/>
      <c r="K40" s="12"/>
      <c r="L40" s="12"/>
      <c r="M40" s="12"/>
      <c r="N40" s="2">
        <f t="shared" si="0"/>
        <v>0</v>
      </c>
      <c r="O40" s="4">
        <f t="shared" si="1"/>
        <v>0</v>
      </c>
    </row>
    <row r="41" spans="1:15" x14ac:dyDescent="0.25">
      <c r="A41" s="8">
        <v>3</v>
      </c>
      <c r="B41" s="9" t="s">
        <v>90</v>
      </c>
      <c r="C41" s="8">
        <v>100373</v>
      </c>
      <c r="D41" s="9" t="s">
        <v>52</v>
      </c>
      <c r="E41" s="10">
        <v>17.317800000000002</v>
      </c>
      <c r="F41" s="15"/>
      <c r="G41" s="12"/>
      <c r="H41" s="12"/>
      <c r="I41" s="12"/>
      <c r="J41" s="15"/>
      <c r="K41" s="12"/>
      <c r="L41" s="12"/>
      <c r="M41" s="12"/>
      <c r="N41" s="2">
        <f t="shared" si="0"/>
        <v>0</v>
      </c>
      <c r="O41" s="4">
        <f t="shared" si="1"/>
        <v>0</v>
      </c>
    </row>
    <row r="42" spans="1:15" x14ac:dyDescent="0.25">
      <c r="A42" s="8">
        <v>3</v>
      </c>
      <c r="B42" s="9" t="s">
        <v>90</v>
      </c>
      <c r="C42" s="8">
        <v>100365</v>
      </c>
      <c r="D42" s="9" t="s">
        <v>53</v>
      </c>
      <c r="E42" s="10">
        <v>15.750450000000001</v>
      </c>
      <c r="F42" s="15"/>
      <c r="G42" s="12"/>
      <c r="H42" s="12"/>
      <c r="I42" s="12"/>
      <c r="J42" s="15"/>
      <c r="K42" s="12"/>
      <c r="L42" s="12"/>
      <c r="M42" s="12"/>
      <c r="N42" s="2">
        <f t="shared" si="0"/>
        <v>0</v>
      </c>
      <c r="O42" s="4">
        <f t="shared" si="1"/>
        <v>0</v>
      </c>
    </row>
    <row r="43" spans="1:15" x14ac:dyDescent="0.25">
      <c r="A43" s="8">
        <v>3</v>
      </c>
      <c r="B43" s="9" t="s">
        <v>90</v>
      </c>
      <c r="C43" s="8">
        <v>100370</v>
      </c>
      <c r="D43" s="9" t="s">
        <v>54</v>
      </c>
      <c r="E43" s="10">
        <v>16.418699999999998</v>
      </c>
      <c r="F43" s="15"/>
      <c r="G43" s="15"/>
      <c r="H43" s="15"/>
      <c r="I43" s="15"/>
      <c r="J43" s="15"/>
      <c r="K43" s="15"/>
      <c r="L43" s="15"/>
      <c r="M43" s="15"/>
      <c r="N43" s="2">
        <f t="shared" si="0"/>
        <v>0</v>
      </c>
      <c r="O43" s="4">
        <f t="shared" si="1"/>
        <v>0</v>
      </c>
    </row>
    <row r="44" spans="1:15" x14ac:dyDescent="0.25">
      <c r="A44" s="8">
        <v>3</v>
      </c>
      <c r="B44" s="9" t="s">
        <v>90</v>
      </c>
      <c r="C44" s="8">
        <v>100362</v>
      </c>
      <c r="D44" s="9" t="s">
        <v>55</v>
      </c>
      <c r="E44" s="10">
        <v>19.634999999999998</v>
      </c>
      <c r="F44" s="15"/>
      <c r="G44" s="15"/>
      <c r="H44" s="15"/>
      <c r="I44" s="15"/>
      <c r="J44" s="15"/>
      <c r="K44" s="15"/>
      <c r="L44" s="15"/>
      <c r="M44" s="15"/>
      <c r="N44" s="2">
        <f t="shared" si="0"/>
        <v>0</v>
      </c>
      <c r="O44" s="4">
        <f t="shared" si="1"/>
        <v>0</v>
      </c>
    </row>
    <row r="45" spans="1:15" x14ac:dyDescent="0.25">
      <c r="A45" s="8">
        <v>3</v>
      </c>
      <c r="B45" s="9" t="s">
        <v>56</v>
      </c>
      <c r="C45" s="8">
        <v>100307</v>
      </c>
      <c r="D45" s="9" t="s">
        <v>57</v>
      </c>
      <c r="E45" s="10">
        <v>13.888999999999999</v>
      </c>
      <c r="F45" s="12"/>
      <c r="G45" s="15"/>
      <c r="H45" s="15"/>
      <c r="I45" s="15"/>
      <c r="J45" s="15"/>
      <c r="K45" s="15"/>
      <c r="L45" s="15"/>
      <c r="M45" s="15"/>
      <c r="N45" s="2">
        <f t="shared" si="0"/>
        <v>0</v>
      </c>
      <c r="O45" s="4">
        <f t="shared" si="1"/>
        <v>0</v>
      </c>
    </row>
    <row r="46" spans="1:15" x14ac:dyDescent="0.25">
      <c r="A46" s="8">
        <v>3</v>
      </c>
      <c r="B46" s="9" t="s">
        <v>56</v>
      </c>
      <c r="C46" s="8">
        <v>100351</v>
      </c>
      <c r="D46" s="9" t="s">
        <v>58</v>
      </c>
      <c r="E46" s="10">
        <v>14.913</v>
      </c>
      <c r="F46" s="12"/>
      <c r="G46" s="15"/>
      <c r="H46" s="15"/>
      <c r="I46" s="15"/>
      <c r="J46" s="15"/>
      <c r="K46" s="15"/>
      <c r="L46" s="15"/>
      <c r="M46" s="15"/>
      <c r="N46" s="2">
        <f t="shared" si="0"/>
        <v>0</v>
      </c>
      <c r="O46" s="4">
        <f t="shared" si="1"/>
        <v>0</v>
      </c>
    </row>
    <row r="47" spans="1:15" x14ac:dyDescent="0.25">
      <c r="A47" s="8">
        <v>3</v>
      </c>
      <c r="B47" s="9" t="s">
        <v>56</v>
      </c>
      <c r="C47" s="8">
        <v>110282</v>
      </c>
      <c r="D47" s="9" t="s">
        <v>59</v>
      </c>
      <c r="E47" s="10">
        <v>35.064</v>
      </c>
      <c r="F47" s="12"/>
      <c r="G47" s="15"/>
      <c r="H47" s="15"/>
      <c r="I47" s="15"/>
      <c r="J47" s="15"/>
      <c r="K47" s="15"/>
      <c r="L47" s="15"/>
      <c r="M47" s="15"/>
      <c r="N47" s="2">
        <f t="shared" si="0"/>
        <v>0</v>
      </c>
      <c r="O47" s="4">
        <f t="shared" si="1"/>
        <v>0</v>
      </c>
    </row>
    <row r="48" spans="1:15" x14ac:dyDescent="0.25">
      <c r="A48" s="8">
        <v>3</v>
      </c>
      <c r="B48" s="9" t="s">
        <v>56</v>
      </c>
      <c r="C48" s="8">
        <v>100309</v>
      </c>
      <c r="D48" s="9" t="s">
        <v>60</v>
      </c>
      <c r="E48" s="10">
        <v>18.114699999999999</v>
      </c>
      <c r="F48" s="12"/>
      <c r="G48" s="15"/>
      <c r="H48" s="12"/>
      <c r="I48" s="12"/>
      <c r="J48" s="12"/>
      <c r="K48" s="12"/>
      <c r="L48" s="15"/>
      <c r="M48" s="12"/>
      <c r="N48" s="2">
        <f t="shared" si="0"/>
        <v>0</v>
      </c>
      <c r="O48" s="4">
        <f t="shared" si="1"/>
        <v>0</v>
      </c>
    </row>
    <row r="49" spans="1:15" x14ac:dyDescent="0.25">
      <c r="A49" s="8">
        <v>3</v>
      </c>
      <c r="B49" s="9" t="s">
        <v>56</v>
      </c>
      <c r="C49" s="8">
        <v>100352</v>
      </c>
      <c r="D49" s="9" t="s">
        <v>61</v>
      </c>
      <c r="E49" s="10">
        <v>14.613</v>
      </c>
      <c r="F49" s="12"/>
      <c r="G49" s="15"/>
      <c r="H49" s="15"/>
      <c r="I49" s="15"/>
      <c r="J49" s="15"/>
      <c r="K49" s="15"/>
      <c r="L49" s="15"/>
      <c r="M49" s="15"/>
      <c r="N49" s="2">
        <f t="shared" si="0"/>
        <v>0</v>
      </c>
      <c r="O49" s="4">
        <f t="shared" si="1"/>
        <v>0</v>
      </c>
    </row>
    <row r="50" spans="1:15" x14ac:dyDescent="0.25">
      <c r="A50" s="8">
        <v>3</v>
      </c>
      <c r="B50" s="9" t="s">
        <v>56</v>
      </c>
      <c r="C50" s="8">
        <v>100348</v>
      </c>
      <c r="D50" s="9" t="s">
        <v>62</v>
      </c>
      <c r="E50" s="10">
        <v>16.553999999999998</v>
      </c>
      <c r="F50" s="12"/>
      <c r="G50" s="15"/>
      <c r="H50" s="15"/>
      <c r="I50" s="15"/>
      <c r="J50" s="15"/>
      <c r="K50" s="15"/>
      <c r="L50" s="15"/>
      <c r="M50" s="15"/>
      <c r="N50" s="2">
        <f t="shared" si="0"/>
        <v>0</v>
      </c>
      <c r="O50" s="4">
        <f t="shared" si="1"/>
        <v>0</v>
      </c>
    </row>
    <row r="51" spans="1:15" x14ac:dyDescent="0.25">
      <c r="A51" s="8">
        <v>3</v>
      </c>
      <c r="B51" s="9" t="s">
        <v>56</v>
      </c>
      <c r="C51" s="8">
        <v>100313</v>
      </c>
      <c r="D51" s="9" t="s">
        <v>63</v>
      </c>
      <c r="E51" s="10">
        <v>16.814250000000001</v>
      </c>
      <c r="F51" s="12"/>
      <c r="G51" s="12"/>
      <c r="H51" s="15"/>
      <c r="I51" s="15"/>
      <c r="J51" s="15"/>
      <c r="K51" s="15"/>
      <c r="L51" s="15"/>
      <c r="M51" s="15"/>
      <c r="N51" s="2">
        <f t="shared" si="0"/>
        <v>0</v>
      </c>
      <c r="O51" s="4">
        <f t="shared" si="1"/>
        <v>0</v>
      </c>
    </row>
    <row r="52" spans="1:15" x14ac:dyDescent="0.25">
      <c r="A52" s="8">
        <v>3</v>
      </c>
      <c r="B52" s="9" t="s">
        <v>56</v>
      </c>
      <c r="C52" s="8">
        <v>100350</v>
      </c>
      <c r="D52" s="9" t="s">
        <v>64</v>
      </c>
      <c r="E52" s="10">
        <v>19.247999999999998</v>
      </c>
      <c r="F52" s="15"/>
      <c r="G52" s="15"/>
      <c r="H52" s="15"/>
      <c r="I52" s="15"/>
      <c r="J52" s="15"/>
      <c r="K52" s="15"/>
      <c r="L52" s="15"/>
      <c r="M52" s="15"/>
      <c r="N52" s="2">
        <f t="shared" si="0"/>
        <v>0</v>
      </c>
      <c r="O52" s="4">
        <f t="shared" si="1"/>
        <v>0</v>
      </c>
    </row>
    <row r="53" spans="1:15" x14ac:dyDescent="0.25">
      <c r="A53" s="8">
        <v>3</v>
      </c>
      <c r="B53" s="9" t="s">
        <v>56</v>
      </c>
      <c r="C53" s="8">
        <v>100357</v>
      </c>
      <c r="D53" s="9" t="s">
        <v>65</v>
      </c>
      <c r="E53" s="10">
        <v>13.506000000000002</v>
      </c>
      <c r="F53" s="15"/>
      <c r="G53" s="15"/>
      <c r="H53" s="15"/>
      <c r="I53" s="15"/>
      <c r="J53" s="15"/>
      <c r="K53" s="15"/>
      <c r="L53" s="15"/>
      <c r="M53" s="15"/>
      <c r="N53" s="2">
        <f t="shared" si="0"/>
        <v>0</v>
      </c>
      <c r="O53" s="4">
        <f t="shared" si="1"/>
        <v>0</v>
      </c>
    </row>
    <row r="54" spans="1:15" x14ac:dyDescent="0.25">
      <c r="A54" s="8">
        <v>3</v>
      </c>
      <c r="B54" s="9" t="s">
        <v>56</v>
      </c>
      <c r="C54" s="8">
        <v>100358</v>
      </c>
      <c r="D54" s="9" t="s">
        <v>66</v>
      </c>
      <c r="E54" s="10">
        <v>14.060999999999998</v>
      </c>
      <c r="F54" s="15"/>
      <c r="G54" s="15"/>
      <c r="H54" s="15"/>
      <c r="I54" s="15"/>
      <c r="J54" s="15"/>
      <c r="K54" s="15"/>
      <c r="L54" s="15"/>
      <c r="M54" s="15"/>
      <c r="N54" s="2">
        <f t="shared" si="0"/>
        <v>0</v>
      </c>
      <c r="O54" s="4">
        <f t="shared" si="1"/>
        <v>0</v>
      </c>
    </row>
    <row r="55" spans="1:15" x14ac:dyDescent="0.25">
      <c r="A55" s="8">
        <v>3</v>
      </c>
      <c r="B55" s="9" t="s">
        <v>56</v>
      </c>
      <c r="C55" s="8">
        <v>100356</v>
      </c>
      <c r="D55" s="9" t="s">
        <v>67</v>
      </c>
      <c r="E55" s="10">
        <v>17.978999999999999</v>
      </c>
      <c r="F55" s="15"/>
      <c r="G55" s="12"/>
      <c r="H55" s="12"/>
      <c r="I55" s="12"/>
      <c r="J55" s="12"/>
      <c r="K55" s="15"/>
      <c r="L55" s="12"/>
      <c r="M55" s="12"/>
      <c r="N55" s="2">
        <f t="shared" si="0"/>
        <v>0</v>
      </c>
      <c r="O55" s="4">
        <f t="shared" si="1"/>
        <v>0</v>
      </c>
    </row>
    <row r="56" spans="1:15" x14ac:dyDescent="0.25">
      <c r="A56" s="8">
        <v>3</v>
      </c>
      <c r="B56" s="9" t="s">
        <v>56</v>
      </c>
      <c r="C56" s="8">
        <v>110177</v>
      </c>
      <c r="D56" s="9" t="s">
        <v>68</v>
      </c>
      <c r="E56" s="10">
        <v>13.77735</v>
      </c>
      <c r="F56" s="12"/>
      <c r="G56" s="12"/>
      <c r="H56" s="15"/>
      <c r="I56" s="15"/>
      <c r="J56" s="15"/>
      <c r="K56" s="15"/>
      <c r="L56" s="15"/>
      <c r="M56" s="15"/>
      <c r="N56" s="2">
        <f t="shared" si="0"/>
        <v>0</v>
      </c>
      <c r="O56" s="4">
        <f t="shared" si="1"/>
        <v>0</v>
      </c>
    </row>
    <row r="57" spans="1:15" x14ac:dyDescent="0.25">
      <c r="A57" s="8">
        <v>3</v>
      </c>
      <c r="B57" s="9" t="s">
        <v>56</v>
      </c>
      <c r="C57" s="8">
        <v>110392</v>
      </c>
      <c r="D57" s="9" t="s">
        <v>69</v>
      </c>
      <c r="E57" s="10">
        <v>13.837999999999999</v>
      </c>
      <c r="F57" s="12"/>
      <c r="G57" s="15"/>
      <c r="H57" s="15"/>
      <c r="I57" s="15"/>
      <c r="J57" s="15"/>
      <c r="K57" s="15"/>
      <c r="L57" s="15"/>
      <c r="M57" s="15"/>
      <c r="N57" s="2">
        <f t="shared" si="0"/>
        <v>0</v>
      </c>
      <c r="O57" s="4">
        <f t="shared" si="1"/>
        <v>0</v>
      </c>
    </row>
    <row r="58" spans="1:15" x14ac:dyDescent="0.25">
      <c r="A58" s="8">
        <v>3</v>
      </c>
      <c r="B58" s="9" t="s">
        <v>56</v>
      </c>
      <c r="C58" s="8">
        <v>100353</v>
      </c>
      <c r="D58" s="9" t="s">
        <v>70</v>
      </c>
      <c r="E58" s="10">
        <v>17.445</v>
      </c>
      <c r="F58" s="12"/>
      <c r="G58" s="12"/>
      <c r="H58" s="12"/>
      <c r="I58" s="15"/>
      <c r="J58" s="12"/>
      <c r="K58" s="12"/>
      <c r="L58" s="15"/>
      <c r="M58" s="12"/>
      <c r="N58" s="2">
        <f t="shared" si="0"/>
        <v>0</v>
      </c>
      <c r="O58" s="4">
        <f t="shared" si="1"/>
        <v>0</v>
      </c>
    </row>
    <row r="59" spans="1:15" x14ac:dyDescent="0.25">
      <c r="A59" s="8">
        <v>3</v>
      </c>
      <c r="B59" s="9" t="s">
        <v>56</v>
      </c>
      <c r="C59" s="8">
        <v>110185</v>
      </c>
      <c r="D59" s="9" t="s">
        <v>71</v>
      </c>
      <c r="E59" s="10">
        <v>16.623449999999998</v>
      </c>
      <c r="F59" s="12"/>
      <c r="G59" s="12"/>
      <c r="H59" s="15"/>
      <c r="I59" s="15"/>
      <c r="J59" s="15"/>
      <c r="K59" s="15"/>
      <c r="L59" s="15"/>
      <c r="M59" s="15"/>
      <c r="N59" s="2">
        <f t="shared" si="0"/>
        <v>0</v>
      </c>
      <c r="O59" s="4">
        <f t="shared" si="1"/>
        <v>0</v>
      </c>
    </row>
    <row r="60" spans="1:15" x14ac:dyDescent="0.25">
      <c r="A60" s="8">
        <v>3</v>
      </c>
      <c r="B60" s="9" t="s">
        <v>56</v>
      </c>
      <c r="C60" s="8">
        <v>110189</v>
      </c>
      <c r="D60" s="9" t="s">
        <v>72</v>
      </c>
      <c r="E60" s="10">
        <v>26.394412499999998</v>
      </c>
      <c r="F60" s="15"/>
      <c r="G60" s="15"/>
      <c r="H60" s="15"/>
      <c r="I60" s="15"/>
      <c r="J60" s="15"/>
      <c r="K60" s="15"/>
      <c r="L60" s="15"/>
      <c r="M60" s="15"/>
      <c r="N60" s="2">
        <f t="shared" si="0"/>
        <v>0</v>
      </c>
      <c r="O60" s="4">
        <f t="shared" si="1"/>
        <v>0</v>
      </c>
    </row>
    <row r="61" spans="1:15" x14ac:dyDescent="0.25">
      <c r="A61" s="8">
        <v>3</v>
      </c>
      <c r="B61" s="9" t="s">
        <v>56</v>
      </c>
      <c r="C61" s="8">
        <v>110186</v>
      </c>
      <c r="D61" s="9" t="s">
        <v>73</v>
      </c>
      <c r="E61" s="10">
        <v>18.948824999999999</v>
      </c>
      <c r="F61" s="15"/>
      <c r="G61" s="15"/>
      <c r="H61" s="15"/>
      <c r="I61" s="15"/>
      <c r="J61" s="15"/>
      <c r="K61" s="15"/>
      <c r="L61" s="15"/>
      <c r="M61" s="15"/>
      <c r="N61" s="2">
        <f t="shared" si="0"/>
        <v>0</v>
      </c>
      <c r="O61" s="4">
        <f t="shared" si="1"/>
        <v>0</v>
      </c>
    </row>
    <row r="62" spans="1:15" x14ac:dyDescent="0.25">
      <c r="A62" s="8">
        <v>3</v>
      </c>
      <c r="B62" s="9" t="s">
        <v>56</v>
      </c>
      <c r="C62" s="8">
        <v>110187</v>
      </c>
      <c r="D62" s="9" t="s">
        <v>74</v>
      </c>
      <c r="E62" s="10">
        <v>15.248099999999999</v>
      </c>
      <c r="F62" s="15"/>
      <c r="G62" s="15"/>
      <c r="H62" s="15"/>
      <c r="I62" s="15"/>
      <c r="J62" s="15"/>
      <c r="K62" s="15"/>
      <c r="L62" s="15"/>
      <c r="M62" s="15"/>
      <c r="N62" s="2">
        <f t="shared" si="0"/>
        <v>0</v>
      </c>
      <c r="O62" s="4">
        <f t="shared" si="1"/>
        <v>0</v>
      </c>
    </row>
    <row r="63" spans="1:15" x14ac:dyDescent="0.25">
      <c r="A63" s="8">
        <v>4</v>
      </c>
      <c r="B63" s="9" t="s">
        <v>75</v>
      </c>
      <c r="C63" s="8">
        <v>110346</v>
      </c>
      <c r="D63" s="9" t="s">
        <v>76</v>
      </c>
      <c r="E63" s="10">
        <v>99.36399999999999</v>
      </c>
      <c r="F63" s="15"/>
      <c r="G63" s="12"/>
      <c r="H63" s="12"/>
      <c r="I63" s="12"/>
      <c r="J63" s="12"/>
      <c r="K63" s="15"/>
      <c r="L63" s="12"/>
      <c r="M63" s="12"/>
      <c r="N63" s="2">
        <f t="shared" si="0"/>
        <v>0</v>
      </c>
      <c r="O63" s="4">
        <f t="shared" si="1"/>
        <v>0</v>
      </c>
    </row>
    <row r="64" spans="1:15" x14ac:dyDescent="0.25">
      <c r="A64" s="8">
        <v>4</v>
      </c>
      <c r="B64" s="9" t="s">
        <v>75</v>
      </c>
      <c r="C64" s="8">
        <v>100134</v>
      </c>
      <c r="D64" s="9" t="s">
        <v>77</v>
      </c>
      <c r="E64" s="10">
        <v>98.951999999999984</v>
      </c>
      <c r="F64" s="15"/>
      <c r="G64" s="15"/>
      <c r="H64" s="15"/>
      <c r="I64" s="15"/>
      <c r="J64" s="15"/>
      <c r="K64" s="15"/>
      <c r="L64" s="15"/>
      <c r="M64" s="15"/>
      <c r="N64" s="2">
        <f t="shared" si="0"/>
        <v>0</v>
      </c>
      <c r="O64" s="4">
        <f t="shared" si="1"/>
        <v>0</v>
      </c>
    </row>
    <row r="65" spans="1:15" x14ac:dyDescent="0.25">
      <c r="A65" s="8">
        <v>4</v>
      </c>
      <c r="B65" s="9" t="s">
        <v>75</v>
      </c>
      <c r="C65" s="8">
        <v>100158</v>
      </c>
      <c r="D65" s="9" t="s">
        <v>78</v>
      </c>
      <c r="E65" s="10">
        <v>96.779999999999987</v>
      </c>
      <c r="F65" s="15"/>
      <c r="G65" s="15"/>
      <c r="H65" s="15"/>
      <c r="I65" s="15"/>
      <c r="J65" s="15"/>
      <c r="K65" s="15"/>
      <c r="L65" s="15"/>
      <c r="M65" s="15"/>
      <c r="N65" s="2">
        <f t="shared" si="0"/>
        <v>0</v>
      </c>
      <c r="O65" s="4">
        <f t="shared" si="1"/>
        <v>0</v>
      </c>
    </row>
    <row r="66" spans="1:15" x14ac:dyDescent="0.25">
      <c r="A66" s="8">
        <v>4</v>
      </c>
      <c r="B66" s="9" t="s">
        <v>75</v>
      </c>
      <c r="C66" s="8">
        <v>110322</v>
      </c>
      <c r="D66" s="9" t="s">
        <v>10</v>
      </c>
      <c r="E66" s="10">
        <v>100.92800000000001</v>
      </c>
      <c r="F66" s="15"/>
      <c r="G66" s="12"/>
      <c r="H66" s="12"/>
      <c r="I66" s="12"/>
      <c r="J66" s="12"/>
      <c r="K66" s="15"/>
      <c r="L66" s="12"/>
      <c r="M66" s="12"/>
      <c r="N66" s="2">
        <f t="shared" si="0"/>
        <v>0</v>
      </c>
      <c r="O66" s="4">
        <f t="shared" si="1"/>
        <v>0</v>
      </c>
    </row>
    <row r="67" spans="1:15" x14ac:dyDescent="0.25">
      <c r="A67" s="8">
        <v>4</v>
      </c>
      <c r="B67" s="9" t="s">
        <v>75</v>
      </c>
      <c r="C67" s="8">
        <v>100184</v>
      </c>
      <c r="D67" s="9" t="s">
        <v>79</v>
      </c>
      <c r="E67" s="10">
        <v>63.263999999999996</v>
      </c>
      <c r="F67" s="15"/>
      <c r="G67" s="12"/>
      <c r="H67" s="12"/>
      <c r="I67" s="12"/>
      <c r="J67" s="12"/>
      <c r="K67" s="15"/>
      <c r="L67" s="12"/>
      <c r="M67" s="12"/>
      <c r="N67" s="2">
        <f t="shared" si="0"/>
        <v>0</v>
      </c>
      <c r="O67" s="4">
        <f t="shared" si="1"/>
        <v>0</v>
      </c>
    </row>
    <row r="68" spans="1:15" x14ac:dyDescent="0.25">
      <c r="A68" s="8">
        <v>4</v>
      </c>
      <c r="B68" s="9" t="s">
        <v>75</v>
      </c>
      <c r="C68" s="8">
        <v>110296</v>
      </c>
      <c r="D68" s="9" t="s">
        <v>80</v>
      </c>
      <c r="E68" s="10">
        <v>77.552000000000007</v>
      </c>
      <c r="F68" s="15"/>
      <c r="G68" s="12"/>
      <c r="H68" s="12"/>
      <c r="I68" s="12"/>
      <c r="J68" s="12"/>
      <c r="K68" s="15"/>
      <c r="L68" s="12"/>
      <c r="M68" s="12"/>
      <c r="N68" s="2">
        <f t="shared" si="0"/>
        <v>0</v>
      </c>
      <c r="O68" s="4">
        <f t="shared" si="1"/>
        <v>0</v>
      </c>
    </row>
    <row r="69" spans="1:15" x14ac:dyDescent="0.25">
      <c r="A69" s="8">
        <v>4</v>
      </c>
      <c r="B69" s="9" t="s">
        <v>75</v>
      </c>
      <c r="C69" s="8">
        <v>100173</v>
      </c>
      <c r="D69" s="9" t="s">
        <v>81</v>
      </c>
      <c r="E69" s="10">
        <v>62.144000000000005</v>
      </c>
      <c r="F69" s="15"/>
      <c r="G69" s="15"/>
      <c r="H69" s="15"/>
      <c r="I69" s="15"/>
      <c r="J69" s="15"/>
      <c r="K69" s="15"/>
      <c r="L69" s="15"/>
      <c r="M69" s="15"/>
      <c r="N69" s="2">
        <f t="shared" si="0"/>
        <v>0</v>
      </c>
      <c r="O69" s="4">
        <f t="shared" si="1"/>
        <v>0</v>
      </c>
    </row>
    <row r="70" spans="1:15" x14ac:dyDescent="0.25">
      <c r="A70" s="8">
        <v>4</v>
      </c>
      <c r="B70" s="9" t="s">
        <v>9</v>
      </c>
      <c r="C70" s="8">
        <v>100101</v>
      </c>
      <c r="D70" s="9" t="s">
        <v>82</v>
      </c>
      <c r="E70" s="10">
        <v>100.27200000000001</v>
      </c>
      <c r="F70" s="15"/>
      <c r="G70" s="15"/>
      <c r="H70" s="15"/>
      <c r="I70" s="15"/>
      <c r="J70" s="15"/>
      <c r="K70" s="15"/>
      <c r="L70" s="15"/>
      <c r="M70" s="15"/>
      <c r="N70" s="2">
        <f t="shared" si="0"/>
        <v>0</v>
      </c>
      <c r="O70" s="4">
        <f t="shared" si="1"/>
        <v>0</v>
      </c>
    </row>
    <row r="71" spans="1:15" x14ac:dyDescent="0.25">
      <c r="A71" s="8">
        <v>4</v>
      </c>
      <c r="B71" s="9" t="s">
        <v>9</v>
      </c>
      <c r="C71" s="8">
        <v>100117</v>
      </c>
      <c r="D71" s="9" t="s">
        <v>83</v>
      </c>
      <c r="E71" s="10">
        <v>57.138000000000005</v>
      </c>
      <c r="F71" s="15"/>
      <c r="G71" s="15"/>
      <c r="H71" s="15"/>
      <c r="I71" s="15"/>
      <c r="J71" s="15"/>
      <c r="K71" s="15"/>
      <c r="L71" s="15"/>
      <c r="M71" s="15"/>
      <c r="N71" s="2">
        <f t="shared" ref="N71:N76" si="2">SUM(F71:M71)</f>
        <v>0</v>
      </c>
      <c r="O71" s="4">
        <f t="shared" ref="O71:O76" si="3">N71*E71</f>
        <v>0</v>
      </c>
    </row>
    <row r="72" spans="1:15" x14ac:dyDescent="0.25">
      <c r="A72" s="8">
        <v>4</v>
      </c>
      <c r="B72" s="9" t="s">
        <v>9</v>
      </c>
      <c r="C72" s="8">
        <v>100046</v>
      </c>
      <c r="D72" s="9" t="s">
        <v>84</v>
      </c>
      <c r="E72" s="10">
        <v>31.814999999999998</v>
      </c>
      <c r="F72" s="15"/>
      <c r="G72" s="12"/>
      <c r="H72" s="12"/>
      <c r="I72" s="12"/>
      <c r="J72" s="12"/>
      <c r="K72" s="15"/>
      <c r="L72" s="12"/>
      <c r="M72" s="12"/>
      <c r="N72" s="2">
        <f t="shared" si="2"/>
        <v>0</v>
      </c>
      <c r="O72" s="4">
        <f t="shared" si="3"/>
        <v>0</v>
      </c>
    </row>
    <row r="73" spans="1:15" x14ac:dyDescent="0.25">
      <c r="A73" s="8">
        <v>4</v>
      </c>
      <c r="B73" s="9" t="s">
        <v>9</v>
      </c>
      <c r="C73" s="8">
        <v>100121</v>
      </c>
      <c r="D73" s="9" t="s">
        <v>85</v>
      </c>
      <c r="E73" s="10">
        <v>72.420000000000016</v>
      </c>
      <c r="F73" s="15"/>
      <c r="G73" s="15"/>
      <c r="H73" s="15"/>
      <c r="I73" s="15"/>
      <c r="J73" s="15"/>
      <c r="K73" s="15"/>
      <c r="L73" s="15"/>
      <c r="M73" s="15"/>
      <c r="N73" s="2">
        <f t="shared" si="2"/>
        <v>0</v>
      </c>
      <c r="O73" s="4">
        <f t="shared" si="3"/>
        <v>0</v>
      </c>
    </row>
    <row r="74" spans="1:15" x14ac:dyDescent="0.25">
      <c r="A74" s="8">
        <v>4</v>
      </c>
      <c r="B74" s="9" t="s">
        <v>9</v>
      </c>
      <c r="C74" s="8">
        <v>100126</v>
      </c>
      <c r="D74" s="9" t="s">
        <v>86</v>
      </c>
      <c r="E74" s="10">
        <v>71.555999999999997</v>
      </c>
      <c r="F74" s="15"/>
      <c r="G74" s="12"/>
      <c r="H74" s="12"/>
      <c r="I74" s="12"/>
      <c r="J74" s="12"/>
      <c r="K74" s="15"/>
      <c r="L74" s="12"/>
      <c r="M74" s="12"/>
      <c r="N74" s="2">
        <f t="shared" si="2"/>
        <v>0</v>
      </c>
      <c r="O74" s="4">
        <f t="shared" si="3"/>
        <v>0</v>
      </c>
    </row>
    <row r="75" spans="1:15" x14ac:dyDescent="0.25">
      <c r="A75" s="8">
        <v>4</v>
      </c>
      <c r="B75" s="9" t="s">
        <v>9</v>
      </c>
      <c r="C75" s="8">
        <v>100125</v>
      </c>
      <c r="D75" s="9" t="s">
        <v>87</v>
      </c>
      <c r="E75" s="10">
        <v>85.912000000000006</v>
      </c>
      <c r="F75" s="15"/>
      <c r="G75" s="15"/>
      <c r="H75" s="15"/>
      <c r="I75" s="15"/>
      <c r="J75" s="15"/>
      <c r="K75" s="15"/>
      <c r="L75" s="15"/>
      <c r="M75" s="15"/>
      <c r="N75" s="2">
        <f t="shared" si="2"/>
        <v>0</v>
      </c>
      <c r="O75" s="4">
        <f t="shared" si="3"/>
        <v>0</v>
      </c>
    </row>
    <row r="76" spans="1:15" x14ac:dyDescent="0.25">
      <c r="A76" s="8">
        <v>4</v>
      </c>
      <c r="B76" s="9" t="s">
        <v>9</v>
      </c>
      <c r="C76" s="8">
        <v>100119</v>
      </c>
      <c r="D76" s="9" t="s">
        <v>88</v>
      </c>
      <c r="E76" s="10">
        <v>55.2</v>
      </c>
      <c r="F76" s="15"/>
      <c r="G76" s="12"/>
      <c r="H76" s="12"/>
      <c r="I76" s="12"/>
      <c r="J76" s="12"/>
      <c r="K76" s="15"/>
      <c r="L76" s="12"/>
      <c r="M76" s="12"/>
      <c r="N76" s="2">
        <f t="shared" si="2"/>
        <v>0</v>
      </c>
      <c r="O76" s="4">
        <f t="shared" si="3"/>
        <v>0</v>
      </c>
    </row>
    <row r="77" spans="1:15" x14ac:dyDescent="0.25">
      <c r="E77" s="13" t="s">
        <v>101</v>
      </c>
      <c r="F77" s="2">
        <f>SUM(F6:F76)</f>
        <v>0</v>
      </c>
      <c r="G77" s="2">
        <f t="shared" ref="G77:M77" si="4">SUM(G6:G76)</f>
        <v>0</v>
      </c>
      <c r="H77" s="2">
        <f t="shared" si="4"/>
        <v>0</v>
      </c>
      <c r="I77" s="2">
        <f t="shared" si="4"/>
        <v>0</v>
      </c>
      <c r="J77" s="2">
        <f t="shared" si="4"/>
        <v>0</v>
      </c>
      <c r="K77" s="2">
        <f t="shared" si="4"/>
        <v>0</v>
      </c>
      <c r="L77" s="2">
        <f t="shared" si="4"/>
        <v>0</v>
      </c>
      <c r="M77" s="2">
        <f t="shared" si="4"/>
        <v>0</v>
      </c>
    </row>
    <row r="78" spans="1:15" x14ac:dyDescent="0.25">
      <c r="A78" s="16" t="s">
        <v>103</v>
      </c>
    </row>
  </sheetData>
  <sheetProtection sheet="1" objects="1" scenarios="1"/>
  <conditionalFormatting sqref="D5:E76">
    <cfRule type="containsText" dxfId="0" priority="1" operator="containsText" text="fresh">
      <formula>NOT(ISERROR(SEARCH("fresh",D5)))</formula>
    </cfRule>
  </conditionalFormatting>
  <dataValidations count="9">
    <dataValidation allowBlank="1" showInputMessage="1" showErrorMessage="1" prompt="Enter Estimated Entitlement from CLiCS 1 Customer Profile Screen" sqref="D2"/>
    <dataValidation allowBlank="1" showInputMessage="1" showErrorMessage="1" prompt="Enter Number of Cases to be Delivered in August" sqref="F23:F24 F35:F36 F39:F44 F52:F55 F60:F76 F6:F19"/>
    <dataValidation allowBlank="1" showInputMessage="1" showErrorMessage="1" prompt="Enter Number of Cases to be Delivered in September" sqref="G6:G12 G39 G43:G50 G52:G54 G60:G62 G64:G65 G69:G71 G73 G75 G27:G37 G14 G16 G20:G25 G57"/>
    <dataValidation allowBlank="1" showInputMessage="1" showErrorMessage="1" prompt="Enter Number of Cases to be Delivered in October" sqref="H6:H12 H43:H47 H59:H62 H64:H65 H69:H71 H73 H75 H49:H54 H28:H39 H14 H16 H20:H26 H56:H57"/>
    <dataValidation allowBlank="1" showInputMessage="1" showErrorMessage="1" prompt="Enter Number of Cases to be Delivered in November" sqref="I6:I12 I43:I47 I64:I65 I69:I71 I73 I75 I49:I54 I28:I39 I14 I16 I20:I25 I56:I62"/>
    <dataValidation allowBlank="1" showInputMessage="1" showErrorMessage="1" prompt="Enter Number of Cases to be Delivered in December" sqref="J6:J12 J59:J62 J64:J65 J69:J71 J73 J75 J49:J54 J28:J47 J14 J16 J19:J25 J56:J57"/>
    <dataValidation allowBlank="1" showInputMessage="1" showErrorMessage="1" prompt="Enter Number of Cases to be Delivered in January" sqref="K6:K18 K43:K47 K20:K25 K49:K57 K27:K39 K59:K76"/>
    <dataValidation allowBlank="1" showInputMessage="1" showErrorMessage="1" prompt="Enter Number of Cases to be Delivered in February" sqref="L6:L12 L75 L64:L65 L69:L71 L73 L43:L54 L28:L39 L14 L16 L20:L26 L56:L62"/>
    <dataValidation allowBlank="1" showInputMessage="1" showErrorMessage="1" prompt="Enter Number of Cases to be Delivered in March" sqref="M6:M12 M43:M47 M59:M62 M64:M65 M69:M71 M73 M75 M49:M54 M28:M39 M14 M16 M20:M25 M56:M57"/>
  </dataValidations>
  <pageMargins left="0.25" right="0.25" top="0.75" bottom="0.75" header="0.3" footer="0.3"/>
  <pageSetup orientation="landscape" r:id="rId1"/>
  <ignoredErrors>
    <ignoredError sqref="N6:N7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Entitlement Usage</vt:lpstr>
      <vt:lpstr>'Entitlement Usage'!Print_Area</vt:lpstr>
      <vt:lpstr>titleregion1.c5.m76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Rank, Tony</dc:creator>
  <cp:lastModifiedBy>Stiehl, Jacqueline</cp:lastModifiedBy>
  <cp:lastPrinted>2014-03-06T12:32:35Z</cp:lastPrinted>
  <dcterms:created xsi:type="dcterms:W3CDTF">2013-02-19T16:48:47Z</dcterms:created>
  <dcterms:modified xsi:type="dcterms:W3CDTF">2014-03-06T12:38:12Z</dcterms:modified>
</cp:coreProperties>
</file>