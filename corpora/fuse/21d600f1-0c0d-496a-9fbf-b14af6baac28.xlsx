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externalLinks/externalLink1.xml" ContentType="application/vnd.openxmlformats-officedocument.spreadsheetml.externalLink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3955" windowHeight="11055" tabRatio="0"/>
  </bookViews>
  <sheets>
    <sheet name="Totals" sheetId="1" r:id="rId1"/>
  </sheets>
  <externalReferences>
    <externalReference r:id="rId2"/>
    <externalReference r:id="rId3"/>
    <externalReference r:id="rId4"/>
  </externalReferences>
  <calcPr calcId="145621"/>
</workbook>
</file>

<file path=xl/calcChain.xml><?xml version="1.0" encoding="utf-8"?>
<calcChain xmlns="http://schemas.openxmlformats.org/spreadsheetml/2006/main">
  <c r="P44" i="1" l="1"/>
  <c r="P36" i="1"/>
  <c r="P37" i="1"/>
  <c r="P38" i="1"/>
  <c r="P39" i="1"/>
  <c r="P40" i="1"/>
  <c r="P41" i="1"/>
  <c r="P42" i="1"/>
  <c r="P43" i="1"/>
  <c r="P35" i="1"/>
  <c r="P6" i="1"/>
  <c r="P7" i="1"/>
  <c r="P8" i="1"/>
  <c r="P9" i="1"/>
  <c r="P10" i="1"/>
  <c r="P11" i="1"/>
  <c r="P12" i="1"/>
  <c r="P13" i="1"/>
  <c r="P14" i="1"/>
  <c r="P5" i="1"/>
  <c r="P21" i="1" l="1"/>
  <c r="P29" i="1"/>
  <c r="P27" i="1"/>
  <c r="P25" i="1"/>
  <c r="P23" i="1"/>
  <c r="P28" i="1"/>
  <c r="P26" i="1"/>
  <c r="P24" i="1"/>
  <c r="P22" i="1"/>
  <c r="B32" i="1"/>
  <c r="B18" i="1"/>
  <c r="E5" i="1"/>
  <c r="F5" i="1"/>
  <c r="G5" i="1"/>
  <c r="H5" i="1"/>
  <c r="I5" i="1"/>
  <c r="J5" i="1"/>
  <c r="K5" i="1"/>
  <c r="L5" i="1"/>
  <c r="M5" i="1"/>
  <c r="N5" i="1"/>
  <c r="O5" i="1"/>
  <c r="E6" i="1"/>
  <c r="F6" i="1"/>
  <c r="G6" i="1"/>
  <c r="H6" i="1"/>
  <c r="I6" i="1"/>
  <c r="J6" i="1"/>
  <c r="K6" i="1"/>
  <c r="L6" i="1"/>
  <c r="M6" i="1"/>
  <c r="N6" i="1"/>
  <c r="O6" i="1"/>
  <c r="E7" i="1"/>
  <c r="F7" i="1"/>
  <c r="G7" i="1"/>
  <c r="H7" i="1"/>
  <c r="I7" i="1"/>
  <c r="J7" i="1"/>
  <c r="K7" i="1"/>
  <c r="L7" i="1"/>
  <c r="M7" i="1"/>
  <c r="N7" i="1"/>
  <c r="O7" i="1"/>
  <c r="E8" i="1"/>
  <c r="F8" i="1"/>
  <c r="G8" i="1"/>
  <c r="H8" i="1"/>
  <c r="I8" i="1"/>
  <c r="J8" i="1"/>
  <c r="K8" i="1"/>
  <c r="L8" i="1"/>
  <c r="M8" i="1"/>
  <c r="N8" i="1"/>
  <c r="O8" i="1"/>
  <c r="E9" i="1"/>
  <c r="F9" i="1"/>
  <c r="G9" i="1"/>
  <c r="H9" i="1"/>
  <c r="I9" i="1"/>
  <c r="J9" i="1"/>
  <c r="K9" i="1"/>
  <c r="L9" i="1"/>
  <c r="M9" i="1"/>
  <c r="N9" i="1"/>
  <c r="O9" i="1"/>
  <c r="E10" i="1"/>
  <c r="F10" i="1"/>
  <c r="G10" i="1"/>
  <c r="H10" i="1"/>
  <c r="I10" i="1"/>
  <c r="J10" i="1"/>
  <c r="K10" i="1"/>
  <c r="L10" i="1"/>
  <c r="M10" i="1"/>
  <c r="N10" i="1"/>
  <c r="O10" i="1"/>
  <c r="E11" i="1"/>
  <c r="F11" i="1"/>
  <c r="G11" i="1"/>
  <c r="H11" i="1"/>
  <c r="I11" i="1"/>
  <c r="J11" i="1"/>
  <c r="K11" i="1"/>
  <c r="L11" i="1"/>
  <c r="M11" i="1"/>
  <c r="N11" i="1"/>
  <c r="O11" i="1"/>
  <c r="E12" i="1"/>
  <c r="F12" i="1"/>
  <c r="G12" i="1"/>
  <c r="H12" i="1"/>
  <c r="I12" i="1"/>
  <c r="J12" i="1"/>
  <c r="K12" i="1"/>
  <c r="L12" i="1"/>
  <c r="M12" i="1"/>
  <c r="N12" i="1"/>
  <c r="O12" i="1"/>
  <c r="E13" i="1"/>
  <c r="F13" i="1"/>
  <c r="G13" i="1"/>
  <c r="H13" i="1"/>
  <c r="I13" i="1"/>
  <c r="J13" i="1"/>
  <c r="K13" i="1"/>
  <c r="L13" i="1"/>
  <c r="M13" i="1"/>
  <c r="N13" i="1"/>
  <c r="O13" i="1"/>
  <c r="E14" i="1"/>
  <c r="F14" i="1"/>
  <c r="G14" i="1"/>
  <c r="H14" i="1"/>
  <c r="I14" i="1"/>
  <c r="J14" i="1"/>
  <c r="K14" i="1"/>
  <c r="L14" i="1"/>
  <c r="M14" i="1"/>
  <c r="N14" i="1"/>
  <c r="O14" i="1"/>
  <c r="B6" i="1"/>
  <c r="C6" i="1"/>
  <c r="D6" i="1"/>
  <c r="B7" i="1"/>
  <c r="C7" i="1"/>
  <c r="D7" i="1"/>
  <c r="B8" i="1"/>
  <c r="C8" i="1"/>
  <c r="D8" i="1"/>
  <c r="B9" i="1"/>
  <c r="C9" i="1"/>
  <c r="D9" i="1"/>
  <c r="B10" i="1"/>
  <c r="C10" i="1"/>
  <c r="D10" i="1"/>
  <c r="B11" i="1"/>
  <c r="C11" i="1"/>
  <c r="D11" i="1"/>
  <c r="B12" i="1"/>
  <c r="C12" i="1"/>
  <c r="D12" i="1"/>
  <c r="B13" i="1"/>
  <c r="C13" i="1"/>
  <c r="D13" i="1"/>
  <c r="B14" i="1"/>
  <c r="C14" i="1"/>
  <c r="D14" i="1"/>
  <c r="C5" i="1"/>
  <c r="C21" i="1" s="1"/>
  <c r="D5" i="1"/>
  <c r="D21" i="1" s="1"/>
  <c r="B5" i="1"/>
  <c r="B21" i="1" l="1"/>
  <c r="D29" i="1"/>
  <c r="B29" i="1"/>
  <c r="C28" i="1"/>
  <c r="D27" i="1"/>
  <c r="B27" i="1"/>
  <c r="C26" i="1"/>
  <c r="D25" i="1"/>
  <c r="B25" i="1"/>
  <c r="C24" i="1"/>
  <c r="D23" i="1"/>
  <c r="B23" i="1"/>
  <c r="C22" i="1"/>
  <c r="N29" i="1"/>
  <c r="L29" i="1"/>
  <c r="J29" i="1"/>
  <c r="H29" i="1"/>
  <c r="F29" i="1"/>
  <c r="O28" i="1"/>
  <c r="M28" i="1"/>
  <c r="K28" i="1"/>
  <c r="I28" i="1"/>
  <c r="G28" i="1"/>
  <c r="E28" i="1"/>
  <c r="N27" i="1"/>
  <c r="L27" i="1"/>
  <c r="J27" i="1"/>
  <c r="H27" i="1"/>
  <c r="F27" i="1"/>
  <c r="O26" i="1"/>
  <c r="M26" i="1"/>
  <c r="K26" i="1"/>
  <c r="I26" i="1"/>
  <c r="G26" i="1"/>
  <c r="E26" i="1"/>
  <c r="N25" i="1"/>
  <c r="L25" i="1"/>
  <c r="J25" i="1"/>
  <c r="H25" i="1"/>
  <c r="F25" i="1"/>
  <c r="O24" i="1"/>
  <c r="M24" i="1"/>
  <c r="K24" i="1"/>
  <c r="I24" i="1"/>
  <c r="G24" i="1"/>
  <c r="E24" i="1"/>
  <c r="N23" i="1"/>
  <c r="L23" i="1"/>
  <c r="J23" i="1"/>
  <c r="H23" i="1"/>
  <c r="F23" i="1"/>
  <c r="O22" i="1"/>
  <c r="M22" i="1"/>
  <c r="K22" i="1"/>
  <c r="I22" i="1"/>
  <c r="G22" i="1"/>
  <c r="E22" i="1"/>
  <c r="N21" i="1"/>
  <c r="L21" i="1"/>
  <c r="J21" i="1"/>
  <c r="H21" i="1"/>
  <c r="F21" i="1"/>
  <c r="C29" i="1"/>
  <c r="D28" i="1"/>
  <c r="B28" i="1"/>
  <c r="C27" i="1"/>
  <c r="D26" i="1"/>
  <c r="B26" i="1"/>
  <c r="C25" i="1"/>
  <c r="D24" i="1"/>
  <c r="B24" i="1"/>
  <c r="C23" i="1"/>
  <c r="D22" i="1"/>
  <c r="B22" i="1"/>
  <c r="O29" i="1"/>
  <c r="M29" i="1"/>
  <c r="K29" i="1"/>
  <c r="I29" i="1"/>
  <c r="G29" i="1"/>
  <c r="E29" i="1"/>
  <c r="N28" i="1"/>
  <c r="L28" i="1"/>
  <c r="J28" i="1"/>
  <c r="H28" i="1"/>
  <c r="F28" i="1"/>
  <c r="O27" i="1"/>
  <c r="M27" i="1"/>
  <c r="K27" i="1"/>
  <c r="I27" i="1"/>
  <c r="G27" i="1"/>
  <c r="E27" i="1"/>
  <c r="N26" i="1"/>
  <c r="L26" i="1"/>
  <c r="J26" i="1"/>
  <c r="H26" i="1"/>
  <c r="F26" i="1"/>
  <c r="O25" i="1"/>
  <c r="M25" i="1"/>
  <c r="K25" i="1"/>
  <c r="I25" i="1"/>
  <c r="G25" i="1"/>
  <c r="E25" i="1"/>
  <c r="N24" i="1"/>
  <c r="L24" i="1"/>
  <c r="J24" i="1"/>
  <c r="H24" i="1"/>
  <c r="F24" i="1"/>
  <c r="O23" i="1"/>
  <c r="M23" i="1"/>
  <c r="K23" i="1"/>
  <c r="I23" i="1"/>
  <c r="G23" i="1"/>
  <c r="E23" i="1"/>
  <c r="N22" i="1"/>
  <c r="L22" i="1"/>
  <c r="J22" i="1"/>
  <c r="H22" i="1"/>
  <c r="F22" i="1"/>
  <c r="O21" i="1"/>
  <c r="M21" i="1"/>
  <c r="K21" i="1"/>
  <c r="I21" i="1"/>
  <c r="G21" i="1"/>
  <c r="E21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<sst xmlns="http://schemas.openxmlformats.org/spreadsheetml/2006/main" count="101" uniqueCount="41">
  <si>
    <t>AY07-08</t>
  </si>
  <si>
    <t>AY08-09</t>
  </si>
  <si>
    <t>AY09-10</t>
  </si>
  <si>
    <t>AY10-11</t>
  </si>
  <si>
    <t>AY11-12</t>
  </si>
  <si>
    <t>Academic Year</t>
  </si>
  <si>
    <t>SU07</t>
  </si>
  <si>
    <t>FA07</t>
  </si>
  <si>
    <t>SP08</t>
  </si>
  <si>
    <t>SU08</t>
  </si>
  <si>
    <t>FA08</t>
  </si>
  <si>
    <t>SP09</t>
  </si>
  <si>
    <t>SU09</t>
  </si>
  <si>
    <t>FA09</t>
  </si>
  <si>
    <t>SP10</t>
  </si>
  <si>
    <t>SU10</t>
  </si>
  <si>
    <t>FA10</t>
  </si>
  <si>
    <t>SP11</t>
  </si>
  <si>
    <t>SU11</t>
  </si>
  <si>
    <t>FA11</t>
  </si>
  <si>
    <t>SP12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</si>
  <si>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</si>
  <si>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</si>
  <si>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</si>
  <si>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</si>
  <si>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</si>
  <si>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</si>
  <si>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</si>
  <si>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</si>
  <si>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>Unknown</t>
  </si>
  <si>
    <t>Term Total</t>
  </si>
  <si>
    <t>% of Total</t>
  </si>
  <si>
    <t>Credit Headcount % of Total</t>
  </si>
  <si>
    <t>Success Rate</t>
  </si>
  <si>
    <t>Term Average</t>
  </si>
  <si>
    <t>Headcount Of Credit Graded Students</t>
  </si>
  <si>
    <r>
      <t xml:space="preserve">Success rate </t>
    </r>
    <r>
      <rPr>
        <sz val="9"/>
        <color rgb="FF000000"/>
        <rFont val="Calibri"/>
        <family val="2"/>
      </rPr>
      <t xml:space="preserve">= # of “A, B, C, CR &amp; P” grades divided by (the # of all grades) “A, B, C, CR, P, D, F, NC, NP, I and W” </t>
    </r>
  </si>
  <si>
    <r>
      <rPr>
        <b/>
        <sz val="11"/>
        <color rgb="FFC00000"/>
        <rFont val="Calibri"/>
        <family val="2"/>
        <scheme val="minor"/>
      </rPr>
      <t xml:space="preserve">Ethnic </t>
    </r>
    <r>
      <rPr>
        <b/>
        <sz val="11"/>
        <color theme="1"/>
        <rFont val="Calibri"/>
        <family val="2"/>
        <scheme val="minor"/>
      </rPr>
      <t>Groups</t>
    </r>
  </si>
  <si>
    <r>
      <rPr>
        <b/>
        <sz val="11"/>
        <color rgb="FFC00000"/>
        <rFont val="Calibri"/>
        <family val="2"/>
        <scheme val="minor"/>
      </rPr>
      <t>Ethnic</t>
    </r>
    <r>
      <rPr>
        <b/>
        <sz val="11"/>
        <color theme="1"/>
        <rFont val="Calibri"/>
        <family val="2"/>
        <scheme val="minor"/>
      </rPr>
      <t xml:space="preserve"> Groups</t>
    </r>
  </si>
  <si>
    <r>
      <rPr>
        <b/>
        <sz val="9"/>
        <color theme="1"/>
        <rFont val="Calibri"/>
        <family val="2"/>
        <scheme val="minor"/>
      </rPr>
      <t>Note</t>
    </r>
    <r>
      <rPr>
        <sz val="9"/>
        <color theme="1"/>
        <rFont val="Calibri"/>
        <family val="2"/>
        <scheme val="minor"/>
      </rPr>
      <t>: district totals exclude dual enrollment data</t>
    </r>
  </si>
  <si>
    <r>
      <rPr>
        <b/>
        <sz val="12"/>
        <rFont val="Calibri"/>
        <family val="2"/>
        <scheme val="minor"/>
      </rPr>
      <t>MSJC I-15 Corridor / TEM Total</t>
    </r>
    <r>
      <rPr>
        <b/>
        <sz val="12"/>
        <color theme="5" tint="-0.249977111117893"/>
        <rFont val="Calibri"/>
        <family val="2"/>
        <scheme val="minor"/>
      </rPr>
      <t xml:space="preserve"> by Ethnic Groups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</si>
</sst>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9.9"/>
      <name val="Calibri"/>
      <family val="2"/>
    </font>
    <font>
      <b/>
      <sz val="12"/>
      <name val="Calibri"/>
      <family val="2"/>
      <scheme val="minor"/>
    </font>
    <font>
      <b/>
      <sz val="9.9"/>
      <name val="Calibri"/>
      <family val="2"/>
    </font>
    <font>
      <b/>
      <sz val="11"/>
      <color rgb="FFC00000"/>
      <name val="Calibri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b/>
      <sz val="11"/>
      <color rgb="FFC00000"/>
      <name val="Calibri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5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1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0" fontId="19" fillId="0" borderId="0"/>
    <xf numFmtId="9" fontId="19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0" fillId="0" borderId="0" xfId="0"/>
    <xf numFmtId="0" fontId="17" fillId="0" borderId="21" xfId="45" applyFont="1" applyBorder="1" applyAlignment="1">
      <alignment horizontal="center" vertical="center"/>
    </xf>
    <xf numFmtId="164" fontId="25" fillId="0" borderId="18" xfId="1" applyNumberFormat="1" applyFont="1" applyBorder="1" applyAlignment="1" applyProtection="1">
      <alignment horizontal="center" vertical="center"/>
    </xf>
    <xf numFmtId="165" fontId="25" fillId="0" borderId="18" xfId="1" applyNumberFormat="1" applyFont="1" applyBorder="1" applyAlignment="1" applyProtection="1">
      <alignment horizontal="center" vertical="center"/>
    </xf>
    <xf numFmtId="3" fontId="0" fillId="0" borderId="0" xfId="0" applyNumberFormat="1"/>
    <xf numFmtId="10" fontId="0" fillId="0" borderId="0" xfId="2" applyNumberFormat="1" applyFont="1"/>
    <xf numFmtId="164" fontId="0" fillId="0" borderId="0" xfId="0" applyNumberFormat="1"/>
    <xf numFmtId="0" fontId="27" fillId="0" borderId="22" xfId="47" applyFont="1" applyBorder="1" applyAlignment="1" applyProtection="1"/>
    <xf numFmtId="0" fontId="27" fillId="0" borderId="23" xfId="47" applyFont="1" applyBorder="1" applyAlignment="1" applyProtection="1"/>
    <xf numFmtId="0" fontId="27" fillId="0" borderId="28" xfId="47" applyFont="1" applyBorder="1" applyAlignment="1" applyProtection="1"/>
    <xf numFmtId="0" fontId="27" fillId="0" borderId="12" xfId="47" applyFont="1" applyFill="1" applyBorder="1" applyAlignment="1" applyProtection="1"/>
    <xf numFmtId="9" fontId="25" fillId="0" borderId="17" xfId="1" applyNumberFormat="1" applyFont="1" applyBorder="1" applyAlignment="1" applyProtection="1">
      <alignment horizontal="center" vertical="center"/>
    </xf>
    <xf numFmtId="0" fontId="29" fillId="0" borderId="0" xfId="0" applyFont="1" applyAlignment="1">
      <alignment vertical="center"/>
    </xf>
    <xf numFmtId="0" fontId="27" fillId="0" borderId="32" xfId="47" applyFont="1" applyBorder="1" applyAlignment="1" applyProtection="1"/>
    <xf numFmtId="0" fontId="27" fillId="0" borderId="21" xfId="47" applyFont="1" applyBorder="1" applyAlignment="1" applyProtection="1"/>
    <xf numFmtId="0" fontId="31" fillId="0" borderId="21" xfId="47" applyFont="1" applyBorder="1" applyAlignment="1" applyProtection="1">
      <alignment horizontal="center" vertical="center"/>
    </xf>
    <xf numFmtId="164" fontId="25" fillId="0" borderId="31" xfId="1" applyNumberFormat="1" applyFont="1" applyBorder="1" applyAlignment="1" applyProtection="1">
      <alignment horizontal="center" vertical="center"/>
    </xf>
    <xf numFmtId="164" fontId="25" fillId="0" borderId="17" xfId="1" applyNumberFormat="1" applyFont="1" applyBorder="1" applyAlignment="1" applyProtection="1">
      <alignment horizontal="center" vertical="center"/>
    </xf>
    <xf numFmtId="165" fontId="25" fillId="0" borderId="31" xfId="1" applyNumberFormat="1" applyFont="1" applyBorder="1" applyAlignment="1" applyProtection="1">
      <alignment horizontal="center" vertical="center"/>
    </xf>
    <xf numFmtId="165" fontId="25" fillId="0" borderId="16" xfId="1" applyNumberFormat="1" applyFont="1" applyBorder="1" applyAlignment="1" applyProtection="1">
      <alignment horizontal="center" vertical="center"/>
    </xf>
    <xf numFmtId="165" fontId="25" fillId="0" borderId="15" xfId="1" applyNumberFormat="1" applyFont="1" applyBorder="1" applyAlignment="1" applyProtection="1">
      <alignment horizontal="center" vertical="center"/>
    </xf>
    <xf numFmtId="0" fontId="32" fillId="0" borderId="0" xfId="58" applyFont="1"/>
    <xf numFmtId="165" fontId="25" fillId="0" borderId="33" xfId="1" applyNumberFormat="1" applyFont="1" applyBorder="1" applyAlignment="1" applyProtection="1">
      <alignment horizontal="center" vertical="center"/>
    </xf>
    <xf numFmtId="165" fontId="25" fillId="0" borderId="17" xfId="1" applyNumberFormat="1" applyFont="1" applyBorder="1" applyAlignment="1" applyProtection="1">
      <alignment horizontal="center" vertical="center"/>
    </xf>
    <xf numFmtId="0" fontId="24" fillId="33" borderId="40" xfId="45" applyFont="1" applyFill="1" applyBorder="1" applyAlignment="1">
      <alignment horizontal="center" vertical="center"/>
    </xf>
    <xf numFmtId="0" fontId="24" fillId="33" borderId="41" xfId="45" applyFont="1" applyFill="1" applyBorder="1" applyAlignment="1">
      <alignment horizontal="center" vertical="center"/>
    </xf>
    <xf numFmtId="0" fontId="24" fillId="33" borderId="42" xfId="45" applyFont="1" applyFill="1" applyBorder="1" applyAlignment="1">
      <alignment horizontal="center" vertical="center"/>
    </xf>
    <xf numFmtId="0" fontId="23" fillId="34" borderId="43" xfId="45" applyFont="1" applyFill="1" applyBorder="1" applyAlignment="1">
      <alignment horizontal="center" vertical="center"/>
    </xf>
    <xf numFmtId="0" fontId="23" fillId="34" borderId="41" xfId="45" applyFont="1" applyFill="1" applyBorder="1" applyAlignment="1">
      <alignment horizontal="center" vertical="center"/>
    </xf>
    <xf numFmtId="0" fontId="23" fillId="34" borderId="42" xfId="45" applyFont="1" applyFill="1" applyBorder="1" applyAlignment="1">
      <alignment horizontal="center" vertical="center"/>
    </xf>
    <xf numFmtId="0" fontId="24" fillId="33" borderId="43" xfId="45" applyFont="1" applyFill="1" applyBorder="1" applyAlignment="1">
      <alignment horizontal="center" vertical="center"/>
    </xf>
    <xf numFmtId="0" fontId="24" fillId="33" borderId="44" xfId="45" applyFont="1" applyFill="1" applyBorder="1" applyAlignment="1">
      <alignment horizontal="center" vertical="center"/>
    </xf>
    <xf numFmtId="0" fontId="23" fillId="34" borderId="40" xfId="45" applyFont="1" applyFill="1" applyBorder="1" applyAlignment="1">
      <alignment horizontal="center" vertical="center"/>
    </xf>
    <xf numFmtId="9" fontId="27" fillId="0" borderId="34" xfId="1" applyNumberFormat="1" applyFont="1" applyBorder="1" applyAlignment="1" applyProtection="1">
      <alignment horizontal="center" vertical="center"/>
    </xf>
    <xf numFmtId="9" fontId="25" fillId="0" borderId="45" xfId="1" applyNumberFormat="1" applyFont="1" applyBorder="1" applyAlignment="1" applyProtection="1">
      <alignment horizontal="center" vertical="center"/>
    </xf>
    <xf numFmtId="164" fontId="25" fillId="0" borderId="15" xfId="1" applyNumberFormat="1" applyFont="1" applyBorder="1" applyAlignment="1" applyProtection="1">
      <alignment horizontal="center" vertical="center"/>
    </xf>
    <xf numFmtId="164" fontId="25" fillId="0" borderId="33" xfId="1" applyNumberFormat="1" applyFont="1" applyBorder="1" applyAlignment="1" applyProtection="1">
      <alignment horizontal="center" vertical="center"/>
    </xf>
    <xf numFmtId="164" fontId="25" fillId="0" borderId="16" xfId="1" applyNumberFormat="1" applyFont="1" applyBorder="1" applyAlignment="1" applyProtection="1">
      <alignment horizontal="center" vertical="center"/>
    </xf>
    <xf numFmtId="0" fontId="24" fillId="33" borderId="46" xfId="45" applyFont="1" applyFill="1" applyBorder="1" applyAlignment="1">
      <alignment horizontal="center" vertical="center"/>
    </xf>
    <xf numFmtId="0" fontId="24" fillId="33" borderId="47" xfId="45" applyFont="1" applyFill="1" applyBorder="1" applyAlignment="1">
      <alignment horizontal="center" vertical="center"/>
    </xf>
    <xf numFmtId="0" fontId="24" fillId="33" borderId="48" xfId="45" applyFont="1" applyFill="1" applyBorder="1" applyAlignment="1">
      <alignment horizontal="center" vertical="center"/>
    </xf>
    <xf numFmtId="3" fontId="31" fillId="0" borderId="34" xfId="1" applyNumberFormat="1" applyFont="1" applyFill="1" applyBorder="1" applyAlignment="1" applyProtection="1">
      <alignment horizontal="center" vertical="center"/>
    </xf>
    <xf numFmtId="3" fontId="31" fillId="0" borderId="35" xfId="1" applyNumberFormat="1" applyFont="1" applyFill="1" applyBorder="1" applyAlignment="1" applyProtection="1">
      <alignment horizontal="center" vertical="center"/>
    </xf>
    <xf numFmtId="3" fontId="31" fillId="0" borderId="27" xfId="1" applyNumberFormat="1" applyFont="1" applyFill="1" applyBorder="1" applyAlignment="1" applyProtection="1">
      <alignment horizontal="center" vertical="center"/>
    </xf>
    <xf numFmtId="3" fontId="31" fillId="0" borderId="36" xfId="1" applyNumberFormat="1" applyFont="1" applyFill="1" applyBorder="1" applyAlignment="1" applyProtection="1">
      <alignment horizontal="center" vertical="center"/>
    </xf>
    <xf numFmtId="3" fontId="31" fillId="0" borderId="21" xfId="1" applyNumberFormat="1" applyFont="1" applyFill="1" applyBorder="1" applyAlignment="1" applyProtection="1">
      <alignment horizontal="center" vertical="center"/>
    </xf>
    <xf numFmtId="3" fontId="31" fillId="0" borderId="49" xfId="1" applyNumberFormat="1" applyFont="1" applyFill="1" applyBorder="1" applyAlignment="1" applyProtection="1">
      <alignment horizontal="center" vertical="center"/>
    </xf>
    <xf numFmtId="3" fontId="31" fillId="0" borderId="50" xfId="1" applyNumberFormat="1" applyFont="1" applyFill="1" applyBorder="1" applyAlignment="1" applyProtection="1">
      <alignment horizontal="center" vertical="center"/>
    </xf>
    <xf numFmtId="3" fontId="31" fillId="0" borderId="12" xfId="1" applyNumberFormat="1" applyFont="1" applyFill="1" applyBorder="1" applyAlignment="1" applyProtection="1">
      <alignment horizontal="center" vertical="center"/>
    </xf>
    <xf numFmtId="3" fontId="31" fillId="0" borderId="13" xfId="1" applyNumberFormat="1" applyFont="1" applyFill="1" applyBorder="1" applyAlignment="1" applyProtection="1">
      <alignment horizontal="center" vertical="center"/>
    </xf>
    <xf numFmtId="3" fontId="31" fillId="0" borderId="14" xfId="1" applyNumberFormat="1" applyFont="1" applyFill="1" applyBorder="1" applyAlignment="1" applyProtection="1">
      <alignment horizontal="center" vertical="center"/>
    </xf>
    <xf numFmtId="0" fontId="28" fillId="35" borderId="10" xfId="10" applyFont="1" applyFill="1" applyBorder="1" applyAlignment="1">
      <alignment horizontal="center" vertical="center" wrapText="1"/>
    </xf>
    <xf numFmtId="0" fontId="28" fillId="35" borderId="11" xfId="10" applyFont="1" applyFill="1" applyBorder="1" applyAlignment="1">
      <alignment horizontal="center" vertical="center" wrapText="1"/>
    </xf>
    <xf numFmtId="0" fontId="28" fillId="35" borderId="12" xfId="10" applyFont="1" applyFill="1" applyBorder="1" applyAlignment="1">
      <alignment horizontal="center" vertical="center" wrapText="1"/>
    </xf>
    <xf numFmtId="0" fontId="20" fillId="35" borderId="24" xfId="45" applyFont="1" applyFill="1" applyBorder="1" applyAlignment="1">
      <alignment horizontal="center"/>
    </xf>
    <xf numFmtId="0" fontId="20" fillId="35" borderId="25" xfId="45" applyFont="1" applyFill="1" applyBorder="1" applyAlignment="1">
      <alignment horizontal="center"/>
    </xf>
    <xf numFmtId="0" fontId="20" fillId="35" borderId="26" xfId="45" applyFont="1" applyFill="1" applyBorder="1" applyAlignment="1">
      <alignment horizontal="center"/>
    </xf>
    <xf numFmtId="0" fontId="26" fillId="35" borderId="20" xfId="45" applyFont="1" applyFill="1" applyBorder="1" applyAlignment="1">
      <alignment horizontal="center"/>
    </xf>
    <xf numFmtId="0" fontId="26" fillId="35" borderId="0" xfId="45" applyFont="1" applyFill="1" applyBorder="1" applyAlignment="1">
      <alignment horizontal="center"/>
    </xf>
    <xf numFmtId="0" fontId="26" fillId="35" borderId="13" xfId="45" applyFont="1" applyFill="1" applyBorder="1" applyAlignment="1">
      <alignment horizontal="center"/>
    </xf>
    <xf numFmtId="0" fontId="26" fillId="35" borderId="14" xfId="45" applyFont="1" applyFill="1" applyBorder="1" applyAlignment="1">
      <alignment horizontal="center"/>
    </xf>
    <xf numFmtId="0" fontId="24" fillId="33" borderId="30" xfId="45" applyFont="1" applyFill="1" applyBorder="1" applyAlignment="1">
      <alignment horizontal="center" vertical="center"/>
    </xf>
    <xf numFmtId="0" fontId="24" fillId="33" borderId="37" xfId="45" applyFont="1" applyFill="1" applyBorder="1" applyAlignment="1">
      <alignment horizontal="center" vertical="center"/>
    </xf>
    <xf numFmtId="0" fontId="24" fillId="33" borderId="29" xfId="45" applyFont="1" applyFill="1" applyBorder="1" applyAlignment="1">
      <alignment horizontal="center" vertical="center"/>
    </xf>
    <xf numFmtId="0" fontId="23" fillId="34" borderId="39" xfId="45" applyFont="1" applyFill="1" applyBorder="1" applyAlignment="1">
      <alignment horizontal="center" vertical="center"/>
    </xf>
    <xf numFmtId="0" fontId="23" fillId="34" borderId="37" xfId="45" applyFont="1" applyFill="1" applyBorder="1" applyAlignment="1">
      <alignment horizontal="center" vertical="center"/>
    </xf>
    <xf numFmtId="0" fontId="23" fillId="34" borderId="29" xfId="45" applyFont="1" applyFill="1" applyBorder="1" applyAlignment="1">
      <alignment horizontal="center" vertical="center"/>
    </xf>
    <xf numFmtId="0" fontId="24" fillId="33" borderId="39" xfId="45" applyFont="1" applyFill="1" applyBorder="1" applyAlignment="1">
      <alignment horizontal="center" vertical="center"/>
    </xf>
    <xf numFmtId="0" fontId="24" fillId="33" borderId="38" xfId="45" applyFont="1" applyFill="1" applyBorder="1" applyAlignment="1">
      <alignment horizontal="center" vertical="center"/>
    </xf>
    <xf numFmtId="0" fontId="23" fillId="34" borderId="30" xfId="45" applyFont="1" applyFill="1" applyBorder="1" applyAlignment="1">
      <alignment horizontal="center" vertical="center"/>
    </xf>
    <xf numFmtId="0" fontId="23" fillId="35" borderId="10" xfId="10" applyFont="1" applyFill="1" applyBorder="1" applyAlignment="1">
      <alignment horizontal="center" vertical="center" wrapText="1"/>
    </xf>
    <xf numFmtId="0" fontId="23" fillId="35" borderId="11" xfId="10" applyFont="1" applyFill="1" applyBorder="1" applyAlignment="1">
      <alignment horizontal="center" vertical="center" wrapText="1"/>
    </xf>
    <xf numFmtId="0" fontId="23" fillId="35" borderId="12" xfId="10" applyFont="1" applyFill="1" applyBorder="1" applyAlignment="1">
      <alignment horizontal="center" vertical="center" wrapText="1"/>
    </xf>
    <xf numFmtId="0" fontId="20" fillId="35" borderId="20" xfId="45" applyFont="1" applyFill="1" applyBorder="1" applyAlignment="1">
      <alignment horizontal="center"/>
    </xf>
    <xf numFmtId="0" fontId="20" fillId="35" borderId="0" xfId="45" applyFont="1" applyFill="1" applyBorder="1" applyAlignment="1">
      <alignment horizontal="center"/>
    </xf>
    <xf numFmtId="0" fontId="20" fillId="35" borderId="19" xfId="45" applyFont="1" applyFill="1" applyBorder="1" applyAlignment="1">
      <alignment horizontal="center"/>
    </xf>
    <xf numFmtId="0" fontId="20" fillId="35" borderId="13" xfId="45" applyFont="1" applyFill="1" applyBorder="1" applyAlignment="1">
      <alignment horizontal="center"/>
    </xf>
    <xf numFmtId="0" fontId="20" fillId="35" borderId="14" xfId="45" applyFont="1" applyFill="1" applyBorder="1" applyAlignment="1">
      <alignment horizontal="center"/>
    </xf>
  </cellXfs>
  <cellStyles count="115">
    <cellStyle name="20% - Accent1" xfId="21" builtinId="30" customBuiltin="1"/>
    <cellStyle name="20% - Accent1 2" xfId="76"/>
    <cellStyle name="20% - Accent2" xfId="25" builtinId="34" customBuiltin="1"/>
    <cellStyle name="20% - Accent2 2" xfId="80"/>
    <cellStyle name="20% - Accent3" xfId="29" builtinId="38" customBuiltin="1"/>
    <cellStyle name="20% - Accent3 2" xfId="84"/>
    <cellStyle name="20% - Accent4" xfId="33" builtinId="42" customBuiltin="1"/>
    <cellStyle name="20% - Accent4 2" xfId="88"/>
    <cellStyle name="20% - Accent5" xfId="37" builtinId="46" customBuiltin="1"/>
    <cellStyle name="20% - Accent5 2" xfId="92"/>
    <cellStyle name="20% - Accent6" xfId="41" builtinId="50" customBuiltin="1"/>
    <cellStyle name="20% - Accent6 2" xfId="96"/>
    <cellStyle name="40% - Accent1" xfId="22" builtinId="31" customBuiltin="1"/>
    <cellStyle name="40% - Accent1 2" xfId="77"/>
    <cellStyle name="40% - Accent2" xfId="26" builtinId="35" customBuiltin="1"/>
    <cellStyle name="40% - Accent2 2" xfId="81"/>
    <cellStyle name="40% - Accent3" xfId="30" builtinId="39" customBuiltin="1"/>
    <cellStyle name="40% - Accent3 2" xfId="85"/>
    <cellStyle name="40% - Accent4" xfId="34" builtinId="43" customBuiltin="1"/>
    <cellStyle name="40% - Accent4 2" xfId="89"/>
    <cellStyle name="40% - Accent5" xfId="38" builtinId="47" customBuiltin="1"/>
    <cellStyle name="40% - Accent5 2" xfId="93"/>
    <cellStyle name="40% - Accent6" xfId="42" builtinId="51" customBuiltin="1"/>
    <cellStyle name="40% - Accent6 2" xfId="97"/>
    <cellStyle name="60% - Accent1" xfId="23" builtinId="32" customBuiltin="1"/>
    <cellStyle name="60% - Accent1 2" xfId="78"/>
    <cellStyle name="60% - Accent2" xfId="27" builtinId="36" customBuiltin="1"/>
    <cellStyle name="60% - Accent2 2" xfId="82"/>
    <cellStyle name="60% - Accent3" xfId="31" builtinId="40" customBuiltin="1"/>
    <cellStyle name="60% - Accent3 2" xfId="86"/>
    <cellStyle name="60% - Accent4" xfId="35" builtinId="44" customBuiltin="1"/>
    <cellStyle name="60% - Accent4 2" xfId="90"/>
    <cellStyle name="60% - Accent5" xfId="39" builtinId="48" customBuiltin="1"/>
    <cellStyle name="60% - Accent5 2" xfId="94"/>
    <cellStyle name="60% - Accent6" xfId="43" builtinId="52" customBuiltin="1"/>
    <cellStyle name="60% - Accent6 2" xfId="98"/>
    <cellStyle name="Accent1" xfId="20" builtinId="29" customBuiltin="1"/>
    <cellStyle name="Accent1 2" xfId="75"/>
    <cellStyle name="Accent2" xfId="24" builtinId="33" customBuiltin="1"/>
    <cellStyle name="Accent2 2" xfId="79"/>
    <cellStyle name="Accent3" xfId="28" builtinId="37" customBuiltin="1"/>
    <cellStyle name="Accent3 2" xfId="83"/>
    <cellStyle name="Accent4" xfId="32" builtinId="41" customBuiltin="1"/>
    <cellStyle name="Accent4 2" xfId="87"/>
    <cellStyle name="Accent5" xfId="36" builtinId="45" customBuiltin="1"/>
    <cellStyle name="Accent5 2" xfId="91"/>
    <cellStyle name="Accent6" xfId="40" builtinId="49" customBuiltin="1"/>
    <cellStyle name="Accent6 2" xfId="95"/>
    <cellStyle name="Bad" xfId="9" builtinId="27" customBuiltin="1"/>
    <cellStyle name="Bad 2" xfId="64"/>
    <cellStyle name="Calculation" xfId="13" builtinId="22" customBuiltin="1"/>
    <cellStyle name="Calculation 2" xfId="68"/>
    <cellStyle name="Check Cell" xfId="15" builtinId="23" customBuiltin="1"/>
    <cellStyle name="Check Cell 2" xfId="70"/>
    <cellStyle name="Comma" xfId="1" builtinId="3"/>
    <cellStyle name="Comma 2" xfId="50"/>
    <cellStyle name="Comma 2 2" xfId="53"/>
    <cellStyle name="Comma 3" xfId="99"/>
    <cellStyle name="Explanatory Text" xfId="18" builtinId="53" customBuiltin="1"/>
    <cellStyle name="Explanatory Text 2" xfId="73"/>
    <cellStyle name="Good" xfId="8" builtinId="26" customBuiltin="1"/>
    <cellStyle name="Good 2" xfId="63"/>
    <cellStyle name="Heading 1" xfId="4" builtinId="16" customBuiltin="1"/>
    <cellStyle name="Heading 1 2" xfId="59"/>
    <cellStyle name="Heading 2" xfId="5" builtinId="17" customBuiltin="1"/>
    <cellStyle name="Heading 2 2" xfId="60"/>
    <cellStyle name="Heading 3" xfId="6" builtinId="18" customBuiltin="1"/>
    <cellStyle name="Heading 3 2" xfId="61"/>
    <cellStyle name="Heading 4" xfId="7" builtinId="19" customBuiltin="1"/>
    <cellStyle name="Heading 4 2" xfId="62"/>
    <cellStyle name="Hyperlink" xfId="47" builtinId="8"/>
    <cellStyle name="Hyperlink 2" xfId="51"/>
    <cellStyle name="Input" xfId="11" builtinId="20" customBuiltin="1"/>
    <cellStyle name="Input 2" xfId="66"/>
    <cellStyle name="Linked Cell" xfId="14" builtinId="24" customBuiltin="1"/>
    <cellStyle name="Linked Cell 2" xfId="69"/>
    <cellStyle name="Neutral" xfId="10" builtinId="28" customBuiltin="1"/>
    <cellStyle name="Neutral 2" xfId="54"/>
    <cellStyle name="Neutral 3" xfId="65"/>
    <cellStyle name="Normal" xfId="0" builtinId="0"/>
    <cellStyle name="Normal 2" xfId="45"/>
    <cellStyle name="Normal 2 2" xfId="49"/>
    <cellStyle name="Normal 2 2 2" xfId="52"/>
    <cellStyle name="Normal 3" xfId="44"/>
    <cellStyle name="Normal 3 2" xfId="55"/>
    <cellStyle name="Normal 3 2 2" xfId="105"/>
    <cellStyle name="Normal 3 3" xfId="107"/>
    <cellStyle name="Normal 3 4" xfId="113"/>
    <cellStyle name="Normal 3 5" xfId="109"/>
    <cellStyle name="Normal 3 6" xfId="100"/>
    <cellStyle name="Normal 4" xfId="58"/>
    <cellStyle name="Normal 5" xfId="103"/>
    <cellStyle name="Normal 6" xfId="104"/>
    <cellStyle name="Normal 7" xfId="110"/>
    <cellStyle name="Normal 8" xfId="112"/>
    <cellStyle name="Normal 9" xfId="57"/>
    <cellStyle name="Note" xfId="17" builtinId="10" customBuiltin="1"/>
    <cellStyle name="Note 2" xfId="46"/>
    <cellStyle name="Note 3" xfId="72"/>
    <cellStyle name="Output" xfId="12" builtinId="21" customBuiltin="1"/>
    <cellStyle name="Output 2" xfId="67"/>
    <cellStyle name="Percent" xfId="2" builtinId="5"/>
    <cellStyle name="Percent 2" xfId="48"/>
    <cellStyle name="Percent 2 2" xfId="56"/>
    <cellStyle name="Percent 2 2 2" xfId="106"/>
    <cellStyle name="Percent 2 3" xfId="108"/>
    <cellStyle name="Percent 2 4" xfId="114"/>
    <cellStyle name="Percent 2 5" xfId="111"/>
    <cellStyle name="Percent 2 6" xfId="101"/>
    <cellStyle name="Percent 3" xfId="102"/>
    <cellStyle name="Title" xfId="3" builtinId="15" customBuiltin="1"/>
    <cellStyle name="Total" xfId="19" builtinId="25" customBuiltin="1"/>
    <cellStyle name="Total 2" xfId="74"/>
    <cellStyle name="Warning Text" xfId="16" builtinId="11" customBuiltin="1"/>
    <cellStyle name="Warning Text 2" xfId="7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I-15%20Corridor%20-%20TEM%20Service%20Area/Demographics/All%20Students/Unduplicated%20Headcount/edit/sort.ethnic.headcount.demographic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ik%20Mesaris/_Master%20Data%20Program/MVC%20Service%20Area/Demographics/All%20Students/Unduplicated%20Headcount/edit/sort.ethnic.headcount.demographic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uccess.r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7</v>
          </cell>
          <cell r="C4">
            <v>691</v>
          </cell>
          <cell r="D4">
            <v>717</v>
          </cell>
          <cell r="E4">
            <v>200</v>
          </cell>
          <cell r="F4">
            <v>943</v>
          </cell>
          <cell r="G4">
            <v>1225</v>
          </cell>
          <cell r="H4">
            <v>316</v>
          </cell>
          <cell r="I4">
            <v>1190</v>
          </cell>
          <cell r="J4">
            <v>1126</v>
          </cell>
          <cell r="K4">
            <v>150</v>
          </cell>
          <cell r="L4">
            <v>1045</v>
          </cell>
          <cell r="M4">
            <v>963</v>
          </cell>
          <cell r="N4">
            <v>0</v>
          </cell>
          <cell r="O4">
            <v>898</v>
          </cell>
          <cell r="P4">
            <v>871</v>
          </cell>
        </row>
        <row r="5">
          <cell r="A5" t="str">
            <v>Hispanic</v>
          </cell>
          <cell r="B5">
            <v>6</v>
          </cell>
          <cell r="C5">
            <v>328</v>
          </cell>
          <cell r="D5">
            <v>364</v>
          </cell>
          <cell r="E5">
            <v>127</v>
          </cell>
          <cell r="F5">
            <v>510</v>
          </cell>
          <cell r="G5">
            <v>669</v>
          </cell>
          <cell r="H5">
            <v>178</v>
          </cell>
          <cell r="I5">
            <v>658</v>
          </cell>
          <cell r="J5">
            <v>633</v>
          </cell>
          <cell r="K5">
            <v>116</v>
          </cell>
          <cell r="L5">
            <v>636</v>
          </cell>
          <cell r="M5">
            <v>685</v>
          </cell>
          <cell r="N5">
            <v>0</v>
          </cell>
          <cell r="O5">
            <v>687</v>
          </cell>
          <cell r="P5">
            <v>679</v>
          </cell>
        </row>
        <row r="6">
          <cell r="A6" t="str">
            <v>African American</v>
          </cell>
          <cell r="B6">
            <v>2</v>
          </cell>
          <cell r="C6">
            <v>97</v>
          </cell>
          <cell r="D6">
            <v>97</v>
          </cell>
          <cell r="E6">
            <v>34</v>
          </cell>
          <cell r="F6">
            <v>150</v>
          </cell>
          <cell r="G6">
            <v>173</v>
          </cell>
          <cell r="H6">
            <v>45</v>
          </cell>
          <cell r="I6">
            <v>156</v>
          </cell>
          <cell r="J6">
            <v>158</v>
          </cell>
          <cell r="K6">
            <v>20</v>
          </cell>
          <cell r="L6">
            <v>135</v>
          </cell>
          <cell r="M6">
            <v>115</v>
          </cell>
          <cell r="N6">
            <v>0</v>
          </cell>
          <cell r="O6">
            <v>100</v>
          </cell>
          <cell r="P6">
            <v>105</v>
          </cell>
        </row>
        <row r="7">
          <cell r="A7" t="str">
            <v>Asian</v>
          </cell>
          <cell r="B7">
            <v>0</v>
          </cell>
          <cell r="C7">
            <v>37</v>
          </cell>
          <cell r="D7">
            <v>52</v>
          </cell>
          <cell r="E7">
            <v>28</v>
          </cell>
          <cell r="F7">
            <v>54</v>
          </cell>
          <cell r="G7">
            <v>70</v>
          </cell>
          <cell r="H7">
            <v>24</v>
          </cell>
          <cell r="I7">
            <v>65</v>
          </cell>
          <cell r="J7">
            <v>67</v>
          </cell>
          <cell r="K7">
            <v>24</v>
          </cell>
          <cell r="L7">
            <v>71</v>
          </cell>
          <cell r="M7">
            <v>63</v>
          </cell>
          <cell r="N7">
            <v>0</v>
          </cell>
          <cell r="O7">
            <v>67</v>
          </cell>
          <cell r="P7">
            <v>52</v>
          </cell>
        </row>
        <row r="8">
          <cell r="A8" t="str">
            <v>Native American</v>
          </cell>
          <cell r="B8">
            <v>0</v>
          </cell>
          <cell r="C8">
            <v>20</v>
          </cell>
          <cell r="D8">
            <v>15</v>
          </cell>
          <cell r="E8">
            <v>10</v>
          </cell>
          <cell r="F8">
            <v>18</v>
          </cell>
          <cell r="G8">
            <v>35</v>
          </cell>
          <cell r="H8">
            <v>9</v>
          </cell>
          <cell r="I8">
            <v>20</v>
          </cell>
          <cell r="J8">
            <v>20</v>
          </cell>
          <cell r="K8">
            <v>4</v>
          </cell>
          <cell r="L8">
            <v>10</v>
          </cell>
          <cell r="M8">
            <v>11</v>
          </cell>
          <cell r="N8">
            <v>0</v>
          </cell>
          <cell r="O8">
            <v>3</v>
          </cell>
          <cell r="P8">
            <v>7</v>
          </cell>
        </row>
        <row r="9">
          <cell r="A9" t="str">
            <v>Filipino</v>
          </cell>
          <cell r="B9">
            <v>0</v>
          </cell>
          <cell r="C9">
            <v>86</v>
          </cell>
          <cell r="D9">
            <v>82</v>
          </cell>
          <cell r="E9">
            <v>30</v>
          </cell>
          <cell r="F9">
            <v>99</v>
          </cell>
          <cell r="G9">
            <v>127</v>
          </cell>
          <cell r="H9">
            <v>45</v>
          </cell>
          <cell r="I9">
            <v>137</v>
          </cell>
          <cell r="J9">
            <v>137</v>
          </cell>
          <cell r="K9">
            <v>25</v>
          </cell>
          <cell r="L9">
            <v>103</v>
          </cell>
          <cell r="M9">
            <v>98</v>
          </cell>
          <cell r="N9">
            <v>0</v>
          </cell>
          <cell r="O9">
            <v>90</v>
          </cell>
          <cell r="P9">
            <v>94</v>
          </cell>
        </row>
        <row r="10">
          <cell r="A10" t="str">
            <v>Pacific Islander</v>
          </cell>
          <cell r="B10">
            <v>0</v>
          </cell>
          <cell r="C10">
            <v>13</v>
          </cell>
          <cell r="D10">
            <v>7</v>
          </cell>
          <cell r="E10">
            <v>6</v>
          </cell>
          <cell r="F10">
            <v>17</v>
          </cell>
          <cell r="G10">
            <v>20</v>
          </cell>
          <cell r="H10">
            <v>4</v>
          </cell>
          <cell r="I10">
            <v>14</v>
          </cell>
          <cell r="J10">
            <v>14</v>
          </cell>
          <cell r="K10">
            <v>3</v>
          </cell>
          <cell r="L10">
            <v>11</v>
          </cell>
          <cell r="M10">
            <v>16</v>
          </cell>
          <cell r="N10">
            <v>0</v>
          </cell>
          <cell r="O10">
            <v>11</v>
          </cell>
          <cell r="P10">
            <v>9</v>
          </cell>
        </row>
        <row r="11">
          <cell r="A11" t="str">
            <v>Multi-Race</v>
          </cell>
          <cell r="B11">
            <v>1</v>
          </cell>
          <cell r="C11">
            <v>19</v>
          </cell>
          <cell r="D11">
            <v>16</v>
          </cell>
          <cell r="E11">
            <v>8</v>
          </cell>
          <cell r="F11">
            <v>31</v>
          </cell>
          <cell r="G11">
            <v>33</v>
          </cell>
          <cell r="H11">
            <v>17</v>
          </cell>
          <cell r="I11">
            <v>68</v>
          </cell>
          <cell r="J11">
            <v>98</v>
          </cell>
          <cell r="K11">
            <v>15</v>
          </cell>
          <cell r="L11">
            <v>94</v>
          </cell>
          <cell r="M11">
            <v>99</v>
          </cell>
          <cell r="N11">
            <v>0</v>
          </cell>
          <cell r="O11">
            <v>113</v>
          </cell>
          <cell r="P11">
            <v>110</v>
          </cell>
        </row>
        <row r="12">
          <cell r="A12" t="str">
            <v>Unknown</v>
          </cell>
          <cell r="B12">
            <v>3</v>
          </cell>
          <cell r="C12">
            <v>128</v>
          </cell>
          <cell r="D12">
            <v>118</v>
          </cell>
          <cell r="E12">
            <v>47</v>
          </cell>
          <cell r="F12">
            <v>164</v>
          </cell>
          <cell r="G12">
            <v>229</v>
          </cell>
          <cell r="H12">
            <v>65</v>
          </cell>
          <cell r="I12">
            <v>231</v>
          </cell>
          <cell r="J12">
            <v>192</v>
          </cell>
          <cell r="K12">
            <v>29</v>
          </cell>
          <cell r="L12">
            <v>118</v>
          </cell>
          <cell r="M12">
            <v>123</v>
          </cell>
          <cell r="N12">
            <v>0</v>
          </cell>
          <cell r="O12">
            <v>74</v>
          </cell>
          <cell r="P12">
            <v>79</v>
          </cell>
        </row>
        <row r="13">
          <cell r="A13" t="str">
            <v>Term Total</v>
          </cell>
          <cell r="B13">
            <v>19</v>
          </cell>
          <cell r="C13">
            <v>1419</v>
          </cell>
          <cell r="D13">
            <v>1468</v>
          </cell>
          <cell r="E13">
            <v>490</v>
          </cell>
          <cell r="F13">
            <v>1986</v>
          </cell>
          <cell r="G13">
            <v>2581</v>
          </cell>
          <cell r="H13">
            <v>703</v>
          </cell>
          <cell r="I13">
            <v>2539</v>
          </cell>
          <cell r="J13">
            <v>2445</v>
          </cell>
          <cell r="K13">
            <v>386</v>
          </cell>
          <cell r="L13">
            <v>2223</v>
          </cell>
          <cell r="M13">
            <v>2173</v>
          </cell>
          <cell r="N13">
            <v>0</v>
          </cell>
          <cell r="O13">
            <v>2043</v>
          </cell>
          <cell r="P13">
            <v>2006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ethnic graded seats"/>
      <sheetName val="non-credit graded seats"/>
      <sheetName val="Sheet3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ccess rates"/>
      <sheetName val="graded seats"/>
      <sheetName val="success seats"/>
      <sheetName val="success.rate"/>
      <sheetName val="credit ethnic success seats"/>
    </sheetNames>
    <sheetDataSet>
      <sheetData sheetId="0">
        <row r="1">
          <cell r="A1" t="str">
            <v>Ethnic Groups</v>
          </cell>
          <cell r="B1" t="str">
            <v>SU07</v>
          </cell>
          <cell r="C1" t="str">
            <v>FA07</v>
          </cell>
          <cell r="D1" t="str">
            <v>SP08</v>
          </cell>
          <cell r="E1" t="str">
            <v>SU08</v>
          </cell>
          <cell r="F1" t="str">
            <v>FA08</v>
          </cell>
          <cell r="G1" t="str">
            <v>SP09</v>
          </cell>
          <cell r="H1" t="str">
            <v>SU09</v>
          </cell>
          <cell r="I1" t="str">
            <v>FA09</v>
          </cell>
          <cell r="J1" t="str">
            <v>SP10</v>
          </cell>
          <cell r="K1" t="str">
            <v>SU10</v>
          </cell>
          <cell r="L1" t="str">
            <v>FA10</v>
          </cell>
          <cell r="M1" t="str">
            <v>SP11</v>
          </cell>
          <cell r="N1" t="str">
            <v>SU11</v>
          </cell>
          <cell r="O1" t="str">
            <v>FA11</v>
          </cell>
          <cell r="P1" t="str">
            <v>SP12</v>
          </cell>
        </row>
        <row r="2">
          <cell r="A2">
            <v>1</v>
          </cell>
          <cell r="B2">
            <v>2</v>
          </cell>
          <cell r="C2">
            <v>3</v>
          </cell>
          <cell r="D2">
            <v>4</v>
          </cell>
          <cell r="E2">
            <v>5</v>
          </cell>
          <cell r="F2">
            <v>6</v>
          </cell>
          <cell r="G2">
            <v>7</v>
          </cell>
          <cell r="H2">
            <v>8</v>
          </cell>
          <cell r="I2">
            <v>9</v>
          </cell>
          <cell r="J2">
            <v>10</v>
          </cell>
          <cell r="K2">
            <v>11</v>
          </cell>
          <cell r="L2">
            <v>12</v>
          </cell>
          <cell r="M2">
            <v>13</v>
          </cell>
          <cell r="N2">
            <v>14</v>
          </cell>
          <cell r="O2">
            <v>15</v>
          </cell>
          <cell r="P2">
            <v>16</v>
          </cell>
        </row>
        <row r="3">
          <cell r="A3" t="str">
            <v>Ethnic Groups</v>
          </cell>
          <cell r="B3" t="str">
            <v>SU07</v>
          </cell>
          <cell r="C3" t="str">
            <v>FA07</v>
          </cell>
          <cell r="D3" t="str">
            <v>SP08</v>
          </cell>
          <cell r="E3" t="str">
            <v>SU08</v>
          </cell>
          <cell r="F3" t="str">
            <v>FA08</v>
          </cell>
          <cell r="G3" t="str">
            <v>SP09</v>
          </cell>
          <cell r="H3" t="str">
            <v>SU09</v>
          </cell>
          <cell r="I3" t="str">
            <v>FA09</v>
          </cell>
          <cell r="J3" t="str">
            <v>SP10</v>
          </cell>
          <cell r="K3" t="str">
            <v>SU10</v>
          </cell>
          <cell r="L3" t="str">
            <v>FA10</v>
          </cell>
          <cell r="M3" t="str">
            <v>SP11</v>
          </cell>
          <cell r="N3" t="str">
            <v>SU11</v>
          </cell>
          <cell r="O3" t="str">
            <v>FA11</v>
          </cell>
          <cell r="P3" t="str">
            <v>SP12</v>
          </cell>
        </row>
        <row r="4">
          <cell r="A4" t="str">
            <v>White</v>
          </cell>
          <cell r="B4">
            <v>1</v>
          </cell>
          <cell r="C4">
            <v>0.68586387434554974</v>
          </cell>
          <cell r="D4">
            <v>0.75812743823146944</v>
          </cell>
          <cell r="E4">
            <v>0.88362068965517238</v>
          </cell>
          <cell r="F4">
            <v>0.73443983402489632</v>
          </cell>
          <cell r="G4">
            <v>0.76953125</v>
          </cell>
          <cell r="H4">
            <v>0.8392857142857143</v>
          </cell>
          <cell r="I4">
            <v>0.77933130699088149</v>
          </cell>
          <cell r="J4">
            <v>0.73006905210295037</v>
          </cell>
          <cell r="K4">
            <v>0.90445859872611467</v>
          </cell>
          <cell r="L4">
            <v>0.75370121130551815</v>
          </cell>
          <cell r="M4">
            <v>0.74463190184049077</v>
          </cell>
          <cell r="N4" t="str">
            <v/>
          </cell>
          <cell r="O4">
            <v>0.79409479409479411</v>
          </cell>
          <cell r="P4">
            <v>0.75915378356387309</v>
          </cell>
        </row>
        <row r="5">
          <cell r="A5" t="str">
            <v>Hispanic</v>
          </cell>
          <cell r="B5">
            <v>1</v>
          </cell>
          <cell r="C5">
            <v>0.61246612466124661</v>
          </cell>
          <cell r="D5">
            <v>0.68367346938775508</v>
          </cell>
          <cell r="E5">
            <v>0.83098591549295775</v>
          </cell>
          <cell r="F5">
            <v>0.63551401869158874</v>
          </cell>
          <cell r="G5">
            <v>0.69742990654205606</v>
          </cell>
          <cell r="H5">
            <v>0.83333333333333337</v>
          </cell>
          <cell r="I5">
            <v>0.7185430463576159</v>
          </cell>
          <cell r="J5">
            <v>0.69709989258861438</v>
          </cell>
          <cell r="K5">
            <v>0.88</v>
          </cell>
          <cell r="L5">
            <v>0.72054223149113661</v>
          </cell>
          <cell r="M5">
            <v>0.69069069069069067</v>
          </cell>
          <cell r="N5" t="str">
            <v/>
          </cell>
          <cell r="O5">
            <v>0.74233128834355833</v>
          </cell>
          <cell r="P5">
            <v>0.70859538784067089</v>
          </cell>
        </row>
        <row r="6">
          <cell r="A6" t="str">
            <v>African American</v>
          </cell>
          <cell r="B6">
            <v>1</v>
          </cell>
          <cell r="C6">
            <v>0.59433962264150941</v>
          </cell>
          <cell r="D6">
            <v>0.53398058252427183</v>
          </cell>
          <cell r="E6">
            <v>0.69230769230769229</v>
          </cell>
          <cell r="F6">
            <v>0.61463414634146341</v>
          </cell>
          <cell r="G6">
            <v>0.66666666666666663</v>
          </cell>
          <cell r="H6">
            <v>0.6875</v>
          </cell>
          <cell r="I6">
            <v>0.58666666666666667</v>
          </cell>
          <cell r="J6">
            <v>0.57446808510638303</v>
          </cell>
          <cell r="K6">
            <v>0.69565217391304346</v>
          </cell>
          <cell r="L6">
            <v>0.71698113207547165</v>
          </cell>
          <cell r="M6">
            <v>0.66463414634146345</v>
          </cell>
          <cell r="N6" t="str">
            <v/>
          </cell>
          <cell r="O6">
            <v>0.66911764705882348</v>
          </cell>
          <cell r="P6">
            <v>0.64084507042253525</v>
          </cell>
        </row>
        <row r="7">
          <cell r="A7" t="str">
            <v>Asian</v>
          </cell>
          <cell r="B7" t="str">
            <v/>
          </cell>
          <cell r="C7">
            <v>0.75609756097560976</v>
          </cell>
          <cell r="D7">
            <v>0.81355932203389836</v>
          </cell>
          <cell r="E7">
            <v>0.875</v>
          </cell>
          <cell r="F7">
            <v>0.79487179487179482</v>
          </cell>
          <cell r="G7">
            <v>0.77894736842105261</v>
          </cell>
          <cell r="H7">
            <v>0.8571428571428571</v>
          </cell>
          <cell r="I7">
            <v>0.71250000000000002</v>
          </cell>
          <cell r="J7">
            <v>0.75294117647058822</v>
          </cell>
          <cell r="K7">
            <v>0.88</v>
          </cell>
          <cell r="L7">
            <v>0.8</v>
          </cell>
          <cell r="M7">
            <v>0.74117647058823533</v>
          </cell>
          <cell r="N7" t="str">
            <v/>
          </cell>
          <cell r="O7">
            <v>0.83908045977011492</v>
          </cell>
          <cell r="P7">
            <v>0.810126582278481</v>
          </cell>
        </row>
        <row r="8">
          <cell r="A8" t="str">
            <v>Native American</v>
          </cell>
          <cell r="B8" t="str">
            <v/>
          </cell>
          <cell r="C8">
            <v>0.34782608695652173</v>
          </cell>
          <cell r="D8">
            <v>0.6470588235294118</v>
          </cell>
          <cell r="E8">
            <v>1</v>
          </cell>
          <cell r="F8">
            <v>0.59090909090909094</v>
          </cell>
          <cell r="G8">
            <v>0.58695652173913049</v>
          </cell>
          <cell r="H8">
            <v>0.66666666666666663</v>
          </cell>
          <cell r="I8">
            <v>0.66666666666666663</v>
          </cell>
          <cell r="J8">
            <v>0.53333333333333333</v>
          </cell>
          <cell r="K8">
            <v>1</v>
          </cell>
          <cell r="L8">
            <v>0.4</v>
          </cell>
          <cell r="M8">
            <v>0.30769230769230771</v>
          </cell>
          <cell r="N8" t="str">
            <v/>
          </cell>
          <cell r="O8">
            <v>0.66666666666666663</v>
          </cell>
          <cell r="P8">
            <v>0.875</v>
          </cell>
        </row>
        <row r="9">
          <cell r="A9" t="str">
            <v>Filipino</v>
          </cell>
          <cell r="B9" t="str">
            <v/>
          </cell>
          <cell r="C9">
            <v>0.74489795918367352</v>
          </cell>
          <cell r="D9">
            <v>0.78260869565217395</v>
          </cell>
          <cell r="E9">
            <v>0.86111111111111116</v>
          </cell>
          <cell r="F9">
            <v>0.71969696969696972</v>
          </cell>
          <cell r="G9">
            <v>0.74269005847953218</v>
          </cell>
          <cell r="H9">
            <v>0.82</v>
          </cell>
          <cell r="I9">
            <v>0.78974358974358971</v>
          </cell>
          <cell r="J9">
            <v>0.67487684729064035</v>
          </cell>
          <cell r="K9">
            <v>0.88461538461538458</v>
          </cell>
          <cell r="L9">
            <v>0.7239263803680982</v>
          </cell>
          <cell r="M9">
            <v>0.7432432432432432</v>
          </cell>
          <cell r="N9" t="str">
            <v/>
          </cell>
          <cell r="O9">
            <v>0.72180451127819545</v>
          </cell>
          <cell r="P9">
            <v>0.86131386861313863</v>
          </cell>
        </row>
        <row r="10">
          <cell r="A10" t="str">
            <v>Pacific Islander</v>
          </cell>
          <cell r="B10" t="str">
            <v/>
          </cell>
          <cell r="C10">
            <v>0.38461538461538464</v>
          </cell>
          <cell r="D10">
            <v>0.42857142857142855</v>
          </cell>
          <cell r="E10">
            <v>1</v>
          </cell>
          <cell r="F10">
            <v>0.9</v>
          </cell>
          <cell r="G10">
            <v>0.52173913043478259</v>
          </cell>
          <cell r="H10">
            <v>0.75</v>
          </cell>
          <cell r="I10">
            <v>0.53846153846153844</v>
          </cell>
          <cell r="J10">
            <v>0.6470588235294118</v>
          </cell>
          <cell r="K10">
            <v>1</v>
          </cell>
          <cell r="L10">
            <v>0.61111111111111116</v>
          </cell>
          <cell r="M10">
            <v>0.60869565217391308</v>
          </cell>
          <cell r="N10" t="str">
            <v/>
          </cell>
          <cell r="O10">
            <v>0.69230769230769229</v>
          </cell>
          <cell r="P10">
            <v>0.8666666666666667</v>
          </cell>
        </row>
        <row r="11">
          <cell r="A11" t="str">
            <v>Multi-Race</v>
          </cell>
          <cell r="B11">
            <v>1</v>
          </cell>
          <cell r="C11">
            <v>0.65217391304347827</v>
          </cell>
          <cell r="D11">
            <v>0.82352941176470584</v>
          </cell>
          <cell r="E11">
            <v>0.875</v>
          </cell>
          <cell r="F11">
            <v>0.47222222222222221</v>
          </cell>
          <cell r="G11">
            <v>0.63414634146341464</v>
          </cell>
          <cell r="H11">
            <v>0.88888888888888884</v>
          </cell>
          <cell r="I11">
            <v>0.73626373626373631</v>
          </cell>
          <cell r="J11">
            <v>0.66470588235294115</v>
          </cell>
          <cell r="K11">
            <v>0.8125</v>
          </cell>
          <cell r="L11">
            <v>0.70270270270270274</v>
          </cell>
          <cell r="M11">
            <v>0.7290322580645161</v>
          </cell>
          <cell r="N11" t="str">
            <v/>
          </cell>
          <cell r="O11">
            <v>0.76363636363636367</v>
          </cell>
          <cell r="P11">
            <v>0.68711656441717794</v>
          </cell>
        </row>
        <row r="12">
          <cell r="A12" t="str">
            <v>Unknown</v>
          </cell>
          <cell r="B12">
            <v>1</v>
          </cell>
          <cell r="C12">
            <v>0.71527777777777779</v>
          </cell>
          <cell r="D12">
            <v>0.76335877862595425</v>
          </cell>
          <cell r="E12">
            <v>0.87272727272727268</v>
          </cell>
          <cell r="F12">
            <v>0.74654377880184331</v>
          </cell>
          <cell r="G12">
            <v>0.7263843648208469</v>
          </cell>
          <cell r="H12">
            <v>0.91176470588235292</v>
          </cell>
          <cell r="I12">
            <v>0.72916666666666663</v>
          </cell>
          <cell r="J12">
            <v>0.74551971326164879</v>
          </cell>
          <cell r="K12">
            <v>0.82758620689655171</v>
          </cell>
          <cell r="L12">
            <v>0.73410404624277459</v>
          </cell>
          <cell r="M12">
            <v>0.77500000000000002</v>
          </cell>
          <cell r="N12" t="str">
            <v/>
          </cell>
          <cell r="O12">
            <v>0.72549019607843135</v>
          </cell>
          <cell r="P12">
            <v>0.73584905660377353</v>
          </cell>
        </row>
        <row r="13">
          <cell r="A13" t="str">
            <v>Term Total</v>
          </cell>
          <cell r="B13">
            <v>1</v>
          </cell>
          <cell r="C13">
            <v>0.6628716002530044</v>
          </cell>
          <cell r="D13">
            <v>0.72715816005040956</v>
          </cell>
          <cell r="E13">
            <v>0.85815602836879434</v>
          </cell>
          <cell r="F13">
            <v>0.6984747751271021</v>
          </cell>
          <cell r="G13">
            <v>0.73296836982968372</v>
          </cell>
          <cell r="H13">
            <v>0.83266398929049534</v>
          </cell>
          <cell r="I13">
            <v>0.74217628481194375</v>
          </cell>
          <cell r="J13">
            <v>0.70448772226926337</v>
          </cell>
          <cell r="K13">
            <v>0.875</v>
          </cell>
          <cell r="L13">
            <v>0.73621323529411764</v>
          </cell>
          <cell r="M13">
            <v>0.72041953457882657</v>
          </cell>
          <cell r="N13" t="str">
            <v/>
          </cell>
          <cell r="O13">
            <v>0.7641184573002755</v>
          </cell>
          <cell r="P13">
            <v>0.73843981644899404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7"/>
  <sheetViews>
    <sheetView tabSelected="1" zoomScaleNormal="100" workbookViewId="0">
      <selection activeCell="S16" sqref="S16"/>
    </sheetView>
  </sheetViews>
  <sheetFormatPr defaultRowHeight="15" x14ac:dyDescent="0.25"/>
  <cols>
    <col min="1" max="1" width="16.42578125" customWidth="1"/>
    <col min="2" max="2" width="6.5703125" bestFit="1" customWidth="1"/>
    <col min="3" max="4" width="7.5703125" bestFit="1" customWidth="1"/>
    <col min="5" max="5" width="6.5703125" bestFit="1" customWidth="1"/>
    <col min="6" max="7" width="7.5703125" bestFit="1" customWidth="1"/>
    <col min="8" max="8" width="6.5703125" bestFit="1" customWidth="1"/>
    <col min="9" max="10" width="7.5703125" bestFit="1" customWidth="1"/>
    <col min="11" max="11" width="6.5703125" bestFit="1" customWidth="1"/>
    <col min="12" max="13" width="7.5703125" bestFit="1" customWidth="1"/>
    <col min="14" max="14" width="5.7109375" bestFit="1" customWidth="1"/>
    <col min="15" max="15" width="7.5703125" bestFit="1" customWidth="1"/>
    <col min="16" max="16" width="6.5703125" bestFit="1" customWidth="1"/>
  </cols>
  <sheetData>
    <row r="1" spans="1:16" ht="15.75" x14ac:dyDescent="0.25">
      <c r="A1" s="71"/>
      <c r="B1" s="74" t="s">
        <v>35</v>
      </c>
      <c r="C1" s="75"/>
      <c r="D1" s="75"/>
      <c r="E1" s="75"/>
      <c r="F1" s="75"/>
      <c r="G1" s="75"/>
      <c r="H1" s="75"/>
      <c r="I1" s="75"/>
      <c r="J1" s="75"/>
      <c r="K1" s="75"/>
      <c r="L1" s="75"/>
      <c r="M1" s="75"/>
      <c r="N1" s="75"/>
      <c r="O1" s="75"/>
      <c r="P1" s="76"/>
    </row>
    <row r="2" spans="1:16" ht="16.5" thickBot="1" x14ac:dyDescent="0.3">
      <c r="A2" s="72"/>
      <c r="B2" s="74" t="s">
        <v>40</v>
      </c>
      <c r="C2" s="75"/>
      <c r="D2" s="75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8"/>
    </row>
    <row r="3" spans="1:16" ht="15.75" thickBot="1" x14ac:dyDescent="0.3">
      <c r="A3" s="73"/>
      <c r="B3" s="62" t="s">
        <v>0</v>
      </c>
      <c r="C3" s="63"/>
      <c r="D3" s="64"/>
      <c r="E3" s="65" t="s">
        <v>1</v>
      </c>
      <c r="F3" s="66"/>
      <c r="G3" s="67"/>
      <c r="H3" s="68" t="s">
        <v>2</v>
      </c>
      <c r="I3" s="63"/>
      <c r="J3" s="69"/>
      <c r="K3" s="70" t="s">
        <v>3</v>
      </c>
      <c r="L3" s="66"/>
      <c r="M3" s="67"/>
      <c r="N3" s="68" t="s">
        <v>4</v>
      </c>
      <c r="O3" s="63"/>
      <c r="P3" s="64"/>
    </row>
    <row r="4" spans="1:16" ht="15.75" thickBot="1" x14ac:dyDescent="0.3">
      <c r="A4" s="2" t="s">
        <v>37</v>
      </c>
      <c r="B4" s="25" t="s">
        <v>6</v>
      </c>
      <c r="C4" s="26" t="s">
        <v>7</v>
      </c>
      <c r="D4" s="27" t="s">
        <v>8</v>
      </c>
      <c r="E4" s="28" t="s">
        <v>9</v>
      </c>
      <c r="F4" s="29" t="s">
        <v>10</v>
      </c>
      <c r="G4" s="30" t="s">
        <v>11</v>
      </c>
      <c r="H4" s="31" t="s">
        <v>12</v>
      </c>
      <c r="I4" s="26" t="s">
        <v>13</v>
      </c>
      <c r="J4" s="32" t="s">
        <v>14</v>
      </c>
      <c r="K4" s="33" t="s">
        <v>15</v>
      </c>
      <c r="L4" s="29" t="s">
        <v>16</v>
      </c>
      <c r="M4" s="30" t="s">
        <v>17</v>
      </c>
      <c r="N4" s="31" t="s">
        <v>18</v>
      </c>
      <c r="O4" s="26" t="s">
        <v>19</v>
      </c>
      <c r="P4" s="27" t="s">
        <v>20</v>
      </c>
    </row>
    <row r="5" spans="1:16" x14ac:dyDescent="0.25">
      <c r="A5" s="14" t="s">
        <v>21</v>
      </c>
      <c r="B5" s="18">
        <f>VLOOKUP($A5,'[1]credit ethnic graded seats'!$A:$P,HLOOKUP(B$4,'[2]credit ethnic graded seats'!$1:$2,2,FALSE),FALSE)</f>
        <v>7</v>
      </c>
      <c r="C5" s="17">
        <f>VLOOKUP($A5,'[1]credit ethnic graded seats'!$A:$P,HLOOKUP(C$4,'[2]credit ethnic graded seats'!$1:$2,2,FALSE),FALSE)</f>
        <v>691</v>
      </c>
      <c r="D5" s="3">
        <f>VLOOKUP($A5,'[1]credit ethnic graded seats'!$A:$P,HLOOKUP(D$4,'[2]credit ethnic graded seats'!$1:$2,2,FALSE),FALSE)</f>
        <v>717</v>
      </c>
      <c r="E5" s="18">
        <f>VLOOKUP($A5,'[1]credit ethnic graded seats'!$A:$P,HLOOKUP(E$4,'[2]credit ethnic graded seats'!$1:$2,2,FALSE),FALSE)</f>
        <v>200</v>
      </c>
      <c r="F5" s="17">
        <f>VLOOKUP($A5,'[1]credit ethnic graded seats'!$A:$P,HLOOKUP(F$4,'[2]credit ethnic graded seats'!$1:$2,2,FALSE),FALSE)</f>
        <v>943</v>
      </c>
      <c r="G5" s="3">
        <f>VLOOKUP($A5,'[1]credit ethnic graded seats'!$A:$P,HLOOKUP(G$4,'[2]credit ethnic graded seats'!$1:$2,2,FALSE),FALSE)</f>
        <v>1225</v>
      </c>
      <c r="H5" s="18">
        <f>VLOOKUP($A5,'[1]credit ethnic graded seats'!$A:$P,HLOOKUP(H$4,'[2]credit ethnic graded seats'!$1:$2,2,FALSE),FALSE)</f>
        <v>316</v>
      </c>
      <c r="I5" s="17">
        <f>VLOOKUP($A5,'[1]credit ethnic graded seats'!$A:$P,HLOOKUP(I$4,'[2]credit ethnic graded seats'!$1:$2,2,FALSE),FALSE)</f>
        <v>1190</v>
      </c>
      <c r="J5" s="3">
        <f>VLOOKUP($A5,'[1]credit ethnic graded seats'!$A:$P,HLOOKUP(J$4,'[2]credit ethnic graded seats'!$1:$2,2,FALSE),FALSE)</f>
        <v>1126</v>
      </c>
      <c r="K5" s="18">
        <f>VLOOKUP($A5,'[1]credit ethnic graded seats'!$A:$P,HLOOKUP(K$4,'[2]credit ethnic graded seats'!$1:$2,2,FALSE),FALSE)</f>
        <v>150</v>
      </c>
      <c r="L5" s="17">
        <f>VLOOKUP($A5,'[1]credit ethnic graded seats'!$A:$P,HLOOKUP(L$4,'[2]credit ethnic graded seats'!$1:$2,2,FALSE),FALSE)</f>
        <v>1045</v>
      </c>
      <c r="M5" s="3">
        <f>VLOOKUP($A5,'[1]credit ethnic graded seats'!$A:$P,HLOOKUP(M$4,'[2]credit ethnic graded seats'!$1:$2,2,FALSE),FALSE)</f>
        <v>963</v>
      </c>
      <c r="N5" s="18">
        <f>VLOOKUP($A5,'[1]credit ethnic graded seats'!$A:$P,HLOOKUP(N$4,'[2]credit ethnic graded seats'!$1:$2,2,FALSE),FALSE)</f>
        <v>0</v>
      </c>
      <c r="O5" s="17">
        <f>VLOOKUP($A5,'[1]credit ethnic graded seats'!$A:$P,HLOOKUP(O$4,'[2]credit ethnic graded seats'!$1:$2,2,FALSE),FALSE)</f>
        <v>898</v>
      </c>
      <c r="P5" s="17">
        <f>VLOOKUP($A5,'[1]credit ethnic graded seats'!$A:$P,HLOOKUP(P$4,'[2]credit ethnic graded seats'!$1:$2,2,FALSE),FALSE)</f>
        <v>871</v>
      </c>
    </row>
    <row r="6" spans="1:16" x14ac:dyDescent="0.25">
      <c r="A6" s="9" t="s">
        <v>22</v>
      </c>
      <c r="B6" s="18">
        <f>VLOOKUP($A6,'[1]credit ethnic graded seats'!$A:$P,HLOOKUP(B$4,'[2]credit ethnic graded seats'!$1:$2,2,FALSE),FALSE)</f>
        <v>6</v>
      </c>
      <c r="C6" s="17">
        <f>VLOOKUP($A6,'[1]credit ethnic graded seats'!$A:$P,HLOOKUP(C$4,'[2]credit ethnic graded seats'!$1:$2,2,FALSE),FALSE)</f>
        <v>328</v>
      </c>
      <c r="D6" s="3">
        <f>VLOOKUP($A6,'[1]credit ethnic graded seats'!$A:$P,HLOOKUP(D$4,'[2]credit ethnic graded seats'!$1:$2,2,FALSE),FALSE)</f>
        <v>364</v>
      </c>
      <c r="E6" s="18">
        <f>VLOOKUP($A6,'[1]credit ethnic graded seats'!$A:$P,HLOOKUP(E$4,'[2]credit ethnic graded seats'!$1:$2,2,FALSE),FALSE)</f>
        <v>127</v>
      </c>
      <c r="F6" s="17">
        <f>VLOOKUP($A6,'[1]credit ethnic graded seats'!$A:$P,HLOOKUP(F$4,'[2]credit ethnic graded seats'!$1:$2,2,FALSE),FALSE)</f>
        <v>510</v>
      </c>
      <c r="G6" s="3">
        <f>VLOOKUP($A6,'[1]credit ethnic graded seats'!$A:$P,HLOOKUP(G$4,'[2]credit ethnic graded seats'!$1:$2,2,FALSE),FALSE)</f>
        <v>669</v>
      </c>
      <c r="H6" s="18">
        <f>VLOOKUP($A6,'[1]credit ethnic graded seats'!$A:$P,HLOOKUP(H$4,'[2]credit ethnic graded seats'!$1:$2,2,FALSE),FALSE)</f>
        <v>178</v>
      </c>
      <c r="I6" s="17">
        <f>VLOOKUP($A6,'[1]credit ethnic graded seats'!$A:$P,HLOOKUP(I$4,'[2]credit ethnic graded seats'!$1:$2,2,FALSE),FALSE)</f>
        <v>658</v>
      </c>
      <c r="J6" s="3">
        <f>VLOOKUP($A6,'[1]credit ethnic graded seats'!$A:$P,HLOOKUP(J$4,'[2]credit ethnic graded seats'!$1:$2,2,FALSE),FALSE)</f>
        <v>633</v>
      </c>
      <c r="K6" s="18">
        <f>VLOOKUP($A6,'[1]credit ethnic graded seats'!$A:$P,HLOOKUP(K$4,'[2]credit ethnic graded seats'!$1:$2,2,FALSE),FALSE)</f>
        <v>116</v>
      </c>
      <c r="L6" s="17">
        <f>VLOOKUP($A6,'[1]credit ethnic graded seats'!$A:$P,HLOOKUP(L$4,'[2]credit ethnic graded seats'!$1:$2,2,FALSE),FALSE)</f>
        <v>636</v>
      </c>
      <c r="M6" s="3">
        <f>VLOOKUP($A6,'[1]credit ethnic graded seats'!$A:$P,HLOOKUP(M$4,'[2]credit ethnic graded seats'!$1:$2,2,FALSE),FALSE)</f>
        <v>685</v>
      </c>
      <c r="N6" s="18">
        <f>VLOOKUP($A6,'[1]credit ethnic graded seats'!$A:$P,HLOOKUP(N$4,'[2]credit ethnic graded seats'!$1:$2,2,FALSE),FALSE)</f>
        <v>0</v>
      </c>
      <c r="O6" s="17">
        <f>VLOOKUP($A6,'[1]credit ethnic graded seats'!$A:$P,HLOOKUP(O$4,'[2]credit ethnic graded seats'!$1:$2,2,FALSE),FALSE)</f>
        <v>687</v>
      </c>
      <c r="P6" s="17">
        <f>VLOOKUP($A6,'[1]credit ethnic graded seats'!$A:$P,HLOOKUP(P$4,'[2]credit ethnic graded seats'!$1:$2,2,FALSE),FALSE)</f>
        <v>679</v>
      </c>
    </row>
    <row r="7" spans="1:16" x14ac:dyDescent="0.25">
      <c r="A7" s="9" t="s">
        <v>23</v>
      </c>
      <c r="B7" s="18">
        <f>VLOOKUP($A7,'[1]credit ethnic graded seats'!$A:$P,HLOOKUP(B$4,'[2]credit ethnic graded seats'!$1:$2,2,FALSE),FALSE)</f>
        <v>2</v>
      </c>
      <c r="C7" s="17">
        <f>VLOOKUP($A7,'[1]credit ethnic graded seats'!$A:$P,HLOOKUP(C$4,'[2]credit ethnic graded seats'!$1:$2,2,FALSE),FALSE)</f>
        <v>97</v>
      </c>
      <c r="D7" s="3">
        <f>VLOOKUP($A7,'[1]credit ethnic graded seats'!$A:$P,HLOOKUP(D$4,'[2]credit ethnic graded seats'!$1:$2,2,FALSE),FALSE)</f>
        <v>97</v>
      </c>
      <c r="E7" s="18">
        <f>VLOOKUP($A7,'[1]credit ethnic graded seats'!$A:$P,HLOOKUP(E$4,'[2]credit ethnic graded seats'!$1:$2,2,FALSE),FALSE)</f>
        <v>34</v>
      </c>
      <c r="F7" s="17">
        <f>VLOOKUP($A7,'[1]credit ethnic graded seats'!$A:$P,HLOOKUP(F$4,'[2]credit ethnic graded seats'!$1:$2,2,FALSE),FALSE)</f>
        <v>150</v>
      </c>
      <c r="G7" s="3">
        <f>VLOOKUP($A7,'[1]credit ethnic graded seats'!$A:$P,HLOOKUP(G$4,'[2]credit ethnic graded seats'!$1:$2,2,FALSE),FALSE)</f>
        <v>173</v>
      </c>
      <c r="H7" s="18">
        <f>VLOOKUP($A7,'[1]credit ethnic graded seats'!$A:$P,HLOOKUP(H$4,'[2]credit ethnic graded seats'!$1:$2,2,FALSE),FALSE)</f>
        <v>45</v>
      </c>
      <c r="I7" s="17">
        <f>VLOOKUP($A7,'[1]credit ethnic graded seats'!$A:$P,HLOOKUP(I$4,'[2]credit ethnic graded seats'!$1:$2,2,FALSE),FALSE)</f>
        <v>156</v>
      </c>
      <c r="J7" s="3">
        <f>VLOOKUP($A7,'[1]credit ethnic graded seats'!$A:$P,HLOOKUP(J$4,'[2]credit ethnic graded seats'!$1:$2,2,FALSE),FALSE)</f>
        <v>158</v>
      </c>
      <c r="K7" s="18">
        <f>VLOOKUP($A7,'[1]credit ethnic graded seats'!$A:$P,HLOOKUP(K$4,'[2]credit ethnic graded seats'!$1:$2,2,FALSE),FALSE)</f>
        <v>20</v>
      </c>
      <c r="L7" s="17">
        <f>VLOOKUP($A7,'[1]credit ethnic graded seats'!$A:$P,HLOOKUP(L$4,'[2]credit ethnic graded seats'!$1:$2,2,FALSE),FALSE)</f>
        <v>135</v>
      </c>
      <c r="M7" s="3">
        <f>VLOOKUP($A7,'[1]credit ethnic graded seats'!$A:$P,HLOOKUP(M$4,'[2]credit ethnic graded seats'!$1:$2,2,FALSE),FALSE)</f>
        <v>115</v>
      </c>
      <c r="N7" s="18">
        <f>VLOOKUP($A7,'[1]credit ethnic graded seats'!$A:$P,HLOOKUP(N$4,'[2]credit ethnic graded seats'!$1:$2,2,FALSE),FALSE)</f>
        <v>0</v>
      </c>
      <c r="O7" s="17">
        <f>VLOOKUP($A7,'[1]credit ethnic graded seats'!$A:$P,HLOOKUP(O$4,'[2]credit ethnic graded seats'!$1:$2,2,FALSE),FALSE)</f>
        <v>100</v>
      </c>
      <c r="P7" s="17">
        <f>VLOOKUP($A7,'[1]credit ethnic graded seats'!$A:$P,HLOOKUP(P$4,'[2]credit ethnic graded seats'!$1:$2,2,FALSE),FALSE)</f>
        <v>105</v>
      </c>
    </row>
    <row r="8" spans="1:16" x14ac:dyDescent="0.25">
      <c r="A8" s="9" t="s">
        <v>24</v>
      </c>
      <c r="B8" s="18">
        <f>VLOOKUP($A8,'[1]credit ethnic graded seats'!$A:$P,HLOOKUP(B$4,'[2]credit ethnic graded seats'!$1:$2,2,FALSE),FALSE)</f>
        <v>0</v>
      </c>
      <c r="C8" s="17">
        <f>VLOOKUP($A8,'[1]credit ethnic graded seats'!$A:$P,HLOOKUP(C$4,'[2]credit ethnic graded seats'!$1:$2,2,FALSE),FALSE)</f>
        <v>37</v>
      </c>
      <c r="D8" s="3">
        <f>VLOOKUP($A8,'[1]credit ethnic graded seats'!$A:$P,HLOOKUP(D$4,'[2]credit ethnic graded seats'!$1:$2,2,FALSE),FALSE)</f>
        <v>52</v>
      </c>
      <c r="E8" s="18">
        <f>VLOOKUP($A8,'[1]credit ethnic graded seats'!$A:$P,HLOOKUP(E$4,'[2]credit ethnic graded seats'!$1:$2,2,FALSE),FALSE)</f>
        <v>28</v>
      </c>
      <c r="F8" s="17">
        <f>VLOOKUP($A8,'[1]credit ethnic graded seats'!$A:$P,HLOOKUP(F$4,'[2]credit ethnic graded seats'!$1:$2,2,FALSE),FALSE)</f>
        <v>54</v>
      </c>
      <c r="G8" s="3">
        <f>VLOOKUP($A8,'[1]credit ethnic graded seats'!$A:$P,HLOOKUP(G$4,'[2]credit ethnic graded seats'!$1:$2,2,FALSE),FALSE)</f>
        <v>70</v>
      </c>
      <c r="H8" s="18">
        <f>VLOOKUP($A8,'[1]credit ethnic graded seats'!$A:$P,HLOOKUP(H$4,'[2]credit ethnic graded seats'!$1:$2,2,FALSE),FALSE)</f>
        <v>24</v>
      </c>
      <c r="I8" s="17">
        <f>VLOOKUP($A8,'[1]credit ethnic graded seats'!$A:$P,HLOOKUP(I$4,'[2]credit ethnic graded seats'!$1:$2,2,FALSE),FALSE)</f>
        <v>65</v>
      </c>
      <c r="J8" s="3">
        <f>VLOOKUP($A8,'[1]credit ethnic graded seats'!$A:$P,HLOOKUP(J$4,'[2]credit ethnic graded seats'!$1:$2,2,FALSE),FALSE)</f>
        <v>67</v>
      </c>
      <c r="K8" s="18">
        <f>VLOOKUP($A8,'[1]credit ethnic graded seats'!$A:$P,HLOOKUP(K$4,'[2]credit ethnic graded seats'!$1:$2,2,FALSE),FALSE)</f>
        <v>24</v>
      </c>
      <c r="L8" s="17">
        <f>VLOOKUP($A8,'[1]credit ethnic graded seats'!$A:$P,HLOOKUP(L$4,'[2]credit ethnic graded seats'!$1:$2,2,FALSE),FALSE)</f>
        <v>71</v>
      </c>
      <c r="M8" s="3">
        <f>VLOOKUP($A8,'[1]credit ethnic graded seats'!$A:$P,HLOOKUP(M$4,'[2]credit ethnic graded seats'!$1:$2,2,FALSE),FALSE)</f>
        <v>63</v>
      </c>
      <c r="N8" s="18">
        <f>VLOOKUP($A8,'[1]credit ethnic graded seats'!$A:$P,HLOOKUP(N$4,'[2]credit ethnic graded seats'!$1:$2,2,FALSE),FALSE)</f>
        <v>0</v>
      </c>
      <c r="O8" s="17">
        <f>VLOOKUP($A8,'[1]credit ethnic graded seats'!$A:$P,HLOOKUP(O$4,'[2]credit ethnic graded seats'!$1:$2,2,FALSE),FALSE)</f>
        <v>67</v>
      </c>
      <c r="P8" s="17">
        <f>VLOOKUP($A8,'[1]credit ethnic graded seats'!$A:$P,HLOOKUP(P$4,'[2]credit ethnic graded seats'!$1:$2,2,FALSE),FALSE)</f>
        <v>52</v>
      </c>
    </row>
    <row r="9" spans="1:16" x14ac:dyDescent="0.25">
      <c r="A9" s="9" t="s">
        <v>25</v>
      </c>
      <c r="B9" s="18">
        <f>VLOOKUP($A9,'[1]credit ethnic graded seats'!$A:$P,HLOOKUP(B$4,'[2]credit ethnic graded seats'!$1:$2,2,FALSE),FALSE)</f>
        <v>0</v>
      </c>
      <c r="C9" s="17">
        <f>VLOOKUP($A9,'[1]credit ethnic graded seats'!$A:$P,HLOOKUP(C$4,'[2]credit ethnic graded seats'!$1:$2,2,FALSE),FALSE)</f>
        <v>20</v>
      </c>
      <c r="D9" s="3">
        <f>VLOOKUP($A9,'[1]credit ethnic graded seats'!$A:$P,HLOOKUP(D$4,'[2]credit ethnic graded seats'!$1:$2,2,FALSE),FALSE)</f>
        <v>15</v>
      </c>
      <c r="E9" s="18">
        <f>VLOOKUP($A9,'[1]credit ethnic graded seats'!$A:$P,HLOOKUP(E$4,'[2]credit ethnic graded seats'!$1:$2,2,FALSE),FALSE)</f>
        <v>10</v>
      </c>
      <c r="F9" s="17">
        <f>VLOOKUP($A9,'[1]credit ethnic graded seats'!$A:$P,HLOOKUP(F$4,'[2]credit ethnic graded seats'!$1:$2,2,FALSE),FALSE)</f>
        <v>18</v>
      </c>
      <c r="G9" s="3">
        <f>VLOOKUP($A9,'[1]credit ethnic graded seats'!$A:$P,HLOOKUP(G$4,'[2]credit ethnic graded seats'!$1:$2,2,FALSE),FALSE)</f>
        <v>35</v>
      </c>
      <c r="H9" s="18">
        <f>VLOOKUP($A9,'[1]credit ethnic graded seats'!$A:$P,HLOOKUP(H$4,'[2]credit ethnic graded seats'!$1:$2,2,FALSE),FALSE)</f>
        <v>9</v>
      </c>
      <c r="I9" s="17">
        <f>VLOOKUP($A9,'[1]credit ethnic graded seats'!$A:$P,HLOOKUP(I$4,'[2]credit ethnic graded seats'!$1:$2,2,FALSE),FALSE)</f>
        <v>20</v>
      </c>
      <c r="J9" s="3">
        <f>VLOOKUP($A9,'[1]credit ethnic graded seats'!$A:$P,HLOOKUP(J$4,'[2]credit ethnic graded seats'!$1:$2,2,FALSE),FALSE)</f>
        <v>20</v>
      </c>
      <c r="K9" s="18">
        <f>VLOOKUP($A9,'[1]credit ethnic graded seats'!$A:$P,HLOOKUP(K$4,'[2]credit ethnic graded seats'!$1:$2,2,FALSE),FALSE)</f>
        <v>4</v>
      </c>
      <c r="L9" s="17">
        <f>VLOOKUP($A9,'[1]credit ethnic graded seats'!$A:$P,HLOOKUP(L$4,'[2]credit ethnic graded seats'!$1:$2,2,FALSE),FALSE)</f>
        <v>10</v>
      </c>
      <c r="M9" s="3">
        <f>VLOOKUP($A9,'[1]credit ethnic graded seats'!$A:$P,HLOOKUP(M$4,'[2]credit ethnic graded seats'!$1:$2,2,FALSE),FALSE)</f>
        <v>11</v>
      </c>
      <c r="N9" s="18">
        <f>VLOOKUP($A9,'[1]credit ethnic graded seats'!$A:$P,HLOOKUP(N$4,'[2]credit ethnic graded seats'!$1:$2,2,FALSE),FALSE)</f>
        <v>0</v>
      </c>
      <c r="O9" s="17">
        <f>VLOOKUP($A9,'[1]credit ethnic graded seats'!$A:$P,HLOOKUP(O$4,'[2]credit ethnic graded seats'!$1:$2,2,FALSE),FALSE)</f>
        <v>3</v>
      </c>
      <c r="P9" s="17">
        <f>VLOOKUP($A9,'[1]credit ethnic graded seats'!$A:$P,HLOOKUP(P$4,'[2]credit ethnic graded seats'!$1:$2,2,FALSE),FALSE)</f>
        <v>7</v>
      </c>
    </row>
    <row r="10" spans="1:16" x14ac:dyDescent="0.25">
      <c r="A10" s="9" t="s">
        <v>26</v>
      </c>
      <c r="B10" s="18">
        <f>VLOOKUP($A10,'[1]credit ethnic graded seats'!$A:$P,HLOOKUP(B$4,'[2]credit ethnic graded seats'!$1:$2,2,FALSE),FALSE)</f>
        <v>0</v>
      </c>
      <c r="C10" s="17">
        <f>VLOOKUP($A10,'[1]credit ethnic graded seats'!$A:$P,HLOOKUP(C$4,'[2]credit ethnic graded seats'!$1:$2,2,FALSE),FALSE)</f>
        <v>86</v>
      </c>
      <c r="D10" s="3">
        <f>VLOOKUP($A10,'[1]credit ethnic graded seats'!$A:$P,HLOOKUP(D$4,'[2]credit ethnic graded seats'!$1:$2,2,FALSE),FALSE)</f>
        <v>82</v>
      </c>
      <c r="E10" s="18">
        <f>VLOOKUP($A10,'[1]credit ethnic graded seats'!$A:$P,HLOOKUP(E$4,'[2]credit ethnic graded seats'!$1:$2,2,FALSE),FALSE)</f>
        <v>30</v>
      </c>
      <c r="F10" s="17">
        <f>VLOOKUP($A10,'[1]credit ethnic graded seats'!$A:$P,HLOOKUP(F$4,'[2]credit ethnic graded seats'!$1:$2,2,FALSE),FALSE)</f>
        <v>99</v>
      </c>
      <c r="G10" s="3">
        <f>VLOOKUP($A10,'[1]credit ethnic graded seats'!$A:$P,HLOOKUP(G$4,'[2]credit ethnic graded seats'!$1:$2,2,FALSE),FALSE)</f>
        <v>127</v>
      </c>
      <c r="H10" s="18">
        <f>VLOOKUP($A10,'[1]credit ethnic graded seats'!$A:$P,HLOOKUP(H$4,'[2]credit ethnic graded seats'!$1:$2,2,FALSE),FALSE)</f>
        <v>45</v>
      </c>
      <c r="I10" s="17">
        <f>VLOOKUP($A10,'[1]credit ethnic graded seats'!$A:$P,HLOOKUP(I$4,'[2]credit ethnic graded seats'!$1:$2,2,FALSE),FALSE)</f>
        <v>137</v>
      </c>
      <c r="J10" s="3">
        <f>VLOOKUP($A10,'[1]credit ethnic graded seats'!$A:$P,HLOOKUP(J$4,'[2]credit ethnic graded seats'!$1:$2,2,FALSE),FALSE)</f>
        <v>137</v>
      </c>
      <c r="K10" s="18">
        <f>VLOOKUP($A10,'[1]credit ethnic graded seats'!$A:$P,HLOOKUP(K$4,'[2]credit ethnic graded seats'!$1:$2,2,FALSE),FALSE)</f>
        <v>25</v>
      </c>
      <c r="L10" s="17">
        <f>VLOOKUP($A10,'[1]credit ethnic graded seats'!$A:$P,HLOOKUP(L$4,'[2]credit ethnic graded seats'!$1:$2,2,FALSE),FALSE)</f>
        <v>103</v>
      </c>
      <c r="M10" s="3">
        <f>VLOOKUP($A10,'[1]credit ethnic graded seats'!$A:$P,HLOOKUP(M$4,'[2]credit ethnic graded seats'!$1:$2,2,FALSE),FALSE)</f>
        <v>98</v>
      </c>
      <c r="N10" s="18">
        <f>VLOOKUP($A10,'[1]credit ethnic graded seats'!$A:$P,HLOOKUP(N$4,'[2]credit ethnic graded seats'!$1:$2,2,FALSE),FALSE)</f>
        <v>0</v>
      </c>
      <c r="O10" s="17">
        <f>VLOOKUP($A10,'[1]credit ethnic graded seats'!$A:$P,HLOOKUP(O$4,'[2]credit ethnic graded seats'!$1:$2,2,FALSE),FALSE)</f>
        <v>90</v>
      </c>
      <c r="P10" s="17">
        <f>VLOOKUP($A10,'[1]credit ethnic graded seats'!$A:$P,HLOOKUP(P$4,'[2]credit ethnic graded seats'!$1:$2,2,FALSE),FALSE)</f>
        <v>94</v>
      </c>
    </row>
    <row r="11" spans="1:16" x14ac:dyDescent="0.25">
      <c r="A11" s="9" t="s">
        <v>27</v>
      </c>
      <c r="B11" s="18">
        <f>VLOOKUP($A11,'[1]credit ethnic graded seats'!$A:$P,HLOOKUP(B$4,'[2]credit ethnic graded seats'!$1:$2,2,FALSE),FALSE)</f>
        <v>0</v>
      </c>
      <c r="C11" s="17">
        <f>VLOOKUP($A11,'[1]credit ethnic graded seats'!$A:$P,HLOOKUP(C$4,'[2]credit ethnic graded seats'!$1:$2,2,FALSE),FALSE)</f>
        <v>13</v>
      </c>
      <c r="D11" s="3">
        <f>VLOOKUP($A11,'[1]credit ethnic graded seats'!$A:$P,HLOOKUP(D$4,'[2]credit ethnic graded seats'!$1:$2,2,FALSE),FALSE)</f>
        <v>7</v>
      </c>
      <c r="E11" s="18">
        <f>VLOOKUP($A11,'[1]credit ethnic graded seats'!$A:$P,HLOOKUP(E$4,'[2]credit ethnic graded seats'!$1:$2,2,FALSE),FALSE)</f>
        <v>6</v>
      </c>
      <c r="F11" s="17">
        <f>VLOOKUP($A11,'[1]credit ethnic graded seats'!$A:$P,HLOOKUP(F$4,'[2]credit ethnic graded seats'!$1:$2,2,FALSE),FALSE)</f>
        <v>17</v>
      </c>
      <c r="G11" s="3">
        <f>VLOOKUP($A11,'[1]credit ethnic graded seats'!$A:$P,HLOOKUP(G$4,'[2]credit ethnic graded seats'!$1:$2,2,FALSE),FALSE)</f>
        <v>20</v>
      </c>
      <c r="H11" s="18">
        <f>VLOOKUP($A11,'[1]credit ethnic graded seats'!$A:$P,HLOOKUP(H$4,'[2]credit ethnic graded seats'!$1:$2,2,FALSE),FALSE)</f>
        <v>4</v>
      </c>
      <c r="I11" s="17">
        <f>VLOOKUP($A11,'[1]credit ethnic graded seats'!$A:$P,HLOOKUP(I$4,'[2]credit ethnic graded seats'!$1:$2,2,FALSE),FALSE)</f>
        <v>14</v>
      </c>
      <c r="J11" s="3">
        <f>VLOOKUP($A11,'[1]credit ethnic graded seats'!$A:$P,HLOOKUP(J$4,'[2]credit ethnic graded seats'!$1:$2,2,FALSE),FALSE)</f>
        <v>14</v>
      </c>
      <c r="K11" s="18">
        <f>VLOOKUP($A11,'[1]credit ethnic graded seats'!$A:$P,HLOOKUP(K$4,'[2]credit ethnic graded seats'!$1:$2,2,FALSE),FALSE)</f>
        <v>3</v>
      </c>
      <c r="L11" s="17">
        <f>VLOOKUP($A11,'[1]credit ethnic graded seats'!$A:$P,HLOOKUP(L$4,'[2]credit ethnic graded seats'!$1:$2,2,FALSE),FALSE)</f>
        <v>11</v>
      </c>
      <c r="M11" s="3">
        <f>VLOOKUP($A11,'[1]credit ethnic graded seats'!$A:$P,HLOOKUP(M$4,'[2]credit ethnic graded seats'!$1:$2,2,FALSE),FALSE)</f>
        <v>16</v>
      </c>
      <c r="N11" s="18">
        <f>VLOOKUP($A11,'[1]credit ethnic graded seats'!$A:$P,HLOOKUP(N$4,'[2]credit ethnic graded seats'!$1:$2,2,FALSE),FALSE)</f>
        <v>0</v>
      </c>
      <c r="O11" s="17">
        <f>VLOOKUP($A11,'[1]credit ethnic graded seats'!$A:$P,HLOOKUP(O$4,'[2]credit ethnic graded seats'!$1:$2,2,FALSE),FALSE)</f>
        <v>11</v>
      </c>
      <c r="P11" s="17">
        <f>VLOOKUP($A11,'[1]credit ethnic graded seats'!$A:$P,HLOOKUP(P$4,'[2]credit ethnic graded seats'!$1:$2,2,FALSE),FALSE)</f>
        <v>9</v>
      </c>
    </row>
    <row r="12" spans="1:16" x14ac:dyDescent="0.25">
      <c r="A12" s="9" t="s">
        <v>28</v>
      </c>
      <c r="B12" s="18">
        <f>VLOOKUP($A12,'[1]credit ethnic graded seats'!$A:$P,HLOOKUP(B$4,'[2]credit ethnic graded seats'!$1:$2,2,FALSE),FALSE)</f>
        <v>1</v>
      </c>
      <c r="C12" s="17">
        <f>VLOOKUP($A12,'[1]credit ethnic graded seats'!$A:$P,HLOOKUP(C$4,'[2]credit ethnic graded seats'!$1:$2,2,FALSE),FALSE)</f>
        <v>19</v>
      </c>
      <c r="D12" s="3">
        <f>VLOOKUP($A12,'[1]credit ethnic graded seats'!$A:$P,HLOOKUP(D$4,'[2]credit ethnic graded seats'!$1:$2,2,FALSE),FALSE)</f>
        <v>16</v>
      </c>
      <c r="E12" s="18">
        <f>VLOOKUP($A12,'[1]credit ethnic graded seats'!$A:$P,HLOOKUP(E$4,'[2]credit ethnic graded seats'!$1:$2,2,FALSE),FALSE)</f>
        <v>8</v>
      </c>
      <c r="F12" s="17">
        <f>VLOOKUP($A12,'[1]credit ethnic graded seats'!$A:$P,HLOOKUP(F$4,'[2]credit ethnic graded seats'!$1:$2,2,FALSE),FALSE)</f>
        <v>31</v>
      </c>
      <c r="G12" s="3">
        <f>VLOOKUP($A12,'[1]credit ethnic graded seats'!$A:$P,HLOOKUP(G$4,'[2]credit ethnic graded seats'!$1:$2,2,FALSE),FALSE)</f>
        <v>33</v>
      </c>
      <c r="H12" s="18">
        <f>VLOOKUP($A12,'[1]credit ethnic graded seats'!$A:$P,HLOOKUP(H$4,'[2]credit ethnic graded seats'!$1:$2,2,FALSE),FALSE)</f>
        <v>17</v>
      </c>
      <c r="I12" s="17">
        <f>VLOOKUP($A12,'[1]credit ethnic graded seats'!$A:$P,HLOOKUP(I$4,'[2]credit ethnic graded seats'!$1:$2,2,FALSE),FALSE)</f>
        <v>68</v>
      </c>
      <c r="J12" s="3">
        <f>VLOOKUP($A12,'[1]credit ethnic graded seats'!$A:$P,HLOOKUP(J$4,'[2]credit ethnic graded seats'!$1:$2,2,FALSE),FALSE)</f>
        <v>98</v>
      </c>
      <c r="K12" s="18">
        <f>VLOOKUP($A12,'[1]credit ethnic graded seats'!$A:$P,HLOOKUP(K$4,'[2]credit ethnic graded seats'!$1:$2,2,FALSE),FALSE)</f>
        <v>15</v>
      </c>
      <c r="L12" s="17">
        <f>VLOOKUP($A12,'[1]credit ethnic graded seats'!$A:$P,HLOOKUP(L$4,'[2]credit ethnic graded seats'!$1:$2,2,FALSE),FALSE)</f>
        <v>94</v>
      </c>
      <c r="M12" s="3">
        <f>VLOOKUP($A12,'[1]credit ethnic graded seats'!$A:$P,HLOOKUP(M$4,'[2]credit ethnic graded seats'!$1:$2,2,FALSE),FALSE)</f>
        <v>99</v>
      </c>
      <c r="N12" s="18">
        <f>VLOOKUP($A12,'[1]credit ethnic graded seats'!$A:$P,HLOOKUP(N$4,'[2]credit ethnic graded seats'!$1:$2,2,FALSE),FALSE)</f>
        <v>0</v>
      </c>
      <c r="O12" s="17">
        <f>VLOOKUP($A12,'[1]credit ethnic graded seats'!$A:$P,HLOOKUP(O$4,'[2]credit ethnic graded seats'!$1:$2,2,FALSE),FALSE)</f>
        <v>113</v>
      </c>
      <c r="P12" s="17">
        <f>VLOOKUP($A12,'[1]credit ethnic graded seats'!$A:$P,HLOOKUP(P$4,'[2]credit ethnic graded seats'!$1:$2,2,FALSE),FALSE)</f>
        <v>110</v>
      </c>
    </row>
    <row r="13" spans="1:16" ht="15.75" thickBot="1" x14ac:dyDescent="0.3">
      <c r="A13" s="10" t="s">
        <v>29</v>
      </c>
      <c r="B13" s="18">
        <f>VLOOKUP($A13,'[1]credit ethnic graded seats'!$A:$P,HLOOKUP(B$4,'[2]credit ethnic graded seats'!$1:$2,2,FALSE),FALSE)</f>
        <v>3</v>
      </c>
      <c r="C13" s="17">
        <f>VLOOKUP($A13,'[1]credit ethnic graded seats'!$A:$P,HLOOKUP(C$4,'[2]credit ethnic graded seats'!$1:$2,2,FALSE),FALSE)</f>
        <v>128</v>
      </c>
      <c r="D13" s="3">
        <f>VLOOKUP($A13,'[1]credit ethnic graded seats'!$A:$P,HLOOKUP(D$4,'[2]credit ethnic graded seats'!$1:$2,2,FALSE),FALSE)</f>
        <v>118</v>
      </c>
      <c r="E13" s="18">
        <f>VLOOKUP($A13,'[1]credit ethnic graded seats'!$A:$P,HLOOKUP(E$4,'[2]credit ethnic graded seats'!$1:$2,2,FALSE),FALSE)</f>
        <v>47</v>
      </c>
      <c r="F13" s="17">
        <f>VLOOKUP($A13,'[1]credit ethnic graded seats'!$A:$P,HLOOKUP(F$4,'[2]credit ethnic graded seats'!$1:$2,2,FALSE),FALSE)</f>
        <v>164</v>
      </c>
      <c r="G13" s="3">
        <f>VLOOKUP($A13,'[1]credit ethnic graded seats'!$A:$P,HLOOKUP(G$4,'[2]credit ethnic graded seats'!$1:$2,2,FALSE),FALSE)</f>
        <v>229</v>
      </c>
      <c r="H13" s="18">
        <f>VLOOKUP($A13,'[1]credit ethnic graded seats'!$A:$P,HLOOKUP(H$4,'[2]credit ethnic graded seats'!$1:$2,2,FALSE),FALSE)</f>
        <v>65</v>
      </c>
      <c r="I13" s="17">
        <f>VLOOKUP($A13,'[1]credit ethnic graded seats'!$A:$P,HLOOKUP(I$4,'[2]credit ethnic graded seats'!$1:$2,2,FALSE),FALSE)</f>
        <v>231</v>
      </c>
      <c r="J13" s="3">
        <f>VLOOKUP($A13,'[1]credit ethnic graded seats'!$A:$P,HLOOKUP(J$4,'[2]credit ethnic graded seats'!$1:$2,2,FALSE),FALSE)</f>
        <v>192</v>
      </c>
      <c r="K13" s="18">
        <f>VLOOKUP($A13,'[1]credit ethnic graded seats'!$A:$P,HLOOKUP(K$4,'[2]credit ethnic graded seats'!$1:$2,2,FALSE),FALSE)</f>
        <v>29</v>
      </c>
      <c r="L13" s="17">
        <f>VLOOKUP($A13,'[1]credit ethnic graded seats'!$A:$P,HLOOKUP(L$4,'[2]credit ethnic graded seats'!$1:$2,2,FALSE),FALSE)</f>
        <v>118</v>
      </c>
      <c r="M13" s="3">
        <f>VLOOKUP($A13,'[1]credit ethnic graded seats'!$A:$P,HLOOKUP(M$4,'[2]credit ethnic graded seats'!$1:$2,2,FALSE),FALSE)</f>
        <v>123</v>
      </c>
      <c r="N13" s="18">
        <f>VLOOKUP($A13,'[1]credit ethnic graded seats'!$A:$P,HLOOKUP(N$4,'[2]credit ethnic graded seats'!$1:$2,2,FALSE),FALSE)</f>
        <v>0</v>
      </c>
      <c r="O13" s="17">
        <f>VLOOKUP($A13,'[1]credit ethnic graded seats'!$A:$P,HLOOKUP(O$4,'[2]credit ethnic graded seats'!$1:$2,2,FALSE),FALSE)</f>
        <v>74</v>
      </c>
      <c r="P13" s="17">
        <f>VLOOKUP($A13,'[1]credit ethnic graded seats'!$A:$P,HLOOKUP(P$4,'[2]credit ethnic graded seats'!$1:$2,2,FALSE),FALSE)</f>
        <v>79</v>
      </c>
    </row>
    <row r="14" spans="1:16" ht="15.75" thickBot="1" x14ac:dyDescent="0.3">
      <c r="A14" s="15" t="s">
        <v>30</v>
      </c>
      <c r="B14" s="36">
        <f>VLOOKUP($A14,'[1]credit ethnic graded seats'!$A:$P,HLOOKUP(B$4,'[2]credit ethnic graded seats'!$1:$2,2,FALSE),FALSE)</f>
        <v>19</v>
      </c>
      <c r="C14" s="37">
        <f>VLOOKUP($A14,'[1]credit ethnic graded seats'!$A:$P,HLOOKUP(C$4,'[2]credit ethnic graded seats'!$1:$2,2,FALSE),FALSE)</f>
        <v>1419</v>
      </c>
      <c r="D14" s="38">
        <f>VLOOKUP($A14,'[1]credit ethnic graded seats'!$A:$P,HLOOKUP(D$4,'[2]credit ethnic graded seats'!$1:$2,2,FALSE),FALSE)</f>
        <v>1468</v>
      </c>
      <c r="E14" s="36">
        <f>VLOOKUP($A14,'[1]credit ethnic graded seats'!$A:$P,HLOOKUP(E$4,'[2]credit ethnic graded seats'!$1:$2,2,FALSE),FALSE)</f>
        <v>490</v>
      </c>
      <c r="F14" s="37">
        <f>VLOOKUP($A14,'[1]credit ethnic graded seats'!$A:$P,HLOOKUP(F$4,'[2]credit ethnic graded seats'!$1:$2,2,FALSE),FALSE)</f>
        <v>1986</v>
      </c>
      <c r="G14" s="38">
        <f>VLOOKUP($A14,'[1]credit ethnic graded seats'!$A:$P,HLOOKUP(G$4,'[2]credit ethnic graded seats'!$1:$2,2,FALSE),FALSE)</f>
        <v>2581</v>
      </c>
      <c r="H14" s="36">
        <f>VLOOKUP($A14,'[1]credit ethnic graded seats'!$A:$P,HLOOKUP(H$4,'[2]credit ethnic graded seats'!$1:$2,2,FALSE),FALSE)</f>
        <v>703</v>
      </c>
      <c r="I14" s="37">
        <f>VLOOKUP($A14,'[1]credit ethnic graded seats'!$A:$P,HLOOKUP(I$4,'[2]credit ethnic graded seats'!$1:$2,2,FALSE),FALSE)</f>
        <v>2539</v>
      </c>
      <c r="J14" s="38">
        <f>VLOOKUP($A14,'[1]credit ethnic graded seats'!$A:$P,HLOOKUP(J$4,'[2]credit ethnic graded seats'!$1:$2,2,FALSE),FALSE)</f>
        <v>2445</v>
      </c>
      <c r="K14" s="36">
        <f>VLOOKUP($A14,'[1]credit ethnic graded seats'!$A:$P,HLOOKUP(K$4,'[2]credit ethnic graded seats'!$1:$2,2,FALSE),FALSE)</f>
        <v>386</v>
      </c>
      <c r="L14" s="37">
        <f>VLOOKUP($A14,'[1]credit ethnic graded seats'!$A:$P,HLOOKUP(L$4,'[2]credit ethnic graded seats'!$1:$2,2,FALSE),FALSE)</f>
        <v>2223</v>
      </c>
      <c r="M14" s="38">
        <f>VLOOKUP($A14,'[1]credit ethnic graded seats'!$A:$P,HLOOKUP(M$4,'[2]credit ethnic graded seats'!$1:$2,2,FALSE),FALSE)</f>
        <v>2173</v>
      </c>
      <c r="N14" s="36">
        <f>VLOOKUP($A14,'[1]credit ethnic graded seats'!$A:$P,HLOOKUP(N$4,'[2]credit ethnic graded seats'!$1:$2,2,FALSE),FALSE)</f>
        <v>0</v>
      </c>
      <c r="O14" s="37">
        <f>VLOOKUP($A14,'[1]credit ethnic graded seats'!$A:$P,HLOOKUP(O$4,'[2]credit ethnic graded seats'!$1:$2,2,FALSE),FALSE)</f>
        <v>2043</v>
      </c>
      <c r="P14" s="37">
        <f>VLOOKUP($A14,'[1]credit ethnic graded seats'!$A:$P,HLOOKUP(P$4,'[2]credit ethnic graded seats'!$1:$2,2,FALSE),FALSE)</f>
        <v>2006</v>
      </c>
    </row>
    <row r="15" spans="1:16" ht="15.75" thickBot="1" x14ac:dyDescent="0.3">
      <c r="A15" s="16" t="s">
        <v>5</v>
      </c>
      <c r="B15" s="42">
        <v>2678</v>
      </c>
      <c r="C15" s="43"/>
      <c r="D15" s="44"/>
      <c r="E15" s="45">
        <v>4486</v>
      </c>
      <c r="F15" s="43"/>
      <c r="G15" s="43"/>
      <c r="H15" s="43">
        <v>4739</v>
      </c>
      <c r="I15" s="43"/>
      <c r="J15" s="44"/>
      <c r="K15" s="46">
        <v>3891</v>
      </c>
      <c r="L15" s="47"/>
      <c r="M15" s="48"/>
      <c r="N15" s="49"/>
      <c r="O15" s="50"/>
      <c r="P15" s="51"/>
    </row>
    <row r="16" spans="1:16" ht="15.75" thickBot="1" x14ac:dyDescent="0.3">
      <c r="A16" s="1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ht="15.75" x14ac:dyDescent="0.25">
      <c r="A17" s="52" t="s">
        <v>31</v>
      </c>
      <c r="B17" s="55" t="s">
        <v>32</v>
      </c>
      <c r="C17" s="56"/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7"/>
    </row>
    <row r="18" spans="1:16" ht="16.5" thickBot="1" x14ac:dyDescent="0.3">
      <c r="A18" s="53"/>
      <c r="B18" s="58" t="str">
        <f>B2</f>
        <v>MSJC I-15 Corridor / TEM Total by Ethnic Groups</v>
      </c>
      <c r="C18" s="59"/>
      <c r="D18" s="59"/>
      <c r="E18" s="60"/>
      <c r="F18" s="60"/>
      <c r="G18" s="60"/>
      <c r="H18" s="60"/>
      <c r="I18" s="60"/>
      <c r="J18" s="60"/>
      <c r="K18" s="60"/>
      <c r="L18" s="60"/>
      <c r="M18" s="60"/>
      <c r="N18" s="60"/>
      <c r="O18" s="60"/>
      <c r="P18" s="61"/>
    </row>
    <row r="19" spans="1:16" ht="15.75" thickBot="1" x14ac:dyDescent="0.3">
      <c r="A19" s="54"/>
      <c r="B19" s="62" t="s">
        <v>0</v>
      </c>
      <c r="C19" s="63"/>
      <c r="D19" s="64"/>
      <c r="E19" s="65" t="s">
        <v>1</v>
      </c>
      <c r="F19" s="66"/>
      <c r="G19" s="67"/>
      <c r="H19" s="68" t="s">
        <v>2</v>
      </c>
      <c r="I19" s="63"/>
      <c r="J19" s="69"/>
      <c r="K19" s="70" t="s">
        <v>3</v>
      </c>
      <c r="L19" s="66"/>
      <c r="M19" s="67"/>
      <c r="N19" s="68" t="s">
        <v>4</v>
      </c>
      <c r="O19" s="63"/>
      <c r="P19" s="64"/>
    </row>
    <row r="20" spans="1:16" ht="15.75" thickBot="1" x14ac:dyDescent="0.3">
      <c r="A20" s="2" t="s">
        <v>38</v>
      </c>
      <c r="B20" s="39" t="s">
        <v>6</v>
      </c>
      <c r="C20" s="40" t="s">
        <v>7</v>
      </c>
      <c r="D20" s="41" t="s">
        <v>8</v>
      </c>
      <c r="E20" s="28" t="s">
        <v>9</v>
      </c>
      <c r="F20" s="29" t="s">
        <v>10</v>
      </c>
      <c r="G20" s="30" t="s">
        <v>11</v>
      </c>
      <c r="H20" s="31" t="s">
        <v>12</v>
      </c>
      <c r="I20" s="26" t="s">
        <v>13</v>
      </c>
      <c r="J20" s="32" t="s">
        <v>14</v>
      </c>
      <c r="K20" s="33" t="s">
        <v>15</v>
      </c>
      <c r="L20" s="29" t="s">
        <v>16</v>
      </c>
      <c r="M20" s="30" t="s">
        <v>17</v>
      </c>
      <c r="N20" s="31" t="s">
        <v>18</v>
      </c>
      <c r="O20" s="26" t="s">
        <v>19</v>
      </c>
      <c r="P20" s="27" t="s">
        <v>20</v>
      </c>
    </row>
    <row r="21" spans="1:16" x14ac:dyDescent="0.25">
      <c r="A21" s="8" t="s">
        <v>21</v>
      </c>
      <c r="B21" s="24">
        <f t="shared" ref="B21:D21" si="0">IFERROR((B5/B$14),0)</f>
        <v>0.36842105263157893</v>
      </c>
      <c r="C21" s="19">
        <f t="shared" si="0"/>
        <v>0.48696264975334741</v>
      </c>
      <c r="D21" s="4">
        <f t="shared" si="0"/>
        <v>0.48841961852861038</v>
      </c>
      <c r="E21" s="24">
        <f t="shared" ref="E21:M21" si="1">IFERROR((E5/E$14),0)</f>
        <v>0.40816326530612246</v>
      </c>
      <c r="F21" s="19">
        <f t="shared" si="1"/>
        <v>0.47482376636455187</v>
      </c>
      <c r="G21" s="4">
        <f t="shared" si="1"/>
        <v>0.47462223944207671</v>
      </c>
      <c r="H21" s="24">
        <f t="shared" si="1"/>
        <v>0.44950213371266001</v>
      </c>
      <c r="I21" s="19">
        <f t="shared" si="1"/>
        <v>0.46868846002363135</v>
      </c>
      <c r="J21" s="4">
        <f t="shared" si="1"/>
        <v>0.46053169734151328</v>
      </c>
      <c r="K21" s="24">
        <f t="shared" si="1"/>
        <v>0.38860103626943004</v>
      </c>
      <c r="L21" s="19">
        <f t="shared" si="1"/>
        <v>0.47008547008547008</v>
      </c>
      <c r="M21" s="4">
        <f t="shared" si="1"/>
        <v>0.44316612977450531</v>
      </c>
      <c r="N21" s="24">
        <f t="shared" ref="N21:P21" si="2">IFERROR((N5/N$14),0)</f>
        <v>0</v>
      </c>
      <c r="O21" s="19">
        <f t="shared" si="2"/>
        <v>0.43954968184043075</v>
      </c>
      <c r="P21" s="19">
        <f t="shared" si="2"/>
        <v>0.43419740777666999</v>
      </c>
    </row>
    <row r="22" spans="1:16" x14ac:dyDescent="0.25">
      <c r="A22" s="9" t="s">
        <v>22</v>
      </c>
      <c r="B22" s="24">
        <f t="shared" ref="B22:D22" si="3">IFERROR((B6/B$14),0)</f>
        <v>0.31578947368421051</v>
      </c>
      <c r="C22" s="19">
        <f t="shared" si="3"/>
        <v>0.23114869626497533</v>
      </c>
      <c r="D22" s="4">
        <f t="shared" si="3"/>
        <v>0.24795640326975477</v>
      </c>
      <c r="E22" s="24">
        <f t="shared" ref="E22:M22" si="4">IFERROR((E6/E$14),0)</f>
        <v>0.25918367346938775</v>
      </c>
      <c r="F22" s="19">
        <f t="shared" si="4"/>
        <v>0.25679758308157102</v>
      </c>
      <c r="G22" s="4">
        <f t="shared" si="4"/>
        <v>0.25920185974428517</v>
      </c>
      <c r="H22" s="24">
        <f t="shared" si="4"/>
        <v>0.25320056899004267</v>
      </c>
      <c r="I22" s="19">
        <f t="shared" si="4"/>
        <v>0.25915714848365501</v>
      </c>
      <c r="J22" s="4">
        <f t="shared" si="4"/>
        <v>0.2588957055214724</v>
      </c>
      <c r="K22" s="24">
        <f t="shared" si="4"/>
        <v>0.30051813471502592</v>
      </c>
      <c r="L22" s="19">
        <f t="shared" si="4"/>
        <v>0.28609986504723345</v>
      </c>
      <c r="M22" s="4">
        <f t="shared" si="4"/>
        <v>0.31523239760699495</v>
      </c>
      <c r="N22" s="24">
        <f t="shared" ref="N22:P22" si="5">IFERROR((N6/N$14),0)</f>
        <v>0</v>
      </c>
      <c r="O22" s="19">
        <f t="shared" si="5"/>
        <v>0.33627019089574156</v>
      </c>
      <c r="P22" s="19">
        <f t="shared" si="5"/>
        <v>0.33848454636091724</v>
      </c>
    </row>
    <row r="23" spans="1:16" x14ac:dyDescent="0.25">
      <c r="A23" s="9" t="s">
        <v>23</v>
      </c>
      <c r="B23" s="24">
        <f t="shared" ref="B23:D23" si="6">IFERROR((B7/B$14),0)</f>
        <v>0.10526315789473684</v>
      </c>
      <c r="C23" s="19">
        <f t="shared" si="6"/>
        <v>6.8357998590556732E-2</v>
      </c>
      <c r="D23" s="4">
        <f t="shared" si="6"/>
        <v>6.607629427792916E-2</v>
      </c>
      <c r="E23" s="24">
        <f t="shared" ref="E23:M23" si="7">IFERROR((E7/E$14),0)</f>
        <v>6.9387755102040816E-2</v>
      </c>
      <c r="F23" s="19">
        <f t="shared" si="7"/>
        <v>7.5528700906344406E-2</v>
      </c>
      <c r="G23" s="4">
        <f t="shared" si="7"/>
        <v>6.7028283611003492E-2</v>
      </c>
      <c r="H23" s="24">
        <f t="shared" si="7"/>
        <v>6.4011379800853488E-2</v>
      </c>
      <c r="I23" s="19">
        <f t="shared" si="7"/>
        <v>6.1441512406459238E-2</v>
      </c>
      <c r="J23" s="4">
        <f t="shared" si="7"/>
        <v>6.4621676891615548E-2</v>
      </c>
      <c r="K23" s="24">
        <f t="shared" si="7"/>
        <v>5.181347150259067E-2</v>
      </c>
      <c r="L23" s="19">
        <f t="shared" si="7"/>
        <v>6.0728744939271252E-2</v>
      </c>
      <c r="M23" s="4">
        <f t="shared" si="7"/>
        <v>5.2922227335480902E-2</v>
      </c>
      <c r="N23" s="24">
        <f t="shared" ref="N23:P23" si="8">IFERROR((N7/N$14),0)</f>
        <v>0</v>
      </c>
      <c r="O23" s="19">
        <f t="shared" si="8"/>
        <v>4.8947626040137054E-2</v>
      </c>
      <c r="P23" s="19">
        <f t="shared" si="8"/>
        <v>5.2342971086739784E-2</v>
      </c>
    </row>
    <row r="24" spans="1:16" x14ac:dyDescent="0.25">
      <c r="A24" s="9" t="s">
        <v>24</v>
      </c>
      <c r="B24" s="24">
        <f t="shared" ref="B24:D24" si="9">IFERROR((B8/B$14),0)</f>
        <v>0</v>
      </c>
      <c r="C24" s="19">
        <f t="shared" si="9"/>
        <v>2.6074700493305146E-2</v>
      </c>
      <c r="D24" s="4">
        <f t="shared" si="9"/>
        <v>3.5422343324250684E-2</v>
      </c>
      <c r="E24" s="24">
        <f t="shared" ref="E24:M24" si="10">IFERROR((E8/E$14),0)</f>
        <v>5.7142857142857141E-2</v>
      </c>
      <c r="F24" s="19">
        <f t="shared" si="10"/>
        <v>2.7190332326283987E-2</v>
      </c>
      <c r="G24" s="4">
        <f t="shared" si="10"/>
        <v>2.7121270825261525E-2</v>
      </c>
      <c r="H24" s="24">
        <f t="shared" si="10"/>
        <v>3.4139402560455195E-2</v>
      </c>
      <c r="I24" s="19">
        <f t="shared" si="10"/>
        <v>2.5600630169358016E-2</v>
      </c>
      <c r="J24" s="4">
        <f t="shared" si="10"/>
        <v>2.7402862985685072E-2</v>
      </c>
      <c r="K24" s="24">
        <f t="shared" si="10"/>
        <v>6.2176165803108807E-2</v>
      </c>
      <c r="L24" s="19">
        <f t="shared" si="10"/>
        <v>3.1938821412505626E-2</v>
      </c>
      <c r="M24" s="4">
        <f t="shared" si="10"/>
        <v>2.8992176714219973E-2</v>
      </c>
      <c r="N24" s="24">
        <f t="shared" ref="N24:P24" si="11">IFERROR((N8/N$14),0)</f>
        <v>0</v>
      </c>
      <c r="O24" s="19">
        <f t="shared" si="11"/>
        <v>3.2794909446891826E-2</v>
      </c>
      <c r="P24" s="19">
        <f t="shared" si="11"/>
        <v>2.5922233300099701E-2</v>
      </c>
    </row>
    <row r="25" spans="1:16" x14ac:dyDescent="0.25">
      <c r="A25" s="9" t="s">
        <v>25</v>
      </c>
      <c r="B25" s="24">
        <f t="shared" ref="B25:D25" si="12">IFERROR((B9/B$14),0)</f>
        <v>0</v>
      </c>
      <c r="C25" s="19">
        <f t="shared" si="12"/>
        <v>1.4094432699083862E-2</v>
      </c>
      <c r="D25" s="4">
        <f t="shared" si="12"/>
        <v>1.0217983651226158E-2</v>
      </c>
      <c r="E25" s="24">
        <f t="shared" ref="E25:M25" si="13">IFERROR((E9/E$14),0)</f>
        <v>2.0408163265306121E-2</v>
      </c>
      <c r="F25" s="19">
        <f t="shared" si="13"/>
        <v>9.0634441087613302E-3</v>
      </c>
      <c r="G25" s="4">
        <f t="shared" si="13"/>
        <v>1.3560635412630763E-2</v>
      </c>
      <c r="H25" s="24">
        <f t="shared" si="13"/>
        <v>1.2802275960170697E-2</v>
      </c>
      <c r="I25" s="19">
        <f t="shared" si="13"/>
        <v>7.8771169751870821E-3</v>
      </c>
      <c r="J25" s="4">
        <f t="shared" si="13"/>
        <v>8.1799591002044997E-3</v>
      </c>
      <c r="K25" s="24">
        <f t="shared" si="13"/>
        <v>1.0362694300518135E-2</v>
      </c>
      <c r="L25" s="19">
        <f t="shared" si="13"/>
        <v>4.49842555105713E-3</v>
      </c>
      <c r="M25" s="4">
        <f t="shared" si="13"/>
        <v>5.0621260929590425E-3</v>
      </c>
      <c r="N25" s="24">
        <f t="shared" ref="N25:P25" si="14">IFERROR((N9/N$14),0)</f>
        <v>0</v>
      </c>
      <c r="O25" s="19">
        <f t="shared" si="14"/>
        <v>1.4684287812041115E-3</v>
      </c>
      <c r="P25" s="19">
        <f t="shared" si="14"/>
        <v>3.489531405782652E-3</v>
      </c>
    </row>
    <row r="26" spans="1:16" x14ac:dyDescent="0.25">
      <c r="A26" s="9" t="s">
        <v>26</v>
      </c>
      <c r="B26" s="24">
        <f t="shared" ref="B26:D26" si="15">IFERROR((B10/B$14),0)</f>
        <v>0</v>
      </c>
      <c r="C26" s="19">
        <f t="shared" si="15"/>
        <v>6.0606060606060608E-2</v>
      </c>
      <c r="D26" s="4">
        <f t="shared" si="15"/>
        <v>5.5858310626702996E-2</v>
      </c>
      <c r="E26" s="24">
        <f t="shared" ref="E26:M26" si="16">IFERROR((E10/E$14),0)</f>
        <v>6.1224489795918366E-2</v>
      </c>
      <c r="F26" s="19">
        <f t="shared" si="16"/>
        <v>4.9848942598187312E-2</v>
      </c>
      <c r="G26" s="4">
        <f t="shared" si="16"/>
        <v>4.9205734211545914E-2</v>
      </c>
      <c r="H26" s="24">
        <f t="shared" si="16"/>
        <v>6.4011379800853488E-2</v>
      </c>
      <c r="I26" s="19">
        <f t="shared" si="16"/>
        <v>5.3958251280031511E-2</v>
      </c>
      <c r="J26" s="4">
        <f t="shared" si="16"/>
        <v>5.6032719836400818E-2</v>
      </c>
      <c r="K26" s="24">
        <f t="shared" si="16"/>
        <v>6.4766839378238336E-2</v>
      </c>
      <c r="L26" s="19">
        <f t="shared" si="16"/>
        <v>4.6333783175888439E-2</v>
      </c>
      <c r="M26" s="4">
        <f t="shared" si="16"/>
        <v>4.5098941555453291E-2</v>
      </c>
      <c r="N26" s="24">
        <f t="shared" ref="N26:P26" si="17">IFERROR((N10/N$14),0)</f>
        <v>0</v>
      </c>
      <c r="O26" s="19">
        <f t="shared" si="17"/>
        <v>4.405286343612335E-2</v>
      </c>
      <c r="P26" s="19">
        <f t="shared" si="17"/>
        <v>4.6859421734795612E-2</v>
      </c>
    </row>
    <row r="27" spans="1:16" x14ac:dyDescent="0.25">
      <c r="A27" s="9" t="s">
        <v>27</v>
      </c>
      <c r="B27" s="24">
        <f t="shared" ref="B27:D27" si="18">IFERROR((B11/B$14),0)</f>
        <v>0</v>
      </c>
      <c r="C27" s="19">
        <f t="shared" si="18"/>
        <v>9.161381254404511E-3</v>
      </c>
      <c r="D27" s="4">
        <f t="shared" si="18"/>
        <v>4.7683923705722072E-3</v>
      </c>
      <c r="E27" s="24">
        <f t="shared" ref="E27:M27" si="19">IFERROR((E11/E$14),0)</f>
        <v>1.2244897959183673E-2</v>
      </c>
      <c r="F27" s="19">
        <f t="shared" si="19"/>
        <v>8.559919436052367E-3</v>
      </c>
      <c r="G27" s="4">
        <f t="shared" si="19"/>
        <v>7.7489345215032935E-3</v>
      </c>
      <c r="H27" s="24">
        <f t="shared" si="19"/>
        <v>5.6899004267425323E-3</v>
      </c>
      <c r="I27" s="19">
        <f t="shared" si="19"/>
        <v>5.5139818826309573E-3</v>
      </c>
      <c r="J27" s="4">
        <f t="shared" si="19"/>
        <v>5.7259713701431495E-3</v>
      </c>
      <c r="K27" s="24">
        <f t="shared" si="19"/>
        <v>7.7720207253886009E-3</v>
      </c>
      <c r="L27" s="19">
        <f t="shared" si="19"/>
        <v>4.9482681061628429E-3</v>
      </c>
      <c r="M27" s="4">
        <f t="shared" si="19"/>
        <v>7.3630924988495172E-3</v>
      </c>
      <c r="N27" s="24">
        <f t="shared" ref="N27:P27" si="20">IFERROR((N11/N$14),0)</f>
        <v>0</v>
      </c>
      <c r="O27" s="19">
        <f t="shared" si="20"/>
        <v>5.3842388644150755E-3</v>
      </c>
      <c r="P27" s="19">
        <f t="shared" si="20"/>
        <v>4.4865403788634101E-3</v>
      </c>
    </row>
    <row r="28" spans="1:16" x14ac:dyDescent="0.25">
      <c r="A28" s="9" t="s">
        <v>28</v>
      </c>
      <c r="B28" s="24">
        <f t="shared" ref="B28:D28" si="21">IFERROR((B12/B$14),0)</f>
        <v>5.2631578947368418E-2</v>
      </c>
      <c r="C28" s="19">
        <f t="shared" si="21"/>
        <v>1.3389711064129669E-2</v>
      </c>
      <c r="D28" s="4">
        <f t="shared" si="21"/>
        <v>1.0899182561307902E-2</v>
      </c>
      <c r="E28" s="24">
        <f t="shared" ref="E28:M28" si="22">IFERROR((E12/E$14),0)</f>
        <v>1.6326530612244899E-2</v>
      </c>
      <c r="F28" s="19">
        <f t="shared" si="22"/>
        <v>1.5609264853977844E-2</v>
      </c>
      <c r="G28" s="4">
        <f t="shared" si="22"/>
        <v>1.2785741960480435E-2</v>
      </c>
      <c r="H28" s="24">
        <f t="shared" si="22"/>
        <v>2.4182076813655761E-2</v>
      </c>
      <c r="I28" s="19">
        <f t="shared" si="22"/>
        <v>2.6782197715636079E-2</v>
      </c>
      <c r="J28" s="4">
        <f t="shared" si="22"/>
        <v>4.0081799591002047E-2</v>
      </c>
      <c r="K28" s="24">
        <f t="shared" si="22"/>
        <v>3.8860103626943004E-2</v>
      </c>
      <c r="L28" s="19">
        <f t="shared" si="22"/>
        <v>4.2285200179937019E-2</v>
      </c>
      <c r="M28" s="4">
        <f t="shared" si="22"/>
        <v>4.5559134836631383E-2</v>
      </c>
      <c r="N28" s="24">
        <f t="shared" ref="N28:P28" si="23">IFERROR((N12/N$14),0)</f>
        <v>0</v>
      </c>
      <c r="O28" s="19">
        <f t="shared" si="23"/>
        <v>5.5310817425354868E-2</v>
      </c>
      <c r="P28" s="19">
        <f t="shared" si="23"/>
        <v>5.4835493519441676E-2</v>
      </c>
    </row>
    <row r="29" spans="1:16" ht="15.75" thickBot="1" x14ac:dyDescent="0.3">
      <c r="A29" s="10" t="s">
        <v>29</v>
      </c>
      <c r="B29" s="21">
        <f t="shared" ref="B29:D29" si="24">IFERROR((B13/B$14),0)</f>
        <v>0.15789473684210525</v>
      </c>
      <c r="C29" s="23">
        <f t="shared" si="24"/>
        <v>9.020436927413672E-2</v>
      </c>
      <c r="D29" s="20">
        <f t="shared" si="24"/>
        <v>8.038147138964577E-2</v>
      </c>
      <c r="E29" s="21">
        <f t="shared" ref="E29:M29" si="25">IFERROR((E13/E$14),0)</f>
        <v>9.5918367346938774E-2</v>
      </c>
      <c r="F29" s="23">
        <f t="shared" si="25"/>
        <v>8.2578046324269891E-2</v>
      </c>
      <c r="G29" s="20">
        <f t="shared" si="25"/>
        <v>8.8725300271212712E-2</v>
      </c>
      <c r="H29" s="21">
        <f t="shared" si="25"/>
        <v>9.2460881934566141E-2</v>
      </c>
      <c r="I29" s="23">
        <f t="shared" si="25"/>
        <v>9.0980701063410788E-2</v>
      </c>
      <c r="J29" s="20">
        <f t="shared" si="25"/>
        <v>7.8527607361963195E-2</v>
      </c>
      <c r="K29" s="21">
        <f t="shared" si="25"/>
        <v>7.512953367875648E-2</v>
      </c>
      <c r="L29" s="23">
        <f t="shared" si="25"/>
        <v>5.3081421502474135E-2</v>
      </c>
      <c r="M29" s="20">
        <f t="shared" si="25"/>
        <v>5.6603773584905662E-2</v>
      </c>
      <c r="N29" s="21">
        <f t="shared" ref="N29:P29" si="26">IFERROR((N13/N$14),0)</f>
        <v>0</v>
      </c>
      <c r="O29" s="23">
        <f t="shared" si="26"/>
        <v>3.6221243269701421E-2</v>
      </c>
      <c r="P29" s="19">
        <f t="shared" si="26"/>
        <v>3.9381854436689928E-2</v>
      </c>
    </row>
    <row r="30" spans="1:16" ht="15.75" thickBo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 ht="15.75" x14ac:dyDescent="0.25">
      <c r="A31" s="52" t="s">
        <v>33</v>
      </c>
      <c r="B31" s="55" t="s">
        <v>33</v>
      </c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7"/>
    </row>
    <row r="32" spans="1:16" ht="16.5" thickBot="1" x14ac:dyDescent="0.3">
      <c r="A32" s="53"/>
      <c r="B32" s="58" t="str">
        <f>B18</f>
        <v>MSJC I-15 Corridor / TEM Total by Ethnic Groups</v>
      </c>
      <c r="C32" s="59"/>
      <c r="D32" s="59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1"/>
    </row>
    <row r="33" spans="1:16" ht="15.75" thickBot="1" x14ac:dyDescent="0.3">
      <c r="A33" s="54"/>
      <c r="B33" s="62" t="s">
        <v>0</v>
      </c>
      <c r="C33" s="63"/>
      <c r="D33" s="64"/>
      <c r="E33" s="65" t="s">
        <v>1</v>
      </c>
      <c r="F33" s="66"/>
      <c r="G33" s="67"/>
      <c r="H33" s="68" t="s">
        <v>2</v>
      </c>
      <c r="I33" s="63"/>
      <c r="J33" s="69"/>
      <c r="K33" s="70" t="s">
        <v>3</v>
      </c>
      <c r="L33" s="66"/>
      <c r="M33" s="67"/>
      <c r="N33" s="68" t="s">
        <v>4</v>
      </c>
      <c r="O33" s="63"/>
      <c r="P33" s="64"/>
    </row>
    <row r="34" spans="1:16" ht="15.75" thickBot="1" x14ac:dyDescent="0.3">
      <c r="A34" s="2" t="s">
        <v>37</v>
      </c>
      <c r="B34" s="25" t="s">
        <v>6</v>
      </c>
      <c r="C34" s="26" t="s">
        <v>7</v>
      </c>
      <c r="D34" s="27" t="s">
        <v>8</v>
      </c>
      <c r="E34" s="28" t="s">
        <v>9</v>
      </c>
      <c r="F34" s="29" t="s">
        <v>10</v>
      </c>
      <c r="G34" s="30" t="s">
        <v>11</v>
      </c>
      <c r="H34" s="25" t="s">
        <v>12</v>
      </c>
      <c r="I34" s="26" t="s">
        <v>13</v>
      </c>
      <c r="J34" s="27" t="s">
        <v>14</v>
      </c>
      <c r="K34" s="33" t="s">
        <v>15</v>
      </c>
      <c r="L34" s="29" t="s">
        <v>16</v>
      </c>
      <c r="M34" s="30" t="s">
        <v>17</v>
      </c>
      <c r="N34" s="25" t="s">
        <v>18</v>
      </c>
      <c r="O34" s="26" t="s">
        <v>19</v>
      </c>
      <c r="P34" s="27" t="s">
        <v>20</v>
      </c>
    </row>
    <row r="35" spans="1:16" x14ac:dyDescent="0.25">
      <c r="A35" s="8" t="s">
        <v>21</v>
      </c>
      <c r="B35" s="12">
        <f>VLOOKUP($A35,'[3]success rates'!$A:$P,HLOOKUP(B$34,'[3]success rates'!$1:$2,2,FALSE),FALSE)</f>
        <v>1</v>
      </c>
      <c r="C35" s="12">
        <f>VLOOKUP($A35,'[3]success rates'!$A:$P,HLOOKUP(C$34,'[3]success rates'!$1:$2,2,FALSE),FALSE)</f>
        <v>0.68586387434554974</v>
      </c>
      <c r="D35" s="12">
        <f>VLOOKUP($A35,'[3]success rates'!$A:$P,HLOOKUP(D$34,'[3]success rates'!$1:$2,2,FALSE),FALSE)</f>
        <v>0.75812743823146944</v>
      </c>
      <c r="E35" s="12">
        <f>VLOOKUP($A35,'[3]success rates'!$A:$P,HLOOKUP(E$34,'[3]success rates'!$1:$2,2,FALSE),FALSE)</f>
        <v>0.88362068965517238</v>
      </c>
      <c r="F35" s="12">
        <f>VLOOKUP($A35,'[3]success rates'!$A:$P,HLOOKUP(F$34,'[3]success rates'!$1:$2,2,FALSE),FALSE)</f>
        <v>0.73443983402489632</v>
      </c>
      <c r="G35" s="12">
        <f>VLOOKUP($A35,'[3]success rates'!$A:$P,HLOOKUP(G$34,'[3]success rates'!$1:$2,2,FALSE),FALSE)</f>
        <v>0.76953125</v>
      </c>
      <c r="H35" s="12">
        <f>VLOOKUP($A35,'[3]success rates'!$A:$P,HLOOKUP(H$34,'[3]success rates'!$1:$2,2,FALSE),FALSE)</f>
        <v>0.8392857142857143</v>
      </c>
      <c r="I35" s="12">
        <f>VLOOKUP($A35,'[3]success rates'!$A:$P,HLOOKUP(I$34,'[3]success rates'!$1:$2,2,FALSE),FALSE)</f>
        <v>0.77933130699088149</v>
      </c>
      <c r="J35" s="12">
        <f>VLOOKUP($A35,'[3]success rates'!$A:$P,HLOOKUP(J$34,'[3]success rates'!$1:$2,2,FALSE),FALSE)</f>
        <v>0.73006905210295037</v>
      </c>
      <c r="K35" s="12">
        <f>VLOOKUP($A35,'[3]success rates'!$A:$P,HLOOKUP(K$34,'[3]success rates'!$1:$2,2,FALSE),FALSE)</f>
        <v>0.90445859872611467</v>
      </c>
      <c r="L35" s="12">
        <f>VLOOKUP($A35,'[3]success rates'!$A:$P,HLOOKUP(L$34,'[3]success rates'!$1:$2,2,FALSE),FALSE)</f>
        <v>0.75370121130551815</v>
      </c>
      <c r="M35" s="12">
        <f>VLOOKUP($A35,'[3]success rates'!$A:$P,HLOOKUP(M$34,'[3]success rates'!$1:$2,2,FALSE),FALSE)</f>
        <v>0.74463190184049077</v>
      </c>
      <c r="N35" s="12" t="str">
        <f>VLOOKUP($A35,'[3]success rates'!$A:$P,HLOOKUP(N$34,'[3]success rates'!$1:$2,2,FALSE),FALSE)</f>
        <v/>
      </c>
      <c r="O35" s="12">
        <f>VLOOKUP($A35,'[3]success rates'!$A:$P,HLOOKUP(O$34,'[3]success rates'!$1:$2,2,FALSE),FALSE)</f>
        <v>0.79409479409479411</v>
      </c>
      <c r="P35" s="12">
        <f>VLOOKUP($A35,'[3]success rates'!$A:$P,HLOOKUP(P$34,'[3]success rates'!$1:$2,2,FALSE),FALSE)</f>
        <v>0.75915378356387309</v>
      </c>
    </row>
    <row r="36" spans="1:16" x14ac:dyDescent="0.25">
      <c r="A36" s="9" t="s">
        <v>22</v>
      </c>
      <c r="B36" s="12">
        <f>VLOOKUP($A36,'[3]success rates'!$A:$P,HLOOKUP(B$34,'[3]success rates'!$1:$2,2,FALSE),FALSE)</f>
        <v>1</v>
      </c>
      <c r="C36" s="12">
        <f>VLOOKUP($A36,'[3]success rates'!$A:$P,HLOOKUP(C$34,'[3]success rates'!$1:$2,2,FALSE),FALSE)</f>
        <v>0.61246612466124661</v>
      </c>
      <c r="D36" s="12">
        <f>VLOOKUP($A36,'[3]success rates'!$A:$P,HLOOKUP(D$34,'[3]success rates'!$1:$2,2,FALSE),FALSE)</f>
        <v>0.68367346938775508</v>
      </c>
      <c r="E36" s="12">
        <f>VLOOKUP($A36,'[3]success rates'!$A:$P,HLOOKUP(E$34,'[3]success rates'!$1:$2,2,FALSE),FALSE)</f>
        <v>0.83098591549295775</v>
      </c>
      <c r="F36" s="12">
        <f>VLOOKUP($A36,'[3]success rates'!$A:$P,HLOOKUP(F$34,'[3]success rates'!$1:$2,2,FALSE),FALSE)</f>
        <v>0.63551401869158874</v>
      </c>
      <c r="G36" s="12">
        <f>VLOOKUP($A36,'[3]success rates'!$A:$P,HLOOKUP(G$34,'[3]success rates'!$1:$2,2,FALSE),FALSE)</f>
        <v>0.69742990654205606</v>
      </c>
      <c r="H36" s="12">
        <f>VLOOKUP($A36,'[3]success rates'!$A:$P,HLOOKUP(H$34,'[3]success rates'!$1:$2,2,FALSE),FALSE)</f>
        <v>0.83333333333333337</v>
      </c>
      <c r="I36" s="12">
        <f>VLOOKUP($A36,'[3]success rates'!$A:$P,HLOOKUP(I$34,'[3]success rates'!$1:$2,2,FALSE),FALSE)</f>
        <v>0.7185430463576159</v>
      </c>
      <c r="J36" s="12">
        <f>VLOOKUP($A36,'[3]success rates'!$A:$P,HLOOKUP(J$34,'[3]success rates'!$1:$2,2,FALSE),FALSE)</f>
        <v>0.69709989258861438</v>
      </c>
      <c r="K36" s="12">
        <f>VLOOKUP($A36,'[3]success rates'!$A:$P,HLOOKUP(K$34,'[3]success rates'!$1:$2,2,FALSE),FALSE)</f>
        <v>0.88</v>
      </c>
      <c r="L36" s="12">
        <f>VLOOKUP($A36,'[3]success rates'!$A:$P,HLOOKUP(L$34,'[3]success rates'!$1:$2,2,FALSE),FALSE)</f>
        <v>0.72054223149113661</v>
      </c>
      <c r="M36" s="12">
        <f>VLOOKUP($A36,'[3]success rates'!$A:$P,HLOOKUP(M$34,'[3]success rates'!$1:$2,2,FALSE),FALSE)</f>
        <v>0.69069069069069067</v>
      </c>
      <c r="N36" s="12" t="str">
        <f>VLOOKUP($A36,'[3]success rates'!$A:$P,HLOOKUP(N$34,'[3]success rates'!$1:$2,2,FALSE),FALSE)</f>
        <v/>
      </c>
      <c r="O36" s="12">
        <f>VLOOKUP($A36,'[3]success rates'!$A:$P,HLOOKUP(O$34,'[3]success rates'!$1:$2,2,FALSE),FALSE)</f>
        <v>0.74233128834355833</v>
      </c>
      <c r="P36" s="12">
        <f>VLOOKUP($A36,'[3]success rates'!$A:$P,HLOOKUP(P$34,'[3]success rates'!$1:$2,2,FALSE),FALSE)</f>
        <v>0.70859538784067089</v>
      </c>
    </row>
    <row r="37" spans="1:16" x14ac:dyDescent="0.25">
      <c r="A37" s="9" t="s">
        <v>23</v>
      </c>
      <c r="B37" s="12">
        <f>VLOOKUP($A37,'[3]success rates'!$A:$P,HLOOKUP(B$34,'[3]success rates'!$1:$2,2,FALSE),FALSE)</f>
        <v>1</v>
      </c>
      <c r="C37" s="12">
        <f>VLOOKUP($A37,'[3]success rates'!$A:$P,HLOOKUP(C$34,'[3]success rates'!$1:$2,2,FALSE),FALSE)</f>
        <v>0.59433962264150941</v>
      </c>
      <c r="D37" s="12">
        <f>VLOOKUP($A37,'[3]success rates'!$A:$P,HLOOKUP(D$34,'[3]success rates'!$1:$2,2,FALSE),FALSE)</f>
        <v>0.53398058252427183</v>
      </c>
      <c r="E37" s="12">
        <f>VLOOKUP($A37,'[3]success rates'!$A:$P,HLOOKUP(E$34,'[3]success rates'!$1:$2,2,FALSE),FALSE)</f>
        <v>0.69230769230769229</v>
      </c>
      <c r="F37" s="12">
        <f>VLOOKUP($A37,'[3]success rates'!$A:$P,HLOOKUP(F$34,'[3]success rates'!$1:$2,2,FALSE),FALSE)</f>
        <v>0.61463414634146341</v>
      </c>
      <c r="G37" s="12">
        <f>VLOOKUP($A37,'[3]success rates'!$A:$P,HLOOKUP(G$34,'[3]success rates'!$1:$2,2,FALSE),FALSE)</f>
        <v>0.66666666666666663</v>
      </c>
      <c r="H37" s="12">
        <f>VLOOKUP($A37,'[3]success rates'!$A:$P,HLOOKUP(H$34,'[3]success rates'!$1:$2,2,FALSE),FALSE)</f>
        <v>0.6875</v>
      </c>
      <c r="I37" s="12">
        <f>VLOOKUP($A37,'[3]success rates'!$A:$P,HLOOKUP(I$34,'[3]success rates'!$1:$2,2,FALSE),FALSE)</f>
        <v>0.58666666666666667</v>
      </c>
      <c r="J37" s="12">
        <f>VLOOKUP($A37,'[3]success rates'!$A:$P,HLOOKUP(J$34,'[3]success rates'!$1:$2,2,FALSE),FALSE)</f>
        <v>0.57446808510638303</v>
      </c>
      <c r="K37" s="12">
        <f>VLOOKUP($A37,'[3]success rates'!$A:$P,HLOOKUP(K$34,'[3]success rates'!$1:$2,2,FALSE),FALSE)</f>
        <v>0.69565217391304346</v>
      </c>
      <c r="L37" s="12">
        <f>VLOOKUP($A37,'[3]success rates'!$A:$P,HLOOKUP(L$34,'[3]success rates'!$1:$2,2,FALSE),FALSE)</f>
        <v>0.71698113207547165</v>
      </c>
      <c r="M37" s="12">
        <f>VLOOKUP($A37,'[3]success rates'!$A:$P,HLOOKUP(M$34,'[3]success rates'!$1:$2,2,FALSE),FALSE)</f>
        <v>0.66463414634146345</v>
      </c>
      <c r="N37" s="12" t="str">
        <f>VLOOKUP($A37,'[3]success rates'!$A:$P,HLOOKUP(N$34,'[3]success rates'!$1:$2,2,FALSE),FALSE)</f>
        <v/>
      </c>
      <c r="O37" s="12">
        <f>VLOOKUP($A37,'[3]success rates'!$A:$P,HLOOKUP(O$34,'[3]success rates'!$1:$2,2,FALSE),FALSE)</f>
        <v>0.66911764705882348</v>
      </c>
      <c r="P37" s="12">
        <f>VLOOKUP($A37,'[3]success rates'!$A:$P,HLOOKUP(P$34,'[3]success rates'!$1:$2,2,FALSE),FALSE)</f>
        <v>0.64084507042253525</v>
      </c>
    </row>
    <row r="38" spans="1:16" x14ac:dyDescent="0.25">
      <c r="A38" s="9" t="s">
        <v>24</v>
      </c>
      <c r="B38" s="12" t="str">
        <f>VLOOKUP($A38,'[3]success rates'!$A:$P,HLOOKUP(B$34,'[3]success rates'!$1:$2,2,FALSE),FALSE)</f>
        <v/>
      </c>
      <c r="C38" s="12">
        <f>VLOOKUP($A38,'[3]success rates'!$A:$P,HLOOKUP(C$34,'[3]success rates'!$1:$2,2,FALSE),FALSE)</f>
        <v>0.75609756097560976</v>
      </c>
      <c r="D38" s="12">
        <f>VLOOKUP($A38,'[3]success rates'!$A:$P,HLOOKUP(D$34,'[3]success rates'!$1:$2,2,FALSE),FALSE)</f>
        <v>0.81355932203389836</v>
      </c>
      <c r="E38" s="12">
        <f>VLOOKUP($A38,'[3]success rates'!$A:$P,HLOOKUP(E$34,'[3]success rates'!$1:$2,2,FALSE),FALSE)</f>
        <v>0.875</v>
      </c>
      <c r="F38" s="12">
        <f>VLOOKUP($A38,'[3]success rates'!$A:$P,HLOOKUP(F$34,'[3]success rates'!$1:$2,2,FALSE),FALSE)</f>
        <v>0.79487179487179482</v>
      </c>
      <c r="G38" s="12">
        <f>VLOOKUP($A38,'[3]success rates'!$A:$P,HLOOKUP(G$34,'[3]success rates'!$1:$2,2,FALSE),FALSE)</f>
        <v>0.77894736842105261</v>
      </c>
      <c r="H38" s="12">
        <f>VLOOKUP($A38,'[3]success rates'!$A:$P,HLOOKUP(H$34,'[3]success rates'!$1:$2,2,FALSE),FALSE)</f>
        <v>0.8571428571428571</v>
      </c>
      <c r="I38" s="12">
        <f>VLOOKUP($A38,'[3]success rates'!$A:$P,HLOOKUP(I$34,'[3]success rates'!$1:$2,2,FALSE),FALSE)</f>
        <v>0.71250000000000002</v>
      </c>
      <c r="J38" s="12">
        <f>VLOOKUP($A38,'[3]success rates'!$A:$P,HLOOKUP(J$34,'[3]success rates'!$1:$2,2,FALSE),FALSE)</f>
        <v>0.75294117647058822</v>
      </c>
      <c r="K38" s="12">
        <f>VLOOKUP($A38,'[3]success rates'!$A:$P,HLOOKUP(K$34,'[3]success rates'!$1:$2,2,FALSE),FALSE)</f>
        <v>0.88</v>
      </c>
      <c r="L38" s="12">
        <f>VLOOKUP($A38,'[3]success rates'!$A:$P,HLOOKUP(L$34,'[3]success rates'!$1:$2,2,FALSE),FALSE)</f>
        <v>0.8</v>
      </c>
      <c r="M38" s="12">
        <f>VLOOKUP($A38,'[3]success rates'!$A:$P,HLOOKUP(M$34,'[3]success rates'!$1:$2,2,FALSE),FALSE)</f>
        <v>0.74117647058823533</v>
      </c>
      <c r="N38" s="12" t="str">
        <f>VLOOKUP($A38,'[3]success rates'!$A:$P,HLOOKUP(N$34,'[3]success rates'!$1:$2,2,FALSE),FALSE)</f>
        <v/>
      </c>
      <c r="O38" s="12">
        <f>VLOOKUP($A38,'[3]success rates'!$A:$P,HLOOKUP(O$34,'[3]success rates'!$1:$2,2,FALSE),FALSE)</f>
        <v>0.83908045977011492</v>
      </c>
      <c r="P38" s="12">
        <f>VLOOKUP($A38,'[3]success rates'!$A:$P,HLOOKUP(P$34,'[3]success rates'!$1:$2,2,FALSE),FALSE)</f>
        <v>0.810126582278481</v>
      </c>
    </row>
    <row r="39" spans="1:16" x14ac:dyDescent="0.25">
      <c r="A39" s="9" t="s">
        <v>25</v>
      </c>
      <c r="B39" s="12" t="str">
        <f>VLOOKUP($A39,'[3]success rates'!$A:$P,HLOOKUP(B$34,'[3]success rates'!$1:$2,2,FALSE),FALSE)</f>
        <v/>
      </c>
      <c r="C39" s="12">
        <f>VLOOKUP($A39,'[3]success rates'!$A:$P,HLOOKUP(C$34,'[3]success rates'!$1:$2,2,FALSE),FALSE)</f>
        <v>0.34782608695652173</v>
      </c>
      <c r="D39" s="12">
        <f>VLOOKUP($A39,'[3]success rates'!$A:$P,HLOOKUP(D$34,'[3]success rates'!$1:$2,2,FALSE),FALSE)</f>
        <v>0.6470588235294118</v>
      </c>
      <c r="E39" s="12">
        <f>VLOOKUP($A39,'[3]success rates'!$A:$P,HLOOKUP(E$34,'[3]success rates'!$1:$2,2,FALSE),FALSE)</f>
        <v>1</v>
      </c>
      <c r="F39" s="12">
        <f>VLOOKUP($A39,'[3]success rates'!$A:$P,HLOOKUP(F$34,'[3]success rates'!$1:$2,2,FALSE),FALSE)</f>
        <v>0.59090909090909094</v>
      </c>
      <c r="G39" s="12">
        <f>VLOOKUP($A39,'[3]success rates'!$A:$P,HLOOKUP(G$34,'[3]success rates'!$1:$2,2,FALSE),FALSE)</f>
        <v>0.58695652173913049</v>
      </c>
      <c r="H39" s="12">
        <f>VLOOKUP($A39,'[3]success rates'!$A:$P,HLOOKUP(H$34,'[3]success rates'!$1:$2,2,FALSE),FALSE)</f>
        <v>0.66666666666666663</v>
      </c>
      <c r="I39" s="12">
        <f>VLOOKUP($A39,'[3]success rates'!$A:$P,HLOOKUP(I$34,'[3]success rates'!$1:$2,2,FALSE),FALSE)</f>
        <v>0.66666666666666663</v>
      </c>
      <c r="J39" s="12">
        <f>VLOOKUP($A39,'[3]success rates'!$A:$P,HLOOKUP(J$34,'[3]success rates'!$1:$2,2,FALSE),FALSE)</f>
        <v>0.53333333333333333</v>
      </c>
      <c r="K39" s="12">
        <f>VLOOKUP($A39,'[3]success rates'!$A:$P,HLOOKUP(K$34,'[3]success rates'!$1:$2,2,FALSE),FALSE)</f>
        <v>1</v>
      </c>
      <c r="L39" s="12">
        <f>VLOOKUP($A39,'[3]success rates'!$A:$P,HLOOKUP(L$34,'[3]success rates'!$1:$2,2,FALSE),FALSE)</f>
        <v>0.4</v>
      </c>
      <c r="M39" s="12">
        <f>VLOOKUP($A39,'[3]success rates'!$A:$P,HLOOKUP(M$34,'[3]success rates'!$1:$2,2,FALSE),FALSE)</f>
        <v>0.30769230769230771</v>
      </c>
      <c r="N39" s="12" t="str">
        <f>VLOOKUP($A39,'[3]success rates'!$A:$P,HLOOKUP(N$34,'[3]success rates'!$1:$2,2,FALSE),FALSE)</f>
        <v/>
      </c>
      <c r="O39" s="12">
        <f>VLOOKUP($A39,'[3]success rates'!$A:$P,HLOOKUP(O$34,'[3]success rates'!$1:$2,2,FALSE),FALSE)</f>
        <v>0.66666666666666663</v>
      </c>
      <c r="P39" s="12">
        <f>VLOOKUP($A39,'[3]success rates'!$A:$P,HLOOKUP(P$34,'[3]success rates'!$1:$2,2,FALSE),FALSE)</f>
        <v>0.875</v>
      </c>
    </row>
    <row r="40" spans="1:16" x14ac:dyDescent="0.25">
      <c r="A40" s="9" t="s">
        <v>26</v>
      </c>
      <c r="B40" s="12" t="str">
        <f>VLOOKUP($A40,'[3]success rates'!$A:$P,HLOOKUP(B$34,'[3]success rates'!$1:$2,2,FALSE),FALSE)</f>
        <v/>
      </c>
      <c r="C40" s="12">
        <f>VLOOKUP($A40,'[3]success rates'!$A:$P,HLOOKUP(C$34,'[3]success rates'!$1:$2,2,FALSE),FALSE)</f>
        <v>0.74489795918367352</v>
      </c>
      <c r="D40" s="12">
        <f>VLOOKUP($A40,'[3]success rates'!$A:$P,HLOOKUP(D$34,'[3]success rates'!$1:$2,2,FALSE),FALSE)</f>
        <v>0.78260869565217395</v>
      </c>
      <c r="E40" s="12">
        <f>VLOOKUP($A40,'[3]success rates'!$A:$P,HLOOKUP(E$34,'[3]success rates'!$1:$2,2,FALSE),FALSE)</f>
        <v>0.86111111111111116</v>
      </c>
      <c r="F40" s="12">
        <f>VLOOKUP($A40,'[3]success rates'!$A:$P,HLOOKUP(F$34,'[3]success rates'!$1:$2,2,FALSE),FALSE)</f>
        <v>0.71969696969696972</v>
      </c>
      <c r="G40" s="12">
        <f>VLOOKUP($A40,'[3]success rates'!$A:$P,HLOOKUP(G$34,'[3]success rates'!$1:$2,2,FALSE),FALSE)</f>
        <v>0.74269005847953218</v>
      </c>
      <c r="H40" s="12">
        <f>VLOOKUP($A40,'[3]success rates'!$A:$P,HLOOKUP(H$34,'[3]success rates'!$1:$2,2,FALSE),FALSE)</f>
        <v>0.82</v>
      </c>
      <c r="I40" s="12">
        <f>VLOOKUP($A40,'[3]success rates'!$A:$P,HLOOKUP(I$34,'[3]success rates'!$1:$2,2,FALSE),FALSE)</f>
        <v>0.78974358974358971</v>
      </c>
      <c r="J40" s="12">
        <f>VLOOKUP($A40,'[3]success rates'!$A:$P,HLOOKUP(J$34,'[3]success rates'!$1:$2,2,FALSE),FALSE)</f>
        <v>0.67487684729064035</v>
      </c>
      <c r="K40" s="12">
        <f>VLOOKUP($A40,'[3]success rates'!$A:$P,HLOOKUP(K$34,'[3]success rates'!$1:$2,2,FALSE),FALSE)</f>
        <v>0.88461538461538458</v>
      </c>
      <c r="L40" s="12">
        <f>VLOOKUP($A40,'[3]success rates'!$A:$P,HLOOKUP(L$34,'[3]success rates'!$1:$2,2,FALSE),FALSE)</f>
        <v>0.7239263803680982</v>
      </c>
      <c r="M40" s="12">
        <f>VLOOKUP($A40,'[3]success rates'!$A:$P,HLOOKUP(M$34,'[3]success rates'!$1:$2,2,FALSE),FALSE)</f>
        <v>0.7432432432432432</v>
      </c>
      <c r="N40" s="12" t="str">
        <f>VLOOKUP($A40,'[3]success rates'!$A:$P,HLOOKUP(N$34,'[3]success rates'!$1:$2,2,FALSE),FALSE)</f>
        <v/>
      </c>
      <c r="O40" s="12">
        <f>VLOOKUP($A40,'[3]success rates'!$A:$P,HLOOKUP(O$34,'[3]success rates'!$1:$2,2,FALSE),FALSE)</f>
        <v>0.72180451127819545</v>
      </c>
      <c r="P40" s="12">
        <f>VLOOKUP($A40,'[3]success rates'!$A:$P,HLOOKUP(P$34,'[3]success rates'!$1:$2,2,FALSE),FALSE)</f>
        <v>0.86131386861313863</v>
      </c>
    </row>
    <row r="41" spans="1:16" x14ac:dyDescent="0.25">
      <c r="A41" s="9" t="s">
        <v>27</v>
      </c>
      <c r="B41" s="12" t="str">
        <f>VLOOKUP($A41,'[3]success rates'!$A:$P,HLOOKUP(B$34,'[3]success rates'!$1:$2,2,FALSE),FALSE)</f>
        <v/>
      </c>
      <c r="C41" s="12">
        <f>VLOOKUP($A41,'[3]success rates'!$A:$P,HLOOKUP(C$34,'[3]success rates'!$1:$2,2,FALSE),FALSE)</f>
        <v>0.38461538461538464</v>
      </c>
      <c r="D41" s="12">
        <f>VLOOKUP($A41,'[3]success rates'!$A:$P,HLOOKUP(D$34,'[3]success rates'!$1:$2,2,FALSE),FALSE)</f>
        <v>0.42857142857142855</v>
      </c>
      <c r="E41" s="12">
        <f>VLOOKUP($A41,'[3]success rates'!$A:$P,HLOOKUP(E$34,'[3]success rates'!$1:$2,2,FALSE),FALSE)</f>
        <v>1</v>
      </c>
      <c r="F41" s="12">
        <f>VLOOKUP($A41,'[3]success rates'!$A:$P,HLOOKUP(F$34,'[3]success rates'!$1:$2,2,FALSE),FALSE)</f>
        <v>0.9</v>
      </c>
      <c r="G41" s="12">
        <f>VLOOKUP($A41,'[3]success rates'!$A:$P,HLOOKUP(G$34,'[3]success rates'!$1:$2,2,FALSE),FALSE)</f>
        <v>0.52173913043478259</v>
      </c>
      <c r="H41" s="12">
        <f>VLOOKUP($A41,'[3]success rates'!$A:$P,HLOOKUP(H$34,'[3]success rates'!$1:$2,2,FALSE),FALSE)</f>
        <v>0.75</v>
      </c>
      <c r="I41" s="12">
        <f>VLOOKUP($A41,'[3]success rates'!$A:$P,HLOOKUP(I$34,'[3]success rates'!$1:$2,2,FALSE),FALSE)</f>
        <v>0.53846153846153844</v>
      </c>
      <c r="J41" s="12">
        <f>VLOOKUP($A41,'[3]success rates'!$A:$P,HLOOKUP(J$34,'[3]success rates'!$1:$2,2,FALSE),FALSE)</f>
        <v>0.6470588235294118</v>
      </c>
      <c r="K41" s="12">
        <f>VLOOKUP($A41,'[3]success rates'!$A:$P,HLOOKUP(K$34,'[3]success rates'!$1:$2,2,FALSE),FALSE)</f>
        <v>1</v>
      </c>
      <c r="L41" s="12">
        <f>VLOOKUP($A41,'[3]success rates'!$A:$P,HLOOKUP(L$34,'[3]success rates'!$1:$2,2,FALSE),FALSE)</f>
        <v>0.61111111111111116</v>
      </c>
      <c r="M41" s="12">
        <f>VLOOKUP($A41,'[3]success rates'!$A:$P,HLOOKUP(M$34,'[3]success rates'!$1:$2,2,FALSE),FALSE)</f>
        <v>0.60869565217391308</v>
      </c>
      <c r="N41" s="12" t="str">
        <f>VLOOKUP($A41,'[3]success rates'!$A:$P,HLOOKUP(N$34,'[3]success rates'!$1:$2,2,FALSE),FALSE)</f>
        <v/>
      </c>
      <c r="O41" s="12">
        <f>VLOOKUP($A41,'[3]success rates'!$A:$P,HLOOKUP(O$34,'[3]success rates'!$1:$2,2,FALSE),FALSE)</f>
        <v>0.69230769230769229</v>
      </c>
      <c r="P41" s="12">
        <f>VLOOKUP($A41,'[3]success rates'!$A:$P,HLOOKUP(P$34,'[3]success rates'!$1:$2,2,FALSE),FALSE)</f>
        <v>0.8666666666666667</v>
      </c>
    </row>
    <row r="42" spans="1:16" x14ac:dyDescent="0.25">
      <c r="A42" s="9" t="s">
        <v>28</v>
      </c>
      <c r="B42" s="12">
        <f>VLOOKUP($A42,'[3]success rates'!$A:$P,HLOOKUP(B$34,'[3]success rates'!$1:$2,2,FALSE),FALSE)</f>
        <v>1</v>
      </c>
      <c r="C42" s="12">
        <f>VLOOKUP($A42,'[3]success rates'!$A:$P,HLOOKUP(C$34,'[3]success rates'!$1:$2,2,FALSE),FALSE)</f>
        <v>0.65217391304347827</v>
      </c>
      <c r="D42" s="12">
        <f>VLOOKUP($A42,'[3]success rates'!$A:$P,HLOOKUP(D$34,'[3]success rates'!$1:$2,2,FALSE),FALSE)</f>
        <v>0.82352941176470584</v>
      </c>
      <c r="E42" s="12">
        <f>VLOOKUP($A42,'[3]success rates'!$A:$P,HLOOKUP(E$34,'[3]success rates'!$1:$2,2,FALSE),FALSE)</f>
        <v>0.875</v>
      </c>
      <c r="F42" s="12">
        <f>VLOOKUP($A42,'[3]success rates'!$A:$P,HLOOKUP(F$34,'[3]success rates'!$1:$2,2,FALSE),FALSE)</f>
        <v>0.47222222222222221</v>
      </c>
      <c r="G42" s="12">
        <f>VLOOKUP($A42,'[3]success rates'!$A:$P,HLOOKUP(G$34,'[3]success rates'!$1:$2,2,FALSE),FALSE)</f>
        <v>0.63414634146341464</v>
      </c>
      <c r="H42" s="12">
        <f>VLOOKUP($A42,'[3]success rates'!$A:$P,HLOOKUP(H$34,'[3]success rates'!$1:$2,2,FALSE),FALSE)</f>
        <v>0.88888888888888884</v>
      </c>
      <c r="I42" s="12">
        <f>VLOOKUP($A42,'[3]success rates'!$A:$P,HLOOKUP(I$34,'[3]success rates'!$1:$2,2,FALSE),FALSE)</f>
        <v>0.73626373626373631</v>
      </c>
      <c r="J42" s="12">
        <f>VLOOKUP($A42,'[3]success rates'!$A:$P,HLOOKUP(J$34,'[3]success rates'!$1:$2,2,FALSE),FALSE)</f>
        <v>0.66470588235294115</v>
      </c>
      <c r="K42" s="12">
        <f>VLOOKUP($A42,'[3]success rates'!$A:$P,HLOOKUP(K$34,'[3]success rates'!$1:$2,2,FALSE),FALSE)</f>
        <v>0.8125</v>
      </c>
      <c r="L42" s="12">
        <f>VLOOKUP($A42,'[3]success rates'!$A:$P,HLOOKUP(L$34,'[3]success rates'!$1:$2,2,FALSE),FALSE)</f>
        <v>0.70270270270270274</v>
      </c>
      <c r="M42" s="12">
        <f>VLOOKUP($A42,'[3]success rates'!$A:$P,HLOOKUP(M$34,'[3]success rates'!$1:$2,2,FALSE),FALSE)</f>
        <v>0.7290322580645161</v>
      </c>
      <c r="N42" s="12" t="str">
        <f>VLOOKUP($A42,'[3]success rates'!$A:$P,HLOOKUP(N$34,'[3]success rates'!$1:$2,2,FALSE),FALSE)</f>
        <v/>
      </c>
      <c r="O42" s="12">
        <f>VLOOKUP($A42,'[3]success rates'!$A:$P,HLOOKUP(O$34,'[3]success rates'!$1:$2,2,FALSE),FALSE)</f>
        <v>0.76363636363636367</v>
      </c>
      <c r="P42" s="12">
        <f>VLOOKUP($A42,'[3]success rates'!$A:$P,HLOOKUP(P$34,'[3]success rates'!$1:$2,2,FALSE),FALSE)</f>
        <v>0.68711656441717794</v>
      </c>
    </row>
    <row r="43" spans="1:16" ht="15.75" thickBot="1" x14ac:dyDescent="0.3">
      <c r="A43" s="10" t="s">
        <v>29</v>
      </c>
      <c r="B43" s="35">
        <f>VLOOKUP($A43,'[3]success rates'!$A:$P,HLOOKUP(B$34,'[3]success rates'!$1:$2,2,FALSE),FALSE)</f>
        <v>1</v>
      </c>
      <c r="C43" s="35">
        <f>VLOOKUP($A43,'[3]success rates'!$A:$P,HLOOKUP(C$34,'[3]success rates'!$1:$2,2,FALSE),FALSE)</f>
        <v>0.71527777777777779</v>
      </c>
      <c r="D43" s="35">
        <f>VLOOKUP($A43,'[3]success rates'!$A:$P,HLOOKUP(D$34,'[3]success rates'!$1:$2,2,FALSE),FALSE)</f>
        <v>0.76335877862595425</v>
      </c>
      <c r="E43" s="35">
        <f>VLOOKUP($A43,'[3]success rates'!$A:$P,HLOOKUP(E$34,'[3]success rates'!$1:$2,2,FALSE),FALSE)</f>
        <v>0.87272727272727268</v>
      </c>
      <c r="F43" s="35">
        <f>VLOOKUP($A43,'[3]success rates'!$A:$P,HLOOKUP(F$34,'[3]success rates'!$1:$2,2,FALSE),FALSE)</f>
        <v>0.74654377880184331</v>
      </c>
      <c r="G43" s="35">
        <f>VLOOKUP($A43,'[3]success rates'!$A:$P,HLOOKUP(G$34,'[3]success rates'!$1:$2,2,FALSE),FALSE)</f>
        <v>0.7263843648208469</v>
      </c>
      <c r="H43" s="35">
        <f>VLOOKUP($A43,'[3]success rates'!$A:$P,HLOOKUP(H$34,'[3]success rates'!$1:$2,2,FALSE),FALSE)</f>
        <v>0.91176470588235292</v>
      </c>
      <c r="I43" s="35">
        <f>VLOOKUP($A43,'[3]success rates'!$A:$P,HLOOKUP(I$34,'[3]success rates'!$1:$2,2,FALSE),FALSE)</f>
        <v>0.72916666666666663</v>
      </c>
      <c r="J43" s="35">
        <f>VLOOKUP($A43,'[3]success rates'!$A:$P,HLOOKUP(J$34,'[3]success rates'!$1:$2,2,FALSE),FALSE)</f>
        <v>0.74551971326164879</v>
      </c>
      <c r="K43" s="35">
        <f>VLOOKUP($A43,'[3]success rates'!$A:$P,HLOOKUP(K$34,'[3]success rates'!$1:$2,2,FALSE),FALSE)</f>
        <v>0.82758620689655171</v>
      </c>
      <c r="L43" s="35">
        <f>VLOOKUP($A43,'[3]success rates'!$A:$P,HLOOKUP(L$34,'[3]success rates'!$1:$2,2,FALSE),FALSE)</f>
        <v>0.73410404624277459</v>
      </c>
      <c r="M43" s="35">
        <f>VLOOKUP($A43,'[3]success rates'!$A:$P,HLOOKUP(M$34,'[3]success rates'!$1:$2,2,FALSE),FALSE)</f>
        <v>0.77500000000000002</v>
      </c>
      <c r="N43" s="35" t="str">
        <f>VLOOKUP($A43,'[3]success rates'!$A:$P,HLOOKUP(N$34,'[3]success rates'!$1:$2,2,FALSE),FALSE)</f>
        <v/>
      </c>
      <c r="O43" s="35">
        <f>VLOOKUP($A43,'[3]success rates'!$A:$P,HLOOKUP(O$34,'[3]success rates'!$1:$2,2,FALSE),FALSE)</f>
        <v>0.72549019607843135</v>
      </c>
      <c r="P43" s="12">
        <f>VLOOKUP($A43,'[3]success rates'!$A:$P,HLOOKUP(P$34,'[3]success rates'!$1:$2,2,FALSE),FALSE)</f>
        <v>0.73584905660377353</v>
      </c>
    </row>
    <row r="44" spans="1:16" ht="15.75" thickBot="1" x14ac:dyDescent="0.3">
      <c r="A44" s="11" t="s">
        <v>34</v>
      </c>
      <c r="B44" s="34">
        <f>VLOOKUP('[3]success rates'!$A$13,'[3]success rates'!$A:$P,HLOOKUP(B$34,'[3]success rates'!$1:$2,2,FALSE),FALSE)</f>
        <v>1</v>
      </c>
      <c r="C44" s="34">
        <f>VLOOKUP('[3]success rates'!$A$13,'[3]success rates'!$A:$P,HLOOKUP(C$34,'[3]success rates'!$1:$2,2,FALSE),FALSE)</f>
        <v>0.6628716002530044</v>
      </c>
      <c r="D44" s="34">
        <f>VLOOKUP('[3]success rates'!$A$13,'[3]success rates'!$A:$P,HLOOKUP(D$34,'[3]success rates'!$1:$2,2,FALSE),FALSE)</f>
        <v>0.72715816005040956</v>
      </c>
      <c r="E44" s="34">
        <f>VLOOKUP('[3]success rates'!$A$13,'[3]success rates'!$A:$P,HLOOKUP(E$34,'[3]success rates'!$1:$2,2,FALSE),FALSE)</f>
        <v>0.85815602836879434</v>
      </c>
      <c r="F44" s="34">
        <f>VLOOKUP('[3]success rates'!$A$13,'[3]success rates'!$A:$P,HLOOKUP(F$34,'[3]success rates'!$1:$2,2,FALSE),FALSE)</f>
        <v>0.6984747751271021</v>
      </c>
      <c r="G44" s="34">
        <f>VLOOKUP('[3]success rates'!$A$13,'[3]success rates'!$A:$P,HLOOKUP(G$34,'[3]success rates'!$1:$2,2,FALSE),FALSE)</f>
        <v>0.73296836982968372</v>
      </c>
      <c r="H44" s="34">
        <f>VLOOKUP('[3]success rates'!$A$13,'[3]success rates'!$A:$P,HLOOKUP(H$34,'[3]success rates'!$1:$2,2,FALSE),FALSE)</f>
        <v>0.83266398929049534</v>
      </c>
      <c r="I44" s="34">
        <f>VLOOKUP('[3]success rates'!$A$13,'[3]success rates'!$A:$P,HLOOKUP(I$34,'[3]success rates'!$1:$2,2,FALSE),FALSE)</f>
        <v>0.74217628481194375</v>
      </c>
      <c r="J44" s="34">
        <f>VLOOKUP('[3]success rates'!$A$13,'[3]success rates'!$A:$P,HLOOKUP(J$34,'[3]success rates'!$1:$2,2,FALSE),FALSE)</f>
        <v>0.70448772226926337</v>
      </c>
      <c r="K44" s="34">
        <f>VLOOKUP('[3]success rates'!$A$13,'[3]success rates'!$A:$P,HLOOKUP(K$34,'[3]success rates'!$1:$2,2,FALSE),FALSE)</f>
        <v>0.875</v>
      </c>
      <c r="L44" s="34">
        <f>VLOOKUP('[3]success rates'!$A$13,'[3]success rates'!$A:$P,HLOOKUP(L$34,'[3]success rates'!$1:$2,2,FALSE),FALSE)</f>
        <v>0.73621323529411764</v>
      </c>
      <c r="M44" s="34">
        <f>VLOOKUP('[3]success rates'!$A$13,'[3]success rates'!$A:$P,HLOOKUP(M$34,'[3]success rates'!$1:$2,2,FALSE),FALSE)</f>
        <v>0.72041953457882657</v>
      </c>
      <c r="N44" s="34" t="str">
        <f>VLOOKUP('[3]success rates'!$A$13,'[3]success rates'!$A:$P,HLOOKUP(N$34,'[3]success rates'!$1:$2,2,FALSE),FALSE)</f>
        <v/>
      </c>
      <c r="O44" s="34">
        <f>VLOOKUP('[3]success rates'!$A$13,'[3]success rates'!$A:$P,HLOOKUP(O$34,'[3]success rates'!$1:$2,2,FALSE),FALSE)</f>
        <v>0.7641184573002755</v>
      </c>
      <c r="P44" s="34">
        <f>VLOOKUP('[3]success rates'!$A$13,'[3]success rates'!$A:$P,HLOOKUP(P$34,'[3]success rates'!$1:$2,2,FALSE),FALSE)</f>
        <v>0.73843981644899404</v>
      </c>
    </row>
    <row r="45" spans="1:16" x14ac:dyDescent="0.25">
      <c r="A45" s="13" t="s">
        <v>36</v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 x14ac:dyDescent="0.25">
      <c r="A46" s="22" t="s">
        <v>39</v>
      </c>
    </row>
    <row r="52" spans="1:16" x14ac:dyDescent="0.25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1"/>
      <c r="O52" s="5"/>
      <c r="P52" s="1"/>
    </row>
    <row r="53" spans="1:16" x14ac:dyDescent="0.25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</row>
    <row r="54" spans="1:16" x14ac:dyDescent="0.25">
      <c r="A54" s="1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1"/>
    </row>
    <row r="56" spans="1:16" x14ac:dyDescent="0.25">
      <c r="A56" s="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1"/>
    </row>
    <row r="57" spans="1:16" x14ac:dyDescent="0.25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1"/>
    </row>
  </sheetData>
  <mergeCells count="29">
    <mergeCell ref="B3:D3"/>
    <mergeCell ref="N3:P3"/>
    <mergeCell ref="A1:A3"/>
    <mergeCell ref="K3:M3"/>
    <mergeCell ref="E3:G3"/>
    <mergeCell ref="H3:J3"/>
    <mergeCell ref="B1:P1"/>
    <mergeCell ref="B2:P2"/>
    <mergeCell ref="A17:A19"/>
    <mergeCell ref="B17:P17"/>
    <mergeCell ref="B18:P18"/>
    <mergeCell ref="B19:D19"/>
    <mergeCell ref="E19:G19"/>
    <mergeCell ref="H19:J19"/>
    <mergeCell ref="K19:M19"/>
    <mergeCell ref="N19:P19"/>
    <mergeCell ref="A31:A33"/>
    <mergeCell ref="B31:P31"/>
    <mergeCell ref="B32:P32"/>
    <mergeCell ref="B33:D33"/>
    <mergeCell ref="E33:G33"/>
    <mergeCell ref="H33:J33"/>
    <mergeCell ref="K33:M33"/>
    <mergeCell ref="N33:P33"/>
    <mergeCell ref="B15:D15"/>
    <mergeCell ref="E15:G15"/>
    <mergeCell ref="H15:J15"/>
    <mergeCell ref="K15:M15"/>
    <mergeCell ref="N15:P1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D4E0D922-E360-44EC-911C-5EDADB1938AB}"/>
</file>

<file path=customXml/itemProps2.xml><?xml version="1.0" encoding="utf-8"?>
<ds:datastoreItem xmlns:ds="http://schemas.openxmlformats.org/officeDocument/2006/customXml" ds:itemID="{4884F91F-9D62-4C77-AE0E-AF85C5D93BCE}"/>
</file>

<file path=customXml/itemProps3.xml><?xml version="1.0" encoding="utf-8"?>
<ds:datastoreItem xmlns:ds="http://schemas.openxmlformats.org/officeDocument/2006/customXml" ds:itemID="{7735932E-4756-41ED-A3CC-E5ECE053A9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Totals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2012-03-22T20:23:25Z</dcterms:created>
  <dcterms:modified xsi:type="dcterms:W3CDTF">2012-08-14T15:34:59Z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