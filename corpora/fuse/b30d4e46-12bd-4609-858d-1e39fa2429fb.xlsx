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22875" yWindow="2220" windowWidth="13530" windowHeight="8295" tabRatio="921"/>
  </bookViews>
  <sheets>
    <sheet name="Balance Sheet - New Present." sheetId="44" r:id="rId1"/>
    <sheet name="Income Statement QTD" sheetId="46" r:id="rId2"/>
    <sheet name="Income Statement 10-K" sheetId="61" state="hidden" r:id="rId3"/>
    <sheet name="Income Statement YTD" sheetId="45" r:id="rId4"/>
    <sheet name="Quarterly Trend" sheetId="68" r:id="rId5"/>
    <sheet name="MD&amp;A" sheetId="70" r:id="rId6"/>
    <sheet name="Cash and Investments" sheetId="62" r:id="rId7"/>
    <sheet name="Fixed Maturities by CUSIP" sheetId="63" r:id="rId8"/>
    <sheet name="Sub-Prime Exposure - Summary" sheetId="38" state="hidden" r:id="rId9"/>
    <sheet name="Sub-Prime Exposure - Detail" sheetId="49" state="hidden" r:id="rId10"/>
    <sheet name="In-force - Gross" sheetId="29" r:id="rId11"/>
    <sheet name="In-force - Net" sheetId="33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xlnm._FilterDatabase" localSheetId="7" hidden="1">'Fixed Maturities by CUSIP'!$A$4:$S$532</definedName>
    <definedName name="ActionTyp" localSheetId="5">[1]Settings!$B$14:$B$20</definedName>
    <definedName name="ActionTyp" localSheetId="4">[1]Settings!$B$14:$B$20</definedName>
    <definedName name="ActionTyp">[2]Settings!$B$14:$B$20</definedName>
    <definedName name="ActionTypSel" localSheetId="5">[1]Settings!$C$13</definedName>
    <definedName name="ActionTypSel" localSheetId="4">[1]Settings!$C$13</definedName>
    <definedName name="ActionTypSel">[2]Settings!$C$13</definedName>
    <definedName name="ActPayupYB_Col_Display" localSheetId="5">[1]Display!$FI$1</definedName>
    <definedName name="ActPayupYB_Col_Display" localSheetId="4">[1]Display!$FI$1</definedName>
    <definedName name="ActPayupYB_Col_Display">[2]Display!$FI$1</definedName>
    <definedName name="ActTheoYB_Col_Display" localSheetId="5">[1]Display!$FJ$1</definedName>
    <definedName name="ActTheoYB_Col_Display" localSheetId="4">[1]Display!$FJ$1</definedName>
    <definedName name="ActTheoYB_Col_Display">[2]Display!$FJ$1</definedName>
    <definedName name="ALLVIEWS" localSheetId="7">'Fixed Maturities by CUSIP'!$F$5:$N$570</definedName>
    <definedName name="Annualized_Premium_in_Force" localSheetId="0">[3]PIF!#REF!</definedName>
    <definedName name="Annualized_Premium_in_Force" localSheetId="2">[3]PIF!#REF!</definedName>
    <definedName name="Annualized_Premium_in_Force" localSheetId="1">[3]PIF!#REF!</definedName>
    <definedName name="Annualized_Premium_in_Force" localSheetId="3">[3]PIF!#REF!</definedName>
    <definedName name="Annualized_Premium_in_Force" localSheetId="9">[3]PIF!#REF!</definedName>
    <definedName name="Annualized_Premium_in_Force">[3]PIF!#REF!</definedName>
    <definedName name="AOLS25_Col_Display">[2]Display!$BM$1</definedName>
    <definedName name="AOLS75_Col_Display" localSheetId="5">[1]Display!$BO$1</definedName>
    <definedName name="AOLS75_Col_Display" localSheetId="4">[1]Display!$BO$1</definedName>
    <definedName name="AOLS75_Col_Display">[2]Display!$BO$1</definedName>
    <definedName name="AOLSMax_Col_Display" localSheetId="5">[1]Display!$BP$1</definedName>
    <definedName name="AOLSMax_Col_Display" localSheetId="4">[1]Display!$BP$1</definedName>
    <definedName name="AOLSMax_Col_Display">[2]Display!$BP$1</definedName>
    <definedName name="AOLSMed_Col_Display" localSheetId="5">[1]Display!$BN$1</definedName>
    <definedName name="AOLSMed_Col_Display" localSheetId="4">[1]Display!$BN$1</definedName>
    <definedName name="AOLSMed_Col_Display">[2]Display!$BN$1</definedName>
    <definedName name="AOLSMin_Col_Display" localSheetId="5">[1]Display!$BL$1</definedName>
    <definedName name="AOLSMin_Col_Display" localSheetId="4">[1]Display!$BL$1</definedName>
    <definedName name="AOLSMin_Col_Display">[2]Display!$BL$1</definedName>
    <definedName name="ARMPPMODEL_Col_YieldBook" localSheetId="5">[1]YieldBook!$BA$1</definedName>
    <definedName name="ARMPPMODEL_Col_YieldBook" localSheetId="4">[1]YieldBook!$BA$1</definedName>
    <definedName name="ARMPPMODEL_Col_YieldBook">[2]YieldBook!$BA$1</definedName>
    <definedName name="AvgLife_Col_Display" localSheetId="5">[1]Display!$N$1</definedName>
    <definedName name="AvgLife_Col_Display" localSheetId="4">[1]Display!$N$1</definedName>
    <definedName name="AvgLife_Col_Display">[2]Display!$N$1</definedName>
    <definedName name="BCNOMRET1_Col_YieldBook" localSheetId="5">[1]YieldBook!$BC$1</definedName>
    <definedName name="BCNOMRET1_Col_YieldBook" localSheetId="4">[1]YieldBook!$BC$1</definedName>
    <definedName name="BCNOMRET1_Col_YieldBook">[2]YieldBook!$BC$1</definedName>
    <definedName name="BCNOMRET1TBA1st_Col_YieldBook" localSheetId="5">[1]YieldBook!$BW$1</definedName>
    <definedName name="BCNOMRET1TBA1st_Col_YieldBook" localSheetId="4">[1]YieldBook!$BW$1</definedName>
    <definedName name="BCNOMRET1TBA1st_Col_YieldBook">[2]YieldBook!$BW$1</definedName>
    <definedName name="BCNOMRET2_Col_YieldBook" localSheetId="5">[1]YieldBook!$BD$1</definedName>
    <definedName name="BCNOMRET2_Col_YieldBook" localSheetId="4">[1]YieldBook!$BD$1</definedName>
    <definedName name="BCNOMRET2_Col_YieldBook">[2]YieldBook!$BD$1</definedName>
    <definedName name="BCNOMRET2TBA1st_Col_YieldBook" localSheetId="5">[1]YieldBook!$BX$1</definedName>
    <definedName name="BCNOMRET2TBA1st_Col_YieldBook" localSheetId="4">[1]YieldBook!$BX$1</definedName>
    <definedName name="BCNOMRET2TBA1st_Col_YieldBook">[2]YieldBook!$BX$1</definedName>
    <definedName name="BCNOMRET3_Col_YieldBook" localSheetId="5">[1]YieldBook!$BE$1</definedName>
    <definedName name="BCNOMRET3_Col_YieldBook" localSheetId="4">[1]YieldBook!$BE$1</definedName>
    <definedName name="BCNOMRET3_Col_YieldBook">[2]YieldBook!$BE$1</definedName>
    <definedName name="BCNOMRET3TBA1st_Col_YieldBook" localSheetId="5">[1]YieldBook!$BY$1</definedName>
    <definedName name="BCNOMRET3TBA1st_Col_YieldBook" localSheetId="4">[1]YieldBook!$BY$1</definedName>
    <definedName name="BCNOMRET3TBA1st_Col_YieldBook">[2]YieldBook!$BY$1</definedName>
    <definedName name="BCNOMRET4_Col_YieldBook" localSheetId="5">[1]YieldBook!$BF$1</definedName>
    <definedName name="BCNOMRET4_Col_YieldBook" localSheetId="4">[1]YieldBook!$BF$1</definedName>
    <definedName name="BCNOMRET4_Col_YieldBook">[2]YieldBook!$BF$1</definedName>
    <definedName name="BCNOMRET4TBA1st_Col_YieldBook" localSheetId="5">[1]YieldBook!$BZ$1</definedName>
    <definedName name="BCNOMRET4TBA1st_Col_YieldBook" localSheetId="4">[1]YieldBook!$BZ$1</definedName>
    <definedName name="BCNOMRET4TBA1st_Col_YieldBook">[2]YieldBook!$BZ$1</definedName>
    <definedName name="BCNOMRET5_Col_YieldBook" localSheetId="5">[1]YieldBook!$BG$1</definedName>
    <definedName name="BCNOMRET5_Col_YieldBook" localSheetId="4">[1]YieldBook!$BG$1</definedName>
    <definedName name="BCNOMRET5_Col_YieldBook">[2]YieldBook!$BG$1</definedName>
    <definedName name="BCNOMRET5TBA1st_Col_YieldBook" localSheetId="5">[1]YieldBook!$CA$1</definedName>
    <definedName name="BCNOMRET5TBA1st_Col_YieldBook" localSheetId="4">[1]YieldBook!$CA$1</definedName>
    <definedName name="BCNOMRET5TBA1st_Col_YieldBook">[2]YieldBook!$CA$1</definedName>
    <definedName name="BCNOMRET6_Col_YieldBook" localSheetId="5">[1]YieldBook!$BH$1</definedName>
    <definedName name="BCNOMRET6_Col_YieldBook" localSheetId="4">[1]YieldBook!$BH$1</definedName>
    <definedName name="BCNOMRET6_Col_YieldBook">[2]YieldBook!$BH$1</definedName>
    <definedName name="BCNOMRET6TBA1st_Col_YieldBook" localSheetId="5">[1]YieldBook!$CB$1</definedName>
    <definedName name="BCNOMRET6TBA1st_Col_YieldBook" localSheetId="4">[1]YieldBook!$CB$1</definedName>
    <definedName name="BCNOMRET6TBA1st_Col_YieldBook">[2]YieldBook!$CB$1</definedName>
    <definedName name="BCNOMRET7_Col_YieldBook" localSheetId="5">[1]YieldBook!$BI$1</definedName>
    <definedName name="BCNOMRET7_Col_YieldBook" localSheetId="4">[1]YieldBook!$BI$1</definedName>
    <definedName name="BCNOMRET7_Col_YieldBook">[2]YieldBook!$BI$1</definedName>
    <definedName name="BCNOMRET7TBA1st_Col_YieldBook" localSheetId="5">[1]YieldBook!$CC$1</definedName>
    <definedName name="BCNOMRET7TBA1st_Col_YieldBook" localSheetId="4">[1]YieldBook!$CC$1</definedName>
    <definedName name="BCNOMRET7TBA1st_Col_YieldBook">[2]YieldBook!$CC$1</definedName>
    <definedName name="BMed_Col_Bloomberg" localSheetId="5">[1]Bloomberg!$DK$1</definedName>
    <definedName name="BMed_Col_Bloomberg" localSheetId="4">[1]Bloomberg!$DK$1</definedName>
    <definedName name="BMed_Col_Bloomberg">[2]Bloomberg!$DK$1</definedName>
    <definedName name="BMed_Col_Display" localSheetId="5">[1]Display!$CU$1</definedName>
    <definedName name="BMed_Col_Display" localSheetId="4">[1]Display!$CU$1</definedName>
    <definedName name="BMed_Col_Display">[2]Display!$CU$1</definedName>
    <definedName name="BMedD100_Col_Bloomberg" localSheetId="5">[1]Bloomberg!$DN$1</definedName>
    <definedName name="BMedD100_Col_Bloomberg" localSheetId="4">[1]Bloomberg!$DN$1</definedName>
    <definedName name="BMedD100_Col_Bloomberg">[2]Bloomberg!$DN$1</definedName>
    <definedName name="BMedD100_Col_Display" localSheetId="5">[1]Display!$CV$1</definedName>
    <definedName name="BMedD100_Col_Display" localSheetId="4">[1]Display!$CV$1</definedName>
    <definedName name="BMedD100_Col_Display">[2]Display!$CV$1</definedName>
    <definedName name="BMedD200_Col_Bloomberg" localSheetId="5">[1]Bloomberg!$DO$1</definedName>
    <definedName name="BMedD200_Col_Bloomberg" localSheetId="4">[1]Bloomberg!$DO$1</definedName>
    <definedName name="BMedD200_Col_Bloomberg">[2]Bloomberg!$DO$1</definedName>
    <definedName name="BMedD200_Col_Display" localSheetId="5">[1]Display!$CW$1</definedName>
    <definedName name="BMedD200_Col_Display" localSheetId="4">[1]Display!$CW$1</definedName>
    <definedName name="BMedD200_Col_Display">[2]Display!$CW$1</definedName>
    <definedName name="BMedU100_Col_Bloomberg" localSheetId="5">[1]Bloomberg!$DL$1</definedName>
    <definedName name="BMedU100_Col_Bloomberg" localSheetId="4">[1]Bloomberg!$DL$1</definedName>
    <definedName name="BMedU100_Col_Bloomberg">[2]Bloomberg!$DL$1</definedName>
    <definedName name="BMedU100_Col_Display" localSheetId="5">[1]Display!$CT$1</definedName>
    <definedName name="BMedU100_Col_Display" localSheetId="4">[1]Display!$CT$1</definedName>
    <definedName name="BMedU100_Col_Display">[2]Display!$CT$1</definedName>
    <definedName name="BMedU200_Col_Bloomberg" localSheetId="5">[1]Bloomberg!$DM$1</definedName>
    <definedName name="BMedU200_Col_Bloomberg" localSheetId="4">[1]Bloomberg!$DM$1</definedName>
    <definedName name="BMedU200_Col_Bloomberg">[2]Bloomberg!$DM$1</definedName>
    <definedName name="BMedU200_Col_Display" localSheetId="5">[1]Display!$CS$1</definedName>
    <definedName name="BMedU200_Col_Display" localSheetId="4">[1]Display!$CS$1</definedName>
    <definedName name="BMedU200_Col_Display">[2]Display!$CS$1</definedName>
    <definedName name="BODDATE_Col_YieldBook" localSheetId="5">[1]YieldBook!$BO$1</definedName>
    <definedName name="BODDATE_Col_YieldBook" localSheetId="4">[1]YieldBook!$BO$1</definedName>
    <definedName name="BODDATE_Col_YieldBook">[2]YieldBook!$BO$1</definedName>
    <definedName name="BODDATEFlatOAS_Col_YieldBook" localSheetId="5">[1]YieldBook!$CT$1</definedName>
    <definedName name="BODDATEFlatOAS_Col_YieldBook" localSheetId="4">[1]YieldBook!$CT$1</definedName>
    <definedName name="BODDATEFlatOAS_Col_YieldBook">[2]YieldBook!$CT$1</definedName>
    <definedName name="BODDATETBA1st_Col_YieldBook" localSheetId="5">[1]YieldBook!$CI$1</definedName>
    <definedName name="BODDATETBA1st_Col_YieldBook" localSheetId="4">[1]YieldBook!$CI$1</definedName>
    <definedName name="BODDATETBA1st_Col_YieldBook">[2]YieldBook!$CI$1</definedName>
    <definedName name="BODTIME_Col_YieldBook" localSheetId="5">[1]YieldBook!$BP$1</definedName>
    <definedName name="BODTIME_Col_YieldBook" localSheetId="4">[1]YieldBook!$BP$1</definedName>
    <definedName name="BODTIME_Col_YieldBook">[2]YieldBook!$BP$1</definedName>
    <definedName name="BODTIMEFlatOAS_Col_YieldBook" localSheetId="5">[1]YieldBook!$CU$1</definedName>
    <definedName name="BODTIMEFlatOAS_Col_YieldBook" localSheetId="4">[1]YieldBook!$CU$1</definedName>
    <definedName name="BODTIMEFlatOAS_Col_YieldBook">[2]YieldBook!$CU$1</definedName>
    <definedName name="BODTIMETBA1st_Col_YieldBook" localSheetId="5">[1]YieldBook!$CJ$1</definedName>
    <definedName name="BODTIMETBA1st_Col_YieldBook" localSheetId="4">[1]YieldBook!$CJ$1</definedName>
    <definedName name="BODTIMETBA1st_Col_YieldBook">[2]YieldBook!$CJ$1</definedName>
    <definedName name="Calc_Col_YieldBook" localSheetId="5">[1]YieldBook!$A$1</definedName>
    <definedName name="Calc_Col_YieldBook" localSheetId="4">[1]YieldBook!$A$1</definedName>
    <definedName name="Calc_Col_YieldBook">[2]YieldBook!$A$1</definedName>
    <definedName name="CalcOpt_CalcAll" localSheetId="5">[1]Settings!$H$11</definedName>
    <definedName name="CalcOpt_CalcAll" localSheetId="4">[1]Settings!$H$11</definedName>
    <definedName name="CalcOpt_CalcAll">[2]Settings!$H$11</definedName>
    <definedName name="CalcOpt_PDur" localSheetId="5">[1]Settings!$H$10</definedName>
    <definedName name="CalcOpt_PDur" localSheetId="4">[1]Settings!$H$10</definedName>
    <definedName name="CalcOpt_PDur">[2]Settings!$H$10</definedName>
    <definedName name="CalcOpt_PPDur" localSheetId="5">[1]Settings!$H$7</definedName>
    <definedName name="CalcOpt_PPDur" localSheetId="4">[1]Settings!$H$7</definedName>
    <definedName name="CalcOpt_PPDur">[2]Settings!$H$7</definedName>
    <definedName name="CalcOpt_RefiDur" localSheetId="5">[1]Settings!$H$9</definedName>
    <definedName name="CalcOpt_RefiDur" localSheetId="4">[1]Settings!$H$9</definedName>
    <definedName name="CalcOpt_RefiDur">[2]Settings!$H$9</definedName>
    <definedName name="CalcOpt_ROR" localSheetId="5">[1]Settings!$H$6</definedName>
    <definedName name="CalcOpt_ROR" localSheetId="4">[1]Settings!$H$6</definedName>
    <definedName name="CalcOpt_ROR">[2]Settings!$H$6</definedName>
    <definedName name="CalcOpt_TheoPx" localSheetId="5">[1]Settings!$H$5</definedName>
    <definedName name="CalcOpt_TheoPx" localSheetId="4">[1]Settings!$H$5</definedName>
    <definedName name="CalcOpt_TheoPx">[2]Settings!$H$5</definedName>
    <definedName name="CalcOpt_VolDur" localSheetId="5">[1]Settings!$H$8</definedName>
    <definedName name="CalcOpt_VolDur" localSheetId="4">[1]Settings!$H$8</definedName>
    <definedName name="CalcOpt_VolDur">[2]Settings!$H$8</definedName>
    <definedName name="CalcStatus_Col_MtgData" localSheetId="5">[1]MtgData!$A$100</definedName>
    <definedName name="CalcStatus_Col_MtgData" localSheetId="4">[1]MtgData!$A$100</definedName>
    <definedName name="CalcStatus_Col_MtgData">[2]MtgData!$A$100</definedName>
    <definedName name="CalendarDate" localSheetId="5">[1]Settings!$H$3</definedName>
    <definedName name="CalendarDate" localSheetId="4">[1]Settings!$H$3</definedName>
    <definedName name="CalendarDate">[2]Settings!$H$3</definedName>
    <definedName name="cash" localSheetId="2">#REF!</definedName>
    <definedName name="cash" localSheetId="9">#REF!</definedName>
    <definedName name="cash">#REF!</definedName>
    <definedName name="CCSPRDDUR_Col_YieldBook">[2]YieldBook!$AC$1</definedName>
    <definedName name="CCSprdDurYB_Col_Display" localSheetId="5">[1]Display!$DZ$1</definedName>
    <definedName name="CCSprdDurYB_Col_Display" localSheetId="4">[1]Display!$DZ$1</definedName>
    <definedName name="CCSprdDurYB_Col_Display">[2]Display!$DZ$1</definedName>
    <definedName name="Col_All_Show" localSheetId="5">[1]Settings!$E$7</definedName>
    <definedName name="Col_All_Show" localSheetId="4">[1]Settings!$E$7</definedName>
    <definedName name="Col_All_Show">[2]Settings!$E$7</definedName>
    <definedName name="Col_ARMInfo_Show" localSheetId="5">[1]Settings!$E$5</definedName>
    <definedName name="Col_ARMInfo_Show" localSheetId="4">[1]Settings!$E$5</definedName>
    <definedName name="Col_ARMInfo_Show">[2]Settings!$E$5</definedName>
    <definedName name="Col_CollateralInfo_Show" localSheetId="5">[1]Settings!$E$6</definedName>
    <definedName name="Col_CollateralInfo_Show" localSheetId="4">[1]Settings!$E$6</definedName>
    <definedName name="Col_CollateralInfo_Show">[2]Settings!$E$6</definedName>
    <definedName name="Col_GenPrepay_Show" localSheetId="5">[1]Settings!$E$4</definedName>
    <definedName name="Col_GenPrepay_Show" localSheetId="4">[1]Settings!$E$4</definedName>
    <definedName name="Col_GenPrepay_Show">[2]Settings!$E$4</definedName>
    <definedName name="Collateral_Col_Display" localSheetId="5">[1]Display!$AX$1</definedName>
    <definedName name="Collateral_Col_Display" localSheetId="4">[1]Display!$AX$1</definedName>
    <definedName name="Collateral_Col_Display">[2]Display!$AX$1</definedName>
    <definedName name="CParty" localSheetId="5">[1]MtgUniverse!$A$1</definedName>
    <definedName name="CParty" localSheetId="4">[1]MtgUniverse!$A$1</definedName>
    <definedName name="CParty">[2]MtgUniverse!$A$1</definedName>
    <definedName name="CParty_Col_Display" localSheetId="5">[1]Display!$A$1</definedName>
    <definedName name="CParty_Col_Display" localSheetId="4">[1]Display!$A$1</definedName>
    <definedName name="CParty_Col_Display">[2]Display!$A$1</definedName>
    <definedName name="CParty_Col_MtgData" localSheetId="5">[1]MtgData!$B$100</definedName>
    <definedName name="CParty_Col_MtgData" localSheetId="4">[1]MtgData!$B$100</definedName>
    <definedName name="CParty_Col_MtgData">[2]MtgData!$B$100</definedName>
    <definedName name="CParty_Col_MtgUniverse" localSheetId="5">[1]MtgUniverse!$A$1</definedName>
    <definedName name="CParty_Col_MtgUniverse" localSheetId="4">[1]MtgUniverse!$A$1</definedName>
    <definedName name="CParty_Col_MtgUniverse">[2]MtgUniverse!$A$1</definedName>
    <definedName name="Cpn_Col_Display" localSheetId="5">[1]Display!$I$1</definedName>
    <definedName name="Cpn_Col_Display" localSheetId="4">[1]Display!$I$1</definedName>
    <definedName name="Cpn_Col_Display">[2]Display!$I$1</definedName>
    <definedName name="CpnTyp_Col_Bloomberg" localSheetId="5">[1]Bloomberg!$AG$1</definedName>
    <definedName name="CpnTyp_Col_Bloomberg" localSheetId="4">[1]Bloomberg!$AG$1</definedName>
    <definedName name="CpnTyp_Col_Bloomberg">[2]Bloomberg!$AG$1</definedName>
    <definedName name="CpnTyp_Col_Display" localSheetId="5">[1]Display!$AF$1</definedName>
    <definedName name="CpnTyp_Col_Display" localSheetId="4">[1]Display!$AF$1</definedName>
    <definedName name="CpnTyp_Col_Display">[2]Display!$AF$1</definedName>
    <definedName name="CPR1m_Col_Display" localSheetId="5">[1]Display!$X$1</definedName>
    <definedName name="CPR1m_Col_Display" localSheetId="4">[1]Display!$X$1</definedName>
    <definedName name="CPR1m_Col_Display">[2]Display!$X$1</definedName>
    <definedName name="CPR1MN_Col_YieldBook" localSheetId="5">[1]YieldBook!$J$1</definedName>
    <definedName name="CPR1MN_Col_YieldBook" localSheetId="4">[1]YieldBook!$J$1</definedName>
    <definedName name="CPR1MN_Col_YieldBook">[2]YieldBook!$J$1</definedName>
    <definedName name="CPR1mYB_Col_Display" localSheetId="5">[1]Display!$DF$1</definedName>
    <definedName name="CPR1mYB_Col_Display" localSheetId="4">[1]Display!$DF$1</definedName>
    <definedName name="CPR1mYB_Col_Display">[2]Display!$DF$1</definedName>
    <definedName name="CPR1y_Col_Display" localSheetId="5">[1]Display!$AA$1</definedName>
    <definedName name="CPR1y_Col_Display" localSheetId="4">[1]Display!$AA$1</definedName>
    <definedName name="CPR1y_Col_Display">[2]Display!$AA$1</definedName>
    <definedName name="CPR1YR_Col_YieldBook" localSheetId="5">[1]YieldBook!$M$1</definedName>
    <definedName name="CPR1YR_Col_YieldBook" localSheetId="4">[1]YieldBook!$M$1</definedName>
    <definedName name="CPR1YR_Col_YieldBook">[2]YieldBook!$M$1</definedName>
    <definedName name="CPR1yYB_Col_Display" localSheetId="5">[1]Display!$DI$1</definedName>
    <definedName name="CPR1yYB_Col_Display" localSheetId="4">[1]Display!$DI$1</definedName>
    <definedName name="CPR1yYB_Col_Display">[2]Display!$DI$1</definedName>
    <definedName name="CPR3m_Col_Display" localSheetId="5">[1]Display!$Y$1</definedName>
    <definedName name="CPR3m_Col_Display" localSheetId="4">[1]Display!$Y$1</definedName>
    <definedName name="CPR3m_Col_Display">[2]Display!$Y$1</definedName>
    <definedName name="CPR3MN_Col_YieldBook" localSheetId="5">[1]YieldBook!$K$1</definedName>
    <definedName name="CPR3MN_Col_YieldBook" localSheetId="4">[1]YieldBook!$K$1</definedName>
    <definedName name="CPR3MN_Col_YieldBook">[2]YieldBook!$K$1</definedName>
    <definedName name="CPR3mYB_Col_Display" localSheetId="5">[1]Display!$DG$1</definedName>
    <definedName name="CPR3mYB_Col_Display" localSheetId="4">[1]Display!$DG$1</definedName>
    <definedName name="CPR3mYB_Col_Display">[2]Display!$DG$1</definedName>
    <definedName name="CPR6m_Col_Display" localSheetId="5">[1]Display!$Z$1</definedName>
    <definedName name="CPR6m_Col_Display" localSheetId="4">[1]Display!$Z$1</definedName>
    <definedName name="CPR6m_Col_Display">[2]Display!$Z$1</definedName>
    <definedName name="CPR6MN_Col_YieldBook" localSheetId="5">[1]YieldBook!$L$1</definedName>
    <definedName name="CPR6MN_Col_YieldBook" localSheetId="4">[1]YieldBook!$L$1</definedName>
    <definedName name="CPR6MN_Col_YieldBook">[2]YieldBook!$L$1</definedName>
    <definedName name="CPR6mYB_Col_Display" localSheetId="5">[1]Display!$DH$1</definedName>
    <definedName name="CPR6mYB_Col_Display" localSheetId="4">[1]Display!$DH$1</definedName>
    <definedName name="CPR6mYB_Col_Display">[2]Display!$DH$1</definedName>
    <definedName name="CS_Col_Display" localSheetId="5">[1]Display!$CM$1</definedName>
    <definedName name="CS_Col_Display" localSheetId="4">[1]Display!$CM$1</definedName>
    <definedName name="CS_Col_Display">[2]Display!$CM$1</definedName>
    <definedName name="CSCoverage_Col_Display" localSheetId="5">[1]Display!$CN$1</definedName>
    <definedName name="CSCoverage_Col_Display" localSheetId="4">[1]Display!$CN$1</definedName>
    <definedName name="CSCoverage_Col_Display">[2]Display!$CN$1</definedName>
    <definedName name="CurrAmt_Col_Display" localSheetId="5">[1]Display!$AZ$1</definedName>
    <definedName name="CurrAmt_Col_Display" localSheetId="4">[1]Display!$AZ$1</definedName>
    <definedName name="CurrAmt_Col_Display">[2]Display!$AZ$1</definedName>
    <definedName name="CurrFace_Col_Display" localSheetId="5">[1]Display!$F$1</definedName>
    <definedName name="CurrFace_Col_Display" localSheetId="4">[1]Display!$F$1</definedName>
    <definedName name="CurrFace_Col_Display">[2]Display!$F$1</definedName>
    <definedName name="CurveDate" localSheetId="5">[1]MtgData!$C$7</definedName>
    <definedName name="CurveDate" localSheetId="4">[1]MtgData!$C$7</definedName>
    <definedName name="CurveDate">[2]MtgData!$C$7</definedName>
    <definedName name="CURVEDATE_Col_YieldBook" localSheetId="5">[1]YieldBook!$BL$1</definedName>
    <definedName name="CURVEDATE_Col_YieldBook" localSheetId="4">[1]YieldBook!$BL$1</definedName>
    <definedName name="CURVEDATE_Col_YieldBook">[2]YieldBook!$BL$1</definedName>
    <definedName name="CurveDateBBerg" localSheetId="5">[1]MtgData!$C$9</definedName>
    <definedName name="CurveDateBBerg" localSheetId="4">[1]MtgData!$C$9</definedName>
    <definedName name="CurveDateBBerg">[2]MtgData!$C$9</definedName>
    <definedName name="CURVEDATEFlatOAS_Col_YieldBook" localSheetId="5">[1]YieldBook!$CQ$1</definedName>
    <definedName name="CURVEDATEFlatOAS_Col_YieldBook" localSheetId="4">[1]YieldBook!$CQ$1</definedName>
    <definedName name="CURVEDATEFlatOAS_Col_YieldBook">[2]YieldBook!$CQ$1</definedName>
    <definedName name="CURVEDATETBA1st_Col_YieldBook" localSheetId="5">[1]YieldBook!$CF$1</definedName>
    <definedName name="CURVEDATETBA1st_Col_YieldBook" localSheetId="4">[1]YieldBook!$CF$1</definedName>
    <definedName name="CURVEDATETBA1st_Col_YieldBook">[2]YieldBook!$CF$1</definedName>
    <definedName name="CurveDtYB_Col_Display" localSheetId="5">[1]Display!$EJ$1</definedName>
    <definedName name="CurveDtYB_Col_Display" localSheetId="4">[1]Display!$EJ$1</definedName>
    <definedName name="CurveDtYB_Col_Display">[2]Display!$EJ$1</definedName>
    <definedName name="CurveType" localSheetId="5">[1]Settings!$H$19</definedName>
    <definedName name="CurveType" localSheetId="4">[1]Settings!$H$19</definedName>
    <definedName name="CurveType">[2]Settings!$H$19</definedName>
    <definedName name="CurveYB_Col_Display" localSheetId="5">[1]Display!$EI$1</definedName>
    <definedName name="CurveYB_Col_Display" localSheetId="4">[1]Display!$EI$1</definedName>
    <definedName name="CurveYB_Col_Display">[2]Display!$EI$1</definedName>
    <definedName name="CurveYT_Col_Display" localSheetId="5">[1]Display!$T$1</definedName>
    <definedName name="CurveYT_Col_Display" localSheetId="4">[1]Display!$T$1</definedName>
    <definedName name="CurveYT_Col_Display">[2]Display!$T$1</definedName>
    <definedName name="CUSIP_Col_Display" localSheetId="5">[1]Display!$C$1</definedName>
    <definedName name="CUSIP_Col_Display" localSheetId="4">[1]Display!$C$1</definedName>
    <definedName name="CUSIP_Col_Display">[2]Display!$C$1</definedName>
    <definedName name="CUSIP_Col_MtgData" localSheetId="5">[1]MtgData!$D$100</definedName>
    <definedName name="CUSIP_Col_MtgData" localSheetId="4">[1]MtgData!$D$100</definedName>
    <definedName name="CUSIP_Col_MtgData">[2]MtgData!$D$100</definedName>
    <definedName name="CUSIP_Col_YieldBook" localSheetId="5">[1]YieldBook!$C$1</definedName>
    <definedName name="CUSIP_Col_YieldBook" localSheetId="4">[1]YieldBook!$C$1</definedName>
    <definedName name="CUSIP_Col_YieldBook">[2]YieldBook!$C$1</definedName>
    <definedName name="CUSIP9_Col_YieldBook" localSheetId="5">[1]YieldBook!$AU$1</definedName>
    <definedName name="CUSIP9_Col_YieldBook" localSheetId="4">[1]YieldBook!$AU$1</definedName>
    <definedName name="CUSIP9_Col_YieldBook">[2]YieldBook!$AU$1</definedName>
    <definedName name="CUSIP9FlatOAS_Col_YieldBook" localSheetId="5">[1]YieldBook!$CS$1</definedName>
    <definedName name="CUSIP9FlatOAS_Col_YieldBook" localSheetId="4">[1]YieldBook!$CS$1</definedName>
    <definedName name="CUSIP9FlatOAS_Col_YieldBook">[2]YieldBook!$CS$1</definedName>
    <definedName name="CUSIP9TBA1st_Col_YieldBook" localSheetId="5">[1]YieldBook!$CH$1</definedName>
    <definedName name="CUSIP9TBA1st_Col_YieldBook" localSheetId="4">[1]YieldBook!$CH$1</definedName>
    <definedName name="CUSIP9TBA1st_Col_YieldBook">[2]YieldBook!$CH$1</definedName>
    <definedName name="CUSIPFlatOAS_Col_YieldBook" localSheetId="5">[1]YieldBook!$CL$1</definedName>
    <definedName name="CUSIPFlatOAS_Col_YieldBook" localSheetId="4">[1]YieldBook!$CL$1</definedName>
    <definedName name="CUSIPFlatOAS_Col_YieldBook">[2]YieldBook!$CL$1</definedName>
    <definedName name="DateScn_Col_Bloomberg" localSheetId="5">[1]Bloomberg!$HL$1</definedName>
    <definedName name="DateScn_Col_Bloomberg" localSheetId="4">[1]Bloomberg!$HL$1</definedName>
    <definedName name="DateScn_Col_Bloomberg">[2]Bloomberg!$HL$1</definedName>
    <definedName name="DateYB_Col_Display" localSheetId="5">[1]Display!$EL$1</definedName>
    <definedName name="DateYB_Col_Display" localSheetId="4">[1]Display!$EL$1</definedName>
    <definedName name="DateYB_Col_Display">[2]Display!$EL$1</definedName>
    <definedName name="DateYT_Col_Bloomberg" localSheetId="5">[1]Bloomberg!$EG$1</definedName>
    <definedName name="DateYT_Col_Bloomberg" localSheetId="4">[1]Bloomberg!$EG$1</definedName>
    <definedName name="DateYT_Col_Bloomberg">[2]Bloomberg!$EG$1</definedName>
    <definedName name="DateYT_Col_Display" localSheetId="5">[1]Display!$V$1</definedName>
    <definedName name="DateYT_Col_Display" localSheetId="4">[1]Display!$V$1</definedName>
    <definedName name="DateYT_Col_Display">[2]Display!$V$1</definedName>
    <definedName name="dd" localSheetId="2">#REF!</definedName>
    <definedName name="dd">#REF!</definedName>
    <definedName name="DefYBLicense" localSheetId="5">[1]Settings!$H$15</definedName>
    <definedName name="DefYBLicense" localSheetId="4">[1]Settings!$H$15</definedName>
    <definedName name="DefYBLicense">[2]Settings!$H$15</definedName>
    <definedName name="DESCRIPT_Col_YieldBook" localSheetId="5">[1]YieldBook!$BN$1</definedName>
    <definedName name="DESCRIPT_Col_YieldBook" localSheetId="4">[1]YieldBook!$BN$1</definedName>
    <definedName name="DESCRIPT_Col_YieldBook">[2]YieldBook!$BN$1</definedName>
    <definedName name="Dlq30_Col_Display" localSheetId="5">[1]Display!$CH$1</definedName>
    <definedName name="Dlq30_Col_Display" localSheetId="4">[1]Display!$CH$1</definedName>
    <definedName name="Dlq30_Col_Display">[2]Display!$CH$1</definedName>
    <definedName name="Dlq60_Col_Display" localSheetId="5">[1]Display!$CI$1</definedName>
    <definedName name="Dlq60_Col_Display" localSheetId="4">[1]Display!$CI$1</definedName>
    <definedName name="Dlq60_Col_Display">[2]Display!$CI$1</definedName>
    <definedName name="Dlq90_Col_Display" localSheetId="5">[1]Display!$CJ$1</definedName>
    <definedName name="Dlq90_Col_Display" localSheetId="4">[1]Display!$CJ$1</definedName>
    <definedName name="Dlq90_Col_Display">[2]Display!$CJ$1</definedName>
    <definedName name="DurAdjAskOut_Col_Bloomberg" localSheetId="5">[1]Bloomberg!$V$1</definedName>
    <definedName name="DurAdjAskOut_Col_Bloomberg" localSheetId="4">[1]Bloomberg!$V$1</definedName>
    <definedName name="DurAdjAskOut_Col_Bloomberg">[2]Bloomberg!$V$1</definedName>
    <definedName name="DV01P1_Col_YieldBook" localSheetId="5">[1]YieldBook!$AN$1</definedName>
    <definedName name="DV01P1_Col_YieldBook" localSheetId="4">[1]YieldBook!$AN$1</definedName>
    <definedName name="DV01P1_Col_YieldBook">[2]YieldBook!$AN$1</definedName>
    <definedName name="DV01P10_Col_YieldBook" localSheetId="5">[1]YieldBook!$AR$1</definedName>
    <definedName name="DV01P10_Col_YieldBook" localSheetId="4">[1]YieldBook!$AR$1</definedName>
    <definedName name="DV01P10_Col_YieldBook">[2]YieldBook!$AR$1</definedName>
    <definedName name="DV01P2_Col_YieldBook" localSheetId="5">[1]YieldBook!$AO$1</definedName>
    <definedName name="DV01P2_Col_YieldBook" localSheetId="4">[1]YieldBook!$AO$1</definedName>
    <definedName name="DV01P2_Col_YieldBook">[2]YieldBook!$AO$1</definedName>
    <definedName name="DV01P20_Col_YieldBook" localSheetId="5">[1]YieldBook!$AS$1</definedName>
    <definedName name="DV01P20_Col_YieldBook" localSheetId="4">[1]YieldBook!$AS$1</definedName>
    <definedName name="DV01P20_Col_YieldBook">[2]YieldBook!$AS$1</definedName>
    <definedName name="DV01P3_Col_YieldBook" localSheetId="5">[1]YieldBook!$AP$1</definedName>
    <definedName name="DV01P3_Col_YieldBook" localSheetId="4">[1]YieldBook!$AP$1</definedName>
    <definedName name="DV01P3_Col_YieldBook">[2]YieldBook!$AP$1</definedName>
    <definedName name="DV01P30_Col_YieldBook" localSheetId="5">[1]YieldBook!$AT$1</definedName>
    <definedName name="DV01P30_Col_YieldBook" localSheetId="4">[1]YieldBook!$AT$1</definedName>
    <definedName name="DV01P30_Col_YieldBook">[2]YieldBook!$AT$1</definedName>
    <definedName name="DV01P5_Col_YieldBook" localSheetId="5">[1]YieldBook!$AQ$1</definedName>
    <definedName name="DV01P5_Col_YieldBook" localSheetId="4">[1]YieldBook!$AQ$1</definedName>
    <definedName name="DV01P5_Col_YieldBook">[2]YieldBook!$AQ$1</definedName>
    <definedName name="ECURVESPRD_Col_YieldBook" localSheetId="5">[1]YieldBook!$S$1</definedName>
    <definedName name="ECURVESPRD_Col_YieldBook" localSheetId="4">[1]YieldBook!$S$1</definedName>
    <definedName name="ECURVESPRD_Col_YieldBook">[2]YieldBook!$S$1</definedName>
    <definedName name="EFFCNVX_Col_YieldBook" localSheetId="5">[1]YieldBook!$X$1</definedName>
    <definedName name="EFFCNVX_Col_YieldBook" localSheetId="4">[1]YieldBook!$X$1</definedName>
    <definedName name="EFFCNVX_Col_YieldBook">[2]YieldBook!$X$1</definedName>
    <definedName name="EffCnvx_Report" localSheetId="5">OFFSET([1]Report!$N$21,0,0,COUNTA([1]Report!$N$1:$N$65536),1)</definedName>
    <definedName name="EffCnvx_Report" localSheetId="4">OFFSET([1]Report!$N$21,0,0,COUNTA([1]Report!$N$1:$N$65536),1)</definedName>
    <definedName name="EffCnvx_Report">OFFSET([2]Report!$N$21,0,0,COUNTA([2]Report!$N$1:$N$65536),1)</definedName>
    <definedName name="EffCnvxYB_Col_Display" localSheetId="5">[1]Display!$DM$1</definedName>
    <definedName name="EffCnvxYB_Col_Display" localSheetId="4">[1]Display!$DM$1</definedName>
    <definedName name="EffCnvxYB_Col_Display">[2]Display!$DM$1</definedName>
    <definedName name="EFFDUR_Col_YieldBook" localSheetId="5">[1]YieldBook!$V$1</definedName>
    <definedName name="EFFDUR_Col_YieldBook" localSheetId="4">[1]YieldBook!$V$1</definedName>
    <definedName name="EFFDUR_Col_YieldBook">[2]YieldBook!$V$1</definedName>
    <definedName name="EffDur_Report" localSheetId="5">OFFSET([1]Report!$M$21,0,0,COUNTA([1]Report!$M$1:$M$65536),1)</definedName>
    <definedName name="EffDur_Report" localSheetId="4">OFFSET([1]Report!$M$21,0,0,COUNTA([1]Report!$M$1:$M$65536),1)</definedName>
    <definedName name="EffDur_Report">OFFSET([2]Report!$M$21,0,0,COUNTA([2]Report!$M$1:$M$65536),1)</definedName>
    <definedName name="EffDurYB_Col_Display" localSheetId="5">[1]Display!$DL$1</definedName>
    <definedName name="EffDurYB_Col_Display" localSheetId="4">[1]Display!$DL$1</definedName>
    <definedName name="EffDurYB_Col_Display">[2]Display!$DL$1</definedName>
    <definedName name="EFFDV01_Col_YieldBook" localSheetId="5">[1]YieldBook!$W$1</definedName>
    <definedName name="EFFDV01_Col_YieldBook" localSheetId="4">[1]YieldBook!$W$1</definedName>
    <definedName name="EFFDV01_Col_YieldBook">[2]YieldBook!$W$1</definedName>
    <definedName name="EffDV01YB_Col_Display" localSheetId="5">[1]Display!$DN$1</definedName>
    <definedName name="EffDV01YB_Col_Display" localSheetId="4">[1]Display!$DN$1</definedName>
    <definedName name="EffDV01YB_Col_Display">[2]Display!$DN$1</definedName>
    <definedName name="ELBOWDUR_Col_YieldBook" localSheetId="5">[1]YieldBook!$AE$1</definedName>
    <definedName name="ELBOWDUR_Col_YieldBook" localSheetId="4">[1]YieldBook!$AE$1</definedName>
    <definedName name="ELBOWDUR_Col_YieldBook">[2]YieldBook!$AE$1</definedName>
    <definedName name="ElbowDurYB_Col_Display" localSheetId="5">[1]Display!$EB$1</definedName>
    <definedName name="ElbowDurYB_Col_Display" localSheetId="4">[1]Display!$EB$1</definedName>
    <definedName name="ElbowDurYB_Col_Display">[2]Display!$EB$1</definedName>
    <definedName name="ESprdAskIn_Col_Bloomberg" localSheetId="5">[1]Bloomberg!$I$1</definedName>
    <definedName name="ESprdAskIn_Col_Bloomberg" localSheetId="4">[1]Bloomberg!$I$1</definedName>
    <definedName name="ESprdAskIn_Col_Bloomberg">[2]Bloomberg!$I$1</definedName>
    <definedName name="ESprdAskOut_Col_Bloomberg" localSheetId="5">[1]Bloomberg!$U$1</definedName>
    <definedName name="ESprdAskOut_Col_Bloomberg" localSheetId="4">[1]Bloomberg!$U$1</definedName>
    <definedName name="ESprdAskOut_Col_Bloomberg">[2]Bloomberg!$U$1</definedName>
    <definedName name="ESprdYB_Col_Display" localSheetId="5">[1]Display!$DD$1</definedName>
    <definedName name="ESprdYB_Col_Display" localSheetId="4">[1]Display!$DD$1</definedName>
    <definedName name="ESprdYB_Col_Display">[2]Display!$DD$1</definedName>
    <definedName name="FACTOR_Col_YieldBook" localSheetId="5">[1]YieldBook!$AW$1</definedName>
    <definedName name="FACTOR_Col_YieldBook" localSheetId="4">[1]YieldBook!$AW$1</definedName>
    <definedName name="FACTOR_Col_YieldBook">[2]YieldBook!$AW$1</definedName>
    <definedName name="FACTORDT_Col_YieldBook" localSheetId="5">[1]YieldBook!$AV$1</definedName>
    <definedName name="FACTORDT_Col_YieldBook" localSheetId="4">[1]YieldBook!$AV$1</definedName>
    <definedName name="FACTORDT_Col_YieldBook">[2]YieldBook!$AV$1</definedName>
    <definedName name="Fcls_Col_Display" localSheetId="5">[1]Display!$CL$1</definedName>
    <definedName name="Fcls_Col_Display" localSheetId="4">[1]Display!$CL$1</definedName>
    <definedName name="Fcls_Col_Display">[2]Display!$CL$1</definedName>
    <definedName name="FeedIDBBSec_Col_Bloomberg" localSheetId="5">[1]Bloomberg!$HP$1</definedName>
    <definedName name="FeedIDBBSec_Col_Bloomberg" localSheetId="4">[1]Bloomberg!$HP$1</definedName>
    <definedName name="FeedIDBBSec_Col_Bloomberg">[2]Bloomberg!$HP$1</definedName>
    <definedName name="Fitch_Col_Display" localSheetId="5">[1]Display!$CF$1</definedName>
    <definedName name="Fitch_Col_Display" localSheetId="4">[1]Display!$CF$1</definedName>
    <definedName name="Fitch_Col_Display">[2]Display!$CF$1</definedName>
    <definedName name="GCPR1m_Col_Display" localSheetId="5">[1]Display!$AB$1</definedName>
    <definedName name="GCPR1m_Col_Display" localSheetId="4">[1]Display!$AB$1</definedName>
    <definedName name="GCPR1m_Col_Display">[2]Display!$AB$1</definedName>
    <definedName name="GCPR1y_Col_Display" localSheetId="5">[1]Display!$AE$1</definedName>
    <definedName name="GCPR1y_Col_Display" localSheetId="4">[1]Display!$AE$1</definedName>
    <definedName name="GCPR1y_Col_Display">[2]Display!$AE$1</definedName>
    <definedName name="GCPR3m_Col_Display" localSheetId="5">[1]Display!$AC$1</definedName>
    <definedName name="GCPR3m_Col_Display" localSheetId="4">[1]Display!$AC$1</definedName>
    <definedName name="GCPR3m_Col_Display">[2]Display!$AC$1</definedName>
    <definedName name="GCPR6m_Col_Display" localSheetId="5">[1]Display!$AD$1</definedName>
    <definedName name="GCPR6m_Col_Display" localSheetId="4">[1]Display!$AD$1</definedName>
    <definedName name="GCPR6m_Col_Display">[2]Display!$AD$1</definedName>
    <definedName name="Geo1_Col_Display" localSheetId="5">[1]Display!$BD$1</definedName>
    <definedName name="Geo1_Col_Display" localSheetId="4">[1]Display!$BD$1</definedName>
    <definedName name="Geo1_Col_Display">[2]Display!$BD$1</definedName>
    <definedName name="Geo2_Col_Display" localSheetId="5">[1]Display!$BE$1</definedName>
    <definedName name="Geo2_Col_Display" localSheetId="4">[1]Display!$BE$1</definedName>
    <definedName name="Geo2_Col_Display">[2]Display!$BE$1</definedName>
    <definedName name="Geo3_Col_Display" localSheetId="5">[1]Display!$BF$1</definedName>
    <definedName name="Geo3_Col_Display" localSheetId="4">[1]Display!$BF$1</definedName>
    <definedName name="Geo3_Col_Display">[2]Display!$BF$1</definedName>
    <definedName name="GSPRD_Col_YieldBook" localSheetId="5">[1]YieldBook!$T$1</definedName>
    <definedName name="GSPRD_Col_YieldBook" localSheetId="4">[1]YieldBook!$T$1</definedName>
    <definedName name="GSPRD_Col_YieldBook">[2]YieldBook!$T$1</definedName>
    <definedName name="IDCUSIP_Col_Bloomberg" localSheetId="5">[1]Bloomberg!$AC$1</definedName>
    <definedName name="IDCUSIP_Col_Bloomberg" localSheetId="4">[1]Bloomberg!$AC$1</definedName>
    <definedName name="IDCUSIP_Col_Bloomberg">[2]Bloomberg!$AC$1</definedName>
    <definedName name="IdxVal_Col_Display" localSheetId="5">[1]Display!$AL$1</definedName>
    <definedName name="IdxVal_Col_Display" localSheetId="4">[1]Display!$AL$1</definedName>
    <definedName name="IdxVal_Col_Display">[2]Display!$AL$1</definedName>
    <definedName name="IncludeTBA" localSheetId="5">[1]Settings!$H$17</definedName>
    <definedName name="IncludeTBA" localSheetId="4">[1]Settings!$H$17</definedName>
    <definedName name="IncludeTBA">[2]Settings!$H$17</definedName>
    <definedName name="IncludeYBCalc" localSheetId="5">[1]Settings!$H$18</definedName>
    <definedName name="IncludeYBCalc" localSheetId="4">[1]Settings!$H$18</definedName>
    <definedName name="IncludeYBCalc">[2]Settings!$H$18</definedName>
    <definedName name="IOCollat_Col_Display" localSheetId="5">[1]Display!$CR$1</definedName>
    <definedName name="IOCollat_Col_Display" localSheetId="4">[1]Display!$CR$1</definedName>
    <definedName name="IOCollat_Col_Display">[2]Display!$CR$1</definedName>
    <definedName name="IOTerm_Col_Display" localSheetId="5">[1]Display!$CQ$1</definedName>
    <definedName name="IOTerm_Col_Display" localSheetId="4">[1]Display!$CQ$1</definedName>
    <definedName name="IOTerm_Col_Display">[2]Display!$CQ$1</definedName>
    <definedName name="ISprd_Col_Display" localSheetId="5">[1]Display!$Q$1</definedName>
    <definedName name="ISprd_Col_Display" localSheetId="4">[1]Display!$Q$1</definedName>
    <definedName name="ISprd_Col_Display">[2]Display!$Q$1</definedName>
    <definedName name="ISprdAskIn_Col_Bloomberg" localSheetId="5">[1]Bloomberg!$G$1</definedName>
    <definedName name="ISprdAskIn_Col_Bloomberg" localSheetId="4">[1]Bloomberg!$G$1</definedName>
    <definedName name="ISprdAskIn_Col_Bloomberg">[2]Bloomberg!$G$1</definedName>
    <definedName name="ISprdAskOut_Col_Bloomberg" localSheetId="5">[1]Bloomberg!$S$1</definedName>
    <definedName name="ISprdAskOut_Col_Bloomberg" localSheetId="4">[1]Bloomberg!$S$1</definedName>
    <definedName name="ISprdAskOut_Col_Bloomberg">[2]Bloomberg!$S$1</definedName>
    <definedName name="ISprdYB_Col_Display" localSheetId="5">[1]Display!$DB$1</definedName>
    <definedName name="ISprdYB_Col_Display" localSheetId="4">[1]Display!$DB$1</definedName>
    <definedName name="ISprdYB_Col_Display">[2]Display!$DB$1</definedName>
    <definedName name="LifeCap_Col_Display" localSheetId="5">[1]Display!$AP$1</definedName>
    <definedName name="LifeCap_Col_Display" localSheetId="4">[1]Display!$AP$1</definedName>
    <definedName name="LifeCap_Col_Display">[2]Display!$AP$1</definedName>
    <definedName name="LnEq_Col_Display" localSheetId="5">[1]Display!$BC$1</definedName>
    <definedName name="LnEq_Col_Display" localSheetId="4">[1]Display!$BC$1</definedName>
    <definedName name="LnEq_Col_Display">[2]Display!$BC$1</definedName>
    <definedName name="LnPchse_Col_Display" localSheetId="5">[1]Display!$BA$1</definedName>
    <definedName name="LnPchse_Col_Display" localSheetId="4">[1]Display!$BA$1</definedName>
    <definedName name="LnPchse_Col_Display">[2]Display!$BA$1</definedName>
    <definedName name="LnRefi_Col_Display" localSheetId="5">[1]Display!$BB$1</definedName>
    <definedName name="LnRefi_Col_Display" localSheetId="4">[1]Display!$BB$1</definedName>
    <definedName name="LnRefi_Col_Display">[2]Display!$BB$1</definedName>
    <definedName name="LoanMrgn_Col_Display" localSheetId="5">[1]Display!$AQ$1</definedName>
    <definedName name="LoanMrgn_Col_Display" localSheetId="4">[1]Display!$AQ$1</definedName>
    <definedName name="LoanMrgn_Col_Display">[2]Display!$AQ$1</definedName>
    <definedName name="LoanNo_Col_Display" localSheetId="5">[1]Display!$AT$1</definedName>
    <definedName name="LoanNo_Col_Display" localSheetId="4">[1]Display!$AT$1</definedName>
    <definedName name="LoanNo_Col_Display">[2]Display!$AT$1</definedName>
    <definedName name="LTCPR_Col_YieldBook" localSheetId="5">[1]YieldBook!$N$1</definedName>
    <definedName name="LTCPR_Col_YieldBook" localSheetId="4">[1]YieldBook!$N$1</definedName>
    <definedName name="LTCPR_Col_YieldBook">[2]YieldBook!$N$1</definedName>
    <definedName name="LTCPRYB_Col_Display" localSheetId="5">[1]Display!$DJ$1</definedName>
    <definedName name="LTCPRYB_Col_Display" localSheetId="4">[1]Display!$DJ$1</definedName>
    <definedName name="LTCPRYB_Col_Display">[2]Display!$DJ$1</definedName>
    <definedName name="LTV25_Col_Display" localSheetId="5">[1]Display!$BW$1</definedName>
    <definedName name="LTV25_Col_Display" localSheetId="4">[1]Display!$BW$1</definedName>
    <definedName name="LTV25_Col_Display">[2]Display!$BW$1</definedName>
    <definedName name="LTV75_Col_Display" localSheetId="5">[1]Display!$BY$1</definedName>
    <definedName name="LTV75_Col_Display" localSheetId="4">[1]Display!$BY$1</definedName>
    <definedName name="LTV75_Col_Display">[2]Display!$BY$1</definedName>
    <definedName name="LTVMax_Col_Display" localSheetId="5">[1]Display!$BZ$1</definedName>
    <definedName name="LTVMax_Col_Display" localSheetId="4">[1]Display!$BZ$1</definedName>
    <definedName name="LTVMax_Col_Display">[2]Display!$BZ$1</definedName>
    <definedName name="LTVMed_Col_Display" localSheetId="5">[1]Display!$BX$1</definedName>
    <definedName name="LTVMed_Col_Display" localSheetId="4">[1]Display!$BX$1</definedName>
    <definedName name="LTVMed_Col_Display">[2]Display!$BX$1</definedName>
    <definedName name="LTVMin_Col_Display" localSheetId="5">[1]Display!$BV$1</definedName>
    <definedName name="LTVMin_Col_Display" localSheetId="4">[1]Display!$BV$1</definedName>
    <definedName name="LTVMin_Col_Display">[2]Display!$BV$1</definedName>
    <definedName name="M_PlaceofPath" hidden="1">"F:\JFRANCE\DATA\EXCELDAT\VDF Files\oxhp_vdf.xls"</definedName>
    <definedName name="Maturity_Col_Display" localSheetId="5">[1]Display!$M$1</definedName>
    <definedName name="Maturity_Col_Display" localSheetId="4">[1]Display!$M$1</definedName>
    <definedName name="Maturity_Col_Display">[2]Display!$M$1</definedName>
    <definedName name="ModDur_Col_Display" localSheetId="5">[1]Display!$O$1</definedName>
    <definedName name="ModDur_Col_Display" localSheetId="4">[1]Display!$O$1</definedName>
    <definedName name="ModDur_Col_Display">[2]Display!$O$1</definedName>
    <definedName name="MODDUR_Col_YieldBook" localSheetId="5">[1]YieldBook!$U$1</definedName>
    <definedName name="MODDUR_Col_YieldBook" localSheetId="4">[1]YieldBook!$U$1</definedName>
    <definedName name="MODDUR_Col_YieldBook">[2]YieldBook!$U$1</definedName>
    <definedName name="ModDurYB_Col_Display" localSheetId="5">[1]Display!$DK$1</definedName>
    <definedName name="ModDurYB_Col_Display" localSheetId="4">[1]Display!$DK$1</definedName>
    <definedName name="ModDurYB_Col_Display">[2]Display!$DK$1</definedName>
    <definedName name="ModelVersion" localSheetId="5">[1]Settings!$H$20</definedName>
    <definedName name="ModelVersion" localSheetId="4">[1]Settings!$H$20</definedName>
    <definedName name="ModelVersion">[2]Settings!$H$20</definedName>
    <definedName name="MONSTOROLL_Col_YieldBook" localSheetId="5">[1]YieldBook!$BB$1</definedName>
    <definedName name="MONSTOROLL_Col_YieldBook" localSheetId="4">[1]YieldBook!$BB$1</definedName>
    <definedName name="MONSTOROLL_Col_YieldBook">[2]YieldBook!$BB$1</definedName>
    <definedName name="Moody_Col_Display" localSheetId="5">[1]Display!$CE$1</definedName>
    <definedName name="Moody_Col_Display" localSheetId="4">[1]Display!$CE$1</definedName>
    <definedName name="Moody_Col_Display">[2]Display!$CE$1</definedName>
    <definedName name="MtgBEEMIn_Col_Bloomberg" localSheetId="5">[1]Bloomberg!$M$1</definedName>
    <definedName name="MtgBEEMIn_Col_Bloomberg" localSheetId="4">[1]Bloomberg!$M$1</definedName>
    <definedName name="MtgBEEMIn_Col_Bloomberg">[2]Bloomberg!$M$1</definedName>
    <definedName name="MtgBEEMOut_Col_Bloomberg" localSheetId="5">[1]Bloomberg!$AB$1</definedName>
    <definedName name="MtgBEEMOut_Col_Bloomberg" localSheetId="4">[1]Bloomberg!$AB$1</definedName>
    <definedName name="MtgBEEMOut_Col_Bloomberg">[2]Bloomberg!$AB$1</definedName>
    <definedName name="MtgBEEMOutScen1_Col_Bloomberg" localSheetId="5">[1]Bloomberg!$EX$1</definedName>
    <definedName name="MtgBEEMOutScen1_Col_Bloomberg" localSheetId="4">[1]Bloomberg!$EX$1</definedName>
    <definedName name="MtgBEEMOutScen1_Col_Bloomberg">[2]Bloomberg!$EX$1</definedName>
    <definedName name="MtgBEEMOutScen2_Col_Bloomberg" localSheetId="5">[1]Bloomberg!$FN$1</definedName>
    <definedName name="MtgBEEMOutScen2_Col_Bloomberg" localSheetId="4">[1]Bloomberg!$FN$1</definedName>
    <definedName name="MtgBEEMOutScen2_Col_Bloomberg">[2]Bloomberg!$FN$1</definedName>
    <definedName name="MtgBEEMOutScen3_Col_Bloomberg" localSheetId="5">[1]Bloomberg!$GD$1</definedName>
    <definedName name="MtgBEEMOutScen3_Col_Bloomberg" localSheetId="4">[1]Bloomberg!$GD$1</definedName>
    <definedName name="MtgBEEMOutScen3_Col_Bloomberg">[2]Bloomberg!$GD$1</definedName>
    <definedName name="MtgBEEMOutScen4_Col_Bloomberg" localSheetId="5">[1]Bloomberg!$GT$1</definedName>
    <definedName name="MtgBEEMOutScen4_Col_Bloomberg" localSheetId="4">[1]Bloomberg!$GT$1</definedName>
    <definedName name="MtgBEEMOutScen4_Col_Bloomberg">[2]Bloomberg!$GT$1</definedName>
    <definedName name="MtgBEEMOutScen5_Col_Bloomberg" localSheetId="5">[1]Bloomberg!$HJ$1</definedName>
    <definedName name="MtgBEEMOutScen5_Col_Bloomberg" localSheetId="4">[1]Bloomberg!$HJ$1</definedName>
    <definedName name="MtgBEEMOutScen5_Col_Bloomberg">[2]Bloomberg!$HJ$1</definedName>
    <definedName name="MtgPrepaySpeedIn_Col_Bloomberg" localSheetId="5">[1]Bloomberg!$D$1</definedName>
    <definedName name="MtgPrepaySpeedIn_Col_Bloomberg" localSheetId="4">[1]Bloomberg!$D$1</definedName>
    <definedName name="MtgPrepaySpeedIn_Col_Bloomberg">[2]Bloomberg!$D$1</definedName>
    <definedName name="MtgPrepaySpeedOut_Col_Bloomberg" localSheetId="5">[1]Bloomberg!$P$1</definedName>
    <definedName name="MtgPrepaySpeedOut_Col_Bloomberg" localSheetId="4">[1]Bloomberg!$P$1</definedName>
    <definedName name="MtgPrepaySpeedOut_Col_Bloomberg">[2]Bloomberg!$P$1</definedName>
    <definedName name="MtgPrepayTypIn_Col_Bloomberg" localSheetId="5">[1]Bloomberg!$E$1</definedName>
    <definedName name="MtgPrepayTypIn_Col_Bloomberg" localSheetId="4">[1]Bloomberg!$E$1</definedName>
    <definedName name="MtgPrepayTypIn_Col_Bloomberg">[2]Bloomberg!$E$1</definedName>
    <definedName name="MtgPrepayTypOut_Col_Bloomberg" localSheetId="5">[1]Bloomberg!$Q$1</definedName>
    <definedName name="MtgPrepayTypOut_Col_Bloomberg" localSheetId="4">[1]Bloomberg!$Q$1</definedName>
    <definedName name="MtgPrepayTypOut_Col_Bloomberg">[2]Bloomberg!$Q$1</definedName>
    <definedName name="MtgPrincWinOut_Col_Bloomberg" localSheetId="5">[1]Bloomberg!$X$1</definedName>
    <definedName name="MtgPrincWinOut_Col_Bloomberg" localSheetId="4">[1]Bloomberg!$X$1</definedName>
    <definedName name="MtgPrincWinOut_Col_Bloomberg">[2]Bloomberg!$X$1</definedName>
    <definedName name="MtgWALOut_Col_Bloomberg" localSheetId="5">[1]Bloomberg!$W$1</definedName>
    <definedName name="MtgWALOut_Col_Bloomberg" localSheetId="4">[1]Bloomberg!$W$1</definedName>
    <definedName name="MtgWALOut_Col_Bloomberg">[2]Bloomberg!$W$1</definedName>
    <definedName name="MTR_Col_Display" localSheetId="5">[1]Display!$AG$1</definedName>
    <definedName name="MTR_Col_Display" localSheetId="4">[1]Display!$AG$1</definedName>
    <definedName name="MTR_Col_Display">[2]Display!$AG$1</definedName>
    <definedName name="Name_Col_Bloomberg" localSheetId="5">[1]Bloomberg!$AD$1</definedName>
    <definedName name="Name_Col_Bloomberg" localSheetId="4">[1]Bloomberg!$AD$1</definedName>
    <definedName name="Name_Col_Bloomberg">[2]Bloomberg!$AD$1</definedName>
    <definedName name="Name_Col_Display" localSheetId="5">[1]Display!$D$1</definedName>
    <definedName name="Name_Col_Display" localSheetId="4">[1]Display!$D$1</definedName>
    <definedName name="Name_Col_Display">[2]Display!$D$1</definedName>
    <definedName name="Name_Col_MtgData" localSheetId="5">[1]MtgData!$E$100</definedName>
    <definedName name="Name_Col_MtgData" localSheetId="4">[1]MtgData!$E$100</definedName>
    <definedName name="Name_Col_MtgData">[2]MtgData!$E$100</definedName>
    <definedName name="NSprd_Col_Display" localSheetId="5">[1]Display!$R$1</definedName>
    <definedName name="NSprd_Col_Display" localSheetId="4">[1]Display!$R$1</definedName>
    <definedName name="NSprd_Col_Display">[2]Display!$R$1</definedName>
    <definedName name="NSprdAskIn_Col_Bloomberg" localSheetId="5">[1]Bloomberg!$H$1</definedName>
    <definedName name="NSprdAskIn_Col_Bloomberg" localSheetId="4">[1]Bloomberg!$H$1</definedName>
    <definedName name="NSprdAskIn_Col_Bloomberg">[2]Bloomberg!$H$1</definedName>
    <definedName name="NSprdAskOut_Col_Bloomberg" localSheetId="5">[1]Bloomberg!$T$1</definedName>
    <definedName name="NSprdAskOut_Col_Bloomberg" localSheetId="4">[1]Bloomberg!$T$1</definedName>
    <definedName name="NSprdAskOut_Col_Bloomberg">[2]Bloomberg!$T$1</definedName>
    <definedName name="NSprdYB_Col_Display" localSheetId="5">[1]Display!$DC$1</definedName>
    <definedName name="NSprdYB_Col_Display" localSheetId="4">[1]Display!$DC$1</definedName>
    <definedName name="NSprdYB_Col_Display">[2]Display!$DC$1</definedName>
    <definedName name="NxtRst_Col_Display" localSheetId="5">[1]Display!$AJ$1</definedName>
    <definedName name="NxtRst_Col_Display" localSheetId="4">[1]Display!$AJ$1</definedName>
    <definedName name="NxtRst_Col_Display">[2]Display!$AJ$1</definedName>
    <definedName name="OAS_Col_YieldBook" localSheetId="5">[1]YieldBook!$I$1</definedName>
    <definedName name="OAS_Col_YieldBook" localSheetId="4">[1]YieldBook!$I$1</definedName>
    <definedName name="OAS_Col_YieldBook">[2]YieldBook!$I$1</definedName>
    <definedName name="OAS_Report" localSheetId="5">OFFSET([1]Report!$L$21,0,0,COUNTA([1]Report!$L$1:$L$65536),1)</definedName>
    <definedName name="OAS_Report" localSheetId="4">OFFSET([1]Report!$L$21,0,0,COUNTA([1]Report!$L$1:$L$65536),1)</definedName>
    <definedName name="OAS_Report">OFFSET([2]Report!$L$21,0,0,COUNTA([2]Report!$L$1:$L$65536),1)</definedName>
    <definedName name="OASCurveIDIn_Col_Bloomberg" localSheetId="5">[1]Bloomberg!$J$1</definedName>
    <definedName name="OASCurveIDIn_Col_Bloomberg" localSheetId="4">[1]Bloomberg!$J$1</definedName>
    <definedName name="OASCurveIDIn_Col_Bloomberg">[2]Bloomberg!$J$1</definedName>
    <definedName name="OASCurveIDOut_Col_Bloomberg" localSheetId="5">[1]Bloomberg!$Y$1</definedName>
    <definedName name="OASCurveIDOut_Col_Bloomberg" localSheetId="4">[1]Bloomberg!$Y$1</definedName>
    <definedName name="OASCurveIDOut_Col_Bloomberg">[2]Bloomberg!$Y$1</definedName>
    <definedName name="OASDurYB_Col_Display" localSheetId="5">[1]Display!$DX$1</definedName>
    <definedName name="OASDurYB_Col_Display" localSheetId="4">[1]Display!$DX$1</definedName>
    <definedName name="OASDurYB_Col_Display">[2]Display!$DX$1</definedName>
    <definedName name="OASFlatOAS_Col_YieldBook" localSheetId="5">[1]YieldBook!$CN$1</definedName>
    <definedName name="OASFlatOAS_Col_YieldBook" localSheetId="4">[1]YieldBook!$CN$1</definedName>
    <definedName name="OASFlatOAS_Col_YieldBook">[2]YieldBook!$CN$1</definedName>
    <definedName name="OASTBA1st_Col_YieldBook" localSheetId="5">[1]YieldBook!$BU$1</definedName>
    <definedName name="OASTBA1st_Col_YieldBook" localSheetId="4">[1]YieldBook!$BU$1</definedName>
    <definedName name="OASTBA1st_Col_YieldBook">[2]YieldBook!$BU$1</definedName>
    <definedName name="OASYB_Col_Display" localSheetId="5">[1]Display!$CZ$1</definedName>
    <definedName name="OASYB_Col_Display" localSheetId="4">[1]Display!$CZ$1</definedName>
    <definedName name="OASYB_Col_Display">[2]Display!$CZ$1</definedName>
    <definedName name="OccInv_Col_Display" localSheetId="5">[1]Display!$CC$1</definedName>
    <definedName name="OccInv_Col_Display" localSheetId="4">[1]Display!$CC$1</definedName>
    <definedName name="OccInv_Col_Display">[2]Display!$CC$1</definedName>
    <definedName name="OccOwner_Col_Display" localSheetId="5">[1]Display!$CA$1</definedName>
    <definedName name="OccOwner_Col_Display" localSheetId="4">[1]Display!$CA$1</definedName>
    <definedName name="OccOwner_Col_Display">[2]Display!$CA$1</definedName>
    <definedName name="OccVaca_Col_Display" localSheetId="5">[1]Display!$CB$1</definedName>
    <definedName name="OccVaca_Col_Display" localSheetId="4">[1]Display!$CB$1</definedName>
    <definedName name="OccVaca_Col_Display">[2]Display!$CB$1</definedName>
    <definedName name="OCS25_Col_Display" localSheetId="5">[1]Display!$BR$1</definedName>
    <definedName name="OCS25_Col_Display" localSheetId="4">[1]Display!$BR$1</definedName>
    <definedName name="OCS25_Col_Display">[2]Display!$BR$1</definedName>
    <definedName name="OCS75_Col_Display" localSheetId="5">[1]Display!$BT$1</definedName>
    <definedName name="OCS75_Col_Display" localSheetId="4">[1]Display!$BT$1</definedName>
    <definedName name="OCS75_Col_Display">[2]Display!$BT$1</definedName>
    <definedName name="OCSMax_Col_Display" localSheetId="5">[1]Display!$BU$1</definedName>
    <definedName name="OCSMax_Col_Display" localSheetId="4">[1]Display!$BU$1</definedName>
    <definedName name="OCSMax_Col_Display">[2]Display!$BU$1</definedName>
    <definedName name="OCSMed_Col_Display" localSheetId="5">[1]Display!$BS$1</definedName>
    <definedName name="OCSMed_Col_Display" localSheetId="4">[1]Display!$BS$1</definedName>
    <definedName name="OCSMed_Col_Display">[2]Display!$BS$1</definedName>
    <definedName name="OCSMin_Col_Display" localSheetId="5">[1]Display!$BQ$1</definedName>
    <definedName name="OCSMin_Col_Display" localSheetId="4">[1]Display!$BQ$1</definedName>
    <definedName name="OCSMin_Col_Display">[2]Display!$BQ$1</definedName>
    <definedName name="OrigAmt_Col_Display" localSheetId="5">[1]Display!$AY$1</definedName>
    <definedName name="OrigAmt_Col_Display" localSheetId="4">[1]Display!$AY$1</definedName>
    <definedName name="OrigAmt_Col_Display">[2]Display!$AY$1</definedName>
    <definedName name="OrigFace_Col_Display" localSheetId="5">[1]Display!$E$1</definedName>
    <definedName name="OrigFace_Col_Display" localSheetId="4">[1]Display!$E$1</definedName>
    <definedName name="OrigFace_Col_Display">[2]Display!$E$1</definedName>
    <definedName name="OrigFace_Col_MtgUniverse" localSheetId="5">[1]MtgUniverse!$D$1</definedName>
    <definedName name="OrigFace_Col_MtgUniverse" localSheetId="4">[1]MtgUniverse!$D$1</definedName>
    <definedName name="OrigFace_Col_MtgUniverse">[2]MtgUniverse!$D$1</definedName>
    <definedName name="OrigFace_Col_YieldBook" localSheetId="5">[1]YieldBook!$D$1</definedName>
    <definedName name="OrigFace_Col_YieldBook" localSheetId="4">[1]YieldBook!$D$1</definedName>
    <definedName name="OrigFace_Col_YieldBook">[2]YieldBook!$D$1</definedName>
    <definedName name="OrigLifeCap_Col_Display" localSheetId="5">[1]Display!$AO$1</definedName>
    <definedName name="OrigLifeCap_Col_Display" localSheetId="4">[1]Display!$AO$1</definedName>
    <definedName name="OrigLifeCap_Col_Display">[2]Display!$AO$1</definedName>
    <definedName name="Payup_Col_MtgUniverse" localSheetId="5">[1]MtgUniverse!$H$1</definedName>
    <definedName name="Payup_Col_MtgUniverse" localSheetId="4">[1]MtgUniverse!$H$1</definedName>
    <definedName name="Payup_Col_MtgUniverse">[2]MtgUniverse!$H$1</definedName>
    <definedName name="PCTPRPY_Col_YieldBook" localSheetId="5">[1]YieldBook!$AY$1</definedName>
    <definedName name="PCTPRPY_Col_YieldBook" localSheetId="4">[1]YieldBook!$AY$1</definedName>
    <definedName name="PCTPRPY_Col_YieldBook">[2]YieldBook!$AY$1</definedName>
    <definedName name="PDUR1_Col_YieldBook" localSheetId="5">[1]YieldBook!$AG$1</definedName>
    <definedName name="PDUR1_Col_YieldBook" localSheetId="4">[1]YieldBook!$AG$1</definedName>
    <definedName name="PDUR1_Col_YieldBook">[2]YieldBook!$AG$1</definedName>
    <definedName name="PDUR10_Col_YieldBook" localSheetId="5">[1]YieldBook!$AK$1</definedName>
    <definedName name="PDUR10_Col_YieldBook" localSheetId="4">[1]YieldBook!$AK$1</definedName>
    <definedName name="PDUR10_Col_YieldBook">[2]YieldBook!$AK$1</definedName>
    <definedName name="PDUR2_Col_YieldBook" localSheetId="5">[1]YieldBook!$AH$1</definedName>
    <definedName name="PDUR2_Col_YieldBook" localSheetId="4">[1]YieldBook!$AH$1</definedName>
    <definedName name="PDUR2_Col_YieldBook">[2]YieldBook!$AH$1</definedName>
    <definedName name="PDUR20_Col_YieldBook" localSheetId="5">[1]YieldBook!$AL$1</definedName>
    <definedName name="PDUR20_Col_YieldBook" localSheetId="4">[1]YieldBook!$AL$1</definedName>
    <definedName name="PDUR20_Col_YieldBook">[2]YieldBook!$AL$1</definedName>
    <definedName name="PDUR3_Col_YieldBook" localSheetId="5">[1]YieldBook!$AI$1</definedName>
    <definedName name="PDUR3_Col_YieldBook" localSheetId="4">[1]YieldBook!$AI$1</definedName>
    <definedName name="PDUR3_Col_YieldBook">[2]YieldBook!$AI$1</definedName>
    <definedName name="PDUR30_Col_YieldBook" localSheetId="5">[1]YieldBook!$AM$1</definedName>
    <definedName name="PDUR30_Col_YieldBook" localSheetId="4">[1]YieldBook!$AM$1</definedName>
    <definedName name="PDUR30_Col_YieldBook">[2]YieldBook!$AM$1</definedName>
    <definedName name="PDUR5_Col_YieldBook" localSheetId="5">[1]YieldBook!$AJ$1</definedName>
    <definedName name="PDUR5_Col_YieldBook" localSheetId="4">[1]YieldBook!$AJ$1</definedName>
    <definedName name="PDUR5_Col_YieldBook">[2]YieldBook!$AJ$1</definedName>
    <definedName name="PDV01_10yYB_Col_Display" localSheetId="5">[1]Display!$DS$1</definedName>
    <definedName name="PDV01_10yYB_Col_Display" localSheetId="4">[1]Display!$DS$1</definedName>
    <definedName name="PDV01_10yYB_Col_Display">[2]Display!$DS$1</definedName>
    <definedName name="PDV01_1yYB_Col_Display" localSheetId="5">[1]Display!$DO$1</definedName>
    <definedName name="PDV01_1yYB_Col_Display" localSheetId="4">[1]Display!$DO$1</definedName>
    <definedName name="PDV01_1yYB_Col_Display">[2]Display!$DO$1</definedName>
    <definedName name="PDV01_20yYB_Col_Display" localSheetId="5">[1]Display!$DT$1</definedName>
    <definedName name="PDV01_20yYB_Col_Display" localSheetId="4">[1]Display!$DT$1</definedName>
    <definedName name="PDV01_20yYB_Col_Display">[2]Display!$DT$1</definedName>
    <definedName name="PDV01_2yYB_Col_Display" localSheetId="5">[1]Display!$DP$1</definedName>
    <definedName name="PDV01_2yYB_Col_Display" localSheetId="4">[1]Display!$DP$1</definedName>
    <definedName name="PDV01_2yYB_Col_Display">[2]Display!$DP$1</definedName>
    <definedName name="PDV01_30yYB_Col_Display" localSheetId="5">[1]Display!$DU$1</definedName>
    <definedName name="PDV01_30yYB_Col_Display" localSheetId="4">[1]Display!$DU$1</definedName>
    <definedName name="PDV01_30yYB_Col_Display">[2]Display!$DU$1</definedName>
    <definedName name="PDV01_3yYB_Col_Display" localSheetId="5">[1]Display!$DQ$1</definedName>
    <definedName name="PDV01_3yYB_Col_Display" localSheetId="4">[1]Display!$DQ$1</definedName>
    <definedName name="PDV01_3yYB_Col_Display">[2]Display!$DQ$1</definedName>
    <definedName name="PDV01_5yYB_Col_Display" localSheetId="5">[1]Display!$DR$1</definedName>
    <definedName name="PDV01_5yYB_Col_Display" localSheetId="4">[1]Display!$DR$1</definedName>
    <definedName name="PDV01_5yYB_Col_Display">[2]Display!$DR$1</definedName>
    <definedName name="PerCap_Col_Display" localSheetId="5">[1]Display!$AN$1</definedName>
    <definedName name="PerCap_Col_Display" localSheetId="4">[1]Display!$AN$1</definedName>
    <definedName name="PerCap_Col_Display">[2]Display!$AN$1</definedName>
    <definedName name="Plus60_Col_Display" localSheetId="5">[1]Display!$CO$1</definedName>
    <definedName name="Plus60_Col_Display" localSheetId="4">[1]Display!$CO$1</definedName>
    <definedName name="Plus60_Col_Display">[2]Display!$CO$1</definedName>
    <definedName name="Plus90_Col_Display" localSheetId="5">[1]Display!$CP$1</definedName>
    <definedName name="Plus90_Col_Display" localSheetId="4">[1]Display!$CP$1</definedName>
    <definedName name="Plus90_Col_Display">[2]Display!$CP$1</definedName>
    <definedName name="Portfolio_Col_Display" localSheetId="5">[1]Display!$B$1</definedName>
    <definedName name="Portfolio_Col_Display" localSheetId="4">[1]Display!$B$1</definedName>
    <definedName name="Portfolio_Col_Display">[2]Display!$B$1</definedName>
    <definedName name="Portfolio_Col_MtgData" localSheetId="5">[1]MtgData!$C$100</definedName>
    <definedName name="Portfolio_Col_MtgData" localSheetId="4">[1]MtgData!$C$100</definedName>
    <definedName name="Portfolio_Col_MtgData">[2]MtgData!$C$100</definedName>
    <definedName name="Portfolio_Col_MtgUniverse" localSheetId="5">[1]MtgUniverse!$B$1</definedName>
    <definedName name="Portfolio_Col_MtgUniverse" localSheetId="4">[1]MtgUniverse!$B$1</definedName>
    <definedName name="Portfolio_Col_MtgUniverse">[2]MtgUniverse!$B$1</definedName>
    <definedName name="PPDurYB_Col_Display" localSheetId="5">[1]Display!$DY$1</definedName>
    <definedName name="PPDurYB_Col_Display" localSheetId="4">[1]Display!$DY$1</definedName>
    <definedName name="PPDurYB_Col_Display">[2]Display!$DY$1</definedName>
    <definedName name="PPMDLDESC_Col_YieldBook" localSheetId="5">[1]YieldBook!$AZ$1</definedName>
    <definedName name="PPMDLDESC_Col_YieldBook" localSheetId="4">[1]YieldBook!$AZ$1</definedName>
    <definedName name="PPMDLDESC_Col_YieldBook">[2]YieldBook!$AZ$1</definedName>
    <definedName name="PPRate_Col_MtgUniverse" localSheetId="5">[1]MtgUniverse!$G$1</definedName>
    <definedName name="PPRate_Col_MtgUniverse" localSheetId="4">[1]MtgUniverse!$G$1</definedName>
    <definedName name="PPRate_Col_MtgUniverse">[2]MtgUniverse!$G$1</definedName>
    <definedName name="PPType_Col_MtgUniverse" localSheetId="5">[1]MtgUniverse!$F$1</definedName>
    <definedName name="PPType_Col_MtgUniverse" localSheetId="4">[1]MtgUniverse!$F$1</definedName>
    <definedName name="PPType_Col_MtgUniverse">[2]MtgUniverse!$F$1</definedName>
    <definedName name="PREPAYTYPE_Col_YieldBook" localSheetId="5">[1]YieldBook!$AX$1</definedName>
    <definedName name="PREPAYTYPE_Col_YieldBook" localSheetId="4">[1]YieldBook!$AX$1</definedName>
    <definedName name="PREPAYTYPE_Col_YieldBook">[2]YieldBook!$AX$1</definedName>
    <definedName name="Price_Col_Display" localSheetId="5">[1]Display!$G$1</definedName>
    <definedName name="Price_Col_Display" localSheetId="4">[1]Display!$G$1</definedName>
    <definedName name="Price_Col_Display">[2]Display!$G$1</definedName>
    <definedName name="PRICE_Col_YieldBook" localSheetId="5">[1]YieldBook!$G$1</definedName>
    <definedName name="PRICE_Col_YieldBook" localSheetId="4">[1]YieldBook!$G$1</definedName>
    <definedName name="PRICE_Col_YieldBook">[2]YieldBook!$G$1</definedName>
    <definedName name="Price_Report" localSheetId="5">OFFSET([1]Report!$J$21,0,0,COUNTA([1]Report!$J$1:$J$65536),1)</definedName>
    <definedName name="Price_Report" localSheetId="4">OFFSET([1]Report!$J$21,0,0,COUNTA([1]Report!$J$1:$J$65536),1)</definedName>
    <definedName name="Price_Report">OFFSET([2]Report!$J$21,0,0,COUNTA([2]Report!$J$1:$J$65536),1)</definedName>
    <definedName name="PRICEFlatOAS_Col_YieldBook" localSheetId="5">[1]YieldBook!$CM$1</definedName>
    <definedName name="PRICEFlatOAS_Col_YieldBook" localSheetId="4">[1]YieldBook!$CM$1</definedName>
    <definedName name="PRICEFlatOAS_Col_YieldBook">[2]YieldBook!$CM$1</definedName>
    <definedName name="PRICETBA1st_Col_YieldBook" localSheetId="5">[1]YieldBook!$BV$1</definedName>
    <definedName name="PRICETBA1st_Col_YieldBook" localSheetId="4">[1]YieldBook!$BV$1</definedName>
    <definedName name="PRICETBA1st_Col_YieldBook">[2]YieldBook!$BV$1</definedName>
    <definedName name="PriceYB_Col_Display" localSheetId="5">[1]Display!$CX$1</definedName>
    <definedName name="PriceYB_Col_Display" localSheetId="4">[1]Display!$CX$1</definedName>
    <definedName name="PriceYB_Col_Display">[2]Display!$CX$1</definedName>
    <definedName name="_xlnm.Print_Area" localSheetId="0">'Balance Sheet - New Present.'!$A$1:$K$57</definedName>
    <definedName name="_xlnm.Print_Area" localSheetId="7">'Fixed Maturities by CUSIP'!$A$1:$N$552</definedName>
    <definedName name="_xlnm.Print_Area" localSheetId="2">'Income Statement 10-K'!$A$1:$H$64</definedName>
    <definedName name="_xlnm.Print_Area" localSheetId="1">'Income Statement QTD'!$A$1:$H$66</definedName>
    <definedName name="_xlnm.Print_Area" localSheetId="3">'Income Statement YTD'!$A$1:$H$65</definedName>
    <definedName name="_xlnm.Print_Area" localSheetId="10">'In-force - Gross'!#REF!</definedName>
    <definedName name="_xlnm.Print_Area" localSheetId="11">'In-force - Net'!#REF!</definedName>
    <definedName name="_xlnm.Print_Area" localSheetId="5">'MD&amp;A'!$A$1:$AC$150</definedName>
    <definedName name="_xlnm.Print_Area" localSheetId="4">'Quarterly Trend'!$A$1:$AF$154</definedName>
    <definedName name="_xlnm.Print_Area">#REF!</definedName>
    <definedName name="_xlnm.Print_Titles" localSheetId="7">'Fixed Maturities by CUSIP'!$A:$E,'Fixed Maturities by CUSIP'!$1:$4</definedName>
    <definedName name="PxAskIn_Col_Bloomberg">[2]Bloomberg!$B$1</definedName>
    <definedName name="PxAskOut_Col_Bloomberg">[2]Bloomberg!$N$1</definedName>
    <definedName name="PxAskOutScen1_Col_Bloomberg" localSheetId="5">[1]Bloomberg!$EJ$1</definedName>
    <definedName name="PxAskOutScen1_Col_Bloomberg" localSheetId="4">[1]Bloomberg!$EJ$1</definedName>
    <definedName name="PxAskOutScen1_Col_Bloomberg">[2]Bloomberg!$EJ$1</definedName>
    <definedName name="PxAskOutScen2_Col_Bloomberg" localSheetId="5">[1]Bloomberg!$EZ$1</definedName>
    <definedName name="PxAskOutScen2_Col_Bloomberg" localSheetId="4">[1]Bloomberg!$EZ$1</definedName>
    <definedName name="PxAskOutScen2_Col_Bloomberg">[2]Bloomberg!$EZ$1</definedName>
    <definedName name="PxAskOutScen3_Col_Bloomberg" localSheetId="5">[1]Bloomberg!$FP$1</definedName>
    <definedName name="PxAskOutScen3_Col_Bloomberg" localSheetId="4">[1]Bloomberg!$FP$1</definedName>
    <definedName name="PxAskOutScen3_Col_Bloomberg">[2]Bloomberg!$FP$1</definedName>
    <definedName name="PxAskOutScen4_Col_Bloomberg" localSheetId="5">[1]Bloomberg!$GF$1</definedName>
    <definedName name="PxAskOutScen4_Col_Bloomberg" localSheetId="4">[1]Bloomberg!$GF$1</definedName>
    <definedName name="PxAskOutScen4_Col_Bloomberg">[2]Bloomberg!$GF$1</definedName>
    <definedName name="PxAskOutScen5_Col_Bloomberg" localSheetId="5">[1]Bloomberg!$GV$1</definedName>
    <definedName name="PxAskOutScen5_Col_Bloomberg" localSheetId="4">[1]Bloomberg!$GV$1</definedName>
    <definedName name="PxAskOutScen5_Col_Bloomberg">[2]Bloomberg!$GV$1</definedName>
    <definedName name="PxAskTBA1st_Col_Bloomberg" localSheetId="5">[1]Bloomberg!$HT$1</definedName>
    <definedName name="PxAskTBA1st_Col_Bloomberg" localSheetId="4">[1]Bloomberg!$HT$1</definedName>
    <definedName name="PxAskTBA1st_Col_Bloomberg">[2]Bloomberg!$HT$1</definedName>
    <definedName name="PxAskTBA1st_Col_YieldBook" localSheetId="5">[1]YieldBook!$BT$1</definedName>
    <definedName name="PxAskTBA1st_Col_YieldBook" localSheetId="4">[1]YieldBook!$BT$1</definedName>
    <definedName name="PxAskTBA1st_Col_YieldBook">[2]YieldBook!$BT$1</definedName>
    <definedName name="PxLevel_Col_MtgData" localSheetId="5">[1]MtgData!$H$100</definedName>
    <definedName name="PxLevel_Col_MtgData" localSheetId="4">[1]MtgData!$H$100</definedName>
    <definedName name="PxLevel_Col_MtgData">[2]MtgData!$H$100</definedName>
    <definedName name="PxLevel_Col_MtgUniverse" localSheetId="5">[1]MtgUniverse!$E$1</definedName>
    <definedName name="PxLevel_Col_MtgUniverse" localSheetId="4">[1]MtgUniverse!$E$1</definedName>
    <definedName name="PxLevel_Col_MtgUniverse">[2]MtgUniverse!$E$1</definedName>
    <definedName name="PxLevel_Col_YieldBook" localSheetId="5">[1]YieldBook!$E$1</definedName>
    <definedName name="PxLevel_Col_YieldBook" localSheetId="4">[1]YieldBook!$E$1</definedName>
    <definedName name="PxLevel_Col_YieldBook">[2]YieldBook!$E$1</definedName>
    <definedName name="PxLevelYB_Col_YieldBook" localSheetId="5">[1]YieldBook!$F$1</definedName>
    <definedName name="PxLevelYB_Col_YieldBook" localSheetId="4">[1]YieldBook!$F$1</definedName>
    <definedName name="PxLevelYB_Col_YieldBook">[2]YieldBook!$F$1</definedName>
    <definedName name="PxYestAskTBA1st_Col_Bloomberg" localSheetId="5">[1]Bloomberg!$HS$1</definedName>
    <definedName name="PxYestAskTBA1st_Col_Bloomberg" localSheetId="4">[1]Bloomberg!$HS$1</definedName>
    <definedName name="PxYestAskTBA1st_Col_Bloomberg">[2]Bloomberg!$HS$1</definedName>
    <definedName name="PxYestAskTBA1st_Col_YieldBook" localSheetId="5">[1]YieldBook!$BS$1</definedName>
    <definedName name="PxYestAskTBA1st_Col_YieldBook" localSheetId="4">[1]YieldBook!$BS$1</definedName>
    <definedName name="PxYestAskTBA1st_Col_YieldBook">[2]YieldBook!$BS$1</definedName>
    <definedName name="REFIDUR_Col_YieldBook" localSheetId="5">[1]YieldBook!$AD$1</definedName>
    <definedName name="REFIDUR_Col_YieldBook" localSheetId="4">[1]YieldBook!$AD$1</definedName>
    <definedName name="REFIDUR_Col_YieldBook">[2]YieldBook!$AD$1</definedName>
    <definedName name="RefiDurYB_Col_Display" localSheetId="5">[1]Display!$EA$1</definedName>
    <definedName name="RefiDurYB_Col_Display" localSheetId="4">[1]Display!$EA$1</definedName>
    <definedName name="RefiDurYB_Col_Display">[2]Display!$EA$1</definedName>
    <definedName name="RELCRV_Col_YieldBook" localSheetId="5">[1]YieldBook!$BK$1</definedName>
    <definedName name="RELCRV_Col_YieldBook" localSheetId="4">[1]YieldBook!$BK$1</definedName>
    <definedName name="RELCRV_Col_YieldBook">[2]YieldBook!$BK$1</definedName>
    <definedName name="RELCRVFlatOAS_Col_YieldBook" localSheetId="5">[1]YieldBook!$CP$1</definedName>
    <definedName name="RELCRVFlatOAS_Col_YieldBook" localSheetId="4">[1]YieldBook!$CP$1</definedName>
    <definedName name="RELCRVFlatOAS_Col_YieldBook">[2]YieldBook!$CP$1</definedName>
    <definedName name="RELCRVTBA1st_Col_YieldBook" localSheetId="5">[1]YieldBook!$CE$1</definedName>
    <definedName name="RELCRVTBA1st_Col_YieldBook" localSheetId="4">[1]YieldBook!$CE$1</definedName>
    <definedName name="RELCRVTBA1st_Col_YieldBook">[2]YieldBook!$CE$1</definedName>
    <definedName name="REO_Col_Display" localSheetId="5">[1]Display!$CK$1</definedName>
    <definedName name="REO_Col_Display" localSheetId="4">[1]Display!$CK$1</definedName>
    <definedName name="REO_Col_Display">[2]Display!$CK$1</definedName>
    <definedName name="REPORT_DATE" localSheetId="5">[4]DATA!$A$1</definedName>
    <definedName name="REPORT_DATE" localSheetId="4">[4]DATA!$A$1</definedName>
    <definedName name="REPORT_DATE" localSheetId="9">[5]DATA!$A$1</definedName>
    <definedName name="REPORT_DATE">[5]DATA!$A$1</definedName>
    <definedName name="ReportCol1" localSheetId="5">[1]Settings!$C$46</definedName>
    <definedName name="ReportCol1" localSheetId="4">[1]Settings!$C$46</definedName>
    <definedName name="ReportCol1">[2]Settings!$C$46</definedName>
    <definedName name="ReportCol10" localSheetId="5">[1]Settings!$C$55</definedName>
    <definedName name="ReportCol10" localSheetId="4">[1]Settings!$C$55</definedName>
    <definedName name="ReportCol10">[2]Settings!$C$55</definedName>
    <definedName name="ReportCol2" localSheetId="5">[1]Settings!$C$47</definedName>
    <definedName name="ReportCol2" localSheetId="4">[1]Settings!$C$47</definedName>
    <definedName name="ReportCol2">[2]Settings!$C$47</definedName>
    <definedName name="ReportCol3" localSheetId="5">[1]Settings!$C$48</definedName>
    <definedName name="ReportCol3" localSheetId="4">[1]Settings!$C$48</definedName>
    <definedName name="ReportCol3">[2]Settings!$C$48</definedName>
    <definedName name="ReportCol4" localSheetId="5">[1]Settings!$C$49</definedName>
    <definedName name="ReportCol4" localSheetId="4">[1]Settings!$C$49</definedName>
    <definedName name="ReportCol4">[2]Settings!$C$49</definedName>
    <definedName name="ReportCol5" localSheetId="5">[1]Settings!$C$50</definedName>
    <definedName name="ReportCol5" localSheetId="4">[1]Settings!$C$50</definedName>
    <definedName name="ReportCol5">[2]Settings!$C$50</definedName>
    <definedName name="ReportCol6" localSheetId="5">[1]Settings!$C$51</definedName>
    <definedName name="ReportCol6" localSheetId="4">[1]Settings!$C$51</definedName>
    <definedName name="ReportCol6">[2]Settings!$C$51</definedName>
    <definedName name="ReportCol7" localSheetId="5">[1]Settings!$C$52</definedName>
    <definedName name="ReportCol7" localSheetId="4">[1]Settings!$C$52</definedName>
    <definedName name="ReportCol7">[2]Settings!$C$52</definedName>
    <definedName name="ReportCol8" localSheetId="5">[1]Settings!$C$53</definedName>
    <definedName name="ReportCol8" localSheetId="4">[1]Settings!$C$53</definedName>
    <definedName name="ReportCol8">[2]Settings!$C$53</definedName>
    <definedName name="ReportCol9" localSheetId="5">[1]Settings!$C$54</definedName>
    <definedName name="ReportCol9" localSheetId="4">[1]Settings!$C$54</definedName>
    <definedName name="ReportCol9">[2]Settings!$C$54</definedName>
    <definedName name="ReportField1" localSheetId="5">[1]MtgData!$F$6</definedName>
    <definedName name="ReportField1" localSheetId="4">[1]MtgData!$F$6</definedName>
    <definedName name="ReportField1">[2]MtgData!$F$6</definedName>
    <definedName name="ReportField10" localSheetId="5">[1]MtgData!$F$15</definedName>
    <definedName name="ReportField10" localSheetId="4">[1]MtgData!$F$15</definedName>
    <definedName name="ReportField10">[2]MtgData!$F$15</definedName>
    <definedName name="ReportField2" localSheetId="5">[1]MtgData!$F$7</definedName>
    <definedName name="ReportField2" localSheetId="4">[1]MtgData!$F$7</definedName>
    <definedName name="ReportField2">[2]MtgData!$F$7</definedName>
    <definedName name="ReportField3" localSheetId="5">[1]MtgData!$F$8</definedName>
    <definedName name="ReportField3" localSheetId="4">[1]MtgData!$F$8</definedName>
    <definedName name="ReportField3">[2]MtgData!$F$8</definedName>
    <definedName name="ReportField4" localSheetId="5">[1]MtgData!$F$9</definedName>
    <definedName name="ReportField4" localSheetId="4">[1]MtgData!$F$9</definedName>
    <definedName name="ReportField4">[2]MtgData!$F$9</definedName>
    <definedName name="ReportField5" localSheetId="5">[1]MtgData!$F$10</definedName>
    <definedName name="ReportField5" localSheetId="4">[1]MtgData!$F$10</definedName>
    <definedName name="ReportField5">[2]MtgData!$F$10</definedName>
    <definedName name="ReportField6" localSheetId="5">[1]MtgData!$F$11</definedName>
    <definedName name="ReportField6" localSheetId="4">[1]MtgData!$F$11</definedName>
    <definedName name="ReportField6">[2]MtgData!$F$11</definedName>
    <definedName name="ReportField7" localSheetId="5">[1]MtgData!$F$12</definedName>
    <definedName name="ReportField7" localSheetId="4">[1]MtgData!$F$12</definedName>
    <definedName name="ReportField7">[2]MtgData!$F$12</definedName>
    <definedName name="ReportField8" localSheetId="5">[1]MtgData!$F$13</definedName>
    <definedName name="ReportField8" localSheetId="4">[1]MtgData!$F$13</definedName>
    <definedName name="ReportField8">[2]MtgData!$F$13</definedName>
    <definedName name="ReportField9" localSheetId="5">[1]MtgData!$F$14</definedName>
    <definedName name="ReportField9" localSheetId="4">[1]MtgData!$F$14</definedName>
    <definedName name="ReportField9">[2]MtgData!$F$14</definedName>
    <definedName name="ReportName1" localSheetId="5">[1]Settings!$D$46</definedName>
    <definedName name="ReportName1" localSheetId="4">[1]Settings!$D$46</definedName>
    <definedName name="ReportName1">[2]Settings!$D$46</definedName>
    <definedName name="ReportName10" localSheetId="5">[1]Settings!$D$55</definedName>
    <definedName name="ReportName10" localSheetId="4">[1]Settings!$D$55</definedName>
    <definedName name="ReportName10">[2]Settings!$D$55</definedName>
    <definedName name="ReportName2" localSheetId="5">[1]Settings!$D$47</definedName>
    <definedName name="ReportName2" localSheetId="4">[1]Settings!$D$47</definedName>
    <definedName name="ReportName2">[2]Settings!$D$47</definedName>
    <definedName name="ReportName3" localSheetId="5">[1]Settings!$D$48</definedName>
    <definedName name="ReportName3" localSheetId="4">[1]Settings!$D$48</definedName>
    <definedName name="ReportName3">[2]Settings!$D$48</definedName>
    <definedName name="ReportName4" localSheetId="5">[1]Settings!$D$49</definedName>
    <definedName name="ReportName4" localSheetId="4">[1]Settings!$D$49</definedName>
    <definedName name="ReportName4">[2]Settings!$D$49</definedName>
    <definedName name="ReportName5" localSheetId="5">[1]Settings!$D$50</definedName>
    <definedName name="ReportName5" localSheetId="4">[1]Settings!$D$50</definedName>
    <definedName name="ReportName5">[2]Settings!$D$50</definedName>
    <definedName name="ReportName6" localSheetId="5">[1]Settings!$D$51</definedName>
    <definedName name="ReportName6" localSheetId="4">[1]Settings!$D$51</definedName>
    <definedName name="ReportName6">[2]Settings!$D$51</definedName>
    <definedName name="ReportName7" localSheetId="5">[1]Settings!$D$52</definedName>
    <definedName name="ReportName7" localSheetId="4">[1]Settings!$D$52</definedName>
    <definedName name="ReportName7">[2]Settings!$D$52</definedName>
    <definedName name="ReportName8" localSheetId="5">[1]Settings!$D$53</definedName>
    <definedName name="ReportName8" localSheetId="4">[1]Settings!$D$53</definedName>
    <definedName name="ReportName8">[2]Settings!$D$53</definedName>
    <definedName name="ReportName9" localSheetId="5">[1]Settings!$D$54</definedName>
    <definedName name="ReportName9" localSheetId="4">[1]Settings!$D$54</definedName>
    <definedName name="ReportName9">[2]Settings!$D$54</definedName>
    <definedName name="ReportRow" localSheetId="5">[1]Settings!$C$45</definedName>
    <definedName name="ReportRow" localSheetId="4">[1]Settings!$C$45</definedName>
    <definedName name="ReportRow">[2]Settings!$C$45</definedName>
    <definedName name="Results_Col_YieldBook" localSheetId="5">[1]YieldBook!$B$1</definedName>
    <definedName name="Results_Col_YieldBook" localSheetId="4">[1]YieldBook!$B$1</definedName>
    <definedName name="Results_Col_YieldBook">[2]YieldBook!$B$1</definedName>
    <definedName name="RORD100TBA1stYB_Col_Display" localSheetId="5">[1]Display!$ER$1</definedName>
    <definedName name="RORD100TBA1stYB_Col_Display" localSheetId="4">[1]Display!$ER$1</definedName>
    <definedName name="RORD100TBA1stYB_Col_Display">[2]Display!$ER$1</definedName>
    <definedName name="RORD100YB_Col_Display" localSheetId="5">[1]Display!$EE$1</definedName>
    <definedName name="RORD100YB_Col_Display" localSheetId="4">[1]Display!$EE$1</definedName>
    <definedName name="RORD100YB_Col_Display">[2]Display!$EE$1</definedName>
    <definedName name="RORD200TBA1stYB_Col_Display" localSheetId="5">[1]Display!$EQ$1</definedName>
    <definedName name="RORD200TBA1stYB_Col_Display" localSheetId="4">[1]Display!$EQ$1</definedName>
    <definedName name="RORD200TBA1stYB_Col_Display">[2]Display!$EQ$1</definedName>
    <definedName name="RORD200YB_Col_Display" localSheetId="5">[1]Display!$ED$1</definedName>
    <definedName name="RORD200YB_Col_Display" localSheetId="4">[1]Display!$ED$1</definedName>
    <definedName name="RORD200YB_Col_Display">[2]Display!$ED$1</definedName>
    <definedName name="RORTBA1stYB_Col_Display" localSheetId="5">[1]Display!$ES$1</definedName>
    <definedName name="RORTBA1stYB_Col_Display" localSheetId="4">[1]Display!$ES$1</definedName>
    <definedName name="RORTBA1stYB_Col_Display">[2]Display!$ES$1</definedName>
    <definedName name="RORU100TBA1stYB_Col_Display" localSheetId="5">[1]Display!$ET$1</definedName>
    <definedName name="RORU100TBA1stYB_Col_Display" localSheetId="4">[1]Display!$ET$1</definedName>
    <definedName name="RORU100TBA1stYB_Col_Display">[2]Display!$ET$1</definedName>
    <definedName name="RORU100YB_Col_Display" localSheetId="5">[1]Display!$EG$1</definedName>
    <definedName name="RORU100YB_Col_Display" localSheetId="4">[1]Display!$EG$1</definedName>
    <definedName name="RORU100YB_Col_Display">[2]Display!$EG$1</definedName>
    <definedName name="RORU200TBA1stYB_Col_Display" localSheetId="5">[1]Display!$EU$1</definedName>
    <definedName name="RORU200TBA1stYB_Col_Display" localSheetId="4">[1]Display!$EU$1</definedName>
    <definedName name="RORU200TBA1stYB_Col_Display">[2]Display!$EU$1</definedName>
    <definedName name="RORU200YB_Col_Display" localSheetId="5">[1]Display!$EH$1</definedName>
    <definedName name="RORU200YB_Col_Display" localSheetId="4">[1]Display!$EH$1</definedName>
    <definedName name="RORU200YB_Col_Display">[2]Display!$EH$1</definedName>
    <definedName name="RORYB_Col_Display" localSheetId="5">[1]Display!$EF$1</definedName>
    <definedName name="RORYB_Col_Display" localSheetId="4">[1]Display!$EF$1</definedName>
    <definedName name="RORYB_Col_Display">[2]Display!$EF$1</definedName>
    <definedName name="RptTmp_Basic" localSheetId="5">[1]Settings!$C$28</definedName>
    <definedName name="RptTmp_Basic" localSheetId="4">[1]Settings!$C$28</definedName>
    <definedName name="RptTmp_Basic">[2]Settings!$C$28</definedName>
    <definedName name="RptTmp_Collateral" localSheetId="5">[1]Settings!$C$29</definedName>
    <definedName name="RptTmp_Collateral" localSheetId="4">[1]Settings!$C$29</definedName>
    <definedName name="RptTmp_Collateral">[2]Settings!$C$29</definedName>
    <definedName name="RptTmp_FreeStyle" localSheetId="5">[1]Settings!$C$32</definedName>
    <definedName name="RptTmp_FreeStyle" localSheetId="4">[1]Settings!$C$32</definedName>
    <definedName name="RptTmp_FreeStyle">[2]Settings!$C$32</definedName>
    <definedName name="RptTmp_RelVal" localSheetId="5">[1]Settings!$C$30</definedName>
    <definedName name="RptTmp_RelVal" localSheetId="4">[1]Settings!$C$30</definedName>
    <definedName name="RptTmp_RelVal">[2]Settings!$C$30</definedName>
    <definedName name="RptTmp_ROR" localSheetId="5">[1]Settings!$C$31</definedName>
    <definedName name="RptTmp_ROR" localSheetId="4">[1]Settings!$C$31</definedName>
    <definedName name="RptTmp_ROR">[2]Settings!$C$31</definedName>
    <definedName name="RptTmpSel" localSheetId="5">[1]Settings!$C$27</definedName>
    <definedName name="RptTmpSel" localSheetId="4">[1]Settings!$C$27</definedName>
    <definedName name="RptTmpSel">[2]Settings!$C$27</definedName>
    <definedName name="RptXCol" localSheetId="5">[1]Settings!$C$35</definedName>
    <definedName name="RptXCol" localSheetId="4">[1]Settings!$C$35</definedName>
    <definedName name="RptXCol">[2]Settings!$C$35</definedName>
    <definedName name="RptYCol" localSheetId="5">[1]Settings!$C$36</definedName>
    <definedName name="RptYCol" localSheetId="4">[1]Settings!$C$36</definedName>
    <definedName name="RptYCol">[2]Settings!$C$36</definedName>
    <definedName name="RstIdx_Col_Display" localSheetId="5">[1]Display!$AK$1</definedName>
    <definedName name="RstIdx_Col_Display" localSheetId="4">[1]Display!$AK$1</definedName>
    <definedName name="RstIdx_Col_Display">[2]Display!$AK$1</definedName>
    <definedName name="RtgChg_Col_Display" localSheetId="5">[1]Display!$CG$1</definedName>
    <definedName name="RtgChg_Col_Display" localSheetId="4">[1]Display!$CG$1</definedName>
    <definedName name="RtgChg_Col_Display">[2]Display!$CG$1</definedName>
    <definedName name="RUNTIMEFLAG_Col_YieldBook" localSheetId="5">[1]YieldBook!$BJ$1</definedName>
    <definedName name="RUNTIMEFLAG_Col_YieldBook" localSheetId="4">[1]YieldBook!$BJ$1</definedName>
    <definedName name="RUNTIMEFLAG_Col_YieldBook">[2]YieldBook!$BJ$1</definedName>
    <definedName name="RUNTIMEFLAGFlatOAS_Col_YieldBook" localSheetId="5">[1]YieldBook!$CO$1</definedName>
    <definedName name="RUNTIMEFLAGFlatOAS_Col_YieldBook" localSheetId="4">[1]YieldBook!$CO$1</definedName>
    <definedName name="RUNTIMEFLAGFlatOAS_Col_YieldBook">[2]YieldBook!$CO$1</definedName>
    <definedName name="RUNTIMEFLAGTBA1st_Col_YieldBook" localSheetId="5">[1]YieldBook!$CD$1</definedName>
    <definedName name="RUNTIMEFLAGTBA1st_Col_YieldBook" localSheetId="4">[1]YieldBook!$CD$1</definedName>
    <definedName name="RUNTIMEFLAGTBA1st_Col_YieldBook">[2]YieldBook!$CD$1</definedName>
    <definedName name="SecID_Col_Bloomberg" localSheetId="5">[1]Bloomberg!$A$1</definedName>
    <definedName name="SecID_Col_Bloomberg" localSheetId="4">[1]Bloomberg!$A$1</definedName>
    <definedName name="SecID_Col_Bloomberg">[2]Bloomberg!$A$1</definedName>
    <definedName name="SecID_Col_MtgUniverse" localSheetId="5">[1]MtgUniverse!$C$1</definedName>
    <definedName name="SecID_Col_MtgUniverse" localSheetId="4">[1]MtgUniverse!$C$1</definedName>
    <definedName name="SecID_Col_MtgUniverse">[2]MtgUniverse!$C$1</definedName>
    <definedName name="SecSource" localSheetId="5">[1]MtgData!$C$6</definedName>
    <definedName name="SecSource" localSheetId="4">[1]MtgData!$C$6</definedName>
    <definedName name="SecSource">[2]MtgData!$C$6</definedName>
    <definedName name="sencount" hidden="1">1</definedName>
    <definedName name="SettleDate" localSheetId="5">[1]MtgData!$C$8</definedName>
    <definedName name="SettleDate" localSheetId="4">[1]MtgData!$C$8</definedName>
    <definedName name="SettleDate">[2]MtgData!$C$8</definedName>
    <definedName name="SettleDateBBerg" localSheetId="5">[1]MtgData!$C$10</definedName>
    <definedName name="SettleDateBBerg" localSheetId="4">[1]MtgData!$C$10</definedName>
    <definedName name="SettleDateBBerg">[2]MtgData!$C$10</definedName>
    <definedName name="SettleDtIn_Col_Bloomberg" localSheetId="5">[1]Bloomberg!$L$1</definedName>
    <definedName name="SettleDtIn_Col_Bloomberg" localSheetId="4">[1]Bloomberg!$L$1</definedName>
    <definedName name="SettleDtIn_Col_Bloomberg">[2]Bloomberg!$L$1</definedName>
    <definedName name="SettleDtOut_Col_Bloomberg" localSheetId="5">[1]Bloomberg!$AA$1</definedName>
    <definedName name="SettleDtOut_Col_Bloomberg" localSheetId="4">[1]Bloomberg!$AA$1</definedName>
    <definedName name="SettleDtOut_Col_Bloomberg">[2]Bloomberg!$AA$1</definedName>
    <definedName name="SettleDtYB_Col_Display" localSheetId="5">[1]Display!$EK$1</definedName>
    <definedName name="SettleDtYB_Col_Display" localSheetId="4">[1]Display!$EK$1</definedName>
    <definedName name="SettleDtYB_Col_Display">[2]Display!$EK$1</definedName>
    <definedName name="SettleDtYT_Col_Display" localSheetId="5">[1]Display!$U$1</definedName>
    <definedName name="SettleDtYT_Col_Display" localSheetId="4">[1]Display!$U$1</definedName>
    <definedName name="SettleDtYT_Col_Display">[2]Display!$U$1</definedName>
    <definedName name="SortAddr1" localSheetId="5">[1]Settings!$C$41</definedName>
    <definedName name="SortAddr1" localSheetId="4">[1]Settings!$C$41</definedName>
    <definedName name="SortAddr1">[2]Settings!$C$41</definedName>
    <definedName name="SortAddr2" localSheetId="5">[1]Settings!$C$42</definedName>
    <definedName name="SortAddr2" localSheetId="4">[1]Settings!$C$42</definedName>
    <definedName name="SortAddr2">[2]Settings!$C$42</definedName>
    <definedName name="SortAddr3" localSheetId="5">[1]Settings!$C$43</definedName>
    <definedName name="SortAddr3" localSheetId="4">[1]Settings!$C$43</definedName>
    <definedName name="SortAddr3">[2]Settings!$C$43</definedName>
    <definedName name="SortField1" localSheetId="5">[1]MtgData!$E$6</definedName>
    <definedName name="SortField1" localSheetId="4">[1]MtgData!$E$6</definedName>
    <definedName name="SortField1">[2]MtgData!$E$6</definedName>
    <definedName name="SortField2" localSheetId="5">[1]MtgData!$E$7</definedName>
    <definedName name="SortField2" localSheetId="4">[1]MtgData!$E$7</definedName>
    <definedName name="SortField2">[2]MtgData!$E$7</definedName>
    <definedName name="SortField3" localSheetId="5">[1]MtgData!$E$8</definedName>
    <definedName name="SortField3" localSheetId="4">[1]MtgData!$E$8</definedName>
    <definedName name="SortField3">[2]MtgData!$E$8</definedName>
    <definedName name="SortName1" localSheetId="5">[1]Settings!$D$41</definedName>
    <definedName name="SortName1" localSheetId="4">[1]Settings!$D$41</definedName>
    <definedName name="SortName1">[2]Settings!$D$41</definedName>
    <definedName name="SortName2" localSheetId="5">[1]Settings!$D$42</definedName>
    <definedName name="SortName2" localSheetId="4">[1]Settings!$D$42</definedName>
    <definedName name="SortName2">[2]Settings!$D$42</definedName>
    <definedName name="SortName3" localSheetId="5">[1]Settings!$D$43</definedName>
    <definedName name="SortName3" localSheetId="4">[1]Settings!$D$43</definedName>
    <definedName name="SortName3">[2]Settings!$D$43</definedName>
    <definedName name="SortOrder" localSheetId="5">[1]Settings!$C$39</definedName>
    <definedName name="SortOrder" localSheetId="4">[1]Settings!$C$39</definedName>
    <definedName name="SortOrder">[2]Settings!$C$39</definedName>
    <definedName name="SortOrder1" localSheetId="5">[1]Settings!$E$41</definedName>
    <definedName name="SortOrder1" localSheetId="4">[1]Settings!$E$41</definedName>
    <definedName name="SortOrder1">[2]Settings!$E$41</definedName>
    <definedName name="SortOrder2" localSheetId="5">[1]Settings!$E$42</definedName>
    <definedName name="SortOrder2" localSheetId="4">[1]Settings!$E$42</definedName>
    <definedName name="SortOrder2">[2]Settings!$E$42</definedName>
    <definedName name="SortOrder3" localSheetId="5">[1]Settings!$E$43</definedName>
    <definedName name="SortOrder3" localSheetId="4">[1]Settings!$E$43</definedName>
    <definedName name="SortOrder3">[2]Settings!$E$43</definedName>
    <definedName name="SortRow" localSheetId="5">[1]Settings!$C$40</definedName>
    <definedName name="SortRow" localSheetId="4">[1]Settings!$C$40</definedName>
    <definedName name="SortRow">[2]Settings!$C$40</definedName>
    <definedName name="SP_Col_Display" localSheetId="5">[1]Display!$CD$1</definedName>
    <definedName name="SP_Col_Display" localSheetId="4">[1]Display!$CD$1</definedName>
    <definedName name="SP_Col_Display">[2]Display!$CD$1</definedName>
    <definedName name="SPRDDUR_Col_YieldBook" localSheetId="5">[1]YieldBook!$AA$1</definedName>
    <definedName name="SPRDDUR_Col_YieldBook" localSheetId="4">[1]YieldBook!$AA$1</definedName>
    <definedName name="SPRDDUR_Col_YieldBook">[2]YieldBook!$AA$1</definedName>
    <definedName name="StartCell_Report" localSheetId="5">[1]Report!$A$20</definedName>
    <definedName name="StartCell_Report" localSheetId="4">[1]Report!$A$20</definedName>
    <definedName name="StartCell_Report">[2]Report!$A$20</definedName>
    <definedName name="STLDATE_Col_YieldBook" localSheetId="5">[1]YieldBook!$BM$1</definedName>
    <definedName name="STLDATE_Col_YieldBook" localSheetId="4">[1]YieldBook!$BM$1</definedName>
    <definedName name="STLDATE_Col_YieldBook">[2]YieldBook!$BM$1</definedName>
    <definedName name="STLDATEFlatOAS_Col_YieldBook" localSheetId="5">[1]YieldBook!$CR$1</definedName>
    <definedName name="STLDATEFlatOAS_Col_YieldBook" localSheetId="4">[1]YieldBook!$CR$1</definedName>
    <definedName name="STLDATEFlatOAS_Col_YieldBook">[2]YieldBook!$CR$1</definedName>
    <definedName name="STLDATETBA1st_Col_YieldBook" localSheetId="5">[1]YieldBook!$CG$1</definedName>
    <definedName name="STLDATETBA1st_Col_YieldBook" localSheetId="4">[1]YieldBook!$CG$1</definedName>
    <definedName name="STLDATETBA1st_Col_YieldBook">[2]YieldBook!$CG$1</definedName>
    <definedName name="Subgrp_Col_Display" localSheetId="5">[1]Display!$AW$1</definedName>
    <definedName name="Subgrp_Col_Display" localSheetId="4">[1]Display!$AW$1</definedName>
    <definedName name="Subgrp_Col_Display">[2]Display!$AW$1</definedName>
    <definedName name="Subtyp_Col_Display" localSheetId="5">[1]Display!$AI$1</definedName>
    <definedName name="Subtyp_Col_Display" localSheetId="4">[1]Display!$AI$1</definedName>
    <definedName name="Subtyp_Col_Display">[2]Display!$AI$1</definedName>
    <definedName name="SWAPCVSPD_Col_YieldBook" localSheetId="5">[1]YieldBook!$Q$1</definedName>
    <definedName name="SWAPCVSPD_Col_YieldBook" localSheetId="4">[1]YieldBook!$Q$1</definedName>
    <definedName name="SWAPCVSPD_Col_YieldBook">[2]YieldBook!$Q$1</definedName>
    <definedName name="TBA1stID_Col_Bloomberg" localSheetId="5">[1]Bloomberg!$HR$1</definedName>
    <definedName name="TBA1stID_Col_Bloomberg" localSheetId="4">[1]Bloomberg!$HR$1</definedName>
    <definedName name="TBA1stID_Col_Bloomberg">[2]Bloomberg!$HR$1</definedName>
    <definedName name="TBA1stID_Col_YieldBook" localSheetId="5">[1]YieldBook!$BR$1</definedName>
    <definedName name="TBA1stID_Col_YieldBook" localSheetId="4">[1]YieldBook!$BR$1</definedName>
    <definedName name="TBA1stID_Col_YieldBook">[2]YieldBook!$BR$1</definedName>
    <definedName name="TBAID_Col_Bloomberg" localSheetId="5">[1]Bloomberg!$HO$1</definedName>
    <definedName name="TBAID_Col_Bloomberg" localSheetId="4">[1]Bloomberg!$HO$1</definedName>
    <definedName name="TBAID_Col_Bloomberg">[2]Bloomberg!$HO$1</definedName>
    <definedName name="TBAPxAskBBerg" localSheetId="5">[1]MtgData!$C$11</definedName>
    <definedName name="TBAPxAskBBerg" localSheetId="4">[1]MtgData!$C$11</definedName>
    <definedName name="TBAPxAskBBerg">[2]MtgData!$C$11</definedName>
    <definedName name="TearSheetFormat" localSheetId="5">[1]Format!$A$2:$T$30</definedName>
    <definedName name="TearSheetFormat" localSheetId="4">[1]Format!$A$2:$T$30</definedName>
    <definedName name="TearSheetFormat">[2]Format!$A$2:$T$30</definedName>
    <definedName name="TheoPayupYB_Col_Display" localSheetId="5">[1]Display!$FH$1</definedName>
    <definedName name="TheoPayupYB_Col_Display" localSheetId="4">[1]Display!$FH$1</definedName>
    <definedName name="TheoPayupYB_Col_Display">[2]Display!$FH$1</definedName>
    <definedName name="TimeScn_Col_Bloomberg" localSheetId="5">[1]Bloomberg!$HM$1</definedName>
    <definedName name="TimeScn_Col_Bloomberg" localSheetId="4">[1]Bloomberg!$HM$1</definedName>
    <definedName name="TimeScn_Col_Bloomberg">[2]Bloomberg!$HM$1</definedName>
    <definedName name="TimeYB_Col_Display" localSheetId="5">[1]Display!$EM$1</definedName>
    <definedName name="TimeYB_Col_Display" localSheetId="4">[1]Display!$EM$1</definedName>
    <definedName name="TimeYB_Col_Display">[2]Display!$EM$1</definedName>
    <definedName name="TimeYT_Col_Bloomberg" localSheetId="5">[1]Bloomberg!$EH$1</definedName>
    <definedName name="TimeYT_Col_Bloomberg" localSheetId="4">[1]Bloomberg!$EH$1</definedName>
    <definedName name="TimeYT_Col_Bloomberg">[2]Bloomberg!$EH$1</definedName>
    <definedName name="TimeYT_Col_Display" localSheetId="5">[1]Display!$W$1</definedName>
    <definedName name="TimeYT_Col_Display" localSheetId="4">[1]Display!$W$1</definedName>
    <definedName name="TimeYT_Col_Display">[2]Display!$W$1</definedName>
    <definedName name="Totalafterwritedowns" localSheetId="7">'Fixed Maturities by CUSIP'!#REF!</definedName>
    <definedName name="TotalbyCUSIP" localSheetId="7">'Fixed Maturities by CUSIP'!$F$5:$N$570</definedName>
    <definedName name="TotalWdownsbyCUSIP" localSheetId="7">'Fixed Maturities by CUSIP'!#REF!</definedName>
    <definedName name="TRNOVRDUR_Col_YieldBook" localSheetId="5">[1]YieldBook!$AF$1</definedName>
    <definedName name="TRNOVRDUR_Col_YieldBook" localSheetId="4">[1]YieldBook!$AF$1</definedName>
    <definedName name="TRNOVRDUR_Col_YieldBook">[2]YieldBook!$AF$1</definedName>
    <definedName name="TrnOvrDurYB_Col_Display" localSheetId="5">[1]Display!$EC$1</definedName>
    <definedName name="TrnOvrDurYB_Col_Display" localSheetId="4">[1]Display!$EC$1</definedName>
    <definedName name="TrnOvrDurYB_Col_Display">[2]Display!$EC$1</definedName>
    <definedName name="TSYCVSPD_Col_YieldBook" localSheetId="5">[1]YieldBook!$P$1</definedName>
    <definedName name="TSYCVSPD_Col_YieldBook" localSheetId="4">[1]YieldBook!$P$1</definedName>
    <definedName name="TSYCVSPD_Col_YieldBook">[2]YieldBook!$P$1</definedName>
    <definedName name="VEGA_Col_YieldBook" localSheetId="5">[1]YieldBook!$Y$1</definedName>
    <definedName name="VEGA_Col_YieldBook" localSheetId="4">[1]YieldBook!$Y$1</definedName>
    <definedName name="VEGA_Col_YieldBook">[2]YieldBook!$Y$1</definedName>
    <definedName name="VegaYB_Col_Display" localSheetId="5">[1]Display!$DV$1</definedName>
    <definedName name="VegaYB_Col_Display" localSheetId="4">[1]Display!$DV$1</definedName>
    <definedName name="VegaYB_Col_Display">[2]Display!$DV$1</definedName>
    <definedName name="VOLDUR_Col_YieldBook" localSheetId="5">[1]YieldBook!$Z$1</definedName>
    <definedName name="VOLDUR_Col_YieldBook" localSheetId="4">[1]YieldBook!$Z$1</definedName>
    <definedName name="VOLDUR_Col_YieldBook">[2]YieldBook!$Z$1</definedName>
    <definedName name="VolDurYB_Col_Display" localSheetId="5">[1]Display!$DW$1</definedName>
    <definedName name="VolDurYB_Col_Display" localSheetId="4">[1]Display!$DW$1</definedName>
    <definedName name="VolDurYB_Col_Display">[2]Display!$DW$1</definedName>
    <definedName name="WAC_Col_Display" localSheetId="5">[1]Display!$J$1</definedName>
    <definedName name="WAC_Col_Display" localSheetId="4">[1]Display!$J$1</definedName>
    <definedName name="WAC_Col_Display">[2]Display!$J$1</definedName>
    <definedName name="WAC25_Col_Display" localSheetId="5">[1]Display!$BH$1</definedName>
    <definedName name="WAC25_Col_Display" localSheetId="4">[1]Display!$BH$1</definedName>
    <definedName name="WAC25_Col_Display">[2]Display!$BH$1</definedName>
    <definedName name="WAC75_Col_Display" localSheetId="5">[1]Display!$BJ$1</definedName>
    <definedName name="WAC75_Col_Display" localSheetId="4">[1]Display!$BJ$1</definedName>
    <definedName name="WAC75_Col_Display">[2]Display!$BJ$1</definedName>
    <definedName name="WACMax_Col_Display" localSheetId="5">[1]Display!$BK$1</definedName>
    <definedName name="WACMax_Col_Display" localSheetId="4">[1]Display!$BK$1</definedName>
    <definedName name="WACMax_Col_Display">[2]Display!$BK$1</definedName>
    <definedName name="WACMed_Col_Display" localSheetId="5">[1]Display!$BI$1</definedName>
    <definedName name="WACMed_Col_Display" localSheetId="4">[1]Display!$BI$1</definedName>
    <definedName name="WACMed_Col_Display">[2]Display!$BI$1</definedName>
    <definedName name="WACMin_Col_Display" localSheetId="5">[1]Display!$BG$1</definedName>
    <definedName name="WACMin_Col_Display" localSheetId="4">[1]Display!$BG$1</definedName>
    <definedName name="WACMin_Col_Display">[2]Display!$BG$1</definedName>
    <definedName name="WAL_Col_YieldBook" localSheetId="5">[1]YieldBook!$O$1</definedName>
    <definedName name="WAL_Col_YieldBook" localSheetId="4">[1]YieldBook!$O$1</definedName>
    <definedName name="WAL_Col_YieldBook">[2]YieldBook!$O$1</definedName>
    <definedName name="WALA_Col_Display" localSheetId="5">[1]Display!$K$1</definedName>
    <definedName name="WALA_Col_Display" localSheetId="4">[1]Display!$K$1</definedName>
    <definedName name="WALA_Col_Display">[2]Display!$K$1</definedName>
    <definedName name="WALYB_Col_Display" localSheetId="5">[1]Display!$DE$1</definedName>
    <definedName name="WALYB_Col_Display" localSheetId="4">[1]Display!$DE$1</definedName>
    <definedName name="WALYB_Col_Display">[2]Display!$DE$1</definedName>
    <definedName name="WAM_Col_Display" localSheetId="5">[1]Display!$L$1</definedName>
    <definedName name="WAM_Col_Display" localSheetId="4">[1]Display!$L$1</definedName>
    <definedName name="WAM_Col_Display">[2]Display!$L$1</definedName>
    <definedName name="WAOC_Col_Display" localSheetId="5">[1]Display!$AR$1</definedName>
    <definedName name="WAOC_Col_Display" localSheetId="4">[1]Display!$AR$1</definedName>
    <definedName name="WAOC_Col_Display">[2]Display!$AR$1</definedName>
    <definedName name="WAOCS_Col_Display" localSheetId="5">[1]Display!$AU$1</definedName>
    <definedName name="WAOCS_Col_Display" localSheetId="4">[1]Display!$AU$1</definedName>
    <definedName name="WAOCS_Col_Display">[2]Display!$AU$1</definedName>
    <definedName name="WAOLS_Col_Display" localSheetId="5">[1]Display!$AS$1</definedName>
    <definedName name="WAOLS_Col_Display" localSheetId="4">[1]Display!$AS$1</definedName>
    <definedName name="WAOLS_Col_Display">[2]Display!$AS$1</definedName>
    <definedName name="WAOLTV_Col_Display" localSheetId="5">[1]Display!$AV$1</definedName>
    <definedName name="WAOLTV_Col_Display" localSheetId="4">[1]Display!$AV$1</definedName>
    <definedName name="WAOLTV_Col_Display">[2]Display!$AV$1</definedName>
    <definedName name="WASprd_Col_Display" localSheetId="5">[1]Display!$AM$1</definedName>
    <definedName name="WASprd_Col_Display" localSheetId="4">[1]Display!$AM$1</definedName>
    <definedName name="WASprd_Col_Display">[2]Display!$AM$1</definedName>
    <definedName name="WS_All_Show" localSheetId="5">[1]Settings!$C$9</definedName>
    <definedName name="WS_All_Show" localSheetId="4">[1]Settings!$C$9</definedName>
    <definedName name="WS_All_Show">[2]Settings!$C$9</definedName>
    <definedName name="WS_Bloomberg_Show" localSheetId="5">[1]Settings!$C$4</definedName>
    <definedName name="WS_Bloomberg_Show" localSheetId="4">[1]Settings!$C$4</definedName>
    <definedName name="WS_Bloomberg_Show">[2]Settings!$C$4</definedName>
    <definedName name="WS_Display_Show" localSheetId="5">[1]Settings!$C$6</definedName>
    <definedName name="WS_Display_Show" localSheetId="4">[1]Settings!$C$6</definedName>
    <definedName name="WS_Display_Show">[2]Settings!$C$6</definedName>
    <definedName name="WS_Format_Show" localSheetId="5">[1]Settings!$C$8</definedName>
    <definedName name="WS_Format_Show" localSheetId="4">[1]Settings!$C$8</definedName>
    <definedName name="WS_Format_Show">[2]Settings!$C$8</definedName>
    <definedName name="WS_Settings_Show" localSheetId="5">[1]Settings!$C$7</definedName>
    <definedName name="WS_Settings_Show" localSheetId="4">[1]Settings!$C$7</definedName>
    <definedName name="WS_Settings_Show">[2]Settings!$C$7</definedName>
    <definedName name="WS_YieldBook_Show" localSheetId="5">[1]Settings!$C$5</definedName>
    <definedName name="WS_YieldBook_Show" localSheetId="4">[1]Settings!$C$5</definedName>
    <definedName name="WS_YieldBook_Show">[2]Settings!$C$5</definedName>
    <definedName name="YBCalc_Col_YieldBook" localSheetId="5">[1]YieldBook!$CW$1</definedName>
    <definedName name="YBCalc_Col_YieldBook" localSheetId="4">[1]YieldBook!$CW$1</definedName>
    <definedName name="YBCalc_Col_YieldBook">[2]YieldBook!$CW$1</definedName>
    <definedName name="YBDatabase" localSheetId="5">[1]Settings!$H$14</definedName>
    <definedName name="YBDatabase" localSheetId="4">[1]Settings!$H$14</definedName>
    <definedName name="YBDatabase">[2]Settings!$H$14</definedName>
    <definedName name="YBLicense" localSheetId="5">[1]Settings!$H$13</definedName>
    <definedName name="YBLicense" localSheetId="4">[1]Settings!$H$13</definedName>
    <definedName name="YBLicense">[2]Settings!$H$13</definedName>
    <definedName name="YBSource" localSheetId="5">[1]Settings!$B$24:$B$25</definedName>
    <definedName name="YBSource" localSheetId="4">[1]Settings!$B$24:$B$25</definedName>
    <definedName name="YBSource">[2]Settings!$B$24:$B$25</definedName>
    <definedName name="YBSourceSel" localSheetId="5">[1]Settings!$C$23</definedName>
    <definedName name="YBSourceSel" localSheetId="4">[1]Settings!$C$23</definedName>
    <definedName name="YBSourceSel">[2]Settings!$C$23</definedName>
    <definedName name="year" localSheetId="5">[6]Assumptions!$G$9</definedName>
    <definedName name="year" localSheetId="4">[6]Assumptions!$G$9</definedName>
    <definedName name="year">[7]Assumptions!$G$9</definedName>
    <definedName name="Yield_Col_Display" localSheetId="5">[1]Display!$H$1</definedName>
    <definedName name="Yield_Col_Display" localSheetId="4">[1]Display!$H$1</definedName>
    <definedName name="Yield_Col_Display">[2]Display!$H$1</definedName>
    <definedName name="YieldYB_Col_Display" localSheetId="5">[1]Display!$CY$1</definedName>
    <definedName name="YieldYB_Col_Display" localSheetId="4">[1]Display!$CY$1</definedName>
    <definedName name="YieldYB_Col_Display">[2]Display!$CY$1</definedName>
    <definedName name="YldCnvAskIn_Col_Bloomberg" localSheetId="5">[1]Bloomberg!$C$1</definedName>
    <definedName name="YldCnvAskIn_Col_Bloomberg" localSheetId="4">[1]Bloomberg!$C$1</definedName>
    <definedName name="YldCnvAskIn_Col_Bloomberg">[2]Bloomberg!$C$1</definedName>
    <definedName name="YldCnvAskOut_Col_Bloomberg" localSheetId="5">[1]Bloomberg!$O$1</definedName>
    <definedName name="YldCnvAskOut_Col_Bloomberg" localSheetId="4">[1]Bloomberg!$O$1</definedName>
    <definedName name="YldCnvAskOut_Col_Bloomberg">[2]Bloomberg!$O$1</definedName>
    <definedName name="YldFlagIn_Col_Bloomberg" localSheetId="5">[1]Bloomberg!$K$1</definedName>
    <definedName name="YldFlagIn_Col_Bloomberg" localSheetId="4">[1]Bloomberg!$K$1</definedName>
    <definedName name="YldFlagIn_Col_Bloomberg">[2]Bloomberg!$K$1</definedName>
    <definedName name="YldFlagOut_Col_Bloomberg" localSheetId="5">[1]Bloomberg!$Z$1</definedName>
    <definedName name="YldFlagOut_Col_Bloomberg" localSheetId="4">[1]Bloomberg!$Z$1</definedName>
    <definedName name="YldFlagOut_Col_Bloomberg">[2]Bloomberg!$Z$1</definedName>
    <definedName name="YTM_Col_YieldBook" localSheetId="5">[1]YieldBook!$H$1</definedName>
    <definedName name="YTM_Col_YieldBook" localSheetId="4">[1]YieldBook!$H$1</definedName>
    <definedName name="YTM_Col_YieldBook">[2]YieldBook!$H$1</definedName>
    <definedName name="ZSprd_Col_Display" localSheetId="5">[1]Display!$P$1</definedName>
    <definedName name="ZSprd_Col_Display" localSheetId="4">[1]Display!$P$1</definedName>
    <definedName name="ZSprd_Col_Display">[2]Display!$P$1</definedName>
    <definedName name="ZSprdAskIn_Col_Bloomberg" localSheetId="5">[1]Bloomberg!$F$1</definedName>
    <definedName name="ZSprdAskIn_Col_Bloomberg" localSheetId="4">[1]Bloomberg!$F$1</definedName>
    <definedName name="ZSprdAskIn_Col_Bloomberg">[2]Bloomberg!$F$1</definedName>
    <definedName name="ZSprdAskOut_Col_Bloomberg" localSheetId="5">[1]Bloomberg!$R$1</definedName>
    <definedName name="ZSprdAskOut_Col_Bloomberg" localSheetId="4">[1]Bloomberg!$R$1</definedName>
    <definedName name="ZSprdAskOut_Col_Bloomberg">[2]Bloomberg!$R$1</definedName>
    <definedName name="ZSprdYB_Col_Display" localSheetId="5">[1]Display!$DA$1</definedName>
    <definedName name="ZSprdYB_Col_Display" localSheetId="4">[1]Display!$DA$1</definedName>
    <definedName name="ZSprdYB_Col_Display">[2]Display!$DA$1</definedName>
    <definedName name="ZSPREAD_Col_YieldBook" localSheetId="5">[1]YieldBook!$R$1</definedName>
    <definedName name="ZSPREAD_Col_YieldBook" localSheetId="4">[1]YieldBook!$R$1</definedName>
    <definedName name="ZSPREAD_Col_YieldBook">[2]YieldBook!$R$1</definedName>
  </definedNames>
  <calcPr calcId="144525" iterate="1"/>
</workbook>
</file>

<file path=xl/calcChain.xml><?xml version="1.0" encoding="utf-8"?>
<calcChain xmlns="http://schemas.openxmlformats.org/spreadsheetml/2006/main">
  <c r="E21" i="68" l="1"/>
  <c r="E17" i="68"/>
  <c r="Z149" i="70" l="1"/>
  <c r="AB149" i="70" s="1"/>
  <c r="W149" i="70"/>
  <c r="Q149" i="70"/>
  <c r="N149" i="70"/>
  <c r="H149" i="70"/>
  <c r="E149" i="70"/>
  <c r="Z147" i="70"/>
  <c r="W147" i="70"/>
  <c r="Q147" i="70"/>
  <c r="S147" i="70" s="1"/>
  <c r="T147" i="70" s="1"/>
  <c r="N147" i="70"/>
  <c r="H147" i="70"/>
  <c r="E147" i="70"/>
  <c r="Z140" i="70"/>
  <c r="W140" i="70"/>
  <c r="Q140" i="70"/>
  <c r="N140" i="70"/>
  <c r="J140" i="70"/>
  <c r="H140" i="70"/>
  <c r="E140" i="70"/>
  <c r="Z131" i="70"/>
  <c r="W131" i="70"/>
  <c r="Q131" i="70"/>
  <c r="S131" i="70" s="1"/>
  <c r="T131" i="70" s="1"/>
  <c r="N131" i="70"/>
  <c r="J131" i="70"/>
  <c r="H131" i="70"/>
  <c r="E131" i="70"/>
  <c r="Z118" i="70"/>
  <c r="W118" i="70"/>
  <c r="Q118" i="70"/>
  <c r="N118" i="70"/>
  <c r="H118" i="70"/>
  <c r="E118" i="70"/>
  <c r="Z116" i="70"/>
  <c r="Z115" i="70"/>
  <c r="W116" i="70"/>
  <c r="AB116" i="70" s="1"/>
  <c r="AC116" i="70" s="1"/>
  <c r="W115" i="70"/>
  <c r="Q116" i="70"/>
  <c r="Q115" i="70"/>
  <c r="N116" i="70"/>
  <c r="N115" i="70"/>
  <c r="H116" i="70"/>
  <c r="H115" i="70"/>
  <c r="E116" i="70"/>
  <c r="E115" i="70"/>
  <c r="Z107" i="70"/>
  <c r="W107" i="70"/>
  <c r="Q107" i="70"/>
  <c r="N107" i="70"/>
  <c r="H107" i="70"/>
  <c r="E107" i="70"/>
  <c r="Z104" i="70"/>
  <c r="W104" i="70"/>
  <c r="AB104" i="70" s="1"/>
  <c r="AC104" i="70" s="1"/>
  <c r="Q104" i="70"/>
  <c r="N104" i="70"/>
  <c r="H104" i="70"/>
  <c r="E104" i="70"/>
  <c r="Z96" i="70"/>
  <c r="AB96" i="70" s="1"/>
  <c r="AC96" i="70" s="1"/>
  <c r="W96" i="70"/>
  <c r="Q96" i="70"/>
  <c r="N96" i="70"/>
  <c r="H96" i="70"/>
  <c r="J96" i="70" s="1"/>
  <c r="K96" i="70" s="1"/>
  <c r="E96" i="70"/>
  <c r="Z94" i="70"/>
  <c r="W94" i="70"/>
  <c r="Q94" i="70"/>
  <c r="N94" i="70"/>
  <c r="S94" i="70" s="1"/>
  <c r="T94" i="70" s="1"/>
  <c r="H94" i="70"/>
  <c r="E94" i="70"/>
  <c r="Z93" i="70"/>
  <c r="AB93" i="70" s="1"/>
  <c r="AC93" i="70" s="1"/>
  <c r="W93" i="70"/>
  <c r="Q93" i="70"/>
  <c r="N93" i="70"/>
  <c r="H93" i="70"/>
  <c r="E93" i="70"/>
  <c r="Z86" i="70"/>
  <c r="AB86" i="70" s="1"/>
  <c r="AC86" i="70" s="1"/>
  <c r="W86" i="70"/>
  <c r="Q86" i="70"/>
  <c r="S86" i="70" s="1"/>
  <c r="T86" i="70" s="1"/>
  <c r="N86" i="70"/>
  <c r="H86" i="70"/>
  <c r="E86" i="70"/>
  <c r="J86" i="70" s="1"/>
  <c r="K86" i="70" s="1"/>
  <c r="Z83" i="70"/>
  <c r="W83" i="70"/>
  <c r="Q83" i="70"/>
  <c r="S83" i="70" s="1"/>
  <c r="T83" i="70" s="1"/>
  <c r="N83" i="70"/>
  <c r="H83" i="70"/>
  <c r="J83" i="70" s="1"/>
  <c r="K83" i="70" s="1"/>
  <c r="E83" i="70"/>
  <c r="Q75" i="70"/>
  <c r="N75" i="70"/>
  <c r="J75" i="70"/>
  <c r="H75" i="70"/>
  <c r="E75" i="70"/>
  <c r="AB146" i="70"/>
  <c r="AB145" i="70"/>
  <c r="AB144" i="70"/>
  <c r="AB143" i="70"/>
  <c r="AB142" i="70"/>
  <c r="AB139" i="70"/>
  <c r="AB138" i="70"/>
  <c r="AB129" i="70"/>
  <c r="AB128" i="70"/>
  <c r="AB127" i="70"/>
  <c r="AB126" i="70"/>
  <c r="AB125" i="70"/>
  <c r="AB124" i="70"/>
  <c r="AB115" i="70"/>
  <c r="AB114" i="70"/>
  <c r="AB113" i="70"/>
  <c r="AB112" i="70"/>
  <c r="AB111" i="70"/>
  <c r="AB110" i="70"/>
  <c r="AB109" i="70"/>
  <c r="AB107" i="70"/>
  <c r="AB106" i="70"/>
  <c r="AB105" i="70"/>
  <c r="AB103" i="70"/>
  <c r="AB102" i="70"/>
  <c r="AB92" i="70"/>
  <c r="AB91" i="70"/>
  <c r="AB90" i="70"/>
  <c r="AB89" i="70"/>
  <c r="AB88" i="70"/>
  <c r="AB85" i="70"/>
  <c r="AB84" i="70"/>
  <c r="AB82" i="70"/>
  <c r="AB81" i="70"/>
  <c r="AB75" i="70"/>
  <c r="AB73" i="70"/>
  <c r="AB72" i="70"/>
  <c r="AB71" i="70"/>
  <c r="AB66" i="70"/>
  <c r="AB61" i="70"/>
  <c r="AB60" i="70"/>
  <c r="AB59" i="70"/>
  <c r="AB58" i="70"/>
  <c r="AB57" i="70"/>
  <c r="AB56" i="70"/>
  <c r="AB53" i="70"/>
  <c r="AB52" i="70"/>
  <c r="AB50" i="70"/>
  <c r="AB49" i="70"/>
  <c r="AB42" i="70"/>
  <c r="AB39" i="70"/>
  <c r="AB38" i="70"/>
  <c r="AB31" i="70"/>
  <c r="AB27" i="70"/>
  <c r="AB26" i="70"/>
  <c r="AB25" i="70"/>
  <c r="AB19" i="70"/>
  <c r="AB15" i="70"/>
  <c r="AB14" i="70"/>
  <c r="AB13" i="70"/>
  <c r="AB12" i="70"/>
  <c r="S149" i="70"/>
  <c r="S146" i="70"/>
  <c r="S145" i="70"/>
  <c r="T145" i="70" s="1"/>
  <c r="S144" i="70"/>
  <c r="S143" i="70"/>
  <c r="T143" i="70" s="1"/>
  <c r="S142" i="70"/>
  <c r="S139" i="70"/>
  <c r="S138" i="70"/>
  <c r="T138" i="70" s="1"/>
  <c r="S129" i="70"/>
  <c r="T129" i="70" s="1"/>
  <c r="S128" i="70"/>
  <c r="S127" i="70"/>
  <c r="T127" i="70" s="1"/>
  <c r="S126" i="70"/>
  <c r="S125" i="70"/>
  <c r="T125" i="70" s="1"/>
  <c r="S124" i="70"/>
  <c r="S116" i="70"/>
  <c r="S115" i="70"/>
  <c r="T115" i="70" s="1"/>
  <c r="S114" i="70"/>
  <c r="S113" i="70"/>
  <c r="T113" i="70" s="1"/>
  <c r="S112" i="70"/>
  <c r="S111" i="70"/>
  <c r="T111" i="70" s="1"/>
  <c r="S110" i="70"/>
  <c r="S109" i="70"/>
  <c r="T109" i="70" s="1"/>
  <c r="S106" i="70"/>
  <c r="T106" i="70" s="1"/>
  <c r="S105" i="70"/>
  <c r="S103" i="70"/>
  <c r="S102" i="70"/>
  <c r="T102" i="70" s="1"/>
  <c r="S93" i="70"/>
  <c r="S92" i="70"/>
  <c r="T92" i="70" s="1"/>
  <c r="S91" i="70"/>
  <c r="S90" i="70"/>
  <c r="T90" i="70" s="1"/>
  <c r="S89" i="70"/>
  <c r="S88" i="70"/>
  <c r="T88" i="70" s="1"/>
  <c r="S85" i="70"/>
  <c r="T85" i="70" s="1"/>
  <c r="S84" i="70"/>
  <c r="S82" i="70"/>
  <c r="S81" i="70"/>
  <c r="T81" i="70" s="1"/>
  <c r="S73" i="70"/>
  <c r="T73" i="70" s="1"/>
  <c r="S72" i="70"/>
  <c r="S71" i="70"/>
  <c r="T71" i="70" s="1"/>
  <c r="S66" i="70"/>
  <c r="T66" i="70" s="1"/>
  <c r="S61" i="70"/>
  <c r="S60" i="70"/>
  <c r="T60" i="70" s="1"/>
  <c r="S59" i="70"/>
  <c r="S58" i="70"/>
  <c r="T58" i="70" s="1"/>
  <c r="S57" i="70"/>
  <c r="S56" i="70"/>
  <c r="T56" i="70" s="1"/>
  <c r="S53" i="70"/>
  <c r="T53" i="70" s="1"/>
  <c r="S52" i="70"/>
  <c r="S50" i="70"/>
  <c r="S49" i="70"/>
  <c r="T49" i="70" s="1"/>
  <c r="S42" i="70"/>
  <c r="S39" i="70"/>
  <c r="S38" i="70"/>
  <c r="T38" i="70" s="1"/>
  <c r="S31" i="70"/>
  <c r="S27" i="70"/>
  <c r="S26" i="70"/>
  <c r="T26" i="70" s="1"/>
  <c r="S25" i="70"/>
  <c r="S19" i="70"/>
  <c r="S15" i="70"/>
  <c r="S14" i="70"/>
  <c r="T14" i="70" s="1"/>
  <c r="S13" i="70"/>
  <c r="S12" i="70"/>
  <c r="T12" i="70" s="1"/>
  <c r="J15" i="70"/>
  <c r="J14" i="70"/>
  <c r="J13" i="70"/>
  <c r="J12" i="70"/>
  <c r="J19" i="70"/>
  <c r="K19" i="70" s="1"/>
  <c r="J27" i="70"/>
  <c r="J26" i="70"/>
  <c r="J25" i="70"/>
  <c r="J31" i="70"/>
  <c r="J39" i="70"/>
  <c r="J38" i="70"/>
  <c r="J42" i="70"/>
  <c r="J53" i="70"/>
  <c r="J52" i="70"/>
  <c r="J50" i="70"/>
  <c r="J49" i="70"/>
  <c r="J61" i="70"/>
  <c r="J60" i="70"/>
  <c r="J59" i="70"/>
  <c r="J58" i="70"/>
  <c r="J57" i="70"/>
  <c r="J56" i="70"/>
  <c r="J149" i="70"/>
  <c r="J147" i="70"/>
  <c r="J146" i="70"/>
  <c r="J145" i="70"/>
  <c r="J144" i="70"/>
  <c r="J143" i="70"/>
  <c r="J142" i="70"/>
  <c r="J139" i="70"/>
  <c r="J138" i="70"/>
  <c r="J129" i="70"/>
  <c r="J128" i="70"/>
  <c r="J127" i="70"/>
  <c r="J126" i="70"/>
  <c r="J125" i="70"/>
  <c r="J124" i="70"/>
  <c r="J116" i="70"/>
  <c r="K116" i="70" s="1"/>
  <c r="J115" i="70"/>
  <c r="J114" i="70"/>
  <c r="J113" i="70"/>
  <c r="J112" i="70"/>
  <c r="J111" i="70"/>
  <c r="J110" i="70"/>
  <c r="J109" i="70"/>
  <c r="J107" i="70"/>
  <c r="K107" i="70" s="1"/>
  <c r="J106" i="70"/>
  <c r="J105" i="70"/>
  <c r="J104" i="70"/>
  <c r="J103" i="70"/>
  <c r="J102" i="70"/>
  <c r="J92" i="70"/>
  <c r="J91" i="70"/>
  <c r="J90" i="70"/>
  <c r="J89" i="70"/>
  <c r="J88" i="70"/>
  <c r="J85" i="70"/>
  <c r="J84" i="70"/>
  <c r="J82" i="70"/>
  <c r="J81" i="70"/>
  <c r="J73" i="70"/>
  <c r="J72" i="70"/>
  <c r="J71" i="70"/>
  <c r="K71" i="70" s="1"/>
  <c r="AC146" i="70"/>
  <c r="AC145" i="70"/>
  <c r="AC144" i="70"/>
  <c r="AC143" i="70"/>
  <c r="AC142" i="70"/>
  <c r="AC139" i="70"/>
  <c r="AC138" i="70"/>
  <c r="AC129" i="70"/>
  <c r="AC128" i="70"/>
  <c r="AC127" i="70"/>
  <c r="AC126" i="70"/>
  <c r="AC125" i="70"/>
  <c r="AC124" i="70"/>
  <c r="AC115" i="70"/>
  <c r="AC114" i="70"/>
  <c r="AC113" i="70"/>
  <c r="AC112" i="70"/>
  <c r="AC111" i="70"/>
  <c r="AC110" i="70"/>
  <c r="AC109" i="70"/>
  <c r="AC107" i="70"/>
  <c r="AC106" i="70"/>
  <c r="AC105" i="70"/>
  <c r="AC103" i="70"/>
  <c r="AC102" i="70"/>
  <c r="AC92" i="70"/>
  <c r="AC91" i="70"/>
  <c r="AC90" i="70"/>
  <c r="AC89" i="70"/>
  <c r="AC88" i="70"/>
  <c r="AC85" i="70"/>
  <c r="AC84" i="70"/>
  <c r="AC82" i="70"/>
  <c r="AC81" i="70"/>
  <c r="AC75" i="70"/>
  <c r="AC73" i="70"/>
  <c r="AC72" i="70"/>
  <c r="AC71" i="70"/>
  <c r="AC66" i="70"/>
  <c r="AC61" i="70"/>
  <c r="AC60" i="70"/>
  <c r="AC59" i="70"/>
  <c r="AC58" i="70"/>
  <c r="AC57" i="70"/>
  <c r="AC56" i="70"/>
  <c r="AC53" i="70"/>
  <c r="AC52" i="70"/>
  <c r="AC50" i="70"/>
  <c r="AC49" i="70"/>
  <c r="AC42" i="70"/>
  <c r="AC39" i="70"/>
  <c r="AC38" i="70"/>
  <c r="AC31" i="70"/>
  <c r="AC27" i="70"/>
  <c r="AC26" i="70"/>
  <c r="AC25" i="70"/>
  <c r="AC19" i="70"/>
  <c r="AC15" i="70"/>
  <c r="AC14" i="70"/>
  <c r="AC13" i="70"/>
  <c r="AC12" i="70"/>
  <c r="T146" i="70"/>
  <c r="T144" i="70"/>
  <c r="T142" i="70"/>
  <c r="T139" i="70"/>
  <c r="T128" i="70"/>
  <c r="T126" i="70"/>
  <c r="T124" i="70"/>
  <c r="T116" i="70"/>
  <c r="T114" i="70"/>
  <c r="T112" i="70"/>
  <c r="T110" i="70"/>
  <c r="T105" i="70"/>
  <c r="T103" i="70"/>
  <c r="T93" i="70"/>
  <c r="T91" i="70"/>
  <c r="T89" i="70"/>
  <c r="T84" i="70"/>
  <c r="T82" i="70"/>
  <c r="T72" i="70"/>
  <c r="T61" i="70"/>
  <c r="T59" i="70"/>
  <c r="T57" i="70"/>
  <c r="T52" i="70"/>
  <c r="T50" i="70"/>
  <c r="T42" i="70"/>
  <c r="T39" i="70"/>
  <c r="T31" i="70"/>
  <c r="T27" i="70"/>
  <c r="T25" i="70"/>
  <c r="T19" i="70"/>
  <c r="T15" i="70"/>
  <c r="T13" i="70"/>
  <c r="K147" i="70"/>
  <c r="K146" i="70"/>
  <c r="K145" i="70"/>
  <c r="K144" i="70"/>
  <c r="K143" i="70"/>
  <c r="K142" i="70"/>
  <c r="K139" i="70"/>
  <c r="K138" i="70"/>
  <c r="K129" i="70"/>
  <c r="K128" i="70"/>
  <c r="K127" i="70"/>
  <c r="K126" i="70"/>
  <c r="K125" i="70"/>
  <c r="K124" i="70"/>
  <c r="K115" i="70"/>
  <c r="K114" i="70"/>
  <c r="K113" i="70"/>
  <c r="K112" i="70"/>
  <c r="K111" i="70"/>
  <c r="K110" i="70"/>
  <c r="K109" i="70"/>
  <c r="K106" i="70"/>
  <c r="K105" i="70"/>
  <c r="K104" i="70"/>
  <c r="K103" i="70"/>
  <c r="K102" i="70"/>
  <c r="K92" i="70"/>
  <c r="K91" i="70"/>
  <c r="K90" i="70"/>
  <c r="K89" i="70"/>
  <c r="K88" i="70"/>
  <c r="K85" i="70"/>
  <c r="K84" i="70"/>
  <c r="K82" i="70"/>
  <c r="K81" i="70"/>
  <c r="K73" i="70"/>
  <c r="K72" i="70"/>
  <c r="K61" i="70"/>
  <c r="K60" i="70"/>
  <c r="K59" i="70"/>
  <c r="K58" i="70"/>
  <c r="K57" i="70"/>
  <c r="K56" i="70"/>
  <c r="K53" i="70"/>
  <c r="K52" i="70"/>
  <c r="K50" i="70"/>
  <c r="K49" i="70"/>
  <c r="K42" i="70"/>
  <c r="K39" i="70"/>
  <c r="K38" i="70"/>
  <c r="K31" i="70"/>
  <c r="K27" i="70"/>
  <c r="K26" i="70"/>
  <c r="K25" i="70"/>
  <c r="K15" i="70"/>
  <c r="K14" i="70"/>
  <c r="K13" i="70"/>
  <c r="K12" i="70"/>
  <c r="Q68" i="70"/>
  <c r="J66" i="70"/>
  <c r="K66" i="70" s="1"/>
  <c r="E68" i="70"/>
  <c r="E64" i="70"/>
  <c r="Z62" i="70"/>
  <c r="W62" i="70"/>
  <c r="Q62" i="70"/>
  <c r="N62" i="70"/>
  <c r="H62" i="70"/>
  <c r="J62" i="70" s="1"/>
  <c r="K62" i="70" s="1"/>
  <c r="E62" i="70"/>
  <c r="Q54" i="70"/>
  <c r="Q64" i="70" s="1"/>
  <c r="N54" i="70"/>
  <c r="E54" i="70"/>
  <c r="Z51" i="70"/>
  <c r="Z54" i="70" s="1"/>
  <c r="Z64" i="70" s="1"/>
  <c r="Z68" i="70" s="1"/>
  <c r="W51" i="70"/>
  <c r="Q51" i="70"/>
  <c r="N51" i="70"/>
  <c r="S51" i="70" s="1"/>
  <c r="T51" i="70" s="1"/>
  <c r="H51" i="70"/>
  <c r="J51" i="70" s="1"/>
  <c r="K51" i="70" s="1"/>
  <c r="E51" i="70"/>
  <c r="Z40" i="70"/>
  <c r="W40" i="70"/>
  <c r="Q40" i="70"/>
  <c r="N40" i="70"/>
  <c r="S40" i="70" s="1"/>
  <c r="T40" i="70" s="1"/>
  <c r="H40" i="70"/>
  <c r="J40" i="70" s="1"/>
  <c r="K40" i="70" s="1"/>
  <c r="E40" i="70"/>
  <c r="E35" i="70"/>
  <c r="Z33" i="70"/>
  <c r="N33" i="70"/>
  <c r="E33" i="70"/>
  <c r="Z29" i="70"/>
  <c r="W29" i="70"/>
  <c r="AB29" i="70" s="1"/>
  <c r="AC29" i="70" s="1"/>
  <c r="Q29" i="70"/>
  <c r="Q33" i="70" s="1"/>
  <c r="Q35" i="70" s="1"/>
  <c r="N29" i="70"/>
  <c r="H29" i="70"/>
  <c r="J29" i="70" s="1"/>
  <c r="E29" i="70"/>
  <c r="Q21" i="70"/>
  <c r="H21" i="70"/>
  <c r="J21" i="70" s="1"/>
  <c r="K21" i="70" s="1"/>
  <c r="E21" i="70"/>
  <c r="Z17" i="70"/>
  <c r="Z21" i="70" s="1"/>
  <c r="W17" i="70"/>
  <c r="AB17" i="70" s="1"/>
  <c r="AC17" i="70" s="1"/>
  <c r="Q17" i="70"/>
  <c r="N17" i="70"/>
  <c r="N21" i="70" s="1"/>
  <c r="S21" i="70" s="1"/>
  <c r="T21" i="70" s="1"/>
  <c r="H17" i="70"/>
  <c r="J17" i="70" s="1"/>
  <c r="E17" i="70"/>
  <c r="AB147" i="70" l="1"/>
  <c r="AC147" i="70" s="1"/>
  <c r="AB140" i="70"/>
  <c r="AC140" i="70" s="1"/>
  <c r="S140" i="70"/>
  <c r="T140" i="70" s="1"/>
  <c r="K140" i="70"/>
  <c r="AB131" i="70"/>
  <c r="AC131" i="70" s="1"/>
  <c r="K131" i="70"/>
  <c r="AB118" i="70"/>
  <c r="AC118" i="70" s="1"/>
  <c r="S118" i="70"/>
  <c r="T118" i="70" s="1"/>
  <c r="J118" i="70"/>
  <c r="K118" i="70" s="1"/>
  <c r="S107" i="70"/>
  <c r="T107" i="70" s="1"/>
  <c r="S104" i="70"/>
  <c r="T104" i="70" s="1"/>
  <c r="S96" i="70"/>
  <c r="T96" i="70" s="1"/>
  <c r="AB94" i="70"/>
  <c r="AC94" i="70" s="1"/>
  <c r="J94" i="70"/>
  <c r="K94" i="70" s="1"/>
  <c r="J93" i="70"/>
  <c r="K93" i="70" s="1"/>
  <c r="AB83" i="70"/>
  <c r="AC83" i="70" s="1"/>
  <c r="S75" i="70"/>
  <c r="T75" i="70" s="1"/>
  <c r="K75" i="70"/>
  <c r="Z35" i="70"/>
  <c r="AB40" i="70"/>
  <c r="AC40" i="70" s="1"/>
  <c r="AB51" i="70"/>
  <c r="AC51" i="70" s="1"/>
  <c r="AB62" i="70"/>
  <c r="AC62" i="70" s="1"/>
  <c r="W21" i="70"/>
  <c r="AB21" i="70" s="1"/>
  <c r="AC21" i="70" s="1"/>
  <c r="W33" i="70"/>
  <c r="W54" i="70"/>
  <c r="S29" i="70"/>
  <c r="T29" i="70" s="1"/>
  <c r="S54" i="70"/>
  <c r="T54" i="70" s="1"/>
  <c r="S62" i="70"/>
  <c r="T62" i="70" s="1"/>
  <c r="N35" i="70"/>
  <c r="S35" i="70" s="1"/>
  <c r="T35" i="70" s="1"/>
  <c r="S17" i="70"/>
  <c r="T17" i="70" s="1"/>
  <c r="S33" i="70"/>
  <c r="T33" i="70" s="1"/>
  <c r="N64" i="70"/>
  <c r="H33" i="70"/>
  <c r="H54" i="70"/>
  <c r="K17" i="70"/>
  <c r="K29" i="70"/>
  <c r="E16" i="45"/>
  <c r="E17" i="46"/>
  <c r="C16" i="46"/>
  <c r="C17" i="46" s="1"/>
  <c r="C19" i="46"/>
  <c r="C31" i="46"/>
  <c r="C40" i="46"/>
  <c r="C48" i="46"/>
  <c r="C52" i="46"/>
  <c r="C58" i="46"/>
  <c r="C61" i="46"/>
  <c r="AB54" i="70" l="1"/>
  <c r="AC54" i="70" s="1"/>
  <c r="W64" i="70"/>
  <c r="W35" i="70"/>
  <c r="AB35" i="70" s="1"/>
  <c r="AC35" i="70" s="1"/>
  <c r="AB33" i="70"/>
  <c r="AC33" i="70" s="1"/>
  <c r="S64" i="70"/>
  <c r="T64" i="70" s="1"/>
  <c r="N68" i="70"/>
  <c r="S68" i="70" s="1"/>
  <c r="T68" i="70" s="1"/>
  <c r="J33" i="70"/>
  <c r="K33" i="70" s="1"/>
  <c r="H35" i="70"/>
  <c r="J35" i="70" s="1"/>
  <c r="K35" i="70" s="1"/>
  <c r="J54" i="70"/>
  <c r="K54" i="70" s="1"/>
  <c r="H64" i="70"/>
  <c r="C33" i="46"/>
  <c r="C63" i="46" s="1"/>
  <c r="E52" i="45"/>
  <c r="C52" i="45"/>
  <c r="E48" i="45"/>
  <c r="C48" i="45"/>
  <c r="E40" i="45"/>
  <c r="C40" i="45"/>
  <c r="E31" i="45"/>
  <c r="C31" i="45"/>
  <c r="C16" i="45"/>
  <c r="E16" i="46"/>
  <c r="E17" i="45"/>
  <c r="E19" i="45"/>
  <c r="C33" i="45"/>
  <c r="C35" i="45" s="1"/>
  <c r="E19" i="46"/>
  <c r="E31" i="46"/>
  <c r="E33" i="46" s="1"/>
  <c r="E63" i="46" s="1"/>
  <c r="E40" i="46"/>
  <c r="E48" i="46"/>
  <c r="E52" i="46"/>
  <c r="E58" i="46"/>
  <c r="G60" i="46"/>
  <c r="H60" i="46" s="1"/>
  <c r="G59" i="46"/>
  <c r="H59" i="46" s="1"/>
  <c r="G57" i="46"/>
  <c r="H57" i="46" s="1"/>
  <c r="G56" i="46"/>
  <c r="H56" i="46" s="1"/>
  <c r="G51" i="46"/>
  <c r="H51" i="46" s="1"/>
  <c r="G50" i="46"/>
  <c r="H50" i="46" s="1"/>
  <c r="G47" i="46"/>
  <c r="H47" i="46" s="1"/>
  <c r="G46" i="46"/>
  <c r="H46" i="46" s="1"/>
  <c r="G39" i="46"/>
  <c r="H39" i="46" s="1"/>
  <c r="G38" i="46"/>
  <c r="H38" i="46" s="1"/>
  <c r="G34" i="46"/>
  <c r="H34" i="46" s="1"/>
  <c r="G30" i="46"/>
  <c r="H30" i="46" s="1"/>
  <c r="G29" i="46"/>
  <c r="H29" i="46" s="1"/>
  <c r="G28" i="46"/>
  <c r="H28" i="46" s="1"/>
  <c r="G27" i="46"/>
  <c r="H27" i="46" s="1"/>
  <c r="G26" i="46"/>
  <c r="H26" i="46" s="1"/>
  <c r="G25" i="46"/>
  <c r="H25" i="46" s="1"/>
  <c r="G24" i="46"/>
  <c r="H24" i="46" s="1"/>
  <c r="G23" i="46"/>
  <c r="H23" i="46" s="1"/>
  <c r="G22" i="46"/>
  <c r="H22" i="46" s="1"/>
  <c r="G18" i="46"/>
  <c r="H18" i="46" s="1"/>
  <c r="G15" i="46"/>
  <c r="H15" i="46" s="1"/>
  <c r="G14" i="46"/>
  <c r="H14" i="46" s="1"/>
  <c r="G12" i="46"/>
  <c r="H12" i="46" s="1"/>
  <c r="G11" i="46"/>
  <c r="H11" i="46" s="1"/>
  <c r="G10" i="46"/>
  <c r="H10" i="46" s="1"/>
  <c r="G61" i="45"/>
  <c r="H61" i="45" s="1"/>
  <c r="G60" i="45"/>
  <c r="H60" i="45" s="1"/>
  <c r="G59" i="45"/>
  <c r="H59" i="45" s="1"/>
  <c r="G58" i="45"/>
  <c r="H58" i="45" s="1"/>
  <c r="G57" i="45"/>
  <c r="H57" i="45" s="1"/>
  <c r="G56" i="45"/>
  <c r="H56" i="45" s="1"/>
  <c r="G51" i="45"/>
  <c r="H51" i="45" s="1"/>
  <c r="G50" i="45"/>
  <c r="H50" i="45" s="1"/>
  <c r="G47" i="45"/>
  <c r="H47" i="45" s="1"/>
  <c r="G46" i="45"/>
  <c r="H46" i="45" s="1"/>
  <c r="G39" i="45"/>
  <c r="H39" i="45" s="1"/>
  <c r="G38" i="45"/>
  <c r="H38" i="45" s="1"/>
  <c r="G34" i="45"/>
  <c r="H34" i="45" s="1"/>
  <c r="G30" i="45"/>
  <c r="H30" i="45" s="1"/>
  <c r="G29" i="45"/>
  <c r="H29" i="45" s="1"/>
  <c r="G28" i="45"/>
  <c r="H28" i="45" s="1"/>
  <c r="G27" i="45"/>
  <c r="H27" i="45" s="1"/>
  <c r="G26" i="45"/>
  <c r="H26" i="45" s="1"/>
  <c r="G25" i="45"/>
  <c r="H25" i="45" s="1"/>
  <c r="G24" i="45"/>
  <c r="H24" i="45" s="1"/>
  <c r="G23" i="45"/>
  <c r="H23" i="45" s="1"/>
  <c r="G22" i="45"/>
  <c r="H22" i="45" s="1"/>
  <c r="G18" i="45"/>
  <c r="H18" i="45" s="1"/>
  <c r="G15" i="45"/>
  <c r="H15" i="45" s="1"/>
  <c r="G14" i="45"/>
  <c r="H14" i="45" s="1"/>
  <c r="G12" i="45"/>
  <c r="H12" i="45" s="1"/>
  <c r="G11" i="45"/>
  <c r="H11" i="45" s="1"/>
  <c r="G10" i="45"/>
  <c r="H10" i="45" s="1"/>
  <c r="C54" i="44"/>
  <c r="C41" i="44"/>
  <c r="C12" i="44"/>
  <c r="C26" i="44" s="1"/>
  <c r="AB64" i="70" l="1"/>
  <c r="AC64" i="70" s="1"/>
  <c r="W68" i="70"/>
  <c r="AB68" i="70" s="1"/>
  <c r="AC68" i="70" s="1"/>
  <c r="H68" i="70"/>
  <c r="J68" i="70" s="1"/>
  <c r="K68" i="70" s="1"/>
  <c r="J64" i="70"/>
  <c r="K64" i="70" s="1"/>
  <c r="E33" i="45"/>
  <c r="E35" i="45" s="1"/>
  <c r="E42" i="45" s="1"/>
  <c r="E35" i="46"/>
  <c r="C35" i="46"/>
  <c r="C42" i="46" s="1"/>
  <c r="E61" i="46"/>
  <c r="G40" i="46"/>
  <c r="H40" i="46" s="1"/>
  <c r="G31" i="46"/>
  <c r="H31" i="46" s="1"/>
  <c r="G19" i="46"/>
  <c r="G16" i="46"/>
  <c r="H16" i="46" s="1"/>
  <c r="C42" i="45"/>
  <c r="G40" i="45"/>
  <c r="H40" i="45" s="1"/>
  <c r="G58" i="46"/>
  <c r="G61" i="46" s="1"/>
  <c r="H61" i="46" s="1"/>
  <c r="G31" i="45"/>
  <c r="H31" i="45" s="1"/>
  <c r="G52" i="46"/>
  <c r="H52" i="46" s="1"/>
  <c r="G48" i="46"/>
  <c r="H48" i="46" s="1"/>
  <c r="G52" i="45"/>
  <c r="H52" i="45" s="1"/>
  <c r="G48" i="45"/>
  <c r="G19" i="45"/>
  <c r="G16" i="45"/>
  <c r="G17" i="45" s="1"/>
  <c r="H17" i="45" s="1"/>
  <c r="C17" i="45"/>
  <c r="E42" i="46"/>
  <c r="H48" i="45"/>
  <c r="C55" i="44"/>
  <c r="K12" i="44"/>
  <c r="K26" i="44" s="1"/>
  <c r="I12" i="44"/>
  <c r="I26" i="44" s="1"/>
  <c r="G12" i="44"/>
  <c r="G26" i="44" s="1"/>
  <c r="E12" i="44"/>
  <c r="E26" i="44" s="1"/>
  <c r="K54" i="44"/>
  <c r="I54" i="44"/>
  <c r="G54" i="44"/>
  <c r="E54" i="44"/>
  <c r="K41" i="44"/>
  <c r="G41" i="44"/>
  <c r="E41" i="44"/>
  <c r="I40" i="44"/>
  <c r="I41" i="44" s="1"/>
  <c r="H16" i="45" l="1"/>
  <c r="H19" i="45"/>
  <c r="G33" i="45"/>
  <c r="G17" i="46"/>
  <c r="H17" i="46" s="1"/>
  <c r="G33" i="46"/>
  <c r="H19" i="46"/>
  <c r="H58" i="46"/>
  <c r="E55" i="44"/>
  <c r="I55" i="44"/>
  <c r="G55" i="44"/>
  <c r="K55" i="44"/>
  <c r="G35" i="46" l="1"/>
  <c r="H33" i="46"/>
  <c r="G35" i="45"/>
  <c r="H33" i="45"/>
  <c r="V8" i="33"/>
  <c r="N8" i="33"/>
  <c r="R8" i="33" s="1"/>
  <c r="X8" i="33" s="1"/>
  <c r="AB8" i="33" s="1"/>
  <c r="L8" i="33"/>
  <c r="K8" i="33"/>
  <c r="U8" i="33" s="1"/>
  <c r="J8" i="33"/>
  <c r="V14" i="29"/>
  <c r="T14" i="29"/>
  <c r="R14" i="29"/>
  <c r="P14" i="29"/>
  <c r="N14" i="29"/>
  <c r="L14" i="29"/>
  <c r="J14" i="29"/>
  <c r="H14" i="29"/>
  <c r="F14" i="29"/>
  <c r="D14" i="29"/>
  <c r="J555" i="63"/>
  <c r="H555" i="63"/>
  <c r="J552" i="63"/>
  <c r="I552" i="63"/>
  <c r="H552" i="63"/>
  <c r="G552" i="63"/>
  <c r="J551" i="63"/>
  <c r="I551" i="63"/>
  <c r="H551" i="63"/>
  <c r="G551" i="63"/>
  <c r="J550" i="63"/>
  <c r="I550" i="63"/>
  <c r="H550" i="63"/>
  <c r="G550" i="63"/>
  <c r="J549" i="63"/>
  <c r="I549" i="63"/>
  <c r="H549" i="63"/>
  <c r="G549" i="63"/>
  <c r="J548" i="63"/>
  <c r="I548" i="63"/>
  <c r="H548" i="63"/>
  <c r="G548" i="63"/>
  <c r="J547" i="63"/>
  <c r="I547" i="63"/>
  <c r="H547" i="63"/>
  <c r="G547" i="63"/>
  <c r="J546" i="63"/>
  <c r="I546" i="63"/>
  <c r="H546" i="63"/>
  <c r="G546" i="63"/>
  <c r="J545" i="63"/>
  <c r="I545" i="63"/>
  <c r="H545" i="63"/>
  <c r="G545" i="63"/>
  <c r="J544" i="63"/>
  <c r="I544" i="63"/>
  <c r="H544" i="63"/>
  <c r="G544" i="63"/>
  <c r="J543" i="63"/>
  <c r="I543" i="63"/>
  <c r="H543" i="63"/>
  <c r="G543" i="63"/>
  <c r="J542" i="63"/>
  <c r="I542" i="63"/>
  <c r="H542" i="63"/>
  <c r="G542" i="63"/>
  <c r="J541" i="63"/>
  <c r="I541" i="63"/>
  <c r="H541" i="63"/>
  <c r="G541" i="63"/>
  <c r="J540" i="63"/>
  <c r="I540" i="63"/>
  <c r="H540" i="63"/>
  <c r="G540" i="63"/>
  <c r="J539" i="63"/>
  <c r="I539" i="63"/>
  <c r="H539" i="63"/>
  <c r="G539" i="63"/>
  <c r="J538" i="63"/>
  <c r="I538" i="63"/>
  <c r="H538" i="63"/>
  <c r="G538" i="63"/>
  <c r="J537" i="63"/>
  <c r="I537" i="63"/>
  <c r="H537" i="63"/>
  <c r="G537" i="63"/>
  <c r="J536" i="63"/>
  <c r="I536" i="63"/>
  <c r="H536" i="63"/>
  <c r="G536" i="63"/>
  <c r="J535" i="63"/>
  <c r="I535" i="63"/>
  <c r="H535" i="63"/>
  <c r="G535" i="63"/>
  <c r="J534" i="63"/>
  <c r="I534" i="63"/>
  <c r="H534" i="63"/>
  <c r="G534" i="63"/>
  <c r="J533" i="63"/>
  <c r="I533" i="63"/>
  <c r="H533" i="63"/>
  <c r="G533" i="63"/>
  <c r="J532" i="63"/>
  <c r="I532" i="63"/>
  <c r="H532" i="63"/>
  <c r="G532" i="63"/>
  <c r="J531" i="63"/>
  <c r="I531" i="63"/>
  <c r="H531" i="63"/>
  <c r="G531" i="63"/>
  <c r="J530" i="63"/>
  <c r="I530" i="63"/>
  <c r="H530" i="63"/>
  <c r="G530" i="63"/>
  <c r="J529" i="63"/>
  <c r="I529" i="63"/>
  <c r="H529" i="63"/>
  <c r="G529" i="63"/>
  <c r="J528" i="63"/>
  <c r="I528" i="63"/>
  <c r="H528" i="63"/>
  <c r="G528" i="63"/>
  <c r="J527" i="63"/>
  <c r="I527" i="63"/>
  <c r="H527" i="63"/>
  <c r="G527" i="63"/>
  <c r="J526" i="63"/>
  <c r="I526" i="63"/>
  <c r="H526" i="63"/>
  <c r="G526" i="63"/>
  <c r="J525" i="63"/>
  <c r="I525" i="63"/>
  <c r="H525" i="63"/>
  <c r="G525" i="63"/>
  <c r="J524" i="63"/>
  <c r="I524" i="63"/>
  <c r="H524" i="63"/>
  <c r="G524" i="63"/>
  <c r="J523" i="63"/>
  <c r="I523" i="63"/>
  <c r="H523" i="63"/>
  <c r="G523" i="63"/>
  <c r="J522" i="63"/>
  <c r="I522" i="63"/>
  <c r="H522" i="63"/>
  <c r="G522" i="63"/>
  <c r="J521" i="63"/>
  <c r="I521" i="63"/>
  <c r="H521" i="63"/>
  <c r="G521" i="63"/>
  <c r="J520" i="63"/>
  <c r="I520" i="63"/>
  <c r="H520" i="63"/>
  <c r="G520" i="63"/>
  <c r="J519" i="63"/>
  <c r="I519" i="63"/>
  <c r="H519" i="63"/>
  <c r="G519" i="63"/>
  <c r="J518" i="63"/>
  <c r="I518" i="63"/>
  <c r="H518" i="63"/>
  <c r="G518" i="63"/>
  <c r="J517" i="63"/>
  <c r="I517" i="63"/>
  <c r="H517" i="63"/>
  <c r="G517" i="63"/>
  <c r="J516" i="63"/>
  <c r="I516" i="63"/>
  <c r="H516" i="63"/>
  <c r="G516" i="63"/>
  <c r="J515" i="63"/>
  <c r="I515" i="63"/>
  <c r="H515" i="63"/>
  <c r="G515" i="63"/>
  <c r="J514" i="63"/>
  <c r="I514" i="63"/>
  <c r="H514" i="63"/>
  <c r="G514" i="63"/>
  <c r="J513" i="63"/>
  <c r="I513" i="63"/>
  <c r="H513" i="63"/>
  <c r="G513" i="63"/>
  <c r="J512" i="63"/>
  <c r="I512" i="63"/>
  <c r="H512" i="63"/>
  <c r="G512" i="63"/>
  <c r="J511" i="63"/>
  <c r="I511" i="63"/>
  <c r="H511" i="63"/>
  <c r="G511" i="63"/>
  <c r="J510" i="63"/>
  <c r="I510" i="63"/>
  <c r="H510" i="63"/>
  <c r="G510" i="63"/>
  <c r="J509" i="63"/>
  <c r="I509" i="63"/>
  <c r="H509" i="63"/>
  <c r="G509" i="63"/>
  <c r="J508" i="63"/>
  <c r="I508" i="63"/>
  <c r="H508" i="63"/>
  <c r="G508" i="63"/>
  <c r="J507" i="63"/>
  <c r="I507" i="63"/>
  <c r="H507" i="63"/>
  <c r="G507" i="63"/>
  <c r="J506" i="63"/>
  <c r="I506" i="63"/>
  <c r="H506" i="63"/>
  <c r="G506" i="63"/>
  <c r="J505" i="63"/>
  <c r="I505" i="63"/>
  <c r="H505" i="63"/>
  <c r="G505" i="63"/>
  <c r="J504" i="63"/>
  <c r="I504" i="63"/>
  <c r="H504" i="63"/>
  <c r="G504" i="63"/>
  <c r="J503" i="63"/>
  <c r="I503" i="63"/>
  <c r="H503" i="63"/>
  <c r="G503" i="63"/>
  <c r="J502" i="63"/>
  <c r="I502" i="63"/>
  <c r="H502" i="63"/>
  <c r="G502" i="63"/>
  <c r="J501" i="63"/>
  <c r="I501" i="63"/>
  <c r="H501" i="63"/>
  <c r="G501" i="63"/>
  <c r="J500" i="63"/>
  <c r="I500" i="63"/>
  <c r="H500" i="63"/>
  <c r="G500" i="63"/>
  <c r="J499" i="63"/>
  <c r="I499" i="63"/>
  <c r="H499" i="63"/>
  <c r="G499" i="63"/>
  <c r="J498" i="63"/>
  <c r="I498" i="63"/>
  <c r="H498" i="63"/>
  <c r="G498" i="63"/>
  <c r="J497" i="63"/>
  <c r="I497" i="63"/>
  <c r="H497" i="63"/>
  <c r="G497" i="63"/>
  <c r="J496" i="63"/>
  <c r="I496" i="63"/>
  <c r="H496" i="63"/>
  <c r="G496" i="63"/>
  <c r="J495" i="63"/>
  <c r="I495" i="63"/>
  <c r="H495" i="63"/>
  <c r="G495" i="63"/>
  <c r="J494" i="63"/>
  <c r="I494" i="63"/>
  <c r="H494" i="63"/>
  <c r="G494" i="63"/>
  <c r="J493" i="63"/>
  <c r="I493" i="63"/>
  <c r="H493" i="63"/>
  <c r="G493" i="63"/>
  <c r="J492" i="63"/>
  <c r="I492" i="63"/>
  <c r="H492" i="63"/>
  <c r="G492" i="63"/>
  <c r="J491" i="63"/>
  <c r="I491" i="63"/>
  <c r="H491" i="63"/>
  <c r="G491" i="63"/>
  <c r="J490" i="63"/>
  <c r="I490" i="63"/>
  <c r="H490" i="63"/>
  <c r="G490" i="63"/>
  <c r="J489" i="63"/>
  <c r="I489" i="63"/>
  <c r="H489" i="63"/>
  <c r="G489" i="63"/>
  <c r="J488" i="63"/>
  <c r="I488" i="63"/>
  <c r="H488" i="63"/>
  <c r="G488" i="63"/>
  <c r="J487" i="63"/>
  <c r="I487" i="63"/>
  <c r="H487" i="63"/>
  <c r="G487" i="63"/>
  <c r="J486" i="63"/>
  <c r="I486" i="63"/>
  <c r="H486" i="63"/>
  <c r="G486" i="63"/>
  <c r="J485" i="63"/>
  <c r="I485" i="63"/>
  <c r="H485" i="63"/>
  <c r="G485" i="63"/>
  <c r="J484" i="63"/>
  <c r="I484" i="63"/>
  <c r="H484" i="63"/>
  <c r="G484" i="63"/>
  <c r="J483" i="63"/>
  <c r="I483" i="63"/>
  <c r="H483" i="63"/>
  <c r="G483" i="63"/>
  <c r="J482" i="63"/>
  <c r="I482" i="63"/>
  <c r="H482" i="63"/>
  <c r="G482" i="63"/>
  <c r="J481" i="63"/>
  <c r="I481" i="63"/>
  <c r="H481" i="63"/>
  <c r="G481" i="63"/>
  <c r="J480" i="63"/>
  <c r="I480" i="63"/>
  <c r="H480" i="63"/>
  <c r="G480" i="63"/>
  <c r="J479" i="63"/>
  <c r="I479" i="63"/>
  <c r="H479" i="63"/>
  <c r="G479" i="63"/>
  <c r="J478" i="63"/>
  <c r="I478" i="63"/>
  <c r="H478" i="63"/>
  <c r="G478" i="63"/>
  <c r="J477" i="63"/>
  <c r="I477" i="63"/>
  <c r="H477" i="63"/>
  <c r="G477" i="63"/>
  <c r="J476" i="63"/>
  <c r="I476" i="63"/>
  <c r="H476" i="63"/>
  <c r="G476" i="63"/>
  <c r="J475" i="63"/>
  <c r="I475" i="63"/>
  <c r="H475" i="63"/>
  <c r="G475" i="63"/>
  <c r="J474" i="63"/>
  <c r="I474" i="63"/>
  <c r="H474" i="63"/>
  <c r="G474" i="63"/>
  <c r="J473" i="63"/>
  <c r="I473" i="63"/>
  <c r="H473" i="63"/>
  <c r="G473" i="63"/>
  <c r="J472" i="63"/>
  <c r="I472" i="63"/>
  <c r="H472" i="63"/>
  <c r="G472" i="63"/>
  <c r="J471" i="63"/>
  <c r="I471" i="63"/>
  <c r="H471" i="63"/>
  <c r="G471" i="63"/>
  <c r="J470" i="63"/>
  <c r="I470" i="63"/>
  <c r="H470" i="63"/>
  <c r="G470" i="63"/>
  <c r="J469" i="63"/>
  <c r="I469" i="63"/>
  <c r="H469" i="63"/>
  <c r="G469" i="63"/>
  <c r="J468" i="63"/>
  <c r="I468" i="63"/>
  <c r="H468" i="63"/>
  <c r="G468" i="63"/>
  <c r="J467" i="63"/>
  <c r="I467" i="63"/>
  <c r="H467" i="63"/>
  <c r="G467" i="63"/>
  <c r="J466" i="63"/>
  <c r="I466" i="63"/>
  <c r="H466" i="63"/>
  <c r="G466" i="63"/>
  <c r="J465" i="63"/>
  <c r="I465" i="63"/>
  <c r="H465" i="63"/>
  <c r="G465" i="63"/>
  <c r="J464" i="63"/>
  <c r="I464" i="63"/>
  <c r="H464" i="63"/>
  <c r="G464" i="63"/>
  <c r="J463" i="63"/>
  <c r="I463" i="63"/>
  <c r="H463" i="63"/>
  <c r="G463" i="63"/>
  <c r="J462" i="63"/>
  <c r="I462" i="63"/>
  <c r="H462" i="63"/>
  <c r="G462" i="63"/>
  <c r="J461" i="63"/>
  <c r="I461" i="63"/>
  <c r="H461" i="63"/>
  <c r="G461" i="63"/>
  <c r="J460" i="63"/>
  <c r="I460" i="63"/>
  <c r="H460" i="63"/>
  <c r="G460" i="63"/>
  <c r="J459" i="63"/>
  <c r="I459" i="63"/>
  <c r="H459" i="63"/>
  <c r="G459" i="63"/>
  <c r="J458" i="63"/>
  <c r="I458" i="63"/>
  <c r="H458" i="63"/>
  <c r="G458" i="63"/>
  <c r="J457" i="63"/>
  <c r="I457" i="63"/>
  <c r="H457" i="63"/>
  <c r="G457" i="63"/>
  <c r="J456" i="63"/>
  <c r="I456" i="63"/>
  <c r="H456" i="63"/>
  <c r="G456" i="63"/>
  <c r="J455" i="63"/>
  <c r="I455" i="63"/>
  <c r="H455" i="63"/>
  <c r="G455" i="63"/>
  <c r="J454" i="63"/>
  <c r="I454" i="63"/>
  <c r="H454" i="63"/>
  <c r="G454" i="63"/>
  <c r="J453" i="63"/>
  <c r="I453" i="63"/>
  <c r="H453" i="63"/>
  <c r="G453" i="63"/>
  <c r="J452" i="63"/>
  <c r="I452" i="63"/>
  <c r="H452" i="63"/>
  <c r="G452" i="63"/>
  <c r="J451" i="63"/>
  <c r="I451" i="63"/>
  <c r="H451" i="63"/>
  <c r="G451" i="63"/>
  <c r="J450" i="63"/>
  <c r="I450" i="63"/>
  <c r="H450" i="63"/>
  <c r="G450" i="63"/>
  <c r="J449" i="63"/>
  <c r="I449" i="63"/>
  <c r="H449" i="63"/>
  <c r="G449" i="63"/>
  <c r="J448" i="63"/>
  <c r="I448" i="63"/>
  <c r="H448" i="63"/>
  <c r="G448" i="63"/>
  <c r="J447" i="63"/>
  <c r="I447" i="63"/>
  <c r="H447" i="63"/>
  <c r="G447" i="63"/>
  <c r="J446" i="63"/>
  <c r="I446" i="63"/>
  <c r="H446" i="63"/>
  <c r="G446" i="63"/>
  <c r="J445" i="63"/>
  <c r="I445" i="63"/>
  <c r="H445" i="63"/>
  <c r="G445" i="63"/>
  <c r="J444" i="63"/>
  <c r="I444" i="63"/>
  <c r="H444" i="63"/>
  <c r="G444" i="63"/>
  <c r="J443" i="63"/>
  <c r="I443" i="63"/>
  <c r="H443" i="63"/>
  <c r="G443" i="63"/>
  <c r="J442" i="63"/>
  <c r="I442" i="63"/>
  <c r="H442" i="63"/>
  <c r="G442" i="63"/>
  <c r="J441" i="63"/>
  <c r="I441" i="63"/>
  <c r="H441" i="63"/>
  <c r="G441" i="63"/>
  <c r="J440" i="63"/>
  <c r="I440" i="63"/>
  <c r="H440" i="63"/>
  <c r="G440" i="63"/>
  <c r="J439" i="63"/>
  <c r="I439" i="63"/>
  <c r="H439" i="63"/>
  <c r="G439" i="63"/>
  <c r="J438" i="63"/>
  <c r="I438" i="63"/>
  <c r="H438" i="63"/>
  <c r="G438" i="63"/>
  <c r="J437" i="63"/>
  <c r="I437" i="63"/>
  <c r="H437" i="63"/>
  <c r="G437" i="63"/>
  <c r="J436" i="63"/>
  <c r="I436" i="63"/>
  <c r="H436" i="63"/>
  <c r="G436" i="63"/>
  <c r="J435" i="63"/>
  <c r="I435" i="63"/>
  <c r="H435" i="63"/>
  <c r="G435" i="63"/>
  <c r="J434" i="63"/>
  <c r="I434" i="63"/>
  <c r="H434" i="63"/>
  <c r="G434" i="63"/>
  <c r="J433" i="63"/>
  <c r="I433" i="63"/>
  <c r="H433" i="63"/>
  <c r="G433" i="63"/>
  <c r="J432" i="63"/>
  <c r="I432" i="63"/>
  <c r="H432" i="63"/>
  <c r="G432" i="63"/>
  <c r="J431" i="63"/>
  <c r="I431" i="63"/>
  <c r="H431" i="63"/>
  <c r="G431" i="63"/>
  <c r="J430" i="63"/>
  <c r="I430" i="63"/>
  <c r="H430" i="63"/>
  <c r="G430" i="63"/>
  <c r="J429" i="63"/>
  <c r="I429" i="63"/>
  <c r="H429" i="63"/>
  <c r="G429" i="63"/>
  <c r="J428" i="63"/>
  <c r="I428" i="63"/>
  <c r="H428" i="63"/>
  <c r="G428" i="63"/>
  <c r="J427" i="63"/>
  <c r="I427" i="63"/>
  <c r="H427" i="63"/>
  <c r="G427" i="63"/>
  <c r="J426" i="63"/>
  <c r="I426" i="63"/>
  <c r="H426" i="63"/>
  <c r="G426" i="63"/>
  <c r="J425" i="63"/>
  <c r="I425" i="63"/>
  <c r="H425" i="63"/>
  <c r="G425" i="63"/>
  <c r="J424" i="63"/>
  <c r="I424" i="63"/>
  <c r="H424" i="63"/>
  <c r="G424" i="63"/>
  <c r="J423" i="63"/>
  <c r="I423" i="63"/>
  <c r="H423" i="63"/>
  <c r="G423" i="63"/>
  <c r="J422" i="63"/>
  <c r="I422" i="63"/>
  <c r="H422" i="63"/>
  <c r="G422" i="63"/>
  <c r="J421" i="63"/>
  <c r="I421" i="63"/>
  <c r="H421" i="63"/>
  <c r="G421" i="63"/>
  <c r="J420" i="63"/>
  <c r="I420" i="63"/>
  <c r="H420" i="63"/>
  <c r="G420" i="63"/>
  <c r="J419" i="63"/>
  <c r="I419" i="63"/>
  <c r="H419" i="63"/>
  <c r="G419" i="63"/>
  <c r="J418" i="63"/>
  <c r="I418" i="63"/>
  <c r="H418" i="63"/>
  <c r="G418" i="63"/>
  <c r="J417" i="63"/>
  <c r="I417" i="63"/>
  <c r="H417" i="63"/>
  <c r="G417" i="63"/>
  <c r="J416" i="63"/>
  <c r="I416" i="63"/>
  <c r="H416" i="63"/>
  <c r="G416" i="63"/>
  <c r="J415" i="63"/>
  <c r="I415" i="63"/>
  <c r="H415" i="63"/>
  <c r="G415" i="63"/>
  <c r="J414" i="63"/>
  <c r="I414" i="63"/>
  <c r="H414" i="63"/>
  <c r="G414" i="63"/>
  <c r="J413" i="63"/>
  <c r="I413" i="63"/>
  <c r="H413" i="63"/>
  <c r="G413" i="63"/>
  <c r="J412" i="63"/>
  <c r="I412" i="63"/>
  <c r="H412" i="63"/>
  <c r="G412" i="63"/>
  <c r="J411" i="63"/>
  <c r="I411" i="63"/>
  <c r="H411" i="63"/>
  <c r="G411" i="63"/>
  <c r="J410" i="63"/>
  <c r="I410" i="63"/>
  <c r="H410" i="63"/>
  <c r="G410" i="63"/>
  <c r="J409" i="63"/>
  <c r="I409" i="63"/>
  <c r="H409" i="63"/>
  <c r="G409" i="63"/>
  <c r="J408" i="63"/>
  <c r="I408" i="63"/>
  <c r="H408" i="63"/>
  <c r="G408" i="63"/>
  <c r="J407" i="63"/>
  <c r="I407" i="63"/>
  <c r="H407" i="63"/>
  <c r="G407" i="63"/>
  <c r="J406" i="63"/>
  <c r="I406" i="63"/>
  <c r="H406" i="63"/>
  <c r="G406" i="63"/>
  <c r="J405" i="63"/>
  <c r="I405" i="63"/>
  <c r="H405" i="63"/>
  <c r="G405" i="63"/>
  <c r="J404" i="63"/>
  <c r="I404" i="63"/>
  <c r="H404" i="63"/>
  <c r="G404" i="63"/>
  <c r="J403" i="63"/>
  <c r="I403" i="63"/>
  <c r="H403" i="63"/>
  <c r="G403" i="63"/>
  <c r="J402" i="63"/>
  <c r="I402" i="63"/>
  <c r="H402" i="63"/>
  <c r="G402" i="63"/>
  <c r="J401" i="63"/>
  <c r="I401" i="63"/>
  <c r="H401" i="63"/>
  <c r="G401" i="63"/>
  <c r="J400" i="63"/>
  <c r="I400" i="63"/>
  <c r="H400" i="63"/>
  <c r="G400" i="63"/>
  <c r="J399" i="63"/>
  <c r="I399" i="63"/>
  <c r="H399" i="63"/>
  <c r="G399" i="63"/>
  <c r="J398" i="63"/>
  <c r="I398" i="63"/>
  <c r="H398" i="63"/>
  <c r="G398" i="63"/>
  <c r="J397" i="63"/>
  <c r="I397" i="63"/>
  <c r="H397" i="63"/>
  <c r="G397" i="63"/>
  <c r="J396" i="63"/>
  <c r="I396" i="63"/>
  <c r="H396" i="63"/>
  <c r="G396" i="63"/>
  <c r="J395" i="63"/>
  <c r="I395" i="63"/>
  <c r="H395" i="63"/>
  <c r="G395" i="63"/>
  <c r="J394" i="63"/>
  <c r="I394" i="63"/>
  <c r="H394" i="63"/>
  <c r="G394" i="63"/>
  <c r="J393" i="63"/>
  <c r="I393" i="63"/>
  <c r="H393" i="63"/>
  <c r="G393" i="63"/>
  <c r="J392" i="63"/>
  <c r="I392" i="63"/>
  <c r="H392" i="63"/>
  <c r="G392" i="63"/>
  <c r="J391" i="63"/>
  <c r="I391" i="63"/>
  <c r="H391" i="63"/>
  <c r="G391" i="63"/>
  <c r="J390" i="63"/>
  <c r="I390" i="63"/>
  <c r="H390" i="63"/>
  <c r="G390" i="63"/>
  <c r="J389" i="63"/>
  <c r="I389" i="63"/>
  <c r="H389" i="63"/>
  <c r="G389" i="63"/>
  <c r="J388" i="63"/>
  <c r="I388" i="63"/>
  <c r="H388" i="63"/>
  <c r="G388" i="63"/>
  <c r="J387" i="63"/>
  <c r="I387" i="63"/>
  <c r="H387" i="63"/>
  <c r="G387" i="63"/>
  <c r="J386" i="63"/>
  <c r="I386" i="63"/>
  <c r="H386" i="63"/>
  <c r="G386" i="63"/>
  <c r="J385" i="63"/>
  <c r="I385" i="63"/>
  <c r="H385" i="63"/>
  <c r="G385" i="63"/>
  <c r="J384" i="63"/>
  <c r="I384" i="63"/>
  <c r="H384" i="63"/>
  <c r="G384" i="63"/>
  <c r="J383" i="63"/>
  <c r="I383" i="63"/>
  <c r="H383" i="63"/>
  <c r="G383" i="63"/>
  <c r="J382" i="63"/>
  <c r="I382" i="63"/>
  <c r="H382" i="63"/>
  <c r="G382" i="63"/>
  <c r="J381" i="63"/>
  <c r="I381" i="63"/>
  <c r="H381" i="63"/>
  <c r="G381" i="63"/>
  <c r="J380" i="63"/>
  <c r="I380" i="63"/>
  <c r="H380" i="63"/>
  <c r="G380" i="63"/>
  <c r="J379" i="63"/>
  <c r="I379" i="63"/>
  <c r="H379" i="63"/>
  <c r="G379" i="63"/>
  <c r="J378" i="63"/>
  <c r="I378" i="63"/>
  <c r="H378" i="63"/>
  <c r="G378" i="63"/>
  <c r="J377" i="63"/>
  <c r="I377" i="63"/>
  <c r="H377" i="63"/>
  <c r="G377" i="63"/>
  <c r="J376" i="63"/>
  <c r="I376" i="63"/>
  <c r="H376" i="63"/>
  <c r="G376" i="63"/>
  <c r="J375" i="63"/>
  <c r="I375" i="63"/>
  <c r="H375" i="63"/>
  <c r="G375" i="63"/>
  <c r="J374" i="63"/>
  <c r="I374" i="63"/>
  <c r="H374" i="63"/>
  <c r="G374" i="63"/>
  <c r="J373" i="63"/>
  <c r="I373" i="63"/>
  <c r="H373" i="63"/>
  <c r="G373" i="63"/>
  <c r="J372" i="63"/>
  <c r="I372" i="63"/>
  <c r="H372" i="63"/>
  <c r="G372" i="63"/>
  <c r="J371" i="63"/>
  <c r="I371" i="63"/>
  <c r="H371" i="63"/>
  <c r="G371" i="63"/>
  <c r="J370" i="63"/>
  <c r="I370" i="63"/>
  <c r="H370" i="63"/>
  <c r="G370" i="63"/>
  <c r="J369" i="63"/>
  <c r="I369" i="63"/>
  <c r="H369" i="63"/>
  <c r="G369" i="63"/>
  <c r="J368" i="63"/>
  <c r="I368" i="63"/>
  <c r="H368" i="63"/>
  <c r="G368" i="63"/>
  <c r="J367" i="63"/>
  <c r="I367" i="63"/>
  <c r="H367" i="63"/>
  <c r="G367" i="63"/>
  <c r="J366" i="63"/>
  <c r="I366" i="63"/>
  <c r="H366" i="63"/>
  <c r="G366" i="63"/>
  <c r="J365" i="63"/>
  <c r="I365" i="63"/>
  <c r="H365" i="63"/>
  <c r="G365" i="63"/>
  <c r="J364" i="63"/>
  <c r="I364" i="63"/>
  <c r="H364" i="63"/>
  <c r="G364" i="63"/>
  <c r="J363" i="63"/>
  <c r="I363" i="63"/>
  <c r="H363" i="63"/>
  <c r="G363" i="63"/>
  <c r="J362" i="63"/>
  <c r="I362" i="63"/>
  <c r="H362" i="63"/>
  <c r="G362" i="63"/>
  <c r="J361" i="63"/>
  <c r="I361" i="63"/>
  <c r="H361" i="63"/>
  <c r="G361" i="63"/>
  <c r="J360" i="63"/>
  <c r="I360" i="63"/>
  <c r="H360" i="63"/>
  <c r="G360" i="63"/>
  <c r="J359" i="63"/>
  <c r="I359" i="63"/>
  <c r="H359" i="63"/>
  <c r="G359" i="63"/>
  <c r="J358" i="63"/>
  <c r="I358" i="63"/>
  <c r="H358" i="63"/>
  <c r="G358" i="63"/>
  <c r="J357" i="63"/>
  <c r="I357" i="63"/>
  <c r="H357" i="63"/>
  <c r="G357" i="63"/>
  <c r="J356" i="63"/>
  <c r="I356" i="63"/>
  <c r="H356" i="63"/>
  <c r="G356" i="63"/>
  <c r="J355" i="63"/>
  <c r="I355" i="63"/>
  <c r="H355" i="63"/>
  <c r="G355" i="63"/>
  <c r="J354" i="63"/>
  <c r="I354" i="63"/>
  <c r="H354" i="63"/>
  <c r="G354" i="63"/>
  <c r="J353" i="63"/>
  <c r="I353" i="63"/>
  <c r="H353" i="63"/>
  <c r="G353" i="63"/>
  <c r="J352" i="63"/>
  <c r="I352" i="63"/>
  <c r="H352" i="63"/>
  <c r="G352" i="63"/>
  <c r="J351" i="63"/>
  <c r="I351" i="63"/>
  <c r="H351" i="63"/>
  <c r="G351" i="63"/>
  <c r="J350" i="63"/>
  <c r="I350" i="63"/>
  <c r="H350" i="63"/>
  <c r="G350" i="63"/>
  <c r="J349" i="63"/>
  <c r="I349" i="63"/>
  <c r="H349" i="63"/>
  <c r="G349" i="63"/>
  <c r="J348" i="63"/>
  <c r="I348" i="63"/>
  <c r="H348" i="63"/>
  <c r="G348" i="63"/>
  <c r="J347" i="63"/>
  <c r="I347" i="63"/>
  <c r="H347" i="63"/>
  <c r="G347" i="63"/>
  <c r="J346" i="63"/>
  <c r="I346" i="63"/>
  <c r="H346" i="63"/>
  <c r="G346" i="63"/>
  <c r="J345" i="63"/>
  <c r="I345" i="63"/>
  <c r="H345" i="63"/>
  <c r="G345" i="63"/>
  <c r="J344" i="63"/>
  <c r="I344" i="63"/>
  <c r="H344" i="63"/>
  <c r="G344" i="63"/>
  <c r="J343" i="63"/>
  <c r="I343" i="63"/>
  <c r="H343" i="63"/>
  <c r="G343" i="63"/>
  <c r="J342" i="63"/>
  <c r="I342" i="63"/>
  <c r="H342" i="63"/>
  <c r="G342" i="63"/>
  <c r="J341" i="63"/>
  <c r="I341" i="63"/>
  <c r="H341" i="63"/>
  <c r="G341" i="63"/>
  <c r="J340" i="63"/>
  <c r="I340" i="63"/>
  <c r="H340" i="63"/>
  <c r="G340" i="63"/>
  <c r="J339" i="63"/>
  <c r="I339" i="63"/>
  <c r="H339" i="63"/>
  <c r="G339" i="63"/>
  <c r="J338" i="63"/>
  <c r="I338" i="63"/>
  <c r="H338" i="63"/>
  <c r="G338" i="63"/>
  <c r="J337" i="63"/>
  <c r="I337" i="63"/>
  <c r="H337" i="63"/>
  <c r="G337" i="63"/>
  <c r="J336" i="63"/>
  <c r="I336" i="63"/>
  <c r="H336" i="63"/>
  <c r="G336" i="63"/>
  <c r="J335" i="63"/>
  <c r="I335" i="63"/>
  <c r="H335" i="63"/>
  <c r="G335" i="63"/>
  <c r="J334" i="63"/>
  <c r="I334" i="63"/>
  <c r="H334" i="63"/>
  <c r="G334" i="63"/>
  <c r="J333" i="63"/>
  <c r="I333" i="63"/>
  <c r="H333" i="63"/>
  <c r="G333" i="63"/>
  <c r="J332" i="63"/>
  <c r="I332" i="63"/>
  <c r="H332" i="63"/>
  <c r="G332" i="63"/>
  <c r="J331" i="63"/>
  <c r="I331" i="63"/>
  <c r="H331" i="63"/>
  <c r="G331" i="63"/>
  <c r="J330" i="63"/>
  <c r="I330" i="63"/>
  <c r="H330" i="63"/>
  <c r="G330" i="63"/>
  <c r="J329" i="63"/>
  <c r="I329" i="63"/>
  <c r="H329" i="63"/>
  <c r="G329" i="63"/>
  <c r="J328" i="63"/>
  <c r="I328" i="63"/>
  <c r="H328" i="63"/>
  <c r="G328" i="63"/>
  <c r="J327" i="63"/>
  <c r="I327" i="63"/>
  <c r="H327" i="63"/>
  <c r="G327" i="63"/>
  <c r="J326" i="63"/>
  <c r="I326" i="63"/>
  <c r="H326" i="63"/>
  <c r="G326" i="63"/>
  <c r="J325" i="63"/>
  <c r="I325" i="63"/>
  <c r="H325" i="63"/>
  <c r="G325" i="63"/>
  <c r="J324" i="63"/>
  <c r="I324" i="63"/>
  <c r="H324" i="63"/>
  <c r="G324" i="63"/>
  <c r="J323" i="63"/>
  <c r="I323" i="63"/>
  <c r="H323" i="63"/>
  <c r="G323" i="63"/>
  <c r="J322" i="63"/>
  <c r="I322" i="63"/>
  <c r="H322" i="63"/>
  <c r="G322" i="63"/>
  <c r="J321" i="63"/>
  <c r="I321" i="63"/>
  <c r="H321" i="63"/>
  <c r="G321" i="63"/>
  <c r="J320" i="63"/>
  <c r="I320" i="63"/>
  <c r="H320" i="63"/>
  <c r="G320" i="63"/>
  <c r="J319" i="63"/>
  <c r="I319" i="63"/>
  <c r="H319" i="63"/>
  <c r="G319" i="63"/>
  <c r="J318" i="63"/>
  <c r="I318" i="63"/>
  <c r="H318" i="63"/>
  <c r="G318" i="63"/>
  <c r="J317" i="63"/>
  <c r="I317" i="63"/>
  <c r="H317" i="63"/>
  <c r="G317" i="63"/>
  <c r="J316" i="63"/>
  <c r="I316" i="63"/>
  <c r="H316" i="63"/>
  <c r="G316" i="63"/>
  <c r="J315" i="63"/>
  <c r="I315" i="63"/>
  <c r="H315" i="63"/>
  <c r="G315" i="63"/>
  <c r="J314" i="63"/>
  <c r="I314" i="63"/>
  <c r="H314" i="63"/>
  <c r="G314" i="63"/>
  <c r="J313" i="63"/>
  <c r="I313" i="63"/>
  <c r="H313" i="63"/>
  <c r="G313" i="63"/>
  <c r="J312" i="63"/>
  <c r="I312" i="63"/>
  <c r="H312" i="63"/>
  <c r="G312" i="63"/>
  <c r="J311" i="63"/>
  <c r="I311" i="63"/>
  <c r="H311" i="63"/>
  <c r="G311" i="63"/>
  <c r="J310" i="63"/>
  <c r="I310" i="63"/>
  <c r="H310" i="63"/>
  <c r="G310" i="63"/>
  <c r="J309" i="63"/>
  <c r="I309" i="63"/>
  <c r="H309" i="63"/>
  <c r="G309" i="63"/>
  <c r="J308" i="63"/>
  <c r="I308" i="63"/>
  <c r="H308" i="63"/>
  <c r="G308" i="63"/>
  <c r="J307" i="63"/>
  <c r="I307" i="63"/>
  <c r="H307" i="63"/>
  <c r="G307" i="63"/>
  <c r="J306" i="63"/>
  <c r="I306" i="63"/>
  <c r="H306" i="63"/>
  <c r="G306" i="63"/>
  <c r="J305" i="63"/>
  <c r="I305" i="63"/>
  <c r="H305" i="63"/>
  <c r="G305" i="63"/>
  <c r="J304" i="63"/>
  <c r="I304" i="63"/>
  <c r="H304" i="63"/>
  <c r="G304" i="63"/>
  <c r="J303" i="63"/>
  <c r="I303" i="63"/>
  <c r="H303" i="63"/>
  <c r="G303" i="63"/>
  <c r="J302" i="63"/>
  <c r="I302" i="63"/>
  <c r="H302" i="63"/>
  <c r="G302" i="63"/>
  <c r="J301" i="63"/>
  <c r="I301" i="63"/>
  <c r="H301" i="63"/>
  <c r="G301" i="63"/>
  <c r="J300" i="63"/>
  <c r="I300" i="63"/>
  <c r="H300" i="63"/>
  <c r="G300" i="63"/>
  <c r="J299" i="63"/>
  <c r="I299" i="63"/>
  <c r="H299" i="63"/>
  <c r="G299" i="63"/>
  <c r="J298" i="63"/>
  <c r="I298" i="63"/>
  <c r="H298" i="63"/>
  <c r="G298" i="63"/>
  <c r="J297" i="63"/>
  <c r="I297" i="63"/>
  <c r="H297" i="63"/>
  <c r="G297" i="63"/>
  <c r="J296" i="63"/>
  <c r="I296" i="63"/>
  <c r="H296" i="63"/>
  <c r="G296" i="63"/>
  <c r="J295" i="63"/>
  <c r="I295" i="63"/>
  <c r="H295" i="63"/>
  <c r="G295" i="63"/>
  <c r="J294" i="63"/>
  <c r="I294" i="63"/>
  <c r="H294" i="63"/>
  <c r="G294" i="63"/>
  <c r="J293" i="63"/>
  <c r="I293" i="63"/>
  <c r="H293" i="63"/>
  <c r="G293" i="63"/>
  <c r="J292" i="63"/>
  <c r="I292" i="63"/>
  <c r="H292" i="63"/>
  <c r="G292" i="63"/>
  <c r="J291" i="63"/>
  <c r="I291" i="63"/>
  <c r="H291" i="63"/>
  <c r="G291" i="63"/>
  <c r="J290" i="63"/>
  <c r="I290" i="63"/>
  <c r="H290" i="63"/>
  <c r="G290" i="63"/>
  <c r="J289" i="63"/>
  <c r="I289" i="63"/>
  <c r="H289" i="63"/>
  <c r="G289" i="63"/>
  <c r="J288" i="63"/>
  <c r="I288" i="63"/>
  <c r="H288" i="63"/>
  <c r="G288" i="63"/>
  <c r="J287" i="63"/>
  <c r="I287" i="63"/>
  <c r="H287" i="63"/>
  <c r="G287" i="63"/>
  <c r="J286" i="63"/>
  <c r="I286" i="63"/>
  <c r="H286" i="63"/>
  <c r="G286" i="63"/>
  <c r="J285" i="63"/>
  <c r="I285" i="63"/>
  <c r="H285" i="63"/>
  <c r="G285" i="63"/>
  <c r="J284" i="63"/>
  <c r="I284" i="63"/>
  <c r="H284" i="63"/>
  <c r="G284" i="63"/>
  <c r="J283" i="63"/>
  <c r="I283" i="63"/>
  <c r="H283" i="63"/>
  <c r="G283" i="63"/>
  <c r="J282" i="63"/>
  <c r="I282" i="63"/>
  <c r="H282" i="63"/>
  <c r="G282" i="63"/>
  <c r="J281" i="63"/>
  <c r="I281" i="63"/>
  <c r="H281" i="63"/>
  <c r="G281" i="63"/>
  <c r="J280" i="63"/>
  <c r="I280" i="63"/>
  <c r="H280" i="63"/>
  <c r="G280" i="63"/>
  <c r="J279" i="63"/>
  <c r="I279" i="63"/>
  <c r="H279" i="63"/>
  <c r="G279" i="63"/>
  <c r="J278" i="63"/>
  <c r="I278" i="63"/>
  <c r="H278" i="63"/>
  <c r="G278" i="63"/>
  <c r="J277" i="63"/>
  <c r="I277" i="63"/>
  <c r="H277" i="63"/>
  <c r="G277" i="63"/>
  <c r="J276" i="63"/>
  <c r="I276" i="63"/>
  <c r="H276" i="63"/>
  <c r="G276" i="63"/>
  <c r="J275" i="63"/>
  <c r="I275" i="63"/>
  <c r="H275" i="63"/>
  <c r="G275" i="63"/>
  <c r="J274" i="63"/>
  <c r="I274" i="63"/>
  <c r="H274" i="63"/>
  <c r="G274" i="63"/>
  <c r="J273" i="63"/>
  <c r="I273" i="63"/>
  <c r="H273" i="63"/>
  <c r="G273" i="63"/>
  <c r="J272" i="63"/>
  <c r="I272" i="63"/>
  <c r="H272" i="63"/>
  <c r="G272" i="63"/>
  <c r="J271" i="63"/>
  <c r="I271" i="63"/>
  <c r="H271" i="63"/>
  <c r="G271" i="63"/>
  <c r="J270" i="63"/>
  <c r="I270" i="63"/>
  <c r="H270" i="63"/>
  <c r="G270" i="63"/>
  <c r="J269" i="63"/>
  <c r="I269" i="63"/>
  <c r="H269" i="63"/>
  <c r="G269" i="63"/>
  <c r="J268" i="63"/>
  <c r="I268" i="63"/>
  <c r="H268" i="63"/>
  <c r="G268" i="63"/>
  <c r="J267" i="63"/>
  <c r="I267" i="63"/>
  <c r="H267" i="63"/>
  <c r="G267" i="63"/>
  <c r="J266" i="63"/>
  <c r="I266" i="63"/>
  <c r="H266" i="63"/>
  <c r="G266" i="63"/>
  <c r="J265" i="63"/>
  <c r="I265" i="63"/>
  <c r="H265" i="63"/>
  <c r="G265" i="63"/>
  <c r="J264" i="63"/>
  <c r="I264" i="63"/>
  <c r="H264" i="63"/>
  <c r="G264" i="63"/>
  <c r="J263" i="63"/>
  <c r="I263" i="63"/>
  <c r="H263" i="63"/>
  <c r="G263" i="63"/>
  <c r="J262" i="63"/>
  <c r="I262" i="63"/>
  <c r="H262" i="63"/>
  <c r="G262" i="63"/>
  <c r="J261" i="63"/>
  <c r="I261" i="63"/>
  <c r="H261" i="63"/>
  <c r="G261" i="63"/>
  <c r="J260" i="63"/>
  <c r="I260" i="63"/>
  <c r="H260" i="63"/>
  <c r="G260" i="63"/>
  <c r="J259" i="63"/>
  <c r="I259" i="63"/>
  <c r="H259" i="63"/>
  <c r="G259" i="63"/>
  <c r="J258" i="63"/>
  <c r="I258" i="63"/>
  <c r="H258" i="63"/>
  <c r="G258" i="63"/>
  <c r="J257" i="63"/>
  <c r="I257" i="63"/>
  <c r="H257" i="63"/>
  <c r="G257" i="63"/>
  <c r="J256" i="63"/>
  <c r="I256" i="63"/>
  <c r="H256" i="63"/>
  <c r="G256" i="63"/>
  <c r="J255" i="63"/>
  <c r="I255" i="63"/>
  <c r="H255" i="63"/>
  <c r="G255" i="63"/>
  <c r="J254" i="63"/>
  <c r="I254" i="63"/>
  <c r="H254" i="63"/>
  <c r="G254" i="63"/>
  <c r="J253" i="63"/>
  <c r="I253" i="63"/>
  <c r="H253" i="63"/>
  <c r="G253" i="63"/>
  <c r="J252" i="63"/>
  <c r="I252" i="63"/>
  <c r="H252" i="63"/>
  <c r="G252" i="63"/>
  <c r="J251" i="63"/>
  <c r="I251" i="63"/>
  <c r="H251" i="63"/>
  <c r="G251" i="63"/>
  <c r="J250" i="63"/>
  <c r="I250" i="63"/>
  <c r="H250" i="63"/>
  <c r="G250" i="63"/>
  <c r="J249" i="63"/>
  <c r="I249" i="63"/>
  <c r="H249" i="63"/>
  <c r="G249" i="63"/>
  <c r="J248" i="63"/>
  <c r="I248" i="63"/>
  <c r="H248" i="63"/>
  <c r="G248" i="63"/>
  <c r="J247" i="63"/>
  <c r="I247" i="63"/>
  <c r="H247" i="63"/>
  <c r="G247" i="63"/>
  <c r="J246" i="63"/>
  <c r="I246" i="63"/>
  <c r="H246" i="63"/>
  <c r="G246" i="63"/>
  <c r="J245" i="63"/>
  <c r="I245" i="63"/>
  <c r="H245" i="63"/>
  <c r="G245" i="63"/>
  <c r="J244" i="63"/>
  <c r="I244" i="63"/>
  <c r="H244" i="63"/>
  <c r="G244" i="63"/>
  <c r="J243" i="63"/>
  <c r="I243" i="63"/>
  <c r="H243" i="63"/>
  <c r="G243" i="63"/>
  <c r="J242" i="63"/>
  <c r="I242" i="63"/>
  <c r="H242" i="63"/>
  <c r="G242" i="63"/>
  <c r="J241" i="63"/>
  <c r="I241" i="63"/>
  <c r="H241" i="63"/>
  <c r="G241" i="63"/>
  <c r="J240" i="63"/>
  <c r="I240" i="63"/>
  <c r="H240" i="63"/>
  <c r="G240" i="63"/>
  <c r="J239" i="63"/>
  <c r="I239" i="63"/>
  <c r="H239" i="63"/>
  <c r="G239" i="63"/>
  <c r="J238" i="63"/>
  <c r="I238" i="63"/>
  <c r="H238" i="63"/>
  <c r="G238" i="63"/>
  <c r="J237" i="63"/>
  <c r="I237" i="63"/>
  <c r="H237" i="63"/>
  <c r="G237" i="63"/>
  <c r="J236" i="63"/>
  <c r="I236" i="63"/>
  <c r="H236" i="63"/>
  <c r="G236" i="63"/>
  <c r="J235" i="63"/>
  <c r="I235" i="63"/>
  <c r="H235" i="63"/>
  <c r="G235" i="63"/>
  <c r="J234" i="63"/>
  <c r="I234" i="63"/>
  <c r="H234" i="63"/>
  <c r="G234" i="63"/>
  <c r="J233" i="63"/>
  <c r="I233" i="63"/>
  <c r="H233" i="63"/>
  <c r="G233" i="63"/>
  <c r="J232" i="63"/>
  <c r="I232" i="63"/>
  <c r="H232" i="63"/>
  <c r="G232" i="63"/>
  <c r="J231" i="63"/>
  <c r="I231" i="63"/>
  <c r="H231" i="63"/>
  <c r="G231" i="63"/>
  <c r="J230" i="63"/>
  <c r="I230" i="63"/>
  <c r="H230" i="63"/>
  <c r="G230" i="63"/>
  <c r="J229" i="63"/>
  <c r="I229" i="63"/>
  <c r="H229" i="63"/>
  <c r="G229" i="63"/>
  <c r="J228" i="63"/>
  <c r="I228" i="63"/>
  <c r="H228" i="63"/>
  <c r="G228" i="63"/>
  <c r="J227" i="63"/>
  <c r="I227" i="63"/>
  <c r="H227" i="63"/>
  <c r="G227" i="63"/>
  <c r="J226" i="63"/>
  <c r="I226" i="63"/>
  <c r="H226" i="63"/>
  <c r="G226" i="63"/>
  <c r="J225" i="63"/>
  <c r="I225" i="63"/>
  <c r="H225" i="63"/>
  <c r="G225" i="63"/>
  <c r="J224" i="63"/>
  <c r="I224" i="63"/>
  <c r="H224" i="63"/>
  <c r="G224" i="63"/>
  <c r="J223" i="63"/>
  <c r="I223" i="63"/>
  <c r="H223" i="63"/>
  <c r="G223" i="63"/>
  <c r="J222" i="63"/>
  <c r="I222" i="63"/>
  <c r="H222" i="63"/>
  <c r="G222" i="63"/>
  <c r="J221" i="63"/>
  <c r="I221" i="63"/>
  <c r="H221" i="63"/>
  <c r="G221" i="63"/>
  <c r="J220" i="63"/>
  <c r="I220" i="63"/>
  <c r="H220" i="63"/>
  <c r="G220" i="63"/>
  <c r="J219" i="63"/>
  <c r="I219" i="63"/>
  <c r="H219" i="63"/>
  <c r="G219" i="63"/>
  <c r="J218" i="63"/>
  <c r="I218" i="63"/>
  <c r="H218" i="63"/>
  <c r="G218" i="63"/>
  <c r="J217" i="63"/>
  <c r="I217" i="63"/>
  <c r="H217" i="63"/>
  <c r="G217" i="63"/>
  <c r="J216" i="63"/>
  <c r="I216" i="63"/>
  <c r="H216" i="63"/>
  <c r="G216" i="63"/>
  <c r="J215" i="63"/>
  <c r="I215" i="63"/>
  <c r="H215" i="63"/>
  <c r="G215" i="63"/>
  <c r="J214" i="63"/>
  <c r="I214" i="63"/>
  <c r="H214" i="63"/>
  <c r="G214" i="63"/>
  <c r="J213" i="63"/>
  <c r="I213" i="63"/>
  <c r="H213" i="63"/>
  <c r="G213" i="63"/>
  <c r="J212" i="63"/>
  <c r="I212" i="63"/>
  <c r="H212" i="63"/>
  <c r="G212" i="63"/>
  <c r="J211" i="63"/>
  <c r="I211" i="63"/>
  <c r="H211" i="63"/>
  <c r="G211" i="63"/>
  <c r="J210" i="63"/>
  <c r="I210" i="63"/>
  <c r="H210" i="63"/>
  <c r="G210" i="63"/>
  <c r="J209" i="63"/>
  <c r="I209" i="63"/>
  <c r="H209" i="63"/>
  <c r="G209" i="63"/>
  <c r="J208" i="63"/>
  <c r="I208" i="63"/>
  <c r="H208" i="63"/>
  <c r="G208" i="63"/>
  <c r="J207" i="63"/>
  <c r="I207" i="63"/>
  <c r="H207" i="63"/>
  <c r="G207" i="63"/>
  <c r="J206" i="63"/>
  <c r="I206" i="63"/>
  <c r="H206" i="63"/>
  <c r="G206" i="63"/>
  <c r="J205" i="63"/>
  <c r="I205" i="63"/>
  <c r="H205" i="63"/>
  <c r="G205" i="63"/>
  <c r="J204" i="63"/>
  <c r="I204" i="63"/>
  <c r="H204" i="63"/>
  <c r="G204" i="63"/>
  <c r="J203" i="63"/>
  <c r="I203" i="63"/>
  <c r="H203" i="63"/>
  <c r="G203" i="63"/>
  <c r="J202" i="63"/>
  <c r="I202" i="63"/>
  <c r="H202" i="63"/>
  <c r="G202" i="63"/>
  <c r="J201" i="63"/>
  <c r="I201" i="63"/>
  <c r="H201" i="63"/>
  <c r="G201" i="63"/>
  <c r="J200" i="63"/>
  <c r="I200" i="63"/>
  <c r="H200" i="63"/>
  <c r="G200" i="63"/>
  <c r="J199" i="63"/>
  <c r="I199" i="63"/>
  <c r="H199" i="63"/>
  <c r="G199" i="63"/>
  <c r="J198" i="63"/>
  <c r="I198" i="63"/>
  <c r="H198" i="63"/>
  <c r="G198" i="63"/>
  <c r="J197" i="63"/>
  <c r="I197" i="63"/>
  <c r="H197" i="63"/>
  <c r="G197" i="63"/>
  <c r="J196" i="63"/>
  <c r="I196" i="63"/>
  <c r="H196" i="63"/>
  <c r="G196" i="63"/>
  <c r="J195" i="63"/>
  <c r="I195" i="63"/>
  <c r="H195" i="63"/>
  <c r="G195" i="63"/>
  <c r="J194" i="63"/>
  <c r="I194" i="63"/>
  <c r="H194" i="63"/>
  <c r="G194" i="63"/>
  <c r="J193" i="63"/>
  <c r="I193" i="63"/>
  <c r="H193" i="63"/>
  <c r="G193" i="63"/>
  <c r="J192" i="63"/>
  <c r="I192" i="63"/>
  <c r="H192" i="63"/>
  <c r="G192" i="63"/>
  <c r="J191" i="63"/>
  <c r="I191" i="63"/>
  <c r="H191" i="63"/>
  <c r="G191" i="63"/>
  <c r="J190" i="63"/>
  <c r="I190" i="63"/>
  <c r="H190" i="63"/>
  <c r="G190" i="63"/>
  <c r="J189" i="63"/>
  <c r="I189" i="63"/>
  <c r="H189" i="63"/>
  <c r="G189" i="63"/>
  <c r="J188" i="63"/>
  <c r="I188" i="63"/>
  <c r="H188" i="63"/>
  <c r="G188" i="63"/>
  <c r="J187" i="63"/>
  <c r="I187" i="63"/>
  <c r="H187" i="63"/>
  <c r="G187" i="63"/>
  <c r="J186" i="63"/>
  <c r="I186" i="63"/>
  <c r="H186" i="63"/>
  <c r="G186" i="63"/>
  <c r="J185" i="63"/>
  <c r="I185" i="63"/>
  <c r="H185" i="63"/>
  <c r="G185" i="63"/>
  <c r="J184" i="63"/>
  <c r="I184" i="63"/>
  <c r="H184" i="63"/>
  <c r="G184" i="63"/>
  <c r="J183" i="63"/>
  <c r="I183" i="63"/>
  <c r="H183" i="63"/>
  <c r="G183" i="63"/>
  <c r="J182" i="63"/>
  <c r="I182" i="63"/>
  <c r="H182" i="63"/>
  <c r="G182" i="63"/>
  <c r="J181" i="63"/>
  <c r="I181" i="63"/>
  <c r="H181" i="63"/>
  <c r="G181" i="63"/>
  <c r="J180" i="63"/>
  <c r="I180" i="63"/>
  <c r="H180" i="63"/>
  <c r="G180" i="63"/>
  <c r="J179" i="63"/>
  <c r="I179" i="63"/>
  <c r="H179" i="63"/>
  <c r="G179" i="63"/>
  <c r="J178" i="63"/>
  <c r="I178" i="63"/>
  <c r="H178" i="63"/>
  <c r="G178" i="63"/>
  <c r="J177" i="63"/>
  <c r="I177" i="63"/>
  <c r="H177" i="63"/>
  <c r="G177" i="63"/>
  <c r="J176" i="63"/>
  <c r="I176" i="63"/>
  <c r="H176" i="63"/>
  <c r="G176" i="63"/>
  <c r="J175" i="63"/>
  <c r="I175" i="63"/>
  <c r="H175" i="63"/>
  <c r="G175" i="63"/>
  <c r="J174" i="63"/>
  <c r="I174" i="63"/>
  <c r="H174" i="63"/>
  <c r="G174" i="63"/>
  <c r="J173" i="63"/>
  <c r="I173" i="63"/>
  <c r="H173" i="63"/>
  <c r="G173" i="63"/>
  <c r="J172" i="63"/>
  <c r="I172" i="63"/>
  <c r="H172" i="63"/>
  <c r="G172" i="63"/>
  <c r="J171" i="63"/>
  <c r="I171" i="63"/>
  <c r="H171" i="63"/>
  <c r="G171" i="63"/>
  <c r="J170" i="63"/>
  <c r="I170" i="63"/>
  <c r="H170" i="63"/>
  <c r="G170" i="63"/>
  <c r="J169" i="63"/>
  <c r="I169" i="63"/>
  <c r="H169" i="63"/>
  <c r="G169" i="63"/>
  <c r="J168" i="63"/>
  <c r="I168" i="63"/>
  <c r="H168" i="63"/>
  <c r="G168" i="63"/>
  <c r="J167" i="63"/>
  <c r="I167" i="63"/>
  <c r="H167" i="63"/>
  <c r="G167" i="63"/>
  <c r="J166" i="63"/>
  <c r="I166" i="63"/>
  <c r="H166" i="63"/>
  <c r="G166" i="63"/>
  <c r="J165" i="63"/>
  <c r="I165" i="63"/>
  <c r="H165" i="63"/>
  <c r="G165" i="63"/>
  <c r="J164" i="63"/>
  <c r="I164" i="63"/>
  <c r="H164" i="63"/>
  <c r="G164" i="63"/>
  <c r="J163" i="63"/>
  <c r="I163" i="63"/>
  <c r="H163" i="63"/>
  <c r="G163" i="63"/>
  <c r="J162" i="63"/>
  <c r="I162" i="63"/>
  <c r="H162" i="63"/>
  <c r="G162" i="63"/>
  <c r="J161" i="63"/>
  <c r="I161" i="63"/>
  <c r="H161" i="63"/>
  <c r="G161" i="63"/>
  <c r="J160" i="63"/>
  <c r="I160" i="63"/>
  <c r="H160" i="63"/>
  <c r="G160" i="63"/>
  <c r="J159" i="63"/>
  <c r="I159" i="63"/>
  <c r="H159" i="63"/>
  <c r="G159" i="63"/>
  <c r="J158" i="63"/>
  <c r="I158" i="63"/>
  <c r="H158" i="63"/>
  <c r="G158" i="63"/>
  <c r="J157" i="63"/>
  <c r="I157" i="63"/>
  <c r="H157" i="63"/>
  <c r="G157" i="63"/>
  <c r="J156" i="63"/>
  <c r="I156" i="63"/>
  <c r="H156" i="63"/>
  <c r="G156" i="63"/>
  <c r="J155" i="63"/>
  <c r="I155" i="63"/>
  <c r="H155" i="63"/>
  <c r="G155" i="63"/>
  <c r="J154" i="63"/>
  <c r="I154" i="63"/>
  <c r="H154" i="63"/>
  <c r="G154" i="63"/>
  <c r="J153" i="63"/>
  <c r="I153" i="63"/>
  <c r="H153" i="63"/>
  <c r="G153" i="63"/>
  <c r="J152" i="63"/>
  <c r="I152" i="63"/>
  <c r="H152" i="63"/>
  <c r="G152" i="63"/>
  <c r="J151" i="63"/>
  <c r="I151" i="63"/>
  <c r="H151" i="63"/>
  <c r="G151" i="63"/>
  <c r="J150" i="63"/>
  <c r="I150" i="63"/>
  <c r="H150" i="63"/>
  <c r="G150" i="63"/>
  <c r="J149" i="63"/>
  <c r="I149" i="63"/>
  <c r="H149" i="63"/>
  <c r="G149" i="63"/>
  <c r="J148" i="63"/>
  <c r="I148" i="63"/>
  <c r="H148" i="63"/>
  <c r="G148" i="63"/>
  <c r="J147" i="63"/>
  <c r="I147" i="63"/>
  <c r="H147" i="63"/>
  <c r="G147" i="63"/>
  <c r="J146" i="63"/>
  <c r="I146" i="63"/>
  <c r="H146" i="63"/>
  <c r="G146" i="63"/>
  <c r="J145" i="63"/>
  <c r="I145" i="63"/>
  <c r="H145" i="63"/>
  <c r="G145" i="63"/>
  <c r="J144" i="63"/>
  <c r="I144" i="63"/>
  <c r="H144" i="63"/>
  <c r="G144" i="63"/>
  <c r="J143" i="63"/>
  <c r="I143" i="63"/>
  <c r="H143" i="63"/>
  <c r="G143" i="63"/>
  <c r="J142" i="63"/>
  <c r="I142" i="63"/>
  <c r="H142" i="63"/>
  <c r="G142" i="63"/>
  <c r="J141" i="63"/>
  <c r="I141" i="63"/>
  <c r="H141" i="63"/>
  <c r="G141" i="63"/>
  <c r="J140" i="63"/>
  <c r="I140" i="63"/>
  <c r="H140" i="63"/>
  <c r="G140" i="63"/>
  <c r="J139" i="63"/>
  <c r="I139" i="63"/>
  <c r="H139" i="63"/>
  <c r="G139" i="63"/>
  <c r="J138" i="63"/>
  <c r="I138" i="63"/>
  <c r="H138" i="63"/>
  <c r="G138" i="63"/>
  <c r="J137" i="63"/>
  <c r="I137" i="63"/>
  <c r="H137" i="63"/>
  <c r="G137" i="63"/>
  <c r="J136" i="63"/>
  <c r="I136" i="63"/>
  <c r="H136" i="63"/>
  <c r="G136" i="63"/>
  <c r="J135" i="63"/>
  <c r="I135" i="63"/>
  <c r="H135" i="63"/>
  <c r="G135" i="63"/>
  <c r="J134" i="63"/>
  <c r="I134" i="63"/>
  <c r="H134" i="63"/>
  <c r="G134" i="63"/>
  <c r="J133" i="63"/>
  <c r="I133" i="63"/>
  <c r="H133" i="63"/>
  <c r="G133" i="63"/>
  <c r="J132" i="63"/>
  <c r="I132" i="63"/>
  <c r="H132" i="63"/>
  <c r="G132" i="63"/>
  <c r="J131" i="63"/>
  <c r="I131" i="63"/>
  <c r="H131" i="63"/>
  <c r="G131" i="63"/>
  <c r="J130" i="63"/>
  <c r="I130" i="63"/>
  <c r="H130" i="63"/>
  <c r="G130" i="63"/>
  <c r="J129" i="63"/>
  <c r="I129" i="63"/>
  <c r="H129" i="63"/>
  <c r="G129" i="63"/>
  <c r="J128" i="63"/>
  <c r="I128" i="63"/>
  <c r="H128" i="63"/>
  <c r="G128" i="63"/>
  <c r="J127" i="63"/>
  <c r="I127" i="63"/>
  <c r="H127" i="63"/>
  <c r="G127" i="63"/>
  <c r="J126" i="63"/>
  <c r="I126" i="63"/>
  <c r="H126" i="63"/>
  <c r="G126" i="63"/>
  <c r="J125" i="63"/>
  <c r="I125" i="63"/>
  <c r="H125" i="63"/>
  <c r="G125" i="63"/>
  <c r="J124" i="63"/>
  <c r="I124" i="63"/>
  <c r="H124" i="63"/>
  <c r="G124" i="63"/>
  <c r="J123" i="63"/>
  <c r="I123" i="63"/>
  <c r="H123" i="63"/>
  <c r="G123" i="63"/>
  <c r="J122" i="63"/>
  <c r="I122" i="63"/>
  <c r="H122" i="63"/>
  <c r="G122" i="63"/>
  <c r="J121" i="63"/>
  <c r="I121" i="63"/>
  <c r="H121" i="63"/>
  <c r="G121" i="63"/>
  <c r="J120" i="63"/>
  <c r="I120" i="63"/>
  <c r="H120" i="63"/>
  <c r="G120" i="63"/>
  <c r="J119" i="63"/>
  <c r="I119" i="63"/>
  <c r="H119" i="63"/>
  <c r="G119" i="63"/>
  <c r="J118" i="63"/>
  <c r="I118" i="63"/>
  <c r="H118" i="63"/>
  <c r="G118" i="63"/>
  <c r="J117" i="63"/>
  <c r="I117" i="63"/>
  <c r="H117" i="63"/>
  <c r="G117" i="63"/>
  <c r="J116" i="63"/>
  <c r="I116" i="63"/>
  <c r="H116" i="63"/>
  <c r="G116" i="63"/>
  <c r="J115" i="63"/>
  <c r="I115" i="63"/>
  <c r="H115" i="63"/>
  <c r="G115" i="63"/>
  <c r="J114" i="63"/>
  <c r="I114" i="63"/>
  <c r="H114" i="63"/>
  <c r="G114" i="63"/>
  <c r="J113" i="63"/>
  <c r="I113" i="63"/>
  <c r="H113" i="63"/>
  <c r="G113" i="63"/>
  <c r="J112" i="63"/>
  <c r="I112" i="63"/>
  <c r="H112" i="63"/>
  <c r="G112" i="63"/>
  <c r="J111" i="63"/>
  <c r="I111" i="63"/>
  <c r="H111" i="63"/>
  <c r="G111" i="63"/>
  <c r="J110" i="63"/>
  <c r="I110" i="63"/>
  <c r="H110" i="63"/>
  <c r="G110" i="63"/>
  <c r="J109" i="63"/>
  <c r="I109" i="63"/>
  <c r="H109" i="63"/>
  <c r="G109" i="63"/>
  <c r="J108" i="63"/>
  <c r="I108" i="63"/>
  <c r="H108" i="63"/>
  <c r="G108" i="63"/>
  <c r="J107" i="63"/>
  <c r="I107" i="63"/>
  <c r="H107" i="63"/>
  <c r="G107" i="63"/>
  <c r="J106" i="63"/>
  <c r="I106" i="63"/>
  <c r="H106" i="63"/>
  <c r="G106" i="63"/>
  <c r="J105" i="63"/>
  <c r="I105" i="63"/>
  <c r="H105" i="63"/>
  <c r="G105" i="63"/>
  <c r="J104" i="63"/>
  <c r="I104" i="63"/>
  <c r="H104" i="63"/>
  <c r="G104" i="63"/>
  <c r="J103" i="63"/>
  <c r="I103" i="63"/>
  <c r="H103" i="63"/>
  <c r="G103" i="63"/>
  <c r="J102" i="63"/>
  <c r="I102" i="63"/>
  <c r="H102" i="63"/>
  <c r="G102" i="63"/>
  <c r="J101" i="63"/>
  <c r="I101" i="63"/>
  <c r="H101" i="63"/>
  <c r="G101" i="63"/>
  <c r="J100" i="63"/>
  <c r="I100" i="63"/>
  <c r="H100" i="63"/>
  <c r="G100" i="63"/>
  <c r="J99" i="63"/>
  <c r="I99" i="63"/>
  <c r="H99" i="63"/>
  <c r="G99" i="63"/>
  <c r="J98" i="63"/>
  <c r="I98" i="63"/>
  <c r="H98" i="63"/>
  <c r="G98" i="63"/>
  <c r="J97" i="63"/>
  <c r="I97" i="63"/>
  <c r="H97" i="63"/>
  <c r="G97" i="63"/>
  <c r="J96" i="63"/>
  <c r="I96" i="63"/>
  <c r="H96" i="63"/>
  <c r="G96" i="63"/>
  <c r="J95" i="63"/>
  <c r="I95" i="63"/>
  <c r="H95" i="63"/>
  <c r="G95" i="63"/>
  <c r="J94" i="63"/>
  <c r="I94" i="63"/>
  <c r="H94" i="63"/>
  <c r="G94" i="63"/>
  <c r="J93" i="63"/>
  <c r="I93" i="63"/>
  <c r="H93" i="63"/>
  <c r="G93" i="63"/>
  <c r="J92" i="63"/>
  <c r="I92" i="63"/>
  <c r="H92" i="63"/>
  <c r="G92" i="63"/>
  <c r="J91" i="63"/>
  <c r="I91" i="63"/>
  <c r="H91" i="63"/>
  <c r="G91" i="63"/>
  <c r="J90" i="63"/>
  <c r="I90" i="63"/>
  <c r="H90" i="63"/>
  <c r="G90" i="63"/>
  <c r="J89" i="63"/>
  <c r="I89" i="63"/>
  <c r="H89" i="63"/>
  <c r="G89" i="63"/>
  <c r="J88" i="63"/>
  <c r="I88" i="63"/>
  <c r="H88" i="63"/>
  <c r="G88" i="63"/>
  <c r="J87" i="63"/>
  <c r="I87" i="63"/>
  <c r="H87" i="63"/>
  <c r="G87" i="63"/>
  <c r="J86" i="63"/>
  <c r="I86" i="63"/>
  <c r="H86" i="63"/>
  <c r="G86" i="63"/>
  <c r="J85" i="63"/>
  <c r="I85" i="63"/>
  <c r="H85" i="63"/>
  <c r="G85" i="63"/>
  <c r="J84" i="63"/>
  <c r="I84" i="63"/>
  <c r="H84" i="63"/>
  <c r="G84" i="63"/>
  <c r="J83" i="63"/>
  <c r="I83" i="63"/>
  <c r="H83" i="63"/>
  <c r="G83" i="63"/>
  <c r="J82" i="63"/>
  <c r="I82" i="63"/>
  <c r="H82" i="63"/>
  <c r="G82" i="63"/>
  <c r="J81" i="63"/>
  <c r="I81" i="63"/>
  <c r="H81" i="63"/>
  <c r="G81" i="63"/>
  <c r="J80" i="63"/>
  <c r="I80" i="63"/>
  <c r="H80" i="63"/>
  <c r="G80" i="63"/>
  <c r="J79" i="63"/>
  <c r="I79" i="63"/>
  <c r="H79" i="63"/>
  <c r="G79" i="63"/>
  <c r="J78" i="63"/>
  <c r="I78" i="63"/>
  <c r="H78" i="63"/>
  <c r="G78" i="63"/>
  <c r="J77" i="63"/>
  <c r="I77" i="63"/>
  <c r="H77" i="63"/>
  <c r="G77" i="63"/>
  <c r="J76" i="63"/>
  <c r="I76" i="63"/>
  <c r="H76" i="63"/>
  <c r="G76" i="63"/>
  <c r="J75" i="63"/>
  <c r="I75" i="63"/>
  <c r="H75" i="63"/>
  <c r="G75" i="63"/>
  <c r="J74" i="63"/>
  <c r="I74" i="63"/>
  <c r="H74" i="63"/>
  <c r="G74" i="63"/>
  <c r="J73" i="63"/>
  <c r="I73" i="63"/>
  <c r="H73" i="63"/>
  <c r="G73" i="63"/>
  <c r="J72" i="63"/>
  <c r="I72" i="63"/>
  <c r="H72" i="63"/>
  <c r="G72" i="63"/>
  <c r="J71" i="63"/>
  <c r="I71" i="63"/>
  <c r="H71" i="63"/>
  <c r="G71" i="63"/>
  <c r="J70" i="63"/>
  <c r="I70" i="63"/>
  <c r="H70" i="63"/>
  <c r="G70" i="63"/>
  <c r="J69" i="63"/>
  <c r="I69" i="63"/>
  <c r="H69" i="63"/>
  <c r="G69" i="63"/>
  <c r="J68" i="63"/>
  <c r="I68" i="63"/>
  <c r="H68" i="63"/>
  <c r="G68" i="63"/>
  <c r="J67" i="63"/>
  <c r="I67" i="63"/>
  <c r="H67" i="63"/>
  <c r="G67" i="63"/>
  <c r="J66" i="63"/>
  <c r="I66" i="63"/>
  <c r="H66" i="63"/>
  <c r="G66" i="63"/>
  <c r="J65" i="63"/>
  <c r="I65" i="63"/>
  <c r="H65" i="63"/>
  <c r="G65" i="63"/>
  <c r="J64" i="63"/>
  <c r="I64" i="63"/>
  <c r="H64" i="63"/>
  <c r="G64" i="63"/>
  <c r="J63" i="63"/>
  <c r="I63" i="63"/>
  <c r="H63" i="63"/>
  <c r="G63" i="63"/>
  <c r="J62" i="63"/>
  <c r="I62" i="63"/>
  <c r="H62" i="63"/>
  <c r="G62" i="63"/>
  <c r="J61" i="63"/>
  <c r="I61" i="63"/>
  <c r="H61" i="63"/>
  <c r="G61" i="63"/>
  <c r="J60" i="63"/>
  <c r="I60" i="63"/>
  <c r="H60" i="63"/>
  <c r="G60" i="63"/>
  <c r="J59" i="63"/>
  <c r="I59" i="63"/>
  <c r="H59" i="63"/>
  <c r="G59" i="63"/>
  <c r="J58" i="63"/>
  <c r="I58" i="63"/>
  <c r="H58" i="63"/>
  <c r="G58" i="63"/>
  <c r="J57" i="63"/>
  <c r="I57" i="63"/>
  <c r="H57" i="63"/>
  <c r="G57" i="63"/>
  <c r="J56" i="63"/>
  <c r="I56" i="63"/>
  <c r="H56" i="63"/>
  <c r="G56" i="63"/>
  <c r="J55" i="63"/>
  <c r="I55" i="63"/>
  <c r="H55" i="63"/>
  <c r="G55" i="63"/>
  <c r="J54" i="63"/>
  <c r="I54" i="63"/>
  <c r="H54" i="63"/>
  <c r="G54" i="63"/>
  <c r="J53" i="63"/>
  <c r="I53" i="63"/>
  <c r="H53" i="63"/>
  <c r="G53" i="63"/>
  <c r="J52" i="63"/>
  <c r="I52" i="63"/>
  <c r="H52" i="63"/>
  <c r="G52" i="63"/>
  <c r="J51" i="63"/>
  <c r="I51" i="63"/>
  <c r="H51" i="63"/>
  <c r="G51" i="63"/>
  <c r="J50" i="63"/>
  <c r="I50" i="63"/>
  <c r="H50" i="63"/>
  <c r="G50" i="63"/>
  <c r="J49" i="63"/>
  <c r="I49" i="63"/>
  <c r="H49" i="63"/>
  <c r="G49" i="63"/>
  <c r="J48" i="63"/>
  <c r="I48" i="63"/>
  <c r="H48" i="63"/>
  <c r="G48" i="63"/>
  <c r="J47" i="63"/>
  <c r="I47" i="63"/>
  <c r="H47" i="63"/>
  <c r="G47" i="63"/>
  <c r="J46" i="63"/>
  <c r="I46" i="63"/>
  <c r="H46" i="63"/>
  <c r="G46" i="63"/>
  <c r="J45" i="63"/>
  <c r="I45" i="63"/>
  <c r="H45" i="63"/>
  <c r="G45" i="63"/>
  <c r="J44" i="63"/>
  <c r="I44" i="63"/>
  <c r="H44" i="63"/>
  <c r="G44" i="63"/>
  <c r="J43" i="63"/>
  <c r="I43" i="63"/>
  <c r="H43" i="63"/>
  <c r="G43" i="63"/>
  <c r="J42" i="63"/>
  <c r="I42" i="63"/>
  <c r="H42" i="63"/>
  <c r="G42" i="63"/>
  <c r="J41" i="63"/>
  <c r="I41" i="63"/>
  <c r="H41" i="63"/>
  <c r="G41" i="63"/>
  <c r="J40" i="63"/>
  <c r="I40" i="63"/>
  <c r="H40" i="63"/>
  <c r="G40" i="63"/>
  <c r="J39" i="63"/>
  <c r="I39" i="63"/>
  <c r="H39" i="63"/>
  <c r="G39" i="63"/>
  <c r="J38" i="63"/>
  <c r="I38" i="63"/>
  <c r="H38" i="63"/>
  <c r="G38" i="63"/>
  <c r="J37" i="63"/>
  <c r="I37" i="63"/>
  <c r="H37" i="63"/>
  <c r="G37" i="63"/>
  <c r="J36" i="63"/>
  <c r="I36" i="63"/>
  <c r="H36" i="63"/>
  <c r="G36" i="63"/>
  <c r="J35" i="63"/>
  <c r="I35" i="63"/>
  <c r="H35" i="63"/>
  <c r="G35" i="63"/>
  <c r="J34" i="63"/>
  <c r="I34" i="63"/>
  <c r="H34" i="63"/>
  <c r="G34" i="63"/>
  <c r="J33" i="63"/>
  <c r="I33" i="63"/>
  <c r="H33" i="63"/>
  <c r="G33" i="63"/>
  <c r="J32" i="63"/>
  <c r="I32" i="63"/>
  <c r="H32" i="63"/>
  <c r="G32" i="63"/>
  <c r="J31" i="63"/>
  <c r="I31" i="63"/>
  <c r="H31" i="63"/>
  <c r="G31" i="63"/>
  <c r="J30" i="63"/>
  <c r="I30" i="63"/>
  <c r="H30" i="63"/>
  <c r="G30" i="63"/>
  <c r="J29" i="63"/>
  <c r="I29" i="63"/>
  <c r="H29" i="63"/>
  <c r="G29" i="63"/>
  <c r="J28" i="63"/>
  <c r="I28" i="63"/>
  <c r="H28" i="63"/>
  <c r="G28" i="63"/>
  <c r="J27" i="63"/>
  <c r="I27" i="63"/>
  <c r="H27" i="63"/>
  <c r="G27" i="63"/>
  <c r="J26" i="63"/>
  <c r="I26" i="63"/>
  <c r="H26" i="63"/>
  <c r="G26" i="63"/>
  <c r="J25" i="63"/>
  <c r="I25" i="63"/>
  <c r="H25" i="63"/>
  <c r="G25" i="63"/>
  <c r="J24" i="63"/>
  <c r="I24" i="63"/>
  <c r="H24" i="63"/>
  <c r="G24" i="63"/>
  <c r="J23" i="63"/>
  <c r="I23" i="63"/>
  <c r="H23" i="63"/>
  <c r="G23" i="63"/>
  <c r="J22" i="63"/>
  <c r="I22" i="63"/>
  <c r="H22" i="63"/>
  <c r="G22" i="63"/>
  <c r="J21" i="63"/>
  <c r="I21" i="63"/>
  <c r="H21" i="63"/>
  <c r="G21" i="63"/>
  <c r="J20" i="63"/>
  <c r="I20" i="63"/>
  <c r="H20" i="63"/>
  <c r="G20" i="63"/>
  <c r="J19" i="63"/>
  <c r="I19" i="63"/>
  <c r="H19" i="63"/>
  <c r="G19" i="63"/>
  <c r="J18" i="63"/>
  <c r="I18" i="63"/>
  <c r="H18" i="63"/>
  <c r="G18" i="63"/>
  <c r="J17" i="63"/>
  <c r="I17" i="63"/>
  <c r="H17" i="63"/>
  <c r="G17" i="63"/>
  <c r="J16" i="63"/>
  <c r="I16" i="63"/>
  <c r="H16" i="63"/>
  <c r="G16" i="63"/>
  <c r="J15" i="63"/>
  <c r="I15" i="63"/>
  <c r="H15" i="63"/>
  <c r="G15" i="63"/>
  <c r="J14" i="63"/>
  <c r="I14" i="63"/>
  <c r="H14" i="63"/>
  <c r="G14" i="63"/>
  <c r="J13" i="63"/>
  <c r="I13" i="63"/>
  <c r="H13" i="63"/>
  <c r="G13" i="63"/>
  <c r="J12" i="63"/>
  <c r="I12" i="63"/>
  <c r="H12" i="63"/>
  <c r="G12" i="63"/>
  <c r="J11" i="63"/>
  <c r="I11" i="63"/>
  <c r="H11" i="63"/>
  <c r="G11" i="63"/>
  <c r="J10" i="63"/>
  <c r="I10" i="63"/>
  <c r="H10" i="63"/>
  <c r="G10" i="63"/>
  <c r="J9" i="63"/>
  <c r="I9" i="63"/>
  <c r="H9" i="63"/>
  <c r="G9" i="63"/>
  <c r="J8" i="63"/>
  <c r="I8" i="63"/>
  <c r="H8" i="63"/>
  <c r="G8" i="63"/>
  <c r="J7" i="63"/>
  <c r="I7" i="63"/>
  <c r="H7" i="63"/>
  <c r="G7" i="63"/>
  <c r="J6" i="63"/>
  <c r="I6" i="63"/>
  <c r="H6" i="63"/>
  <c r="G6" i="63"/>
  <c r="J5" i="63"/>
  <c r="J554" i="63" s="1"/>
  <c r="J556" i="63" s="1"/>
  <c r="I5" i="63"/>
  <c r="I554" i="63" s="1"/>
  <c r="H5" i="63"/>
  <c r="H554" i="63" s="1"/>
  <c r="H556" i="63" s="1"/>
  <c r="G5" i="63"/>
  <c r="G554" i="63" s="1"/>
  <c r="AA30" i="62"/>
  <c r="W30" i="62"/>
  <c r="BU28" i="62"/>
  <c r="BQ28" i="62"/>
  <c r="BM28" i="62"/>
  <c r="BI28" i="62"/>
  <c r="BE28" i="62"/>
  <c r="BA28" i="62"/>
  <c r="AW28" i="62"/>
  <c r="AS28" i="62"/>
  <c r="AO28" i="62"/>
  <c r="AK28" i="62"/>
  <c r="AG28" i="62"/>
  <c r="AC28" i="62"/>
  <c r="Y28" i="62"/>
  <c r="S28" i="62"/>
  <c r="O28" i="62"/>
  <c r="K28" i="62"/>
  <c r="G28" i="62"/>
  <c r="C28" i="62"/>
  <c r="BU27" i="62"/>
  <c r="BU30" i="62" s="1"/>
  <c r="BQ27" i="62"/>
  <c r="BQ30" i="62" s="1"/>
  <c r="BM27" i="62"/>
  <c r="BM30" i="62" s="1"/>
  <c r="BI27" i="62"/>
  <c r="BI30" i="62" s="1"/>
  <c r="BE27" i="62"/>
  <c r="BE30" i="62" s="1"/>
  <c r="BA27" i="62"/>
  <c r="BA30" i="62" s="1"/>
  <c r="AW27" i="62"/>
  <c r="AW30" i="62" s="1"/>
  <c r="AS27" i="62"/>
  <c r="AS30" i="62" s="1"/>
  <c r="AO27" i="62"/>
  <c r="AO30" i="62" s="1"/>
  <c r="AK27" i="62"/>
  <c r="AK30" i="62" s="1"/>
  <c r="AG27" i="62"/>
  <c r="AG30" i="62" s="1"/>
  <c r="AC27" i="62"/>
  <c r="AC30" i="62" s="1"/>
  <c r="Y27" i="62"/>
  <c r="Y30" i="62" s="1"/>
  <c r="S27" i="62"/>
  <c r="S30" i="62" s="1"/>
  <c r="U27" i="62" s="1"/>
  <c r="O27" i="62"/>
  <c r="O30" i="62" s="1"/>
  <c r="Q27" i="62" s="1"/>
  <c r="K27" i="62"/>
  <c r="K30" i="62" s="1"/>
  <c r="M27" i="62" s="1"/>
  <c r="G27" i="62"/>
  <c r="G30" i="62" s="1"/>
  <c r="I27" i="62" s="1"/>
  <c r="C27" i="62"/>
  <c r="C30" i="62" s="1"/>
  <c r="E27" i="62" s="1"/>
  <c r="AA18" i="62"/>
  <c r="AA23" i="62" s="1"/>
  <c r="W18" i="62"/>
  <c r="W23" i="62" s="1"/>
  <c r="S18" i="62"/>
  <c r="S23" i="62" s="1"/>
  <c r="O18" i="62"/>
  <c r="O23" i="62" s="1"/>
  <c r="K18" i="62"/>
  <c r="K23" i="62" s="1"/>
  <c r="G18" i="62"/>
  <c r="G23" i="62" s="1"/>
  <c r="C18" i="62"/>
  <c r="C23" i="62" s="1"/>
  <c r="BU16" i="62"/>
  <c r="BQ16" i="62"/>
  <c r="BM16" i="62"/>
  <c r="BI16" i="62"/>
  <c r="BE16" i="62"/>
  <c r="BA16" i="62"/>
  <c r="AW16" i="62"/>
  <c r="AS16" i="62"/>
  <c r="AO16" i="62"/>
  <c r="AK16" i="62"/>
  <c r="AG16" i="62"/>
  <c r="AC16" i="62"/>
  <c r="Y16" i="62"/>
  <c r="U16" i="62"/>
  <c r="Q16" i="62"/>
  <c r="M16" i="62"/>
  <c r="I16" i="62"/>
  <c r="E16" i="62"/>
  <c r="BU15" i="62"/>
  <c r="BQ15" i="62"/>
  <c r="BM15" i="62"/>
  <c r="BI15" i="62"/>
  <c r="BE15" i="62"/>
  <c r="BA15" i="62"/>
  <c r="AW15" i="62"/>
  <c r="AS15" i="62"/>
  <c r="AO15" i="62"/>
  <c r="AK15" i="62"/>
  <c r="AG15" i="62"/>
  <c r="AC15" i="62"/>
  <c r="Y15" i="62"/>
  <c r="U15" i="62"/>
  <c r="Q15" i="62"/>
  <c r="M15" i="62"/>
  <c r="I15" i="62"/>
  <c r="E15" i="62"/>
  <c r="BU14" i="62"/>
  <c r="BQ14" i="62"/>
  <c r="BM14" i="62"/>
  <c r="BI14" i="62"/>
  <c r="BE14" i="62"/>
  <c r="BA14" i="62"/>
  <c r="AW14" i="62"/>
  <c r="AS14" i="62"/>
  <c r="AO14" i="62"/>
  <c r="AK14" i="62"/>
  <c r="AG14" i="62"/>
  <c r="AC14" i="62"/>
  <c r="Y14" i="62"/>
  <c r="U14" i="62"/>
  <c r="Q14" i="62"/>
  <c r="M14" i="62"/>
  <c r="I14" i="62"/>
  <c r="E14" i="62"/>
  <c r="BU13" i="62"/>
  <c r="BQ13" i="62"/>
  <c r="BM13" i="62"/>
  <c r="BI13" i="62"/>
  <c r="BE13" i="62"/>
  <c r="BA13" i="62"/>
  <c r="AW13" i="62"/>
  <c r="AS13" i="62"/>
  <c r="AO13" i="62"/>
  <c r="AK13" i="62"/>
  <c r="AG13" i="62"/>
  <c r="AC13" i="62"/>
  <c r="Y13" i="62"/>
  <c r="U13" i="62"/>
  <c r="Q13" i="62"/>
  <c r="M13" i="62"/>
  <c r="I13" i="62"/>
  <c r="E13" i="62"/>
  <c r="BU12" i="62"/>
  <c r="BQ12" i="62"/>
  <c r="BM12" i="62"/>
  <c r="BI12" i="62"/>
  <c r="BE12" i="62"/>
  <c r="BA12" i="62"/>
  <c r="AW12" i="62"/>
  <c r="AS12" i="62"/>
  <c r="AO12" i="62"/>
  <c r="AK12" i="62"/>
  <c r="AG12" i="62"/>
  <c r="AC12" i="62"/>
  <c r="Y12" i="62"/>
  <c r="U12" i="62"/>
  <c r="Q12" i="62"/>
  <c r="M12" i="62"/>
  <c r="I12" i="62"/>
  <c r="E12" i="62"/>
  <c r="BU11" i="62"/>
  <c r="BQ11" i="62"/>
  <c r="BM11" i="62"/>
  <c r="BI11" i="62"/>
  <c r="BE11" i="62"/>
  <c r="BA11" i="62"/>
  <c r="AW11" i="62"/>
  <c r="AS11" i="62"/>
  <c r="AO11" i="62"/>
  <c r="AK11" i="62"/>
  <c r="AG11" i="62"/>
  <c r="AC11" i="62"/>
  <c r="Y11" i="62"/>
  <c r="U11" i="62"/>
  <c r="Q11" i="62"/>
  <c r="M11" i="62"/>
  <c r="I11" i="62"/>
  <c r="E11" i="62"/>
  <c r="BU10" i="62"/>
  <c r="BQ10" i="62"/>
  <c r="BM10" i="62"/>
  <c r="BI10" i="62"/>
  <c r="BE10" i="62"/>
  <c r="BA10" i="62"/>
  <c r="AW10" i="62"/>
  <c r="AS10" i="62"/>
  <c r="AO10" i="62"/>
  <c r="AK10" i="62"/>
  <c r="AG10" i="62"/>
  <c r="AC10" i="62"/>
  <c r="Y10" i="62"/>
  <c r="U10" i="62"/>
  <c r="Q10" i="62"/>
  <c r="M10" i="62"/>
  <c r="I10" i="62"/>
  <c r="E10" i="62"/>
  <c r="BU9" i="62"/>
  <c r="BQ9" i="62"/>
  <c r="BM9" i="62"/>
  <c r="BI9" i="62"/>
  <c r="BE9" i="62"/>
  <c r="BA9" i="62"/>
  <c r="AW9" i="62"/>
  <c r="AS9" i="62"/>
  <c r="AO9" i="62"/>
  <c r="AK9" i="62"/>
  <c r="AG9" i="62"/>
  <c r="AC9" i="62"/>
  <c r="Y9" i="62"/>
  <c r="U9" i="62"/>
  <c r="Q9" i="62"/>
  <c r="M9" i="62"/>
  <c r="I9" i="62"/>
  <c r="E9" i="62"/>
  <c r="BU8" i="62"/>
  <c r="BQ8" i="62"/>
  <c r="BM8" i="62"/>
  <c r="BI8" i="62"/>
  <c r="BE8" i="62"/>
  <c r="BA8" i="62"/>
  <c r="AW8" i="62"/>
  <c r="AS8" i="62"/>
  <c r="AO8" i="62"/>
  <c r="AK8" i="62"/>
  <c r="AG8" i="62"/>
  <c r="AC8" i="62"/>
  <c r="Y8" i="62"/>
  <c r="U8" i="62"/>
  <c r="Q8" i="62"/>
  <c r="M8" i="62"/>
  <c r="I8" i="62"/>
  <c r="E8" i="62"/>
  <c r="BU7" i="62"/>
  <c r="BU18" i="62" s="1"/>
  <c r="BQ7" i="62"/>
  <c r="BQ18" i="62" s="1"/>
  <c r="BM7" i="62"/>
  <c r="BM18" i="62" s="1"/>
  <c r="BI7" i="62"/>
  <c r="BI18" i="62" s="1"/>
  <c r="BE7" i="62"/>
  <c r="BE18" i="62" s="1"/>
  <c r="BA7" i="62"/>
  <c r="BA18" i="62" s="1"/>
  <c r="AW7" i="62"/>
  <c r="AW18" i="62" s="1"/>
  <c r="AS7" i="62"/>
  <c r="AS18" i="62" s="1"/>
  <c r="AO7" i="62"/>
  <c r="AO18" i="62" s="1"/>
  <c r="AK7" i="62"/>
  <c r="AK18" i="62" s="1"/>
  <c r="AG7" i="62"/>
  <c r="AG18" i="62" s="1"/>
  <c r="AC7" i="62"/>
  <c r="AC18" i="62" s="1"/>
  <c r="Y7" i="62"/>
  <c r="Y18" i="62" s="1"/>
  <c r="U7" i="62"/>
  <c r="U18" i="62" s="1"/>
  <c r="Q7" i="62"/>
  <c r="Q18" i="62" s="1"/>
  <c r="M7" i="62"/>
  <c r="M18" i="62" s="1"/>
  <c r="I7" i="62"/>
  <c r="I18" i="62" s="1"/>
  <c r="E7" i="62"/>
  <c r="E18" i="62" s="1"/>
  <c r="H35" i="45" l="1"/>
  <c r="G42" i="45"/>
  <c r="H42" i="45" s="1"/>
  <c r="G42" i="46"/>
  <c r="H42" i="46" s="1"/>
  <c r="H35" i="46"/>
  <c r="I28" i="62"/>
  <c r="I30" i="62" s="1"/>
  <c r="Q28" i="62"/>
  <c r="Q30" i="62" s="1"/>
  <c r="E28" i="62"/>
  <c r="E30" i="62" s="1"/>
  <c r="M28" i="62"/>
  <c r="M30" i="62" s="1"/>
  <c r="U28" i="62"/>
  <c r="U30" i="62" s="1"/>
  <c r="H60" i="61" l="1"/>
  <c r="G60" i="61"/>
  <c r="E55" i="61" l="1"/>
  <c r="E58" i="61" s="1"/>
  <c r="E15" i="61"/>
  <c r="C55" i="61" l="1"/>
  <c r="C15" i="61"/>
  <c r="G15" i="61" s="1"/>
  <c r="H15" i="61" s="1"/>
  <c r="G14" i="61"/>
  <c r="H14" i="61" s="1"/>
  <c r="G54" i="61"/>
  <c r="H54" i="61" s="1"/>
  <c r="G56" i="61"/>
  <c r="H56" i="61" s="1"/>
  <c r="G57" i="61"/>
  <c r="H57" i="61" s="1"/>
  <c r="C58" i="61"/>
  <c r="G13" i="61"/>
  <c r="H13" i="61" s="1"/>
  <c r="G53" i="61"/>
  <c r="H53" i="61" s="1"/>
  <c r="G55" i="61" l="1"/>
  <c r="H55" i="61" s="1"/>
  <c r="G58" i="61"/>
  <c r="H58" i="61" s="1"/>
  <c r="E37" i="61" l="1"/>
  <c r="E44" i="61" l="1"/>
  <c r="E48" i="61"/>
  <c r="E28" i="61" l="1"/>
  <c r="E16" i="61"/>
  <c r="E18" i="61"/>
  <c r="E30" i="61" l="1"/>
  <c r="E32" i="61" l="1"/>
  <c r="E62" i="61"/>
  <c r="E43" i="61" l="1"/>
  <c r="E39" i="61"/>
  <c r="E47" i="61"/>
  <c r="E49" i="61" l="1"/>
  <c r="E45" i="61"/>
  <c r="G36" i="61" l="1"/>
  <c r="H36" i="61" s="1"/>
  <c r="C37" i="61" l="1"/>
  <c r="G35" i="61"/>
  <c r="H35" i="61" s="1"/>
  <c r="C44" i="61" l="1"/>
  <c r="G44" i="61" s="1"/>
  <c r="H44" i="61" s="1"/>
  <c r="C48" i="61"/>
  <c r="G48" i="61" s="1"/>
  <c r="H48" i="61" s="1"/>
  <c r="G37" i="61"/>
  <c r="H37" i="61" s="1"/>
  <c r="G11" i="61" l="1"/>
  <c r="H11" i="61" s="1"/>
  <c r="G23" i="61"/>
  <c r="H23" i="61" s="1"/>
  <c r="G26" i="61"/>
  <c r="H26" i="61" s="1"/>
  <c r="G25" i="61"/>
  <c r="H25" i="61" s="1"/>
  <c r="G24" i="61"/>
  <c r="H24" i="61" s="1"/>
  <c r="C16" i="61" l="1"/>
  <c r="G16" i="61" s="1"/>
  <c r="H16" i="61" s="1"/>
  <c r="G17" i="61"/>
  <c r="H17" i="61" s="1"/>
  <c r="G10" i="61" l="1"/>
  <c r="H10" i="61" s="1"/>
  <c r="G27" i="61"/>
  <c r="H27" i="61" s="1"/>
  <c r="G22" i="61"/>
  <c r="H22" i="61" s="1"/>
  <c r="C18" i="61" l="1"/>
  <c r="G9" i="61"/>
  <c r="H9" i="61" s="1"/>
  <c r="G18" i="61" l="1"/>
  <c r="H18" i="61" s="1"/>
  <c r="C28" i="61"/>
  <c r="G28" i="61" s="1"/>
  <c r="H28" i="61" s="1"/>
  <c r="G21" i="61"/>
  <c r="H21" i="61" s="1"/>
  <c r="C30" i="61" l="1"/>
  <c r="G30" i="61" l="1"/>
  <c r="H30" i="61" s="1"/>
  <c r="G31" i="61" l="1"/>
  <c r="H31" i="61" s="1"/>
  <c r="C62" i="61"/>
  <c r="C32" i="61"/>
  <c r="C47" i="61" l="1"/>
  <c r="C43" i="61"/>
  <c r="G32" i="61"/>
  <c r="H32" i="61" s="1"/>
  <c r="C39" i="61"/>
  <c r="G39" i="61" s="1"/>
  <c r="H39" i="61" s="1"/>
  <c r="C45" i="61" l="1"/>
  <c r="G43" i="61"/>
  <c r="G47" i="61"/>
  <c r="C49" i="61"/>
  <c r="H47" i="61" l="1"/>
  <c r="G49" i="61"/>
  <c r="H49" i="61" s="1"/>
  <c r="G45" i="61"/>
  <c r="H45" i="61" s="1"/>
  <c r="H43" i="61"/>
</calcChain>
</file>

<file path=xl/sharedStrings.xml><?xml version="1.0" encoding="utf-8"?>
<sst xmlns="http://schemas.openxmlformats.org/spreadsheetml/2006/main" count="4347" uniqueCount="1206">
  <si>
    <t>Net income</t>
  </si>
  <si>
    <t>CONSOLIDATED BALANCE SHEETS</t>
  </si>
  <si>
    <t>ASSETS</t>
  </si>
  <si>
    <t>Investments:</t>
  </si>
  <si>
    <t>(In thousands)</t>
  </si>
  <si>
    <t xml:space="preserve">    Total investments</t>
  </si>
  <si>
    <t>Cash and cash equivalents</t>
  </si>
  <si>
    <t>Accrued investment income</t>
  </si>
  <si>
    <t>Deferred policy acquisition costs</t>
  </si>
  <si>
    <t>Due and unpaid premiums</t>
  </si>
  <si>
    <t>Other assets</t>
  </si>
  <si>
    <t xml:space="preserve">    Total assets</t>
  </si>
  <si>
    <t>LIABILITIES  AND STOCKHOLDERS' EQUITY</t>
  </si>
  <si>
    <t>LIABILITIES</t>
  </si>
  <si>
    <t>Policy and contract claims – health</t>
  </si>
  <si>
    <t>Amounts due to reinsurers</t>
  </si>
  <si>
    <t>Other liabilities</t>
  </si>
  <si>
    <t xml:space="preserve">    Total liabilities</t>
  </si>
  <si>
    <t>STOCKHOLDERS' EQUITY</t>
  </si>
  <si>
    <t>Additional paid-in capital</t>
  </si>
  <si>
    <t>Retained earnings</t>
  </si>
  <si>
    <t xml:space="preserve">    Total stockholders' equity</t>
  </si>
  <si>
    <t xml:space="preserve">       Total liabilities and stockholders' equity</t>
  </si>
  <si>
    <t>CONSOLIDATED STATEMENTS OF OPERATIONS</t>
  </si>
  <si>
    <t>(UNAUDITED)</t>
  </si>
  <si>
    <t>Revenues:</t>
  </si>
  <si>
    <t>(In thousands, per share amounts in dollars)</t>
  </si>
  <si>
    <t xml:space="preserve">   Net investment income</t>
  </si>
  <si>
    <t xml:space="preserve">          Total revenues</t>
  </si>
  <si>
    <t>Benefits, claims and expenses:</t>
  </si>
  <si>
    <t xml:space="preserve">   Claims and other benefits</t>
  </si>
  <si>
    <t xml:space="preserve">   Commissions</t>
  </si>
  <si>
    <t xml:space="preserve">   Interest expense</t>
  </si>
  <si>
    <t xml:space="preserve">   Other operating costs and expenses</t>
  </si>
  <si>
    <t>Goodwill and other indefinite lived intangible assets</t>
  </si>
  <si>
    <t>Present value of future profits and other amortizing intangible assets</t>
  </si>
  <si>
    <t>Income taxes payable</t>
  </si>
  <si>
    <t>Weighted average shares outstanding:</t>
  </si>
  <si>
    <t>MD&amp;A</t>
  </si>
  <si>
    <t>Total</t>
  </si>
  <si>
    <t>In thousands</t>
  </si>
  <si>
    <t>$</t>
  </si>
  <si>
    <t>Corporate</t>
  </si>
  <si>
    <t>Realized gains (losses)</t>
  </si>
  <si>
    <t>Per Share Data (Diluted)</t>
  </si>
  <si>
    <t>Net Income</t>
  </si>
  <si>
    <t>Consolidated Segments- Check totals only</t>
  </si>
  <si>
    <t>Gross premiums and policyholder fees;</t>
  </si>
  <si>
    <t>Ceded premiums and policyholder fees:</t>
  </si>
  <si>
    <t>Net premiums</t>
  </si>
  <si>
    <t>Net investment income</t>
  </si>
  <si>
    <t>Other income</t>
  </si>
  <si>
    <t>Total revenue</t>
  </si>
  <si>
    <t>Policyholder benefits</t>
  </si>
  <si>
    <t>Change in deferred acquisition costs</t>
  </si>
  <si>
    <t>Amortization of present value of future profits and goodwill</t>
  </si>
  <si>
    <t>Commissions and general expenses, net of allowances</t>
  </si>
  <si>
    <t>Total benefits and expenses</t>
  </si>
  <si>
    <t>Allows</t>
  </si>
  <si>
    <t>Expenses</t>
  </si>
  <si>
    <t>Comms</t>
  </si>
  <si>
    <t>Investment Portfolio - Credit Quality Summary</t>
  </si>
  <si>
    <t xml:space="preserve">% </t>
  </si>
  <si>
    <t>AAA</t>
  </si>
  <si>
    <t>AA</t>
  </si>
  <si>
    <t>A</t>
  </si>
  <si>
    <t>BBB</t>
  </si>
  <si>
    <t>BB</t>
  </si>
  <si>
    <t>B</t>
  </si>
  <si>
    <t>CCC</t>
  </si>
  <si>
    <t>CC</t>
  </si>
  <si>
    <t>TOTAL</t>
  </si>
  <si>
    <t>Inv Grade</t>
  </si>
  <si>
    <t>Non Inv Grade</t>
  </si>
  <si>
    <t xml:space="preserve">   Fee and other income </t>
  </si>
  <si>
    <t>December 31,</t>
  </si>
  <si>
    <t>March 31,</t>
  </si>
  <si>
    <t>June 30,</t>
  </si>
  <si>
    <t>Income taxes receivable</t>
  </si>
  <si>
    <t>Medicare Advantage</t>
  </si>
  <si>
    <t>September 30,</t>
  </si>
  <si>
    <t>Fair Value</t>
  </si>
  <si>
    <t>Policies</t>
  </si>
  <si>
    <t>Gross</t>
  </si>
  <si>
    <t>Ceded</t>
  </si>
  <si>
    <t>Net</t>
  </si>
  <si>
    <t>Segment income</t>
  </si>
  <si>
    <t>Annualized Premium In Force - Gross</t>
  </si>
  <si>
    <t>Q4</t>
  </si>
  <si>
    <t>Q3</t>
  </si>
  <si>
    <t>Q2</t>
  </si>
  <si>
    <t>Q1</t>
  </si>
  <si>
    <t>QTD</t>
  </si>
  <si>
    <t>Variance</t>
  </si>
  <si>
    <t>Consolidated Results</t>
  </si>
  <si>
    <t xml:space="preserve">   Amortization of present value of future profits</t>
  </si>
  <si>
    <t>Premiums received in advance</t>
  </si>
  <si>
    <t xml:space="preserve">   Reinsurance commissions and expense allowances</t>
  </si>
  <si>
    <t xml:space="preserve">   Provision for income taxes</t>
  </si>
  <si>
    <t>Less weighted average treasury shares</t>
  </si>
  <si>
    <t>Basic weighted shares outstanding</t>
  </si>
  <si>
    <t>Effect of dilutive securities</t>
  </si>
  <si>
    <t>Diluted weighted shares outstanding</t>
  </si>
  <si>
    <t>Continuing Operations</t>
  </si>
  <si>
    <t>Provision for income taxes</t>
  </si>
  <si>
    <t>Weighted Average shares O/S - Diluted</t>
  </si>
  <si>
    <t>% Retained</t>
  </si>
  <si>
    <r>
      <t>($ in millions, Policies in thousands)</t>
    </r>
    <r>
      <rPr>
        <i/>
        <sz val="8"/>
        <color indexed="23"/>
        <rFont val="Arial"/>
        <family val="2"/>
      </rPr>
      <t xml:space="preserve"> </t>
    </r>
  </si>
  <si>
    <t>Annualized Premium In Force - Net Retained</t>
  </si>
  <si>
    <t>Weighted average common shares outstanding</t>
  </si>
  <si>
    <t>Weighted average common equivalent of preferred shares outstanding</t>
  </si>
  <si>
    <t>Fixed maturities available for sale, at fair value</t>
  </si>
  <si>
    <t>Prior Quarter</t>
  </si>
  <si>
    <t>Prior Quarter End</t>
  </si>
  <si>
    <t>Current Quarter</t>
  </si>
  <si>
    <t>Change</t>
  </si>
  <si>
    <t>Pre-tax Income</t>
  </si>
  <si>
    <t>Senior Managed Care - Medicare Advantage - Total Segment</t>
  </si>
  <si>
    <t>Book Value</t>
  </si>
  <si>
    <t>Market Value</t>
  </si>
  <si>
    <t>Book</t>
  </si>
  <si>
    <t>A+</t>
  </si>
  <si>
    <t>AA+</t>
  </si>
  <si>
    <t>%</t>
  </si>
  <si>
    <t>of BV</t>
  </si>
  <si>
    <t>% split</t>
  </si>
  <si>
    <t>Totals</t>
  </si>
  <si>
    <t>($ in thousands)</t>
  </si>
  <si>
    <t>Fixed Maturity Securities</t>
  </si>
  <si>
    <t>Summary</t>
  </si>
  <si>
    <t>TOTAL - Fixed Maturity</t>
  </si>
  <si>
    <t>Policy loans and other invested assets</t>
  </si>
  <si>
    <t>TOTAL - Cash and Investments</t>
  </si>
  <si>
    <t>Stated</t>
  </si>
  <si>
    <t>Par</t>
  </si>
  <si>
    <t>Credit Rating</t>
  </si>
  <si>
    <t>CUSIP</t>
  </si>
  <si>
    <t>Description</t>
  </si>
  <si>
    <t>Vintage</t>
  </si>
  <si>
    <t>Coupon</t>
  </si>
  <si>
    <t>Maturity</t>
  </si>
  <si>
    <t>Value</t>
  </si>
  <si>
    <t>Moody</t>
  </si>
  <si>
    <t>S&amp;P</t>
  </si>
  <si>
    <t>126673WF5</t>
  </si>
  <si>
    <t>294751EL2</t>
  </si>
  <si>
    <t>46629TAF7</t>
  </si>
  <si>
    <t>70069FGB7</t>
  </si>
  <si>
    <t>76112BC40</t>
  </si>
  <si>
    <t>76112BK25</t>
  </si>
  <si>
    <t>76110WRW8</t>
  </si>
  <si>
    <t>Summary of Exposure to Sub-Prime Mortgages</t>
  </si>
  <si>
    <t>3Q 2007</t>
  </si>
  <si>
    <t>($ in 000s)</t>
  </si>
  <si>
    <t>SELCARTX</t>
  </si>
  <si>
    <t>CONSLIFE</t>
  </si>
  <si>
    <t>RAMP 2005-EFC4 M1</t>
  </si>
  <si>
    <t>RAMP 2005-EFC6 M1</t>
  </si>
  <si>
    <t>4Q 2007</t>
  </si>
  <si>
    <t>Traditional Insurance</t>
  </si>
  <si>
    <t>Gross premiums and policyholder fees</t>
  </si>
  <si>
    <t>Ceded premiums and policyholder fees</t>
  </si>
  <si>
    <t>Traditional Insurance - Total Segment</t>
  </si>
  <si>
    <t>Market</t>
  </si>
  <si>
    <t>Unr</t>
  </si>
  <si>
    <t>G/(L)</t>
  </si>
  <si>
    <t>Effective tax rate</t>
  </si>
  <si>
    <t>Earnings per common share:</t>
  </si>
  <si>
    <t>1Q 2008</t>
  </si>
  <si>
    <t>Quality Rating by Book Value</t>
  </si>
  <si>
    <t>Unr G/(L)</t>
  </si>
  <si>
    <t>AA-</t>
  </si>
  <si>
    <t>PLIC</t>
  </si>
  <si>
    <t>AM PROG</t>
  </si>
  <si>
    <t>PYRAMID</t>
  </si>
  <si>
    <t>AM PION</t>
  </si>
  <si>
    <t>UNION</t>
  </si>
  <si>
    <t>Fitch</t>
  </si>
  <si>
    <t>Aa1</t>
  </si>
  <si>
    <t>NR</t>
  </si>
  <si>
    <t>PPSI 2005-WHQ1 M2</t>
  </si>
  <si>
    <t>Aa2</t>
  </si>
  <si>
    <t>RASC 2003-KS4 MI2</t>
  </si>
  <si>
    <t>A2</t>
  </si>
  <si>
    <t>CWL 2005-1 MF2</t>
  </si>
  <si>
    <t>NA</t>
  </si>
  <si>
    <t>JPMAC 2006-CH1 M1</t>
  </si>
  <si>
    <t>EQABS 2004-2 M2</t>
  </si>
  <si>
    <t>Aa3</t>
  </si>
  <si>
    <t>Aaa</t>
  </si>
  <si>
    <t>Totals by Vintage</t>
  </si>
  <si>
    <t>Effective Tax Rates for continuing operations</t>
  </si>
  <si>
    <t>Prior Year Quarter</t>
  </si>
  <si>
    <t>2Q 2008</t>
  </si>
  <si>
    <t>A1</t>
  </si>
  <si>
    <t>A3</t>
  </si>
  <si>
    <t>3Q 2008</t>
  </si>
  <si>
    <t>B-</t>
  </si>
  <si>
    <t>TIME WARNER INC</t>
  </si>
  <si>
    <t>Baa2</t>
  </si>
  <si>
    <t>BBB+</t>
  </si>
  <si>
    <t>COMCAST CABLE COMM HLDGS</t>
  </si>
  <si>
    <t>ABBOTT LABORATORIES</t>
  </si>
  <si>
    <t>ALABAMA POWER CO</t>
  </si>
  <si>
    <t>Baa1</t>
  </si>
  <si>
    <t>WYETH</t>
  </si>
  <si>
    <t>A-</t>
  </si>
  <si>
    <t>BANK ONE CORP</t>
  </si>
  <si>
    <t>BBB-</t>
  </si>
  <si>
    <t>BOEING CO</t>
  </si>
  <si>
    <t>Ba2</t>
  </si>
  <si>
    <t>BB+</t>
  </si>
  <si>
    <t>CLOROX COMPANY</t>
  </si>
  <si>
    <t>COCA-COLA ENTERPRISES</t>
  </si>
  <si>
    <t>COMCAST CORP</t>
  </si>
  <si>
    <t>COMMONWEALTH EDISON</t>
  </si>
  <si>
    <t>COMPUTER SCIENCES CORP</t>
  </si>
  <si>
    <t>COOPER US INC</t>
  </si>
  <si>
    <t>CREDIT SUISSE USA INC</t>
  </si>
  <si>
    <t>DAIMLER FINANCE NA LLC</t>
  </si>
  <si>
    <t>DOMINION RESOURCES INC</t>
  </si>
  <si>
    <t>DUKE ENERGY CAROLINAS</t>
  </si>
  <si>
    <t>ERAC USA FINANCE COMPANY</t>
  </si>
  <si>
    <t>EMERSON ELECTRIC CO</t>
  </si>
  <si>
    <t>FREDDIE MAC</t>
  </si>
  <si>
    <t>FEDERAL HOME LOAN BANK</t>
  </si>
  <si>
    <t>FANNIE MAE</t>
  </si>
  <si>
    <t>WACHOVIA CORP</t>
  </si>
  <si>
    <t>GENENTECH INC</t>
  </si>
  <si>
    <t>GENERAL ELEC CAP CORP</t>
  </si>
  <si>
    <t>GLAXOSMITHKLINE CAP INC</t>
  </si>
  <si>
    <t>GOLDMAN SACHS GROUP INC</t>
  </si>
  <si>
    <t>HSBC FINANCE CORP</t>
  </si>
  <si>
    <t>HEWLETT-PACKARD CO</t>
  </si>
  <si>
    <t>STATE OF ISRAEL</t>
  </si>
  <si>
    <t>JPMORGAN CHASE &amp; CO</t>
  </si>
  <si>
    <t>KERN RIVER FUNDING CORP</t>
  </si>
  <si>
    <t>KINDER MORGAN ENER PART</t>
  </si>
  <si>
    <t>KRAFT FOODS INC</t>
  </si>
  <si>
    <t>MELLON FUNDING CORP</t>
  </si>
  <si>
    <t>MERRILL LYNCH &amp; CO</t>
  </si>
  <si>
    <t>METLIFE INC</t>
  </si>
  <si>
    <t>NATIONAL RURAL UTIL COOP</t>
  </si>
  <si>
    <t>NEW YORK ST DORM AUTH ST PERS</t>
  </si>
  <si>
    <t>PITNEY BOWES INC</t>
  </si>
  <si>
    <t>AT&amp;T INC</t>
  </si>
  <si>
    <t>SOUTHERN CALIF GAS CO</t>
  </si>
  <si>
    <t>TIME WARNER COS INC</t>
  </si>
  <si>
    <t>TIME WARNER ENT</t>
  </si>
  <si>
    <t>TULSA CNTY OKLA INDL AUTH CAP</t>
  </si>
  <si>
    <t>UNITEDHEALTH GROUP INC</t>
  </si>
  <si>
    <t>VODAFONE GROUP PLC</t>
  </si>
  <si>
    <t>UNIVERSAL AMERICAN CORP. AND SUBSIDIARIES</t>
  </si>
  <si>
    <t>Universal American Corp.</t>
  </si>
  <si>
    <t>4Q 2008</t>
  </si>
  <si>
    <t>C</t>
  </si>
  <si>
    <t>Universal American</t>
  </si>
  <si>
    <t>Fixed Maturity Holdings</t>
  </si>
  <si>
    <t>Mat</t>
  </si>
  <si>
    <t>BOTTLING GROUP LLC</t>
  </si>
  <si>
    <t>ESTEE LAUDER CO INC</t>
  </si>
  <si>
    <t>NUCOR CORP</t>
  </si>
  <si>
    <t>Universal American Corp</t>
  </si>
  <si>
    <t>1Q 2009</t>
  </si>
  <si>
    <t>BANK OF NEW YORK MELLON</t>
  </si>
  <si>
    <t>BERKSHIRE HATHAWAY FIN</t>
  </si>
  <si>
    <t>NYSE EURONEXT</t>
  </si>
  <si>
    <t>Total other-than-temorary impairment losses on securities</t>
  </si>
  <si>
    <t>Portion of loss recognized in other comprehensive income</t>
  </si>
  <si>
    <t>Net other-than-temporary impairment losses on securities recognized in earnings</t>
  </si>
  <si>
    <t xml:space="preserve">   Net realized losses on investments</t>
  </si>
  <si>
    <t>2Q 2009</t>
  </si>
  <si>
    <t>Restructure Costs</t>
  </si>
  <si>
    <t xml:space="preserve">   Net premium and policyholder fees earned</t>
  </si>
  <si>
    <t xml:space="preserve">   Change in deferred acquisition costs</t>
  </si>
  <si>
    <t>Realized (loss) gain, excluding other-than-temporary impairment losses on securities</t>
  </si>
  <si>
    <t>Reinsurance recoverables - life</t>
  </si>
  <si>
    <t>Reinsurance recoverables - health</t>
  </si>
  <si>
    <t>Advances to agents</t>
  </si>
  <si>
    <t>Reserves for future policy benefits - health</t>
  </si>
  <si>
    <t>3Q 2009</t>
  </si>
  <si>
    <t>BB-</t>
  </si>
  <si>
    <t>4Q 2009</t>
  </si>
  <si>
    <t>CC+</t>
  </si>
  <si>
    <t xml:space="preserve">-   </t>
  </si>
  <si>
    <t>Series B Preferred Stock (Authorized:  300,000 shares)</t>
  </si>
  <si>
    <t>Total Medicare Part D</t>
  </si>
  <si>
    <t>Total Traditional Insurance</t>
  </si>
  <si>
    <t>Income from continuing operations before income taxes</t>
  </si>
  <si>
    <t>Income from continuing operations</t>
  </si>
  <si>
    <t>Discontinued Operations:</t>
  </si>
  <si>
    <t>Income for discontinued operations</t>
  </si>
  <si>
    <t>1Q 2010</t>
  </si>
  <si>
    <t>B+</t>
  </si>
  <si>
    <t>Corporate &amp; Other</t>
  </si>
  <si>
    <t>Total Corporate &amp; Other</t>
  </si>
  <si>
    <t>Interest expense</t>
  </si>
  <si>
    <t>Amortization of capitalized loan origination fees</t>
  </si>
  <si>
    <t>Stock-based compensation expense</t>
  </si>
  <si>
    <t>Additional allowance on agent receivables (2009)/Early extinguishment of debt</t>
  </si>
  <si>
    <t>Other parent company expense, net of revenue</t>
  </si>
  <si>
    <t>Net (gain)/loss - Senior Administrative Services</t>
  </si>
  <si>
    <t>Segment loss</t>
  </si>
  <si>
    <t>Reserves and other policy liabilities - life</t>
  </si>
  <si>
    <t>Accumulated other comprehensive income (loss)</t>
  </si>
  <si>
    <t>Realized gain (loss):</t>
  </si>
  <si>
    <t xml:space="preserve">          Total benefits, claims and expenses</t>
  </si>
  <si>
    <t>2Q 2010</t>
  </si>
  <si>
    <t>Ca</t>
  </si>
  <si>
    <t>MORGAN STANLEY</t>
  </si>
  <si>
    <t>B2</t>
  </si>
  <si>
    <t>BEAR STEARNS COS LLC</t>
  </si>
  <si>
    <t>PFIZER INC</t>
  </si>
  <si>
    <t>DELL INC</t>
  </si>
  <si>
    <t>3Q 2010</t>
  </si>
  <si>
    <t>COVIDIEN INTL FINANCE SA</t>
  </si>
  <si>
    <t>DEERE &amp; COMPANY</t>
  </si>
  <si>
    <t>UNION ELECTRIC CO</t>
  </si>
  <si>
    <t>WEINGARTEN REALTY INVEST</t>
  </si>
  <si>
    <t>AMERICAN INTL GROUP</t>
  </si>
  <si>
    <t>BARCLAYS BANK PLC</t>
  </si>
  <si>
    <t>CITIGROUP INC</t>
  </si>
  <si>
    <t>LEANDER TEX INDPT SCH DIST</t>
  </si>
  <si>
    <t>LLOYDS TSB BANK PLC</t>
  </si>
  <si>
    <t>OKLAHOMA CAP IMP AUTH ST HWY</t>
  </si>
  <si>
    <t>OSCEOLA CNTY FLA</t>
  </si>
  <si>
    <t>RABOBANK NEDERLAND</t>
  </si>
  <si>
    <t>ROYAL BK OF SCOTLAND PLC</t>
  </si>
  <si>
    <t>ST LOUIS CNTY MO SPL OBLIG</t>
  </si>
  <si>
    <t>UNIVERSITY AKRON OHIO GEN RCPT</t>
  </si>
  <si>
    <t>WILMINGTON N C CTFS PARTN</t>
  </si>
  <si>
    <t>CREDIT SUISSE NEW YORK</t>
  </si>
  <si>
    <t>Baa3</t>
  </si>
  <si>
    <t>NORTH WALES PA WTR AUTH WTR</t>
  </si>
  <si>
    <t>ELECTRICITE DE FRANCE</t>
  </si>
  <si>
    <t>AMERICAN HONDA FINANCE</t>
  </si>
  <si>
    <t>CAISSE CENTRALE DESJARDN</t>
  </si>
  <si>
    <t>DCP MIDSTREAM LLC</t>
  </si>
  <si>
    <t>MET LIFE GLOB FUNDING I</t>
  </si>
  <si>
    <t>SIMON PROPERTY GROUP LP</t>
  </si>
  <si>
    <t>UBS AG STAMFORD CT</t>
  </si>
  <si>
    <t>HONOLULU HAWAII CITY &amp; CNTY</t>
  </si>
  <si>
    <t>MET GOVT NASHVILLE &amp; DAVIDSON</t>
  </si>
  <si>
    <t>NEW YORK N Y</t>
  </si>
  <si>
    <t>WASHINGTON ST</t>
  </si>
  <si>
    <t>AMER EXPRESS CREDIT CO</t>
  </si>
  <si>
    <t>NORFOLK VA</t>
  </si>
  <si>
    <t>CHICAGO ILL</t>
  </si>
  <si>
    <t>CONNECTICUT ST HEALTH &amp; EDL</t>
  </si>
  <si>
    <t>SOUTHEASTERN PA TRANSN AUTH</t>
  </si>
  <si>
    <t>BATON ROUGE LA PUB IMPT SALES</t>
  </si>
  <si>
    <t>PHILADELPHIA PA WTR &amp; WASTEWTR</t>
  </si>
  <si>
    <t>As of 09/30/2010</t>
  </si>
  <si>
    <t>NPPFE</t>
  </si>
  <si>
    <t>NII</t>
  </si>
  <si>
    <t>FAOI</t>
  </si>
  <si>
    <t>NRG</t>
  </si>
  <si>
    <t>COB</t>
  </si>
  <si>
    <t>CDAC</t>
  </si>
  <si>
    <t>APVFP</t>
  </si>
  <si>
    <t>COMM</t>
  </si>
  <si>
    <t>RCEA</t>
  </si>
  <si>
    <t>IE</t>
  </si>
  <si>
    <t>OOCAE</t>
  </si>
  <si>
    <t>PFIT</t>
  </si>
  <si>
    <t>Total Senior Managed Care - Medicare Advantage</t>
  </si>
  <si>
    <t>Corporate &amp; Other - Consolidated</t>
  </si>
  <si>
    <t>Debt Service</t>
  </si>
  <si>
    <t>Other parent company expense</t>
  </si>
  <si>
    <t>Segment income (loss)</t>
  </si>
  <si>
    <t>4Q 2010</t>
  </si>
  <si>
    <t>ALTRIA GROUP INC</t>
  </si>
  <si>
    <t>DELTA AIR LINES 2010-2A</t>
  </si>
  <si>
    <t>DUKE REALTY LP</t>
  </si>
  <si>
    <t>KNOX CNTY TENN</t>
  </si>
  <si>
    <t>LAB CORP OF AMER HLDGS</t>
  </si>
  <si>
    <t>LOCKHEED MARTIN CORP</t>
  </si>
  <si>
    <t>MASSACHUSETTS ST WTR RES AUTH</t>
  </si>
  <si>
    <t>SAIC INC</t>
  </si>
  <si>
    <t>SAN ANTONIO TEX</t>
  </si>
  <si>
    <t>TRANSOCEAN INC</t>
  </si>
  <si>
    <t>WILLIAMSON CNTY TENN</t>
  </si>
  <si>
    <t>As of 12/31/2010</t>
  </si>
  <si>
    <t>As of 9/30/2010</t>
  </si>
  <si>
    <t>Securities with Exposure to Sub-Prime Mortgages as of December 31, 2010</t>
  </si>
  <si>
    <t>1Q 2011</t>
  </si>
  <si>
    <t>U.S. TREASURY</t>
  </si>
  <si>
    <t>COMCAST CABLE</t>
  </si>
  <si>
    <t>DIRECTV HOLDINGS</t>
  </si>
  <si>
    <t>ENTERPRISE PRODUCTS</t>
  </si>
  <si>
    <t>FEDEX CORP</t>
  </si>
  <si>
    <t>GENERAL ELEC CAP</t>
  </si>
  <si>
    <t>JUNIPER NETWORKS INC</t>
  </si>
  <si>
    <t>PRICOA GLOBAL FUNDING</t>
  </si>
  <si>
    <t>SOUTH CAROLINA ELEC &amp; GAS</t>
  </si>
  <si>
    <t>INTESA SANPAOLO NY</t>
  </si>
  <si>
    <t>FGLMC</t>
  </si>
  <si>
    <t>FGCI</t>
  </si>
  <si>
    <t>FHLMC</t>
  </si>
  <si>
    <t>FNCL</t>
  </si>
  <si>
    <t>FNCI</t>
  </si>
  <si>
    <t>GNSF</t>
  </si>
  <si>
    <t>GNMA</t>
  </si>
  <si>
    <t>BRAZO HIGHER EDUCATION</t>
  </si>
  <si>
    <t>CAPITAL ONE MULTI-ASSET</t>
  </si>
  <si>
    <t>CENTERPOINT ENERGY TRANSITION</t>
  </si>
  <si>
    <t>CITIBANK CREDIT CARD ISSUANCE</t>
  </si>
  <si>
    <t>JP MORGAN MORTGAGE ACQ CORP</t>
  </si>
  <si>
    <t>PSE&amp;G TRANSITION FUNDING</t>
  </si>
  <si>
    <t>RESIDENTIAL ASSET MORTGAGE</t>
  </si>
  <si>
    <t>SLM STUDENT LOAN TRUST</t>
  </si>
  <si>
    <t>STUDENT LOAN CONSOLIDATION CEN</t>
  </si>
  <si>
    <t>BANC OF AMERICA COMM MORTGAGE</t>
  </si>
  <si>
    <t>FHLMC MULTIFAMILY STRUCTURED</t>
  </si>
  <si>
    <t>FANNIE MAE BENCHMARK REMIC</t>
  </si>
  <si>
    <t>LB-UBS COMMERCIAL MORTGAGE</t>
  </si>
  <si>
    <t>NCUA GUARANTEED NOTES</t>
  </si>
  <si>
    <t>NEW YORK LIFE GLOBAL FDG</t>
  </si>
  <si>
    <t>CONTINENTAL WINGATE</t>
  </si>
  <si>
    <t>WALGREEN CO</t>
  </si>
  <si>
    <t>SBA</t>
  </si>
  <si>
    <t>MARATHON PETROLEUM CORP</t>
  </si>
  <si>
    <t>NATIONWIDE FINANCIAL SER</t>
  </si>
  <si>
    <t>ATLANTIC CITY ELECTRIC TRANSIT</t>
  </si>
  <si>
    <t>NORTHSTAR EDUCATION FINANCE</t>
  </si>
  <si>
    <t>CITICORP MORTG SEC INC</t>
  </si>
  <si>
    <t>FREDDIE MAC REFERENCE REMIC</t>
  </si>
  <si>
    <t>FIFTH THIRD BANK</t>
  </si>
  <si>
    <t>PNC BANK NA</t>
  </si>
  <si>
    <t>STANFORD UNIVERSITY</t>
  </si>
  <si>
    <t>MOTOROLA SOLUTIONS INC</t>
  </si>
  <si>
    <t>HCP INC</t>
  </si>
  <si>
    <t>SUNTRUST BANKS INC</t>
  </si>
  <si>
    <t>FNMA</t>
  </si>
  <si>
    <t>AEP TEXAS CENTRAL TRANSITION</t>
  </si>
  <si>
    <t>GREEN TREE FINANCIAL CORP</t>
  </si>
  <si>
    <t>WACHOVIA BANK COMMERCIAL</t>
  </si>
  <si>
    <t>ALLEGHENY CNTY PA HOSP DEV</t>
  </si>
  <si>
    <t>BENTON CNTY WASH SCH DIST</t>
  </si>
  <si>
    <t>IRVINE RANCH CALIF WTR DIST</t>
  </si>
  <si>
    <t>NEW YORK ST DORM AUTH LEASE</t>
  </si>
  <si>
    <t>SARASOTA CNTY FLA SCH BRD</t>
  </si>
  <si>
    <t>CELLCO PART/VERI WIRELESS</t>
  </si>
  <si>
    <t>FORD CREDIT AUTO OWNER TRUST</t>
  </si>
  <si>
    <t>PG&amp;E ENERGY RECOVERY FUNDING</t>
  </si>
  <si>
    <t>GE CAPITAL COMMERCIAL MORTGAGE</t>
  </si>
  <si>
    <t>MERRILL LYNCH/COUNTRYWIDE COMM</t>
  </si>
  <si>
    <t>MORGAN STANLEY REREMIC TRUST</t>
  </si>
  <si>
    <t>RBSCF TRUST</t>
  </si>
  <si>
    <t>VORNADO DP LLC</t>
  </si>
  <si>
    <t>WACHOVIA BNK COMMERCIAL MTG TR</t>
  </si>
  <si>
    <t>BANC OF AMERICA LARGE LOAN</t>
  </si>
  <si>
    <t>CREDIT SUISSE MORTGAGE CAPITAL</t>
  </si>
  <si>
    <t>COMMERCIAL MORTGAGE PASS-THRU</t>
  </si>
  <si>
    <t>FANNIEMAE STRIP</t>
  </si>
  <si>
    <t>JP MORGAN CHASE COMM MORT</t>
  </si>
  <si>
    <t>MERRILL LYNCH MORTGAGE</t>
  </si>
  <si>
    <t>HARLEY-DAVIDSON FINL SER</t>
  </si>
  <si>
    <t>SOVEREIGN BANK</t>
  </si>
  <si>
    <t>KENTUCKY ST PPTY &amp; BLDGS</t>
  </si>
  <si>
    <t>MASSACHUSETTS BAY TRANS AUTH</t>
  </si>
  <si>
    <t>DRESDNER BANK NEW YORK</t>
  </si>
  <si>
    <t>PARK PLACE SECURITIES INC</t>
  </si>
  <si>
    <t>BAYVIEW COMMERCIAL ASSET</t>
  </si>
  <si>
    <t>GENWORTH LIFE INST FUND</t>
  </si>
  <si>
    <t>PLAINS ALL AMER PIPELINE</t>
  </si>
  <si>
    <t>FHA REILLY</t>
  </si>
  <si>
    <t>COUNTRYWIDE ASSET BACK CERT</t>
  </si>
  <si>
    <t>GSR MORTGAGE LOAN TRUST</t>
  </si>
  <si>
    <t>DIAGEO CAPITAL PLC</t>
  </si>
  <si>
    <t>NEW JERSEY ST TPK AUTH</t>
  </si>
  <si>
    <t>METRO WASHINGTON DC ARPT AUTH</t>
  </si>
  <si>
    <t>MONMOUTH CNTY NJ</t>
  </si>
  <si>
    <t>EQUITY ONE ABS INC</t>
  </si>
  <si>
    <t>Caa3</t>
  </si>
  <si>
    <t>NELNET STUDENT LOAN TRUST</t>
  </si>
  <si>
    <t>RESIDENTIAL ASSET SECURITIES</t>
  </si>
  <si>
    <t>COUNTRYWIDE HOME LOANS</t>
  </si>
  <si>
    <t>AXA EQUITABLE LIFE</t>
  </si>
  <si>
    <t>HJ HEINZ FINANCE</t>
  </si>
  <si>
    <t>INTL BUSINESS MACHINES CORP</t>
  </si>
  <si>
    <t>DEUTSCHE TELKOM INT FIN</t>
  </si>
  <si>
    <t>Check</t>
  </si>
  <si>
    <t>Other invested assets</t>
  </si>
  <si>
    <t xml:space="preserve">   Income (loss) from continuing operations before income taxes</t>
  </si>
  <si>
    <t xml:space="preserve">   Income (loss) from continuing operations</t>
  </si>
  <si>
    <t xml:space="preserve">   Discontinued Operations:</t>
  </si>
  <si>
    <t xml:space="preserve">   Net Income</t>
  </si>
  <si>
    <t xml:space="preserve">          Income from discontinued operations, net of income taxes</t>
  </si>
  <si>
    <t xml:space="preserve">          Expenses of transactions, net of income taxes</t>
  </si>
  <si>
    <t xml:space="preserve">          Income from discontinued operations</t>
  </si>
  <si>
    <t>Basic:</t>
  </si>
  <si>
    <t>Discontinued Operations</t>
  </si>
  <si>
    <t>Diluted:</t>
  </si>
  <si>
    <t>Realized gain( loss):</t>
  </si>
  <si>
    <t>DISCOPS</t>
  </si>
  <si>
    <t>EPSC</t>
  </si>
  <si>
    <t>EPSD</t>
  </si>
  <si>
    <t>DEPSC</t>
  </si>
  <si>
    <t>DEPSD</t>
  </si>
  <si>
    <t>TOTTI</t>
  </si>
  <si>
    <t>PRICI</t>
  </si>
  <si>
    <t>Deferred income tax payable</t>
  </si>
  <si>
    <t>TR</t>
  </si>
  <si>
    <t>RIE</t>
  </si>
  <si>
    <t>EXOTTI</t>
  </si>
  <si>
    <t>INC-C-BT</t>
  </si>
  <si>
    <t>INC-C</t>
  </si>
  <si>
    <t>EOT</t>
  </si>
  <si>
    <t>INC-D</t>
  </si>
  <si>
    <t>NI</t>
  </si>
  <si>
    <t>TBCE</t>
  </si>
  <si>
    <t>WACSO</t>
  </si>
  <si>
    <t>LWATS</t>
  </si>
  <si>
    <t>BWSO</t>
  </si>
  <si>
    <t>PSO</t>
  </si>
  <si>
    <t>EFFDIL</t>
  </si>
  <si>
    <t>DWSO</t>
  </si>
  <si>
    <t>EFFTXRT</t>
  </si>
  <si>
    <t>EPSBNI</t>
  </si>
  <si>
    <t>EPSDNI</t>
  </si>
  <si>
    <t>Series A mandatorily redeemable preferred shares</t>
  </si>
  <si>
    <t>Less:  Treasury Stock (2010; 2.9 million shares)</t>
  </si>
  <si>
    <t>2Q 2011</t>
  </si>
  <si>
    <t>00184AAF2</t>
  </si>
  <si>
    <t>00206RAM4</t>
  </si>
  <si>
    <t>00206RAR3</t>
  </si>
  <si>
    <t>00209TAB1</t>
  </si>
  <si>
    <t>002824AT7</t>
  </si>
  <si>
    <t>010392DZ8</t>
  </si>
  <si>
    <t>01728AX27</t>
  </si>
  <si>
    <t>02209SAK9</t>
  </si>
  <si>
    <t>025816AQ2</t>
  </si>
  <si>
    <t>AMERICAN EXPRESS CO  HYB</t>
  </si>
  <si>
    <t>0258M0DA4</t>
  </si>
  <si>
    <t>02666QG64</t>
  </si>
  <si>
    <t>026874AX5</t>
  </si>
  <si>
    <t>03076CAC0</t>
  </si>
  <si>
    <t>AMERIPRISE FINANCIAL INC HYB</t>
  </si>
  <si>
    <t>04780MMD8</t>
  </si>
  <si>
    <t>048312AC6</t>
  </si>
  <si>
    <t>059438AH4</t>
  </si>
  <si>
    <t>05950EAE8</t>
  </si>
  <si>
    <t>05955FAA8</t>
  </si>
  <si>
    <t>05955TAC4</t>
  </si>
  <si>
    <t>06406HBE8</t>
  </si>
  <si>
    <t>06739GAE9</t>
  </si>
  <si>
    <t>071268CF1</t>
  </si>
  <si>
    <t>071268CG9</t>
  </si>
  <si>
    <t>07324SCD2</t>
  </si>
  <si>
    <t>07385TAJ5</t>
  </si>
  <si>
    <t>073902PR3</t>
  </si>
  <si>
    <t>083023MM0</t>
  </si>
  <si>
    <t>084664BD2</t>
  </si>
  <si>
    <t>084664BE0</t>
  </si>
  <si>
    <t>097023AT2</t>
  </si>
  <si>
    <t>10138MAH8</t>
  </si>
  <si>
    <t>12617AAE7</t>
  </si>
  <si>
    <t>12645CAA7</t>
  </si>
  <si>
    <t>12669ERB4</t>
  </si>
  <si>
    <t>12800UAE0</t>
  </si>
  <si>
    <t>14041NCH2</t>
  </si>
  <si>
    <t>15200DAC1</t>
  </si>
  <si>
    <t>15200MAA5</t>
  </si>
  <si>
    <t>167485BT7</t>
  </si>
  <si>
    <t>172921CE6</t>
  </si>
  <si>
    <t>172967EY3</t>
  </si>
  <si>
    <t>172967FA4</t>
  </si>
  <si>
    <t>17305EEE1</t>
  </si>
  <si>
    <t>181059MG8</t>
  </si>
  <si>
    <t>189054AF6</t>
  </si>
  <si>
    <t>191219AN4</t>
  </si>
  <si>
    <t>191219AY0</t>
  </si>
  <si>
    <t>20029PAN9</t>
  </si>
  <si>
    <t>20030NAB7</t>
  </si>
  <si>
    <t>20047AAD2</t>
  </si>
  <si>
    <t>202795FM7</t>
  </si>
  <si>
    <t>205363AF1</t>
  </si>
  <si>
    <t>20774UU60</t>
  </si>
  <si>
    <t>21217#9C7</t>
  </si>
  <si>
    <t>216871AC7</t>
  </si>
  <si>
    <t>22303QAG5</t>
  </si>
  <si>
    <t>22303QAL4</t>
  </si>
  <si>
    <t>22541LAC7</t>
  </si>
  <si>
    <t>23311RAD8</t>
  </si>
  <si>
    <t>233835AW7</t>
  </si>
  <si>
    <t>244199BB0</t>
  </si>
  <si>
    <t>247361ZH4</t>
  </si>
  <si>
    <t>25156PAF0</t>
  </si>
  <si>
    <t>25243YAM1</t>
  </si>
  <si>
    <t>25459HAW5</t>
  </si>
  <si>
    <t>257469AF3</t>
  </si>
  <si>
    <t>25746UAJ8</t>
  </si>
  <si>
    <t>DOMINION RESOURCES INC HYB</t>
  </si>
  <si>
    <t>25746UAZ2</t>
  </si>
  <si>
    <t>261561AB0</t>
  </si>
  <si>
    <t>264399DW3</t>
  </si>
  <si>
    <t>26441YAS6</t>
  </si>
  <si>
    <t>26442CAJ3</t>
  </si>
  <si>
    <t>268317AA2</t>
  </si>
  <si>
    <t>26882PBB7</t>
  </si>
  <si>
    <t>291011AP9</t>
  </si>
  <si>
    <t>29379VAB9</t>
  </si>
  <si>
    <t>29379VAP8</t>
  </si>
  <si>
    <t>29452PAB2</t>
  </si>
  <si>
    <t>302570AW6</t>
  </si>
  <si>
    <t>FPL GROUP CAPITAL HYB</t>
  </si>
  <si>
    <t>302570AX4</t>
  </si>
  <si>
    <t>31283GUL9</t>
  </si>
  <si>
    <t>31283H4Z5</t>
  </si>
  <si>
    <t>3128GV6M7</t>
  </si>
  <si>
    <t>3128GW6C7</t>
  </si>
  <si>
    <t>3128GWQ43</t>
  </si>
  <si>
    <t>3128L0DF6</t>
  </si>
  <si>
    <t>3128QSMK9</t>
  </si>
  <si>
    <t>3128QSXB7</t>
  </si>
  <si>
    <t>3128X3L76</t>
  </si>
  <si>
    <t>312905Z70</t>
  </si>
  <si>
    <t>312910UP5</t>
  </si>
  <si>
    <t>31292GXH4</t>
  </si>
  <si>
    <t>31292K7B7</t>
  </si>
  <si>
    <t>312935F38</t>
  </si>
  <si>
    <t>312942ER2</t>
  </si>
  <si>
    <t>312943EE9</t>
  </si>
  <si>
    <t>31294KL86</t>
  </si>
  <si>
    <t>31296SR32</t>
  </si>
  <si>
    <t>31297C7L8</t>
  </si>
  <si>
    <t>31297NLT1</t>
  </si>
  <si>
    <t>31331FAE1</t>
  </si>
  <si>
    <t>31331FAX9</t>
  </si>
  <si>
    <t>313398M89</t>
  </si>
  <si>
    <t>3133X7FK5</t>
  </si>
  <si>
    <t>31340YMP1</t>
  </si>
  <si>
    <t>31358FCQ0</t>
  </si>
  <si>
    <t>31358PHV2</t>
  </si>
  <si>
    <t>31359MRK1</t>
  </si>
  <si>
    <t>31359MW41</t>
  </si>
  <si>
    <t>313602GQ1</t>
  </si>
  <si>
    <t>313615S49</t>
  </si>
  <si>
    <t>31364HCB1</t>
  </si>
  <si>
    <t>31364HDD6</t>
  </si>
  <si>
    <t>31364HDT1</t>
  </si>
  <si>
    <t>3136F35P7</t>
  </si>
  <si>
    <t>31371CP94</t>
  </si>
  <si>
    <t>31371KF97</t>
  </si>
  <si>
    <t>31371KT68</t>
  </si>
  <si>
    <t>31371KTA9</t>
  </si>
  <si>
    <t>31371KTC5</t>
  </si>
  <si>
    <t>31371KXR7</t>
  </si>
  <si>
    <t>31371LCE7</t>
  </si>
  <si>
    <t>31374TYD5</t>
  </si>
  <si>
    <t>31378GJF1</t>
  </si>
  <si>
    <t>3137A6B27</t>
  </si>
  <si>
    <t>3137A7JU5</t>
  </si>
  <si>
    <t>3137EACA5</t>
  </si>
  <si>
    <t>31380X5S7</t>
  </si>
  <si>
    <t>31384BYK6</t>
  </si>
  <si>
    <t>31384VY89</t>
  </si>
  <si>
    <t>31385JEG9</t>
  </si>
  <si>
    <t>31386A2Q8</t>
  </si>
  <si>
    <t>31388XBU7</t>
  </si>
  <si>
    <t>31389FLB6</t>
  </si>
  <si>
    <t>3138A16N6</t>
  </si>
  <si>
    <t>3138A1KB6</t>
  </si>
  <si>
    <t>3138A1ND9</t>
  </si>
  <si>
    <t>3138A1RM5</t>
  </si>
  <si>
    <t>3138A2DN6</t>
  </si>
  <si>
    <t>3138A2GJ2</t>
  </si>
  <si>
    <t>3138A2PX1</t>
  </si>
  <si>
    <t>3138A2U72</t>
  </si>
  <si>
    <t>3138A2VE6</t>
  </si>
  <si>
    <t>3138A3AE7</t>
  </si>
  <si>
    <t>3138A3ZE0</t>
  </si>
  <si>
    <t>31390AC65</t>
  </si>
  <si>
    <t>31391BMQ7</t>
  </si>
  <si>
    <t>31391JQV5</t>
  </si>
  <si>
    <t>31391UF67</t>
  </si>
  <si>
    <t>313920XA3</t>
  </si>
  <si>
    <t>31393ACA3</t>
  </si>
  <si>
    <t>31393G6B5</t>
  </si>
  <si>
    <t>31393QYC0</t>
  </si>
  <si>
    <t>31393R5J5</t>
  </si>
  <si>
    <t>31393RJE1</t>
  </si>
  <si>
    <t>31393RKS8</t>
  </si>
  <si>
    <t>31393UN41</t>
  </si>
  <si>
    <t>31393Y6L4</t>
  </si>
  <si>
    <t>31394A5M4</t>
  </si>
  <si>
    <t>31394AF76</t>
  </si>
  <si>
    <t>31394BNT7</t>
  </si>
  <si>
    <t>31394BYU2</t>
  </si>
  <si>
    <t>31394CKN1</t>
  </si>
  <si>
    <t>31394J6N2</t>
  </si>
  <si>
    <t>31394JYA9</t>
  </si>
  <si>
    <t>31394KBC7</t>
  </si>
  <si>
    <t>31395AHV0</t>
  </si>
  <si>
    <t>31395AZP3</t>
  </si>
  <si>
    <t>31396CU81</t>
  </si>
  <si>
    <t>31396EW51</t>
  </si>
  <si>
    <t>31396HHG7</t>
  </si>
  <si>
    <t>31396N6Y7</t>
  </si>
  <si>
    <t>31396P2K6</t>
  </si>
  <si>
    <t>31396P6D8</t>
  </si>
  <si>
    <t>31396PA92</t>
  </si>
  <si>
    <t>31396UNL0</t>
  </si>
  <si>
    <t>31397AHW6</t>
  </si>
  <si>
    <t>31397HH76</t>
  </si>
  <si>
    <t>31397J2N3</t>
  </si>
  <si>
    <t>31397L7E3</t>
  </si>
  <si>
    <t>31397TSN3</t>
  </si>
  <si>
    <t>31398AXJ6</t>
  </si>
  <si>
    <t>31398AYY2</t>
  </si>
  <si>
    <t>31400CEY6</t>
  </si>
  <si>
    <t>31400RZW4</t>
  </si>
  <si>
    <t>31402HJF9</t>
  </si>
  <si>
    <t>31402TJW6</t>
  </si>
  <si>
    <t>31402TK20</t>
  </si>
  <si>
    <t>31403NWE3</t>
  </si>
  <si>
    <t>31404PQM6</t>
  </si>
  <si>
    <t>31405ELL7</t>
  </si>
  <si>
    <t>31405QUE6</t>
  </si>
  <si>
    <t>31406Y4L1</t>
  </si>
  <si>
    <t>31410XQL3</t>
  </si>
  <si>
    <t>31412X2Q6</t>
  </si>
  <si>
    <t>31414HVF1</t>
  </si>
  <si>
    <t>31416NG89</t>
  </si>
  <si>
    <t>31416NHE5</t>
  </si>
  <si>
    <t>31416WQ70</t>
  </si>
  <si>
    <t>31416WTT9</t>
  </si>
  <si>
    <t>31416XLX6</t>
  </si>
  <si>
    <t>31417MS61</t>
  </si>
  <si>
    <t>31417MVL4</t>
  </si>
  <si>
    <t>31417QCS1</t>
  </si>
  <si>
    <t>31417QT46</t>
  </si>
  <si>
    <t>31417TL55</t>
  </si>
  <si>
    <t>31417TPK8</t>
  </si>
  <si>
    <t>31417VLV3</t>
  </si>
  <si>
    <t>31417VNC3</t>
  </si>
  <si>
    <t>31417WSM4</t>
  </si>
  <si>
    <t>31417YTB3</t>
  </si>
  <si>
    <t>31418MK76</t>
  </si>
  <si>
    <t>31418NXX3</t>
  </si>
  <si>
    <t>31418PCP8</t>
  </si>
  <si>
    <t>31418QEE9</t>
  </si>
  <si>
    <t>31418TK30</t>
  </si>
  <si>
    <t>31418UWB6</t>
  </si>
  <si>
    <t>31418V4T6</t>
  </si>
  <si>
    <t>31418V4V1</t>
  </si>
  <si>
    <t>31418W6Y1</t>
  </si>
  <si>
    <t>31418W7J3</t>
  </si>
  <si>
    <t>31418WCS7</t>
  </si>
  <si>
    <t>31418WE48</t>
  </si>
  <si>
    <t>31418WPP9</t>
  </si>
  <si>
    <t>31418X6T0</t>
  </si>
  <si>
    <t>31418XML9</t>
  </si>
  <si>
    <t>31418XNF1</t>
  </si>
  <si>
    <t>31418YCP9</t>
  </si>
  <si>
    <t>31419ADT1</t>
  </si>
  <si>
    <t>31419BTC9</t>
  </si>
  <si>
    <t>31419CBX0</t>
  </si>
  <si>
    <t>31419DTQ4</t>
  </si>
  <si>
    <t>31419DV99</t>
  </si>
  <si>
    <t>31419E3Y3</t>
  </si>
  <si>
    <t>31419ENB1</t>
  </si>
  <si>
    <t>31419EU80</t>
  </si>
  <si>
    <t>31419FRR9</t>
  </si>
  <si>
    <t>31419FS23</t>
  </si>
  <si>
    <t>31419FWK8</t>
  </si>
  <si>
    <t>31419FYD2</t>
  </si>
  <si>
    <t>31419GGF5</t>
  </si>
  <si>
    <t>31419GP57</t>
  </si>
  <si>
    <t>31419GWY6</t>
  </si>
  <si>
    <t>31419HYC0</t>
  </si>
  <si>
    <t>31419JA65</t>
  </si>
  <si>
    <t>31419K3D5</t>
  </si>
  <si>
    <t>31419K5J0</t>
  </si>
  <si>
    <t>31419KP66</t>
  </si>
  <si>
    <t>31419KP74</t>
  </si>
  <si>
    <t>316773CK4</t>
  </si>
  <si>
    <t>337358BD6</t>
  </si>
  <si>
    <t>34529HAC7</t>
  </si>
  <si>
    <t>349515LL8</t>
  </si>
  <si>
    <t>36200KKH9</t>
  </si>
  <si>
    <t>36200QWN0</t>
  </si>
  <si>
    <t>36203KBC7</t>
  </si>
  <si>
    <t>36204AE27</t>
  </si>
  <si>
    <t>3620AQ7C1</t>
  </si>
  <si>
    <t>3620ARAE1</t>
  </si>
  <si>
    <t>3620C4SF8</t>
  </si>
  <si>
    <t>36210A3B1</t>
  </si>
  <si>
    <t>36210ETT6</t>
  </si>
  <si>
    <t>36213E5N2</t>
  </si>
  <si>
    <t>36224FFQ8</t>
  </si>
  <si>
    <t>36230MEP8</t>
  </si>
  <si>
    <t>36241LL38</t>
  </si>
  <si>
    <t>36242DCA9</t>
  </si>
  <si>
    <t>36828QQE9</t>
  </si>
  <si>
    <t>368710AG4</t>
  </si>
  <si>
    <t>36962G3M4</t>
  </si>
  <si>
    <t>36962GXS8</t>
  </si>
  <si>
    <t>377372AA5</t>
  </si>
  <si>
    <t>381427AA1</t>
  </si>
  <si>
    <t>GOLDMAN SACHS CAPITAL II HYB</t>
  </si>
  <si>
    <t>38144LAB6</t>
  </si>
  <si>
    <t>39101#AA0</t>
  </si>
  <si>
    <t>39102#AA9</t>
  </si>
  <si>
    <t>393505HJ4</t>
  </si>
  <si>
    <t>40414LAC3</t>
  </si>
  <si>
    <t>40429CCS9</t>
  </si>
  <si>
    <t>41981CGW4</t>
  </si>
  <si>
    <t>42307TAF5</t>
  </si>
  <si>
    <t>428236AQ6</t>
  </si>
  <si>
    <t>438670QL8</t>
  </si>
  <si>
    <t>441812KA1</t>
  </si>
  <si>
    <t>441812KD5</t>
  </si>
  <si>
    <t>442435YD9</t>
  </si>
  <si>
    <t>459200GN5</t>
  </si>
  <si>
    <t>46115LAA6</t>
  </si>
  <si>
    <t>463655GW4</t>
  </si>
  <si>
    <t>46513EAX0</t>
  </si>
  <si>
    <t>46513ECB6</t>
  </si>
  <si>
    <t>46513EMV1</t>
  </si>
  <si>
    <t>46513F7W3</t>
  </si>
  <si>
    <t>46513FFK0</t>
  </si>
  <si>
    <t>46625HAX8</t>
  </si>
  <si>
    <t>46625HHA1</t>
  </si>
  <si>
    <t>46625YEY5</t>
  </si>
  <si>
    <t>46635GAA8</t>
  </si>
  <si>
    <t>469487CT7</t>
  </si>
  <si>
    <t>48203RAF1</t>
  </si>
  <si>
    <t>49151EUW1</t>
  </si>
  <si>
    <t>49228RAC7</t>
  </si>
  <si>
    <t>494550AK2</t>
  </si>
  <si>
    <t>494550AY2</t>
  </si>
  <si>
    <t>4995122N0</t>
  </si>
  <si>
    <t>50075NAH7</t>
  </si>
  <si>
    <t>50075NAV6</t>
  </si>
  <si>
    <t>50179MAE1</t>
  </si>
  <si>
    <t>50180CAD2</t>
  </si>
  <si>
    <t>50540RAJ1</t>
  </si>
  <si>
    <t>518439AA2</t>
  </si>
  <si>
    <t>52108HKJ2</t>
  </si>
  <si>
    <t>B1</t>
  </si>
  <si>
    <t>52108MAF0</t>
  </si>
  <si>
    <t>521840U30</t>
  </si>
  <si>
    <t>539473AG3</t>
  </si>
  <si>
    <t>539830AT6</t>
  </si>
  <si>
    <t>575579WZ6</t>
  </si>
  <si>
    <t>5760496Y1</t>
  </si>
  <si>
    <t>585515AE9</t>
  </si>
  <si>
    <t>58551TAA5</t>
  </si>
  <si>
    <t>MELLON CAPITAL IV HYB</t>
  </si>
  <si>
    <t>586158ML8</t>
  </si>
  <si>
    <t>590188JN9</t>
  </si>
  <si>
    <t>59022HEX6</t>
  </si>
  <si>
    <t>592112FM3</t>
  </si>
  <si>
    <t>59217GAD1</t>
  </si>
  <si>
    <t>592646FM0</t>
  </si>
  <si>
    <t>602248GV2</t>
  </si>
  <si>
    <t>60687UAE7</t>
  </si>
  <si>
    <t>6095587U9</t>
  </si>
  <si>
    <t>61747YCE3</t>
  </si>
  <si>
    <t>61747YCF0</t>
  </si>
  <si>
    <t>61759LAA6</t>
  </si>
  <si>
    <t>620076AZ2</t>
  </si>
  <si>
    <t>62888VAB4</t>
  </si>
  <si>
    <t>62888XAC8</t>
  </si>
  <si>
    <t>629491AA9</t>
  </si>
  <si>
    <t>637432CU7</t>
  </si>
  <si>
    <t>637432HT5</t>
  </si>
  <si>
    <t>64032JAB2</t>
  </si>
  <si>
    <t>646139D85</t>
  </si>
  <si>
    <t>64952WAW3</t>
  </si>
  <si>
    <t>64966CE80</t>
  </si>
  <si>
    <t>6499022M4</t>
  </si>
  <si>
    <t>649902NP4</t>
  </si>
  <si>
    <t>649902PF4</t>
  </si>
  <si>
    <t>649903J69</t>
  </si>
  <si>
    <t>64990HFB1</t>
  </si>
  <si>
    <t>655867LC1</t>
  </si>
  <si>
    <t>663226KP2</t>
  </si>
  <si>
    <t>66704JAT5</t>
  </si>
  <si>
    <t>670346AF2</t>
  </si>
  <si>
    <t>670346AK1</t>
  </si>
  <si>
    <t>678514AK6</t>
  </si>
  <si>
    <t>688018AZ3</t>
  </si>
  <si>
    <t>688018BA7</t>
  </si>
  <si>
    <t>693401AH4</t>
  </si>
  <si>
    <t>69349LAC2</t>
  </si>
  <si>
    <t>69361YAF0</t>
  </si>
  <si>
    <t>69361YAG8</t>
  </si>
  <si>
    <t>717081DB6</t>
  </si>
  <si>
    <t>717817HX1</t>
  </si>
  <si>
    <t>717893VM0</t>
  </si>
  <si>
    <t>72447XAA5</t>
  </si>
  <si>
    <t>72650RAF9</t>
  </si>
  <si>
    <t>74153WBQ1</t>
  </si>
  <si>
    <t>74930AAA5</t>
  </si>
  <si>
    <t>74930AAU1</t>
  </si>
  <si>
    <t>749770AQ6</t>
  </si>
  <si>
    <t>75933*AA2</t>
  </si>
  <si>
    <t>78010JCV2</t>
  </si>
  <si>
    <t>78010XAD3</t>
  </si>
  <si>
    <t>78387GAP8</t>
  </si>
  <si>
    <t>78442GHZ2</t>
  </si>
  <si>
    <t>78443BAE6</t>
  </si>
  <si>
    <t>791526BK1</t>
  </si>
  <si>
    <t>796237TW5</t>
  </si>
  <si>
    <t>80330QBZ7</t>
  </si>
  <si>
    <t>828807BM8</t>
  </si>
  <si>
    <t>828807BP1</t>
  </si>
  <si>
    <t>83164H5C0</t>
  </si>
  <si>
    <t>83164H5E6</t>
  </si>
  <si>
    <t>837004BY5</t>
  </si>
  <si>
    <t>842039AJ8</t>
  </si>
  <si>
    <t>842434CD2</t>
  </si>
  <si>
    <t>854403AB8</t>
  </si>
  <si>
    <t>85748BAB9</t>
  </si>
  <si>
    <t>STATE STREET CAPITAL TRU HYB</t>
  </si>
  <si>
    <t>8575355E4</t>
  </si>
  <si>
    <t>8575355F1</t>
  </si>
  <si>
    <t>882756S67</t>
  </si>
  <si>
    <t>887315BM0</t>
  </si>
  <si>
    <t>88731EAD2</t>
  </si>
  <si>
    <t>89352HAC3</t>
  </si>
  <si>
    <t>TRANS-CANADA PIPELINES HYB</t>
  </si>
  <si>
    <t>893830AX7</t>
  </si>
  <si>
    <t>899518BJ2</t>
  </si>
  <si>
    <t>WD</t>
  </si>
  <si>
    <t>90261XBY7</t>
  </si>
  <si>
    <t>90261XFY3</t>
  </si>
  <si>
    <t>906548CA8</t>
  </si>
  <si>
    <t>912810DV7</t>
  </si>
  <si>
    <t>912828GS3</t>
  </si>
  <si>
    <t>912828HM5</t>
  </si>
  <si>
    <t>912828KB5</t>
  </si>
  <si>
    <t>912828KK5</t>
  </si>
  <si>
    <t>912828KX7</t>
  </si>
  <si>
    <t>912828MN7</t>
  </si>
  <si>
    <t>912828NQ9</t>
  </si>
  <si>
    <t>912828PC8</t>
  </si>
  <si>
    <t>912828PD6</t>
  </si>
  <si>
    <t>91324PAE2</t>
  </si>
  <si>
    <t>91324PAH5</t>
  </si>
  <si>
    <t>914023HT6</t>
  </si>
  <si>
    <t>92344SAK6</t>
  </si>
  <si>
    <t>92857WAF7</t>
  </si>
  <si>
    <t>92903PAA7</t>
  </si>
  <si>
    <t>929766B85</t>
  </si>
  <si>
    <t>92976VAE8</t>
  </si>
  <si>
    <t>93974CUE8</t>
  </si>
  <si>
    <t>94874RAU0</t>
  </si>
  <si>
    <t>949746CR0</t>
  </si>
  <si>
    <t>WELLS FARGO &amp; COMPANY HYB</t>
  </si>
  <si>
    <t>949746PM7</t>
  </si>
  <si>
    <t>9698715D0</t>
  </si>
  <si>
    <t>971673DU9</t>
  </si>
  <si>
    <t>983024AE0</t>
  </si>
  <si>
    <t>9LN01M4U1</t>
  </si>
  <si>
    <t>10620NCG1</t>
  </si>
  <si>
    <t>86386MAY0</t>
  </si>
  <si>
    <t>638612AK7</t>
  </si>
  <si>
    <t>867914BD4</t>
  </si>
  <si>
    <t>912828PR5</t>
  </si>
  <si>
    <t>41283LAA3</t>
  </si>
  <si>
    <t>84603MXU5</t>
  </si>
  <si>
    <t>22541HCC4</t>
  </si>
  <si>
    <t>90261XEM0</t>
  </si>
  <si>
    <t>31381PQ50</t>
  </si>
  <si>
    <t>37251EAE7</t>
  </si>
  <si>
    <t>912828PX2</t>
  </si>
  <si>
    <t>105340AL7</t>
  </si>
  <si>
    <t>BRANDYWINE OPER PARTNERS</t>
  </si>
  <si>
    <t>24702RAJ0</t>
  </si>
  <si>
    <t>302182AF7</t>
  </si>
  <si>
    <t>EXPRESS SCRIPTS INC</t>
  </si>
  <si>
    <t>42225BAA4</t>
  </si>
  <si>
    <t>HEALTHCARE REALTY TRUST</t>
  </si>
  <si>
    <t>59156RAX6</t>
  </si>
  <si>
    <t>6174467P8</t>
  </si>
  <si>
    <t>3138EGEV2</t>
  </si>
  <si>
    <t>31416BS82</t>
  </si>
  <si>
    <t>22546QAD9</t>
  </si>
  <si>
    <t>912828QE3</t>
  </si>
  <si>
    <t>LG&amp;E &amp; KU ENERGY LLC</t>
  </si>
  <si>
    <t>31381N7G2</t>
  </si>
  <si>
    <t>40414LAD1</t>
  </si>
  <si>
    <t>26441YAU1</t>
  </si>
  <si>
    <t>78355HJR1</t>
  </si>
  <si>
    <t>RYDER SYSTEM INC</t>
  </si>
  <si>
    <t>3132GDC67</t>
  </si>
  <si>
    <t>3138AAYW5</t>
  </si>
  <si>
    <t>31410KNG5</t>
  </si>
  <si>
    <t>10620NCK2</t>
  </si>
  <si>
    <t>120568AM2</t>
  </si>
  <si>
    <t>BUNGE LTD FINANCE CORP</t>
  </si>
  <si>
    <t>02209SAL7</t>
  </si>
  <si>
    <t>31416W7J5</t>
  </si>
  <si>
    <t>31419EXR5</t>
  </si>
  <si>
    <t>312945DN5</t>
  </si>
  <si>
    <t>3138A7HY7</t>
  </si>
  <si>
    <t>020002AV3</t>
  </si>
  <si>
    <t>ALLSTATE CORP</t>
  </si>
  <si>
    <t>126650BW9</t>
  </si>
  <si>
    <t>CVS CAREMARK CORP</t>
  </si>
  <si>
    <t>78572MAD7</t>
  </si>
  <si>
    <t>SABMILLER PLC</t>
  </si>
  <si>
    <t>74834LAR1</t>
  </si>
  <si>
    <t>QUEST  DIAGNOSTIC</t>
  </si>
  <si>
    <t>792860AJ7</t>
  </si>
  <si>
    <t>TRAVELERS COS INC</t>
  </si>
  <si>
    <t>337738AL2</t>
  </si>
  <si>
    <t>FISERV INC</t>
  </si>
  <si>
    <t>90520EAC5</t>
  </si>
  <si>
    <t>UNION BANK NA</t>
  </si>
  <si>
    <t>808510AA9</t>
  </si>
  <si>
    <t>SCHWAB CAPITAL TRUST</t>
  </si>
  <si>
    <t>755111BT7</t>
  </si>
  <si>
    <t>RAYTHEON COMPANY</t>
  </si>
  <si>
    <t>AMGEN INC</t>
  </si>
  <si>
    <t>260543CD3</t>
  </si>
  <si>
    <t>DOW CHEMICAL CO</t>
  </si>
  <si>
    <t>887315BJ7</t>
  </si>
  <si>
    <t>50075NAS3</t>
  </si>
  <si>
    <t>595620AH8</t>
  </si>
  <si>
    <t>MIDAMERICAN ENERGY CO</t>
  </si>
  <si>
    <t>534187BB4</t>
  </si>
  <si>
    <t>LINCOLN NATIONAL CORP</t>
  </si>
  <si>
    <t>89417EAC3</t>
  </si>
  <si>
    <t>92276MAW5</t>
  </si>
  <si>
    <t>VENTAS REALTY LP/CAP CRP</t>
  </si>
  <si>
    <t>013817AV3</t>
  </si>
  <si>
    <t>ALCOA INC</t>
  </si>
  <si>
    <t>635405AM5</t>
  </si>
  <si>
    <t>NATIONAL CITY CORP</t>
  </si>
  <si>
    <t>Continuing Operations:</t>
  </si>
  <si>
    <t>Income from discontinued operations before income taxes</t>
  </si>
  <si>
    <t>Income from discontinued operations</t>
  </si>
  <si>
    <t>Effective Tax Rates for discontinued operations</t>
  </si>
  <si>
    <t>Overall Effective Tax Rates</t>
  </si>
  <si>
    <t>Pre-tax income from Continuing Operations</t>
  </si>
  <si>
    <t>Income from discontinued operations, pre-tax</t>
  </si>
  <si>
    <t>Expenses of transactions, pre-tax</t>
  </si>
  <si>
    <t>Pre-tax income from discontinued operations</t>
  </si>
  <si>
    <t>MD&amp;A Summary</t>
  </si>
  <si>
    <t>2010(1)</t>
  </si>
  <si>
    <t>(1)  Restated to reflect discontinued operations</t>
  </si>
  <si>
    <t xml:space="preserve">Twelve months ended December 31, </t>
  </si>
  <si>
    <t>Cash dividends per common share</t>
  </si>
  <si>
    <t>DO NOT DELETE - USED FOR LINKING</t>
  </si>
  <si>
    <t>3Q 2011</t>
  </si>
  <si>
    <t>GAAP Categories</t>
  </si>
  <si>
    <t>Corporate debt securities</t>
  </si>
  <si>
    <t>Other political subdivisions</t>
  </si>
  <si>
    <t>Other Asset-backed securities</t>
  </si>
  <si>
    <t>Commercial-backed securities</t>
  </si>
  <si>
    <t>Foreign debt securities</t>
  </si>
  <si>
    <t>Residential Mortgage-backed securities</t>
  </si>
  <si>
    <t>260543CC5</t>
  </si>
  <si>
    <t>Government sponsored agencies</t>
  </si>
  <si>
    <t>CCC+</t>
  </si>
  <si>
    <t>U.S. Treasury securities and obligations of U.S. Governemnt</t>
  </si>
  <si>
    <t>00206RAY8</t>
  </si>
  <si>
    <t>02666QJ61</t>
  </si>
  <si>
    <t>081437AH8</t>
  </si>
  <si>
    <t>BEMIS COMPANY INC</t>
  </si>
  <si>
    <t>249030AB3</t>
  </si>
  <si>
    <t>DENTSPLY INTERNATIONAL</t>
  </si>
  <si>
    <t>292505AF1</t>
  </si>
  <si>
    <t>ENCACA CORP</t>
  </si>
  <si>
    <t>29379VAA1</t>
  </si>
  <si>
    <t>302445AC5</t>
  </si>
  <si>
    <t>FLIR SYSTEMS INC</t>
  </si>
  <si>
    <t>3128M7S80</t>
  </si>
  <si>
    <t>3128M8VG6</t>
  </si>
  <si>
    <t>312934CX8</t>
  </si>
  <si>
    <t>312941TK3</t>
  </si>
  <si>
    <t>312942F83</t>
  </si>
  <si>
    <t>312943LY7</t>
  </si>
  <si>
    <t>3137AEV77</t>
  </si>
  <si>
    <t>31381RDH4</t>
  </si>
  <si>
    <t>31381RFM1</t>
  </si>
  <si>
    <t>31381RLL6</t>
  </si>
  <si>
    <t>3138ANCX9</t>
  </si>
  <si>
    <t>428236BP7</t>
  </si>
  <si>
    <t>428236BQ5</t>
  </si>
  <si>
    <t>458140AH3</t>
  </si>
  <si>
    <t>INTEL CORP</t>
  </si>
  <si>
    <t>50188FAD7</t>
  </si>
  <si>
    <t>55616XAE7</t>
  </si>
  <si>
    <t>MACYS RETAIL HLDGS INC</t>
  </si>
  <si>
    <t>Ba1</t>
  </si>
  <si>
    <t>63946BAC4</t>
  </si>
  <si>
    <t>NBC UNIVERSAL MEDIA LLC</t>
  </si>
  <si>
    <t>806854AA3</t>
  </si>
  <si>
    <t>SCHLUMBERGER INVESTMENT</t>
  </si>
  <si>
    <t>80685PAC2</t>
  </si>
  <si>
    <t>SCHLUMBERGER NORGE AS</t>
  </si>
  <si>
    <t>883203BR1</t>
  </si>
  <si>
    <t>TEXTRON INC</t>
  </si>
  <si>
    <t>883556AZ5</t>
  </si>
  <si>
    <t>THERMO FISHER SCIENTIFIC</t>
  </si>
  <si>
    <t>92553PAB8</t>
  </si>
  <si>
    <t>VIACOM INC</t>
  </si>
  <si>
    <t>98419MAC4</t>
  </si>
  <si>
    <t>XYLEM INC</t>
  </si>
  <si>
    <t>Q3 - QTD</t>
  </si>
  <si>
    <t>Realized gain, excluding other-than-temporary impairment losses on securities</t>
  </si>
  <si>
    <t xml:space="preserve">   Net realized gain on investments</t>
  </si>
  <si>
    <t xml:space="preserve">   Income from continuing operations before income taxes</t>
  </si>
  <si>
    <t xml:space="preserve">   Income from continuing operations</t>
  </si>
  <si>
    <t xml:space="preserve">          Loss from discontinued operations, net of income taxes</t>
  </si>
  <si>
    <t xml:space="preserve">          Loss from discontinued operations</t>
  </si>
  <si>
    <t xml:space="preserve">Three months ended December 31, </t>
  </si>
  <si>
    <t xml:space="preserve">   Net (loss) income</t>
  </si>
  <si>
    <t>(Loss) earnings per common share:</t>
  </si>
  <si>
    <t>Net (loss) income</t>
  </si>
  <si>
    <t>Assets of discontinued operations</t>
  </si>
  <si>
    <t>Liabilities of discontinued operations</t>
  </si>
  <si>
    <t>Series A Preferred Stock (Authorized: 2011, 0 shares; 2010, 300,000 shares, issued and outstanding:  2010; 42,105 shares, liquidation value 2010, $86,105)</t>
  </si>
  <si>
    <t xml:space="preserve">   Restructuring costs</t>
  </si>
  <si>
    <t xml:space="preserve">   Intangible asset impairment</t>
  </si>
  <si>
    <t>4Q 2011</t>
  </si>
  <si>
    <t>025816AY5</t>
  </si>
  <si>
    <t>031162BM1</t>
  </si>
  <si>
    <t>03523TBH0</t>
  </si>
  <si>
    <t>ANHEUSER-BUSCH INBEV WOR</t>
  </si>
  <si>
    <t>ATLANTA GA ARPT</t>
  </si>
  <si>
    <t>075887BA6</t>
  </si>
  <si>
    <t>BECTON DICKINSON</t>
  </si>
  <si>
    <t>10112RAT1</t>
  </si>
  <si>
    <t>BOSTON PROPERTIES LP</t>
  </si>
  <si>
    <t>125509BR9</t>
  </si>
  <si>
    <t>CIGNA CORP</t>
  </si>
  <si>
    <t>155674HU1</t>
  </si>
  <si>
    <t>CENTRAL UT WTR CONSERVANCY</t>
  </si>
  <si>
    <t>172967FT3</t>
  </si>
  <si>
    <t>CLARK CNTY NEV SCH DIST</t>
  </si>
  <si>
    <t>181059PB6</t>
  </si>
  <si>
    <t>2027A0EM7</t>
  </si>
  <si>
    <t>COMMONWEALTH BANK AUST</t>
  </si>
  <si>
    <t>20772GUA4</t>
  </si>
  <si>
    <t>CONNECTICUT ST</t>
  </si>
  <si>
    <t>240523WS5</t>
  </si>
  <si>
    <t>DE KALB CNTY GA WTR &amp; SWR</t>
  </si>
  <si>
    <t>278865AL4</t>
  </si>
  <si>
    <t>ECOLAB INC</t>
  </si>
  <si>
    <t>30162AAD0</t>
  </si>
  <si>
    <t>EXELIS INC</t>
  </si>
  <si>
    <t>3138AW3K7</t>
  </si>
  <si>
    <t>3138AXAC5</t>
  </si>
  <si>
    <t>FORT WORTH TEX WTR &amp; SWR</t>
  </si>
  <si>
    <t>419791E79</t>
  </si>
  <si>
    <t>HAWAII ST</t>
  </si>
  <si>
    <t>HAWAII ST HWY</t>
  </si>
  <si>
    <t>HOUSTON TEX UTIL SYS</t>
  </si>
  <si>
    <t>JPMORGAN CHASE &amp; CO HYB</t>
  </si>
  <si>
    <t>JACKSONVILLE FLA SPL</t>
  </si>
  <si>
    <t>5447123R1</t>
  </si>
  <si>
    <t>LOS ANGELES CNTY CA MET TRANSP</t>
  </si>
  <si>
    <t>56585AAD4</t>
  </si>
  <si>
    <t>56585AAE2</t>
  </si>
  <si>
    <t>MEMPHIS TENN ELEC SYS</t>
  </si>
  <si>
    <t>MILWAUKEE CNTY WIS ARPT</t>
  </si>
  <si>
    <t>646136E56</t>
  </si>
  <si>
    <t>NEW JERSEY ST TRANSPRTN TRUST</t>
  </si>
  <si>
    <t>NEW YORK ST DORM AUTH</t>
  </si>
  <si>
    <t>655664AP5</t>
  </si>
  <si>
    <t>NORDSTROM INC</t>
  </si>
  <si>
    <t>693475AK1</t>
  </si>
  <si>
    <t>PNC FINANCIAL SERVICES</t>
  </si>
  <si>
    <t>PHILADELPHIA PA ARPT</t>
  </si>
  <si>
    <t>721876QZ6</t>
  </si>
  <si>
    <t>PIMA CNTY AZ SWR</t>
  </si>
  <si>
    <t>74251VAD4</t>
  </si>
  <si>
    <t>PRINCIPAL FINANCIAL GROUP</t>
  </si>
  <si>
    <t>743315AN3</t>
  </si>
  <si>
    <t>PROGRESSIVE CORP</t>
  </si>
  <si>
    <t>78390XAA9</t>
  </si>
  <si>
    <t>8316665E8</t>
  </si>
  <si>
    <t>STATE UNIV IOWA UNIV</t>
  </si>
  <si>
    <t>867914BE2</t>
  </si>
  <si>
    <t>TEXAS ST PUB FIN AUTH</t>
  </si>
  <si>
    <t>89233P4S2</t>
  </si>
  <si>
    <t>TOYOTA MOTOR CREDIT CORP</t>
  </si>
  <si>
    <t>912828RM4</t>
  </si>
  <si>
    <t>912828RN2</t>
  </si>
  <si>
    <t>92978AAA0</t>
  </si>
  <si>
    <t>WACHOVIA CAP TRUST III</t>
  </si>
  <si>
    <t>Change vs Sep-11</t>
  </si>
  <si>
    <t>Change vs Dec-10</t>
  </si>
  <si>
    <t>As of December 31, 2011</t>
  </si>
  <si>
    <t xml:space="preserve">($ in millions) </t>
  </si>
  <si>
    <t>Effect of dilutive securities (2)</t>
  </si>
  <si>
    <t>(2) No dilution effect if result from continuing operations is a loss</t>
  </si>
  <si>
    <t>For the quarter ended December 31, 2011</t>
  </si>
  <si>
    <t>Link Codes:  Do not delete</t>
  </si>
  <si>
    <t>Impairment of intangible assets</t>
  </si>
  <si>
    <t>Restructure costs</t>
  </si>
  <si>
    <t>Q4 - QTD</t>
  </si>
  <si>
    <t>Q4 - YTD</t>
  </si>
  <si>
    <t>Common stock - voting (Authorized: 2011, 400 million shares; 2010, 200 million shares, issued and outstanding: 2011, 78.2 million shares; 2010, 78.6 million shares)</t>
  </si>
  <si>
    <t>Common stock - non-voting (Authorized: 2011,  60 million shares; 2010, 30 million shares, issued and outstanding : 2011, 3.3 million shares</t>
  </si>
  <si>
    <t>(amortized cost: 2011, 1,200,674; 2010, $1,388,604)</t>
  </si>
  <si>
    <t>2011 (1)</t>
  </si>
  <si>
    <t>2010 (1)</t>
  </si>
  <si>
    <t>(Unaudited)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</si>
</sst>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8">
    <numFmt numFmtId="6" formatCode="&quot;$&quot;#,##0_);[Red]\(&quot;$&quot;#,##0\)"/>
    <numFmt numFmtId="7" formatCode="&quot;$&quot;#,##0.00_);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0.0%"/>
    <numFmt numFmtId="167" formatCode="_(&quot;$&quot;* #,##0.000_);_(&quot;$&quot;* \(#,##0.000\);_(&quot;$&quot;* &quot;-&quot;??_);_(@_)"/>
    <numFmt numFmtId="168" formatCode="_(* #,##0.0_);_(* \(#,##0.0\);_(* &quot;-&quot;?_);_(@_)"/>
    <numFmt numFmtId="169" formatCode="_(* #,##0.000_);_(* \(#,##0.000\);_(* &quot;-&quot;_);_(@_)"/>
    <numFmt numFmtId="170" formatCode="_(&quot;$&quot;* #,##0.0_);_(&quot;$&quot;* \(#,##0.0\);_(&quot;$&quot;* &quot;-&quot;?_);_(@_)"/>
    <numFmt numFmtId="171" formatCode="[$-409]mmmm\ d\,\ yyyy;@"/>
    <numFmt numFmtId="172" formatCode="[$-409]mmm\-yy;@"/>
    <numFmt numFmtId="173" formatCode="m/d/yy;@"/>
    <numFmt numFmtId="174" formatCode="mm/dd/yy;@"/>
    <numFmt numFmtId="175" formatCode="#,##0.0_);\(#,##0.0\)"/>
    <numFmt numFmtId="176" formatCode="0_)"/>
    <numFmt numFmtId="177" formatCode="0.00_)"/>
    <numFmt numFmtId="178" formatCode="0.000_)"/>
    <numFmt numFmtId="179" formatCode="\€#,##0_);\(\€#,##0\)"/>
    <numFmt numFmtId="180" formatCode="_(* #,##0.000_);_(* \(#,##0.000\);_(* &quot;-&quot;??_);_(@_)"/>
    <numFmt numFmtId="181" formatCode="&quot;$&quot;#,##0.0_);\(&quot;$&quot;#,##0.0\)"/>
    <numFmt numFmtId="182" formatCode="_(* #,##0.0000_);_(* \(#,##0.0000\);_(* &quot;-&quot;??_);_(@_)"/>
    <numFmt numFmtId="183" formatCode="_(&quot;$&quot;* #,##0.00_);_(&quot;$&quot;* \(\ #,##0.00\ \);_(&quot;$&quot;* &quot;-&quot;??_);_(\ @_ \)"/>
    <numFmt numFmtId="184" formatCode="_(* #,##0.00_);_(* \(\ #,##0.00\ \);_(* &quot;-&quot;??_);_(\ @_ \)"/>
    <numFmt numFmtId="185" formatCode="_(&quot;$&quot;* #,##0_);_(&quot;$&quot;* \(#,##0\);_(&quot;$&quot;* &quot;-&quot;??_);_(@_)"/>
  </numFmts>
  <fonts count="10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9"/>
      <color indexed="8"/>
      <name val="Arial"/>
      <family val="2"/>
    </font>
    <font>
      <sz val="12"/>
      <name val="Courier"/>
      <family val="3"/>
    </font>
    <font>
      <b/>
      <sz val="9"/>
      <color indexed="8"/>
      <name val="Arial"/>
      <family val="2"/>
    </font>
    <font>
      <sz val="9"/>
      <name val="Arial"/>
      <family val="2"/>
    </font>
    <font>
      <sz val="8.5"/>
      <color indexed="8"/>
      <name val="Arial"/>
      <family val="2"/>
    </font>
    <font>
      <b/>
      <sz val="9"/>
      <name val="Arial"/>
      <family val="2"/>
    </font>
    <font>
      <sz val="8"/>
      <color indexed="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i/>
      <u/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  <font>
      <sz val="9"/>
      <name val="Arial"/>
      <family val="2"/>
    </font>
    <font>
      <i/>
      <sz val="8"/>
      <color indexed="8"/>
      <name val="Arial"/>
      <family val="2"/>
    </font>
    <font>
      <i/>
      <sz val="8"/>
      <color indexed="23"/>
      <name val="Arial"/>
      <family val="2"/>
    </font>
    <font>
      <sz val="8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u val="double"/>
      <sz val="10"/>
      <name val="Arial"/>
      <family val="2"/>
    </font>
    <font>
      <b/>
      <sz val="12"/>
      <name val="Courier"/>
      <family val="3"/>
    </font>
    <font>
      <b/>
      <sz val="9"/>
      <name val="Arial"/>
      <family val="2"/>
    </font>
    <font>
      <b/>
      <sz val="9"/>
      <name val="Arial Narrow"/>
      <family val="2"/>
    </font>
    <font>
      <sz val="9"/>
      <name val="Arial Narrow"/>
      <family val="2"/>
    </font>
    <font>
      <i/>
      <sz val="9"/>
      <color indexed="8"/>
      <name val="Arial Narrow"/>
      <family val="2"/>
    </font>
    <font>
      <b/>
      <i/>
      <sz val="9"/>
      <name val="Arial Narrow"/>
      <family val="2"/>
    </font>
    <font>
      <sz val="8"/>
      <name val="Arial Narrow"/>
      <family val="2"/>
    </font>
    <font>
      <i/>
      <sz val="9"/>
      <name val="Arial Narrow"/>
      <family val="2"/>
    </font>
    <font>
      <b/>
      <u val="double"/>
      <sz val="10"/>
      <name val="Arial"/>
      <family val="2"/>
    </font>
    <font>
      <b/>
      <i/>
      <u/>
      <sz val="11"/>
      <name val="Arial"/>
      <family val="2"/>
    </font>
    <font>
      <sz val="11"/>
      <name val="Times New Roman"/>
      <family val="1"/>
    </font>
    <font>
      <b/>
      <i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u/>
      <sz val="10"/>
      <color indexed="8"/>
      <name val="ARIAL"/>
      <family val="2"/>
    </font>
    <font>
      <u/>
      <sz val="10"/>
      <color indexed="8"/>
      <name val="Arial"/>
      <family val="2"/>
    </font>
    <font>
      <u val="double"/>
      <sz val="10"/>
      <color indexed="8"/>
      <name val="Arial"/>
      <family val="2"/>
    </font>
    <font>
      <b/>
      <u val="double"/>
      <sz val="10"/>
      <color indexed="8"/>
      <name val="Arial"/>
      <family val="2"/>
    </font>
    <font>
      <b/>
      <sz val="11"/>
      <color indexed="8"/>
      <name val="Arial Narrow"/>
      <family val="2"/>
    </font>
    <font>
      <b/>
      <sz val="8"/>
      <name val="Arial Narrow"/>
      <family val="2"/>
    </font>
    <font>
      <b/>
      <u/>
      <sz val="8"/>
      <name val="Arial Narrow"/>
      <family val="2"/>
    </font>
    <font>
      <u/>
      <sz val="8"/>
      <name val="Arial Narrow"/>
      <family val="2"/>
    </font>
    <font>
      <sz val="10"/>
      <color indexed="9"/>
      <name val="Arial"/>
      <family val="2"/>
    </font>
    <font>
      <sz val="8"/>
      <color indexed="12"/>
      <name val="Arial"/>
      <family val="2"/>
    </font>
    <font>
      <sz val="11"/>
      <name val="Tms Rmn"/>
    </font>
    <font>
      <b/>
      <i/>
      <sz val="16"/>
      <name val="Helv"/>
    </font>
    <font>
      <sz val="9"/>
      <color indexed="8"/>
      <name val="Arial"/>
      <family val="2"/>
    </font>
    <font>
      <i/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Times New Roman"/>
      <family val="1"/>
    </font>
    <font>
      <sz val="11"/>
      <color indexed="9"/>
      <name val="Arial Narrow"/>
      <family val="2"/>
    </font>
    <font>
      <sz val="11"/>
      <name val="Arial Narrow"/>
      <family val="2"/>
    </font>
    <font>
      <b/>
      <sz val="11"/>
      <name val="Arial Narrow"/>
      <family val="2"/>
    </font>
    <font>
      <b/>
      <u/>
      <sz val="11"/>
      <name val="Arial Narrow"/>
      <family val="2"/>
    </font>
    <font>
      <u/>
      <sz val="11"/>
      <name val="Arial Narrow"/>
      <family val="2"/>
    </font>
    <font>
      <sz val="11"/>
      <color indexed="8"/>
      <name val="Arial Narrow"/>
      <family val="2"/>
    </font>
    <font>
      <sz val="10"/>
      <name val="Arial"/>
      <family val="2"/>
    </font>
    <font>
      <sz val="10"/>
      <color indexed="62"/>
      <name val="Arial"/>
      <family val="2"/>
    </font>
    <font>
      <b/>
      <sz val="9"/>
      <color indexed="9"/>
      <name val="Arial Narrow"/>
      <family val="2"/>
    </font>
    <font>
      <sz val="11"/>
      <color theme="1"/>
      <name val="Calibri"/>
      <family val="2"/>
      <scheme val="minor"/>
    </font>
    <font>
      <b/>
      <sz val="12"/>
      <color rgb="FFFF0000"/>
      <name val="Arial"/>
      <family val="2"/>
    </font>
    <font>
      <sz val="9"/>
      <name val="Courier"/>
      <family val="3"/>
    </font>
    <font>
      <sz val="10"/>
      <name val="Arial"/>
      <family val="2"/>
    </font>
    <font>
      <sz val="8.5"/>
      <name val="Courier"/>
      <family val="3"/>
    </font>
    <font>
      <sz val="10"/>
      <name val="Arial"/>
      <family val="2"/>
    </font>
    <font>
      <sz val="10"/>
      <color indexed="0"/>
      <name val="Arial"/>
      <family val="2"/>
    </font>
    <font>
      <sz val="10"/>
      <name val="Tahoma"/>
      <family val="2"/>
    </font>
    <font>
      <sz val="8"/>
      <color indexed="8"/>
      <name val="Galliard BT"/>
    </font>
    <font>
      <sz val="10"/>
      <color indexed="8"/>
      <name val="Times New Roman"/>
      <family val="1"/>
    </font>
    <font>
      <b/>
      <sz val="10"/>
      <name val="Times New Roman"/>
      <family val="1"/>
    </font>
    <font>
      <b/>
      <sz val="10"/>
      <color indexed="8"/>
      <name val="Times New Roman"/>
      <family val="1"/>
    </font>
    <font>
      <b/>
      <sz val="16"/>
      <color rgb="FFFF0000"/>
      <name val="Arial"/>
      <family val="2"/>
    </font>
    <font>
      <b/>
      <u/>
      <sz val="14"/>
      <color rgb="FF0000FF"/>
      <name val="Arial"/>
      <family val="2"/>
    </font>
    <font>
      <sz val="9"/>
      <name val="Times New Roman"/>
      <family val="1"/>
    </font>
    <font>
      <sz val="12"/>
      <name val="Arial MT"/>
    </font>
    <font>
      <sz val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27601">
    <xf numFmtId="0" fontId="0" fillId="0" borderId="0"/>
    <xf numFmtId="0" fontId="38" fillId="0" borderId="1" applyNumberFormat="0" applyFill="0" applyAlignment="0" applyProtection="0"/>
    <xf numFmtId="166" fontId="38" fillId="0" borderId="0" applyNumberFormat="0" applyFill="0" applyBorder="0" applyAlignment="0" applyProtection="0"/>
    <xf numFmtId="6" fontId="67" fillId="0" borderId="0" applyNumberFormat="0" applyFill="0" applyBorder="0" applyAlignment="0" applyProtection="0"/>
    <xf numFmtId="43" fontId="16" fillId="0" borderId="0" applyFont="0" applyFill="0" applyBorder="0" applyAlignment="0" applyProtection="0"/>
    <xf numFmtId="178" fontId="68" fillId="0" borderId="0"/>
    <xf numFmtId="178" fontId="68" fillId="0" borderId="0"/>
    <xf numFmtId="178" fontId="68" fillId="0" borderId="0"/>
    <xf numFmtId="178" fontId="68" fillId="0" borderId="0"/>
    <xf numFmtId="178" fontId="68" fillId="0" borderId="0"/>
    <xf numFmtId="178" fontId="68" fillId="0" borderId="0"/>
    <xf numFmtId="178" fontId="68" fillId="0" borderId="0"/>
    <xf numFmtId="178" fontId="6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6" fillId="0" borderId="0" applyFont="0" applyFill="0" applyBorder="0" applyAlignment="0" applyProtection="0"/>
    <xf numFmtId="179" fontId="23" fillId="0" borderId="0"/>
    <xf numFmtId="177" fontId="69" fillId="0" borderId="0"/>
    <xf numFmtId="0" fontId="18" fillId="0" borderId="0"/>
    <xf numFmtId="0" fontId="8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176" fontId="27" fillId="0" borderId="0"/>
    <xf numFmtId="9" fontId="16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0" fontId="16" fillId="0" borderId="0">
      <alignment horizontal="left" wrapText="1"/>
    </xf>
    <xf numFmtId="0" fontId="80" fillId="0" borderId="0">
      <alignment horizontal="left" wrapText="1"/>
    </xf>
    <xf numFmtId="0" fontId="80" fillId="0" borderId="0">
      <alignment horizontal="left" wrapText="1"/>
    </xf>
    <xf numFmtId="0" fontId="80" fillId="0" borderId="0">
      <alignment horizontal="left" wrapText="1"/>
    </xf>
    <xf numFmtId="0" fontId="70" fillId="0" borderId="0" applyNumberFormat="0" applyBorder="0" applyAlignment="0"/>
    <xf numFmtId="0" fontId="20" fillId="0" borderId="0" applyNumberFormat="0" applyBorder="0" applyAlignment="0"/>
    <xf numFmtId="0" fontId="20" fillId="0" borderId="0" applyNumberFormat="0" applyBorder="0" applyAlignment="0"/>
    <xf numFmtId="0" fontId="20" fillId="0" borderId="0" applyNumberFormat="0" applyBorder="0" applyAlignment="0"/>
    <xf numFmtId="0" fontId="71" fillId="0" borderId="0" applyNumberFormat="0" applyBorder="0" applyAlignment="0"/>
    <xf numFmtId="0" fontId="72" fillId="0" borderId="0" applyNumberFormat="0" applyBorder="0" applyAlignment="0"/>
    <xf numFmtId="0" fontId="57" fillId="0" borderId="0" applyNumberFormat="0" applyBorder="0" applyAlignment="0"/>
    <xf numFmtId="0" fontId="57" fillId="0" borderId="0" applyNumberFormat="0" applyBorder="0" applyAlignment="0"/>
    <xf numFmtId="0" fontId="57" fillId="0" borderId="0" applyNumberFormat="0" applyBorder="0" applyAlignment="0"/>
    <xf numFmtId="0" fontId="71" fillId="0" borderId="0" applyNumberFormat="0" applyBorder="0" applyAlignment="0"/>
    <xf numFmtId="0" fontId="73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5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>
      <alignment horizontal="left" wrapText="1"/>
    </xf>
    <xf numFmtId="0" fontId="18" fillId="0" borderId="0">
      <alignment horizontal="left" wrapText="1"/>
    </xf>
    <xf numFmtId="0" fontId="18" fillId="0" borderId="0">
      <alignment horizontal="left" wrapText="1"/>
    </xf>
    <xf numFmtId="0" fontId="20" fillId="0" borderId="0" applyNumberFormat="0" applyBorder="0" applyAlignment="0"/>
    <xf numFmtId="0" fontId="57" fillId="0" borderId="0" applyNumberFormat="0" applyBorder="0" applyAlignment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56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8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8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4" fillId="0" borderId="0"/>
    <xf numFmtId="0" fontId="16" fillId="0" borderId="0"/>
    <xf numFmtId="0" fontId="16" fillId="0" borderId="0"/>
    <xf numFmtId="0" fontId="16" fillId="0" borderId="0"/>
    <xf numFmtId="43" fontId="8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86" fillId="0" borderId="0">
      <alignment horizontal="left" wrapText="1"/>
    </xf>
    <xf numFmtId="0" fontId="16" fillId="0" borderId="0">
      <alignment horizontal="left" wrapText="1"/>
    </xf>
    <xf numFmtId="0" fontId="16" fillId="0" borderId="0">
      <alignment horizontal="left" wrapText="1"/>
    </xf>
    <xf numFmtId="0" fontId="16" fillId="0" borderId="0">
      <alignment horizontal="left" wrapText="1"/>
    </xf>
    <xf numFmtId="0" fontId="20" fillId="0" borderId="0" applyNumberFormat="0" applyBorder="0" applyAlignment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57" fillId="0" borderId="0" applyNumberFormat="0" applyBorder="0" applyAlignment="0"/>
    <xf numFmtId="43" fontId="8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4" fillId="0" borderId="0"/>
    <xf numFmtId="0" fontId="16" fillId="0" borderId="0"/>
    <xf numFmtId="0" fontId="16" fillId="0" borderId="0"/>
    <xf numFmtId="0" fontId="16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8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86" fillId="0" borderId="0">
      <alignment horizontal="left" wrapText="1"/>
    </xf>
    <xf numFmtId="0" fontId="16" fillId="0" borderId="0">
      <alignment horizontal="left" wrapText="1"/>
    </xf>
    <xf numFmtId="0" fontId="16" fillId="0" borderId="0">
      <alignment horizontal="left" wrapText="1"/>
    </xf>
    <xf numFmtId="0" fontId="16" fillId="0" borderId="0">
      <alignment horizontal="left" wrapText="1"/>
    </xf>
    <xf numFmtId="0" fontId="20" fillId="0" borderId="0" applyNumberFormat="0" applyBorder="0" applyAlignment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57" fillId="0" borderId="0" applyNumberFormat="0" applyBorder="0" applyAlignment="0"/>
    <xf numFmtId="43" fontId="8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4" fillId="0" borderId="0"/>
    <xf numFmtId="0" fontId="16" fillId="0" borderId="0"/>
    <xf numFmtId="0" fontId="16" fillId="0" borderId="0"/>
    <xf numFmtId="0" fontId="16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8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86" fillId="0" borderId="0">
      <alignment horizontal="left" wrapText="1"/>
    </xf>
    <xf numFmtId="0" fontId="16" fillId="0" borderId="0">
      <alignment horizontal="left" wrapText="1"/>
    </xf>
    <xf numFmtId="0" fontId="16" fillId="0" borderId="0">
      <alignment horizontal="left" wrapText="1"/>
    </xf>
    <xf numFmtId="0" fontId="16" fillId="0" borderId="0">
      <alignment horizontal="left" wrapText="1"/>
    </xf>
    <xf numFmtId="0" fontId="20" fillId="0" borderId="0" applyNumberFormat="0" applyBorder="0" applyAlignment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57" fillId="0" borderId="0" applyNumberFormat="0" applyBorder="0" applyAlignment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4" fillId="0" borderId="0"/>
    <xf numFmtId="0" fontId="16" fillId="0" borderId="0"/>
    <xf numFmtId="0" fontId="16" fillId="0" borderId="0"/>
    <xf numFmtId="0" fontId="16" fillId="0" borderId="0"/>
    <xf numFmtId="43" fontId="16" fillId="0" borderId="0" applyFont="0" applyFill="0" applyBorder="0" applyAlignment="0" applyProtection="0"/>
    <xf numFmtId="43" fontId="8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86" fillId="0" borderId="0">
      <alignment horizontal="left" wrapText="1"/>
    </xf>
    <xf numFmtId="0" fontId="16" fillId="0" borderId="0">
      <alignment horizontal="left" wrapText="1"/>
    </xf>
    <xf numFmtId="0" fontId="16" fillId="0" borderId="0">
      <alignment horizontal="left" wrapText="1"/>
    </xf>
    <xf numFmtId="0" fontId="16" fillId="0" borderId="0">
      <alignment horizontal="left" wrapText="1"/>
    </xf>
    <xf numFmtId="0" fontId="20" fillId="0" borderId="0" applyNumberFormat="0" applyBorder="0" applyAlignment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57" fillId="0" borderId="0" applyNumberFormat="0" applyBorder="0" applyAlignment="0"/>
    <xf numFmtId="43" fontId="8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4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86" fillId="0" borderId="0">
      <alignment horizontal="left" wrapText="1"/>
    </xf>
    <xf numFmtId="0" fontId="16" fillId="0" borderId="0">
      <alignment horizontal="left" wrapText="1"/>
    </xf>
    <xf numFmtId="0" fontId="16" fillId="0" borderId="0">
      <alignment horizontal="left" wrapText="1"/>
    </xf>
    <xf numFmtId="0" fontId="16" fillId="0" borderId="0">
      <alignment horizontal="left" wrapText="1"/>
    </xf>
    <xf numFmtId="0" fontId="20" fillId="0" borderId="0" applyNumberFormat="0" applyBorder="0" applyAlignment="0"/>
    <xf numFmtId="0" fontId="57" fillId="0" borderId="0" applyNumberFormat="0" applyBorder="0" applyAlignment="0"/>
    <xf numFmtId="43" fontId="86" fillId="0" borderId="0" applyFont="0" applyFill="0" applyBorder="0" applyAlignment="0" applyProtection="0"/>
    <xf numFmtId="44" fontId="86" fillId="0" borderId="0" applyFont="0" applyFill="0" applyBorder="0" applyAlignment="0" applyProtection="0"/>
    <xf numFmtId="0" fontId="16" fillId="0" borderId="0"/>
    <xf numFmtId="0" fontId="14" fillId="0" borderId="0"/>
    <xf numFmtId="0" fontId="16" fillId="0" borderId="0"/>
    <xf numFmtId="0" fontId="16" fillId="0" borderId="0"/>
    <xf numFmtId="0" fontId="16" fillId="0" borderId="0"/>
    <xf numFmtId="9" fontId="8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86" fillId="0" borderId="0">
      <alignment horizontal="left" wrapText="1"/>
    </xf>
    <xf numFmtId="0" fontId="16" fillId="0" borderId="0">
      <alignment horizontal="left" wrapText="1"/>
    </xf>
    <xf numFmtId="0" fontId="16" fillId="0" borderId="0">
      <alignment horizontal="left" wrapText="1"/>
    </xf>
    <xf numFmtId="0" fontId="16" fillId="0" borderId="0">
      <alignment horizontal="left" wrapText="1"/>
    </xf>
    <xf numFmtId="0" fontId="20" fillId="0" borderId="0" applyNumberFormat="0" applyBorder="0" applyAlignment="0"/>
    <xf numFmtId="0" fontId="57" fillId="0" borderId="0" applyNumberFormat="0" applyBorder="0" applyAlignment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8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8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43" fontId="8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86" fillId="0" borderId="0">
      <alignment horizontal="left" wrapText="1"/>
    </xf>
    <xf numFmtId="0" fontId="16" fillId="0" borderId="0">
      <alignment horizontal="left" wrapText="1"/>
    </xf>
    <xf numFmtId="0" fontId="16" fillId="0" borderId="0">
      <alignment horizontal="left" wrapText="1"/>
    </xf>
    <xf numFmtId="0" fontId="16" fillId="0" borderId="0">
      <alignment horizontal="left" wrapText="1"/>
    </xf>
    <xf numFmtId="0" fontId="20" fillId="0" borderId="0" applyNumberFormat="0" applyBorder="0" applyAlignment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57" fillId="0" borderId="0" applyNumberFormat="0" applyBorder="0" applyAlignment="0"/>
    <xf numFmtId="43" fontId="8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8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8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86" fillId="0" borderId="0">
      <alignment horizontal="left" wrapText="1"/>
    </xf>
    <xf numFmtId="0" fontId="16" fillId="0" borderId="0">
      <alignment horizontal="left" wrapText="1"/>
    </xf>
    <xf numFmtId="0" fontId="16" fillId="0" borderId="0">
      <alignment horizontal="left" wrapText="1"/>
    </xf>
    <xf numFmtId="0" fontId="16" fillId="0" borderId="0">
      <alignment horizontal="left" wrapText="1"/>
    </xf>
    <xf numFmtId="0" fontId="20" fillId="0" borderId="0" applyNumberFormat="0" applyBorder="0" applyAlignment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57" fillId="0" borderId="0" applyNumberFormat="0" applyBorder="0" applyAlignment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8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86" fillId="0" borderId="0">
      <alignment horizontal="left" wrapText="1"/>
    </xf>
    <xf numFmtId="0" fontId="16" fillId="0" borderId="0">
      <alignment horizontal="left" wrapText="1"/>
    </xf>
    <xf numFmtId="0" fontId="16" fillId="0" borderId="0">
      <alignment horizontal="left" wrapText="1"/>
    </xf>
    <xf numFmtId="0" fontId="16" fillId="0" borderId="0">
      <alignment horizontal="left" wrapText="1"/>
    </xf>
    <xf numFmtId="0" fontId="20" fillId="0" borderId="0" applyNumberFormat="0" applyBorder="0" applyAlignment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57" fillId="0" borderId="0" applyNumberFormat="0" applyBorder="0" applyAlignment="0"/>
    <xf numFmtId="43" fontId="8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8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86" fillId="0" borderId="0">
      <alignment horizontal="left" wrapText="1"/>
    </xf>
    <xf numFmtId="0" fontId="16" fillId="0" borderId="0">
      <alignment horizontal="left" wrapText="1"/>
    </xf>
    <xf numFmtId="0" fontId="16" fillId="0" borderId="0">
      <alignment horizontal="left" wrapText="1"/>
    </xf>
    <xf numFmtId="0" fontId="16" fillId="0" borderId="0">
      <alignment horizontal="left" wrapText="1"/>
    </xf>
    <xf numFmtId="0" fontId="20" fillId="0" borderId="0" applyNumberFormat="0" applyBorder="0" applyAlignment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57" fillId="0" borderId="0" applyNumberFormat="0" applyBorder="0" applyAlignment="0"/>
    <xf numFmtId="43" fontId="8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8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86" fillId="0" borderId="0">
      <alignment horizontal="left" wrapText="1"/>
    </xf>
    <xf numFmtId="0" fontId="16" fillId="0" borderId="0">
      <alignment horizontal="left" wrapText="1"/>
    </xf>
    <xf numFmtId="0" fontId="16" fillId="0" borderId="0">
      <alignment horizontal="left" wrapText="1"/>
    </xf>
    <xf numFmtId="0" fontId="16" fillId="0" borderId="0">
      <alignment horizontal="left" wrapText="1"/>
    </xf>
    <xf numFmtId="0" fontId="20" fillId="0" borderId="0" applyNumberFormat="0" applyBorder="0" applyAlignment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57" fillId="0" borderId="0" applyNumberFormat="0" applyBorder="0" applyAlignment="0"/>
    <xf numFmtId="43" fontId="8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43" fontId="16" fillId="0" borderId="0" applyFont="0" applyFill="0" applyBorder="0" applyAlignment="0" applyProtection="0"/>
    <xf numFmtId="43" fontId="8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86" fillId="0" borderId="0">
      <alignment horizontal="left" wrapText="1"/>
    </xf>
    <xf numFmtId="0" fontId="16" fillId="0" borderId="0">
      <alignment horizontal="left" wrapText="1"/>
    </xf>
    <xf numFmtId="0" fontId="16" fillId="0" borderId="0">
      <alignment horizontal="left" wrapText="1"/>
    </xf>
    <xf numFmtId="0" fontId="16" fillId="0" borderId="0">
      <alignment horizontal="left" wrapText="1"/>
    </xf>
    <xf numFmtId="0" fontId="20" fillId="0" borderId="0" applyNumberFormat="0" applyBorder="0" applyAlignment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57" fillId="0" borderId="0" applyNumberFormat="0" applyBorder="0" applyAlignment="0"/>
    <xf numFmtId="43" fontId="8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86" fillId="0" borderId="0">
      <alignment horizontal="left" wrapText="1"/>
    </xf>
    <xf numFmtId="0" fontId="16" fillId="0" borderId="0">
      <alignment horizontal="left" wrapText="1"/>
    </xf>
    <xf numFmtId="0" fontId="16" fillId="0" borderId="0">
      <alignment horizontal="left" wrapText="1"/>
    </xf>
    <xf numFmtId="0" fontId="16" fillId="0" borderId="0">
      <alignment horizontal="left" wrapText="1"/>
    </xf>
    <xf numFmtId="0" fontId="20" fillId="0" borderId="0" applyNumberFormat="0" applyBorder="0" applyAlignment="0"/>
    <xf numFmtId="0" fontId="57" fillId="0" borderId="0" applyNumberFormat="0" applyBorder="0" applyAlignment="0"/>
    <xf numFmtId="43" fontId="86" fillId="0" borderId="0" applyFont="0" applyFill="0" applyBorder="0" applyAlignment="0" applyProtection="0"/>
    <xf numFmtId="44" fontId="86" fillId="0" borderId="0" applyFont="0" applyFill="0" applyBorder="0" applyAlignment="0" applyProtection="0"/>
    <xf numFmtId="0" fontId="16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9" fontId="8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86" fillId="0" borderId="0">
      <alignment horizontal="left" wrapText="1"/>
    </xf>
    <xf numFmtId="0" fontId="16" fillId="0" borderId="0">
      <alignment horizontal="left" wrapText="1"/>
    </xf>
    <xf numFmtId="0" fontId="16" fillId="0" borderId="0">
      <alignment horizontal="left" wrapText="1"/>
    </xf>
    <xf numFmtId="0" fontId="16" fillId="0" borderId="0">
      <alignment horizontal="left" wrapText="1"/>
    </xf>
    <xf numFmtId="0" fontId="20" fillId="0" borderId="0" applyNumberFormat="0" applyBorder="0" applyAlignment="0"/>
    <xf numFmtId="0" fontId="57" fillId="0" borderId="0" applyNumberFormat="0" applyBorder="0" applyAlignment="0"/>
    <xf numFmtId="0" fontId="16" fillId="0" borderId="0"/>
    <xf numFmtId="0" fontId="16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2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>
      <alignment horizontal="left" wrapText="1"/>
    </xf>
    <xf numFmtId="0" fontId="16" fillId="0" borderId="0">
      <alignment horizontal="left" wrapText="1"/>
    </xf>
    <xf numFmtId="0" fontId="16" fillId="0" borderId="0">
      <alignment horizontal="left" wrapText="1"/>
    </xf>
    <xf numFmtId="0" fontId="20" fillId="0" borderId="0" applyNumberFormat="0" applyBorder="0" applyAlignment="0"/>
    <xf numFmtId="0" fontId="12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57" fillId="0" borderId="0" applyNumberFormat="0" applyBorder="0" applyAlignment="0"/>
    <xf numFmtId="0" fontId="16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2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>
      <alignment horizontal="left" wrapText="1"/>
    </xf>
    <xf numFmtId="0" fontId="16" fillId="0" borderId="0">
      <alignment horizontal="left" wrapText="1"/>
    </xf>
    <xf numFmtId="0" fontId="16" fillId="0" borderId="0">
      <alignment horizontal="left" wrapText="1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>
      <alignment horizontal="left" wrapText="1"/>
    </xf>
    <xf numFmtId="0" fontId="16" fillId="0" borderId="0">
      <alignment horizontal="left" wrapText="1"/>
    </xf>
    <xf numFmtId="0" fontId="16" fillId="0" borderId="0">
      <alignment horizontal="left" wrapText="1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>
      <alignment horizontal="left" wrapText="1"/>
    </xf>
    <xf numFmtId="0" fontId="16" fillId="0" borderId="0">
      <alignment horizontal="left" wrapText="1"/>
    </xf>
    <xf numFmtId="0" fontId="16" fillId="0" borderId="0">
      <alignment horizontal="left" wrapText="1"/>
    </xf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>
      <alignment horizontal="left" wrapText="1"/>
    </xf>
    <xf numFmtId="0" fontId="16" fillId="0" borderId="0">
      <alignment horizontal="left" wrapText="1"/>
    </xf>
    <xf numFmtId="0" fontId="16" fillId="0" borderId="0">
      <alignment horizontal="left" wrapText="1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2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57" fillId="0" borderId="0" applyNumberFormat="0" applyBorder="0" applyAlignment="0"/>
    <xf numFmtId="0" fontId="20" fillId="0" borderId="0" applyNumberFormat="0" applyBorder="0" applyAlignment="0"/>
    <xf numFmtId="0" fontId="16" fillId="0" borderId="0">
      <alignment horizontal="left" wrapText="1"/>
    </xf>
    <xf numFmtId="0" fontId="16" fillId="0" borderId="0">
      <alignment horizontal="left" wrapText="1"/>
    </xf>
    <xf numFmtId="0" fontId="16" fillId="0" borderId="0">
      <alignment horizontal="left" wrapText="1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2" fillId="0" borderId="0"/>
    <xf numFmtId="0" fontId="16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57" fillId="0" borderId="0" applyNumberFormat="0" applyBorder="0" applyAlignment="0"/>
    <xf numFmtId="0" fontId="20" fillId="0" borderId="0" applyNumberFormat="0" applyBorder="0" applyAlignment="0"/>
    <xf numFmtId="0" fontId="16" fillId="0" borderId="0">
      <alignment horizontal="left" wrapText="1"/>
    </xf>
    <xf numFmtId="0" fontId="16" fillId="0" borderId="0">
      <alignment horizontal="left" wrapText="1"/>
    </xf>
    <xf numFmtId="0" fontId="16" fillId="0" borderId="0">
      <alignment horizontal="left" wrapText="1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2" fillId="0" borderId="0"/>
    <xf numFmtId="0" fontId="16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57" fillId="0" borderId="0" applyNumberFormat="0" applyBorder="0" applyAlignment="0"/>
    <xf numFmtId="0" fontId="20" fillId="0" borderId="0" applyNumberFormat="0" applyBorder="0" applyAlignment="0"/>
    <xf numFmtId="0" fontId="16" fillId="0" borderId="0">
      <alignment horizontal="left" wrapText="1"/>
    </xf>
    <xf numFmtId="0" fontId="16" fillId="0" borderId="0">
      <alignment horizontal="left" wrapText="1"/>
    </xf>
    <xf numFmtId="0" fontId="16" fillId="0" borderId="0">
      <alignment horizontal="left" wrapText="1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2" fillId="0" borderId="0"/>
    <xf numFmtId="0" fontId="16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4" fontId="88" fillId="0" borderId="0" applyFont="0" applyFill="0" applyBorder="0" applyAlignment="0" applyProtection="0"/>
    <xf numFmtId="0" fontId="11" fillId="0" borderId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0" fontId="88" fillId="0" borderId="0">
      <alignment horizontal="left" wrapText="1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>
      <alignment horizontal="left" wrapText="1"/>
    </xf>
    <xf numFmtId="0" fontId="16" fillId="0" borderId="0">
      <alignment horizontal="left" wrapText="1"/>
    </xf>
    <xf numFmtId="0" fontId="16" fillId="0" borderId="0">
      <alignment horizontal="left" wrapText="1"/>
    </xf>
    <xf numFmtId="0" fontId="20" fillId="0" borderId="0" applyNumberFormat="0" applyBorder="0" applyAlignment="0"/>
    <xf numFmtId="0" fontId="57" fillId="0" borderId="0" applyNumberFormat="0" applyBorder="0" applyAlignment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0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>
      <alignment horizontal="left" wrapText="1"/>
    </xf>
    <xf numFmtId="0" fontId="16" fillId="0" borderId="0">
      <alignment horizontal="left" wrapText="1"/>
    </xf>
    <xf numFmtId="0" fontId="16" fillId="0" borderId="0">
      <alignment horizontal="left" wrapText="1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>
      <alignment horizontal="left" wrapText="1"/>
    </xf>
    <xf numFmtId="0" fontId="16" fillId="0" borderId="0">
      <alignment horizontal="left" wrapText="1"/>
    </xf>
    <xf numFmtId="0" fontId="16" fillId="0" borderId="0">
      <alignment horizontal="left" wrapText="1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0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57" fillId="0" borderId="0" applyNumberFormat="0" applyBorder="0" applyAlignment="0"/>
    <xf numFmtId="0" fontId="20" fillId="0" borderId="0" applyNumberFormat="0" applyBorder="0" applyAlignment="0"/>
    <xf numFmtId="0" fontId="16" fillId="0" borderId="0">
      <alignment horizontal="left" wrapText="1"/>
    </xf>
    <xf numFmtId="0" fontId="16" fillId="0" borderId="0">
      <alignment horizontal="left" wrapText="1"/>
    </xf>
    <xf numFmtId="0" fontId="16" fillId="0" borderId="0">
      <alignment horizontal="left" wrapText="1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0" fillId="0" borderId="0"/>
    <xf numFmtId="0" fontId="16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89" fillId="0" borderId="0"/>
    <xf numFmtId="183" fontId="90" fillId="0" borderId="0" applyFont="0" applyFill="0" applyBorder="0" applyAlignment="0" applyProtection="0"/>
    <xf numFmtId="184" fontId="90" fillId="0" borderId="0" applyFont="0" applyFill="0" applyBorder="0" applyAlignment="0" applyProtection="0"/>
    <xf numFmtId="9" fontId="91" fillId="0" borderId="0" applyFont="0" applyFill="0" applyBorder="0" applyAlignment="0" applyProtection="0"/>
    <xf numFmtId="44" fontId="91" fillId="0" borderId="0" applyFont="0" applyFill="0" applyBorder="0" applyAlignment="0" applyProtection="0"/>
    <xf numFmtId="43" fontId="9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16" fillId="0" borderId="0" applyFont="0" applyFill="0" applyBorder="0" applyAlignment="0" applyProtection="0"/>
    <xf numFmtId="0" fontId="38" fillId="0" borderId="0"/>
    <xf numFmtId="9" fontId="38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9" fillId="0" borderId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0" fontId="16" fillId="0" borderId="0"/>
    <xf numFmtId="44" fontId="16" fillId="0" borderId="0" applyFont="0" applyFill="0" applyBorder="0" applyAlignment="0" applyProtection="0"/>
    <xf numFmtId="0" fontId="16" fillId="0" borderId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9" fillId="0" borderId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6" fillId="0" borderId="0"/>
    <xf numFmtId="44" fontId="16" fillId="0" borderId="0" applyFont="0" applyFill="0" applyBorder="0" applyAlignment="0" applyProtection="0"/>
    <xf numFmtId="0" fontId="16" fillId="0" borderId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44" fontId="16" fillId="0" borderId="0" applyFont="0" applyFill="0" applyBorder="0" applyAlignment="0" applyProtection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4" fontId="16" fillId="0" borderId="0" applyFont="0" applyFill="0" applyBorder="0" applyAlignment="0" applyProtection="0"/>
    <xf numFmtId="0" fontId="16" fillId="0" borderId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0" fontId="9" fillId="0" borderId="0"/>
    <xf numFmtId="9" fontId="16" fillId="0" borderId="0" applyFont="0" applyFill="0" applyBorder="0" applyAlignment="0" applyProtection="0"/>
    <xf numFmtId="0" fontId="16" fillId="0" borderId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9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16" fillId="0" borderId="0" applyFont="0" applyFill="0" applyBorder="0" applyAlignment="0" applyProtection="0"/>
    <xf numFmtId="0" fontId="8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8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>
      <alignment horizontal="left" wrapText="1"/>
    </xf>
    <xf numFmtId="0" fontId="16" fillId="0" borderId="0">
      <alignment horizontal="left" wrapText="1"/>
    </xf>
    <xf numFmtId="0" fontId="16" fillId="0" borderId="0">
      <alignment horizontal="left" wrapText="1"/>
    </xf>
    <xf numFmtId="0" fontId="20" fillId="0" borderId="0" applyNumberFormat="0" applyBorder="0" applyAlignment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57" fillId="0" borderId="0" applyNumberFormat="0" applyBorder="0" applyAlignment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8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8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>
      <alignment horizontal="left" wrapText="1"/>
    </xf>
    <xf numFmtId="0" fontId="16" fillId="0" borderId="0">
      <alignment horizontal="left" wrapText="1"/>
    </xf>
    <xf numFmtId="0" fontId="16" fillId="0" borderId="0">
      <alignment horizontal="left" wrapText="1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8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>
      <alignment horizontal="left" wrapText="1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8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>
      <alignment horizontal="left" wrapText="1"/>
    </xf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8" fillId="0" borderId="0"/>
    <xf numFmtId="0" fontId="16" fillId="0" borderId="0">
      <alignment horizontal="left" wrapText="1"/>
    </xf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8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8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8" fillId="0" borderId="0"/>
    <xf numFmtId="0" fontId="8" fillId="0" borderId="0"/>
    <xf numFmtId="43" fontId="16" fillId="0" borderId="0" applyFont="0" applyFill="0" applyBorder="0" applyAlignment="0" applyProtection="0"/>
    <xf numFmtId="0" fontId="16" fillId="0" borderId="0">
      <alignment horizontal="left" wrapText="1"/>
    </xf>
    <xf numFmtId="0" fontId="16" fillId="0" borderId="0">
      <alignment horizontal="left" wrapText="1"/>
    </xf>
    <xf numFmtId="43" fontId="16" fillId="0" borderId="0" applyFont="0" applyFill="0" applyBorder="0" applyAlignment="0" applyProtection="0"/>
    <xf numFmtId="0" fontId="16" fillId="0" borderId="0">
      <alignment horizontal="left" wrapText="1"/>
    </xf>
    <xf numFmtId="43" fontId="16" fillId="0" borderId="0" applyFont="0" applyFill="0" applyBorder="0" applyAlignment="0" applyProtection="0"/>
    <xf numFmtId="0" fontId="8" fillId="0" borderId="0"/>
    <xf numFmtId="0" fontId="8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>
      <alignment horizontal="left" wrapText="1"/>
    </xf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8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>
      <alignment horizontal="left" wrapText="1"/>
    </xf>
    <xf numFmtId="0" fontId="8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>
      <alignment horizontal="left" wrapText="1"/>
    </xf>
    <xf numFmtId="0" fontId="16" fillId="0" borderId="0">
      <alignment horizontal="left" wrapText="1"/>
    </xf>
    <xf numFmtId="43" fontId="16" fillId="0" borderId="0" applyFont="0" applyFill="0" applyBorder="0" applyAlignment="0" applyProtection="0"/>
    <xf numFmtId="0" fontId="16" fillId="0" borderId="0">
      <alignment horizontal="left" wrapText="1"/>
    </xf>
    <xf numFmtId="0" fontId="16" fillId="0" borderId="0">
      <alignment horizontal="left" wrapText="1"/>
    </xf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8" fillId="0" borderId="0"/>
    <xf numFmtId="43" fontId="16" fillId="0" borderId="0" applyFont="0" applyFill="0" applyBorder="0" applyAlignment="0" applyProtection="0"/>
    <xf numFmtId="0" fontId="8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>
      <alignment horizontal="left" wrapText="1"/>
    </xf>
    <xf numFmtId="0" fontId="16" fillId="0" borderId="0">
      <alignment horizontal="left" wrapText="1"/>
    </xf>
    <xf numFmtId="43" fontId="16" fillId="0" borderId="0" applyFont="0" applyFill="0" applyBorder="0" applyAlignment="0" applyProtection="0"/>
    <xf numFmtId="0" fontId="16" fillId="0" borderId="0">
      <alignment horizontal="left" wrapText="1"/>
    </xf>
    <xf numFmtId="0" fontId="16" fillId="0" borderId="0">
      <alignment horizontal="left" wrapText="1"/>
    </xf>
    <xf numFmtId="9" fontId="16" fillId="0" borderId="0" applyFont="0" applyFill="0" applyBorder="0" applyAlignment="0" applyProtection="0"/>
    <xf numFmtId="0" fontId="8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>
      <alignment horizontal="left" wrapText="1"/>
    </xf>
    <xf numFmtId="0" fontId="16" fillId="0" borderId="0">
      <alignment horizontal="left" wrapText="1"/>
    </xf>
    <xf numFmtId="0" fontId="16" fillId="0" borderId="0">
      <alignment horizontal="left" wrapText="1"/>
    </xf>
    <xf numFmtId="9" fontId="16" fillId="0" borderId="0" applyFont="0" applyFill="0" applyBorder="0" applyAlignment="0" applyProtection="0"/>
    <xf numFmtId="0" fontId="8" fillId="0" borderId="0"/>
    <xf numFmtId="0" fontId="8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8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8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>
      <alignment horizontal="left" wrapText="1"/>
    </xf>
    <xf numFmtId="0" fontId="8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>
      <alignment horizontal="left" wrapText="1"/>
    </xf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8" fillId="0" borderId="0"/>
    <xf numFmtId="9" fontId="16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>
      <alignment horizontal="left" wrapText="1"/>
    </xf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>
      <alignment horizontal="left" wrapText="1"/>
    </xf>
    <xf numFmtId="0" fontId="8" fillId="0" borderId="0"/>
    <xf numFmtId="43" fontId="16" fillId="0" borderId="0" applyFont="0" applyFill="0" applyBorder="0" applyAlignment="0" applyProtection="0"/>
    <xf numFmtId="0" fontId="16" fillId="0" borderId="0">
      <alignment horizontal="left" wrapText="1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57" fillId="0" borderId="0" applyNumberFormat="0" applyBorder="0" applyAlignment="0"/>
    <xf numFmtId="43" fontId="16" fillId="0" borderId="0" applyFont="0" applyFill="0" applyBorder="0" applyAlignment="0" applyProtection="0"/>
    <xf numFmtId="0" fontId="16" fillId="0" borderId="0">
      <alignment horizontal="left" wrapText="1"/>
    </xf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>
      <alignment horizontal="left" wrapText="1"/>
    </xf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>
      <alignment horizontal="left" wrapText="1"/>
    </xf>
    <xf numFmtId="0" fontId="16" fillId="0" borderId="0">
      <alignment horizontal="left" wrapText="1"/>
    </xf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0" fillId="0" borderId="0" applyNumberFormat="0" applyBorder="0" applyAlignment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>
      <alignment horizontal="left" wrapText="1"/>
    </xf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8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8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>
      <alignment horizontal="left" wrapText="1"/>
    </xf>
    <xf numFmtId="0" fontId="16" fillId="0" borderId="0">
      <alignment horizontal="left" wrapText="1"/>
    </xf>
    <xf numFmtId="0" fontId="16" fillId="0" borderId="0">
      <alignment horizontal="left" wrapText="1"/>
    </xf>
    <xf numFmtId="9" fontId="16" fillId="0" borderId="0" applyFont="0" applyFill="0" applyBorder="0" applyAlignment="0" applyProtection="0"/>
    <xf numFmtId="0" fontId="8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8" fillId="0" borderId="0"/>
    <xf numFmtId="43" fontId="16" fillId="0" borderId="0" applyFont="0" applyFill="0" applyBorder="0" applyAlignment="0" applyProtection="0"/>
    <xf numFmtId="0" fontId="8" fillId="0" borderId="0"/>
    <xf numFmtId="0" fontId="8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0" fillId="0" borderId="0" applyNumberFormat="0" applyBorder="0" applyAlignment="0"/>
    <xf numFmtId="0" fontId="8" fillId="0" borderId="0"/>
    <xf numFmtId="0" fontId="8" fillId="0" borderId="0"/>
    <xf numFmtId="0" fontId="8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57" fillId="0" borderId="0" applyNumberFormat="0" applyBorder="0" applyAlignment="0"/>
    <xf numFmtId="43" fontId="16" fillId="0" borderId="0" applyFont="0" applyFill="0" applyBorder="0" applyAlignment="0" applyProtection="0"/>
    <xf numFmtId="0" fontId="16" fillId="0" borderId="0">
      <alignment horizontal="left" wrapText="1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8" fillId="0" borderId="0"/>
    <xf numFmtId="0" fontId="16" fillId="0" borderId="0">
      <alignment horizontal="left" wrapText="1"/>
    </xf>
    <xf numFmtId="43" fontId="16" fillId="0" borderId="0" applyFont="0" applyFill="0" applyBorder="0" applyAlignment="0" applyProtection="0"/>
    <xf numFmtId="0" fontId="8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20" fillId="0" borderId="0" applyNumberFormat="0" applyBorder="0" applyAlignment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>
      <alignment horizontal="left" wrapText="1"/>
    </xf>
    <xf numFmtId="0" fontId="16" fillId="0" borderId="0">
      <alignment horizontal="left" wrapText="1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>
      <alignment horizontal="left" wrapText="1"/>
    </xf>
    <xf numFmtId="43" fontId="16" fillId="0" borderId="0" applyFont="0" applyFill="0" applyBorder="0" applyAlignment="0" applyProtection="0"/>
    <xf numFmtId="0" fontId="57" fillId="0" borderId="0" applyNumberFormat="0" applyBorder="0" applyAlignment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>
      <alignment horizontal="left" wrapText="1"/>
    </xf>
    <xf numFmtId="43" fontId="16" fillId="0" borderId="0" applyFont="0" applyFill="0" applyBorder="0" applyAlignment="0" applyProtection="0"/>
    <xf numFmtId="0" fontId="8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>
      <alignment horizontal="left" wrapText="1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8" fillId="0" borderId="0"/>
    <xf numFmtId="0" fontId="8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8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43" fontId="16" fillId="0" borderId="0" applyFont="0" applyFill="0" applyBorder="0" applyAlignment="0" applyProtection="0"/>
    <xf numFmtId="0" fontId="8" fillId="0" borderId="0"/>
    <xf numFmtId="9" fontId="16" fillId="0" borderId="0" applyFont="0" applyFill="0" applyBorder="0" applyAlignment="0" applyProtection="0"/>
    <xf numFmtId="0" fontId="8" fillId="0" borderId="0"/>
    <xf numFmtId="9" fontId="16" fillId="0" borderId="0" applyFont="0" applyFill="0" applyBorder="0" applyAlignment="0" applyProtection="0"/>
    <xf numFmtId="0" fontId="16" fillId="0" borderId="0">
      <alignment horizontal="left" wrapText="1"/>
    </xf>
    <xf numFmtId="0" fontId="16" fillId="0" borderId="0">
      <alignment horizontal="left" wrapText="1"/>
    </xf>
    <xf numFmtId="0" fontId="16" fillId="0" borderId="0">
      <alignment horizontal="left" wrapText="1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8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8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8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8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>
      <alignment horizontal="left" wrapText="1"/>
    </xf>
    <xf numFmtId="0" fontId="8" fillId="0" borderId="0"/>
    <xf numFmtId="0" fontId="8" fillId="0" borderId="0"/>
    <xf numFmtId="43" fontId="16" fillId="0" borderId="0" applyFont="0" applyFill="0" applyBorder="0" applyAlignment="0" applyProtection="0"/>
    <xf numFmtId="0" fontId="8" fillId="0" borderId="0"/>
    <xf numFmtId="0" fontId="16" fillId="0" borderId="0">
      <alignment horizontal="left" wrapText="1"/>
    </xf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8" fillId="0" borderId="0"/>
    <xf numFmtId="0" fontId="16" fillId="0" borderId="0">
      <alignment horizontal="left" wrapText="1"/>
    </xf>
    <xf numFmtId="43" fontId="16" fillId="0" borderId="0" applyFont="0" applyFill="0" applyBorder="0" applyAlignment="0" applyProtection="0"/>
    <xf numFmtId="0" fontId="16" fillId="0" borderId="0">
      <alignment horizontal="left" wrapText="1"/>
    </xf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0" fillId="0" borderId="0" applyNumberFormat="0" applyBorder="0" applyAlignment="0"/>
    <xf numFmtId="43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8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8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8" fillId="0" borderId="0"/>
    <xf numFmtId="43" fontId="16" fillId="0" borderId="0" applyFont="0" applyFill="0" applyBorder="0" applyAlignment="0" applyProtection="0"/>
    <xf numFmtId="0" fontId="16" fillId="0" borderId="0">
      <alignment horizontal="left" wrapText="1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8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>
      <alignment horizontal="left" wrapText="1"/>
    </xf>
    <xf numFmtId="0" fontId="8" fillId="0" borderId="0"/>
    <xf numFmtId="43" fontId="16" fillId="0" borderId="0" applyFont="0" applyFill="0" applyBorder="0" applyAlignment="0" applyProtection="0"/>
    <xf numFmtId="0" fontId="16" fillId="0" borderId="0">
      <alignment horizontal="left" wrapText="1"/>
    </xf>
    <xf numFmtId="0" fontId="8" fillId="0" borderId="0"/>
    <xf numFmtId="43" fontId="16" fillId="0" borderId="0" applyFont="0" applyFill="0" applyBorder="0" applyAlignment="0" applyProtection="0"/>
    <xf numFmtId="0" fontId="8" fillId="0" borderId="0"/>
    <xf numFmtId="9" fontId="16" fillId="0" borderId="0" applyFont="0" applyFill="0" applyBorder="0" applyAlignment="0" applyProtection="0"/>
    <xf numFmtId="0" fontId="16" fillId="0" borderId="0">
      <alignment horizontal="left" wrapText="1"/>
    </xf>
    <xf numFmtId="0" fontId="16" fillId="0" borderId="0">
      <alignment horizontal="left" wrapText="1"/>
    </xf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8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>
      <alignment horizontal="left" wrapText="1"/>
    </xf>
    <xf numFmtId="0" fontId="16" fillId="0" borderId="0">
      <alignment horizontal="left" wrapText="1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>
      <alignment horizontal="left" wrapText="1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8" fillId="0" borderId="0"/>
    <xf numFmtId="9" fontId="16" fillId="0" borderId="0" applyFont="0" applyFill="0" applyBorder="0" applyAlignment="0" applyProtection="0"/>
    <xf numFmtId="0" fontId="16" fillId="0" borderId="0">
      <alignment horizontal="left" wrapText="1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>
      <alignment horizontal="left" wrapText="1"/>
    </xf>
    <xf numFmtId="43" fontId="16" fillId="0" borderId="0" applyFont="0" applyFill="0" applyBorder="0" applyAlignment="0" applyProtection="0"/>
    <xf numFmtId="0" fontId="57" fillId="0" borderId="0" applyNumberFormat="0" applyBorder="0" applyAlignment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>
      <alignment horizontal="left" wrapText="1"/>
    </xf>
    <xf numFmtId="44" fontId="16" fillId="0" borderId="0" applyFont="0" applyFill="0" applyBorder="0" applyAlignment="0" applyProtection="0"/>
    <xf numFmtId="0" fontId="16" fillId="0" borderId="0">
      <alignment horizontal="left" wrapText="1"/>
    </xf>
    <xf numFmtId="43" fontId="16" fillId="0" borderId="0" applyFont="0" applyFill="0" applyBorder="0" applyAlignment="0" applyProtection="0"/>
    <xf numFmtId="0" fontId="8" fillId="0" borderId="0"/>
    <xf numFmtId="0" fontId="20" fillId="0" borderId="0" applyNumberFormat="0" applyBorder="0" applyAlignment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8" fillId="0" borderId="0"/>
    <xf numFmtId="0" fontId="16" fillId="0" borderId="0">
      <alignment horizontal="left" wrapText="1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8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>
      <alignment horizontal="left" wrapText="1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6" fillId="0" borderId="0">
      <alignment horizontal="left" wrapText="1"/>
    </xf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8" fillId="0" borderId="0"/>
    <xf numFmtId="0" fontId="8" fillId="0" borderId="0"/>
    <xf numFmtId="9" fontId="16" fillId="0" borderId="0" applyFont="0" applyFill="0" applyBorder="0" applyAlignment="0" applyProtection="0"/>
    <xf numFmtId="0" fontId="8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>
      <alignment horizontal="left" wrapText="1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>
      <alignment horizontal="left" wrapText="1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>
      <alignment horizontal="left" wrapText="1"/>
    </xf>
    <xf numFmtId="0" fontId="8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>
      <alignment horizontal="left" wrapText="1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8" fillId="0" borderId="0"/>
    <xf numFmtId="0" fontId="8" fillId="0" borderId="0"/>
    <xf numFmtId="43" fontId="16" fillId="0" borderId="0" applyFont="0" applyFill="0" applyBorder="0" applyAlignment="0" applyProtection="0"/>
    <xf numFmtId="0" fontId="8" fillId="0" borderId="0"/>
    <xf numFmtId="43" fontId="16" fillId="0" borderId="0" applyFont="0" applyFill="0" applyBorder="0" applyAlignment="0" applyProtection="0"/>
    <xf numFmtId="0" fontId="16" fillId="0" borderId="0">
      <alignment horizontal="left" wrapText="1"/>
    </xf>
    <xf numFmtId="9" fontId="16" fillId="0" borderId="0" applyFont="0" applyFill="0" applyBorder="0" applyAlignment="0" applyProtection="0"/>
    <xf numFmtId="0" fontId="16" fillId="0" borderId="0">
      <alignment horizontal="left" wrapText="1"/>
    </xf>
    <xf numFmtId="0" fontId="16" fillId="0" borderId="0">
      <alignment horizontal="left" wrapText="1"/>
    </xf>
    <xf numFmtId="43" fontId="16" fillId="0" borderId="0" applyFont="0" applyFill="0" applyBorder="0" applyAlignment="0" applyProtection="0"/>
    <xf numFmtId="0" fontId="20" fillId="0" borderId="0" applyNumberFormat="0" applyBorder="0" applyAlignment="0"/>
    <xf numFmtId="43" fontId="16" fillId="0" borderId="0" applyFont="0" applyFill="0" applyBorder="0" applyAlignment="0" applyProtection="0"/>
    <xf numFmtId="0" fontId="8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8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8" fillId="0" borderId="0"/>
    <xf numFmtId="0" fontId="16" fillId="0" borderId="0">
      <alignment horizontal="left" wrapText="1"/>
    </xf>
    <xf numFmtId="9" fontId="16" fillId="0" borderId="0" applyFont="0" applyFill="0" applyBorder="0" applyAlignment="0" applyProtection="0"/>
    <xf numFmtId="0" fontId="8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>
      <alignment horizontal="left" wrapText="1"/>
    </xf>
    <xf numFmtId="0" fontId="16" fillId="0" borderId="0">
      <alignment horizontal="left" wrapText="1"/>
    </xf>
    <xf numFmtId="0" fontId="16" fillId="0" borderId="0">
      <alignment horizontal="left" wrapText="1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>
      <alignment horizontal="left" wrapText="1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8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>
      <alignment horizontal="left" wrapText="1"/>
    </xf>
    <xf numFmtId="9" fontId="16" fillId="0" borderId="0" applyFont="0" applyFill="0" applyBorder="0" applyAlignment="0" applyProtection="0"/>
    <xf numFmtId="0" fontId="16" fillId="0" borderId="0">
      <alignment horizontal="left" wrapText="1"/>
    </xf>
    <xf numFmtId="43" fontId="16" fillId="0" borderId="0" applyFont="0" applyFill="0" applyBorder="0" applyAlignment="0" applyProtection="0"/>
    <xf numFmtId="0" fontId="16" fillId="0" borderId="0">
      <alignment horizontal="left" wrapText="1"/>
    </xf>
    <xf numFmtId="0" fontId="16" fillId="0" borderId="0">
      <alignment horizontal="left" wrapText="1"/>
    </xf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8" fillId="0" borderId="0"/>
    <xf numFmtId="43" fontId="16" fillId="0" borderId="0" applyFont="0" applyFill="0" applyBorder="0" applyAlignment="0" applyProtection="0"/>
    <xf numFmtId="0" fontId="8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>
      <alignment horizontal="left" wrapText="1"/>
    </xf>
    <xf numFmtId="0" fontId="16" fillId="0" borderId="0">
      <alignment horizontal="left" wrapText="1"/>
    </xf>
    <xf numFmtId="43" fontId="16" fillId="0" borderId="0" applyFont="0" applyFill="0" applyBorder="0" applyAlignment="0" applyProtection="0"/>
    <xf numFmtId="0" fontId="16" fillId="0" borderId="0">
      <alignment horizontal="left" wrapText="1"/>
    </xf>
    <xf numFmtId="0" fontId="16" fillId="0" borderId="0">
      <alignment horizontal="left" wrapText="1"/>
    </xf>
    <xf numFmtId="43" fontId="16" fillId="0" borderId="0" applyFont="0" applyFill="0" applyBorder="0" applyAlignment="0" applyProtection="0"/>
    <xf numFmtId="0" fontId="16" fillId="0" borderId="0">
      <alignment horizontal="left" wrapText="1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8" fillId="0" borderId="0"/>
    <xf numFmtId="0" fontId="16" fillId="0" borderId="0">
      <alignment horizontal="left" wrapText="1"/>
    </xf>
    <xf numFmtId="0" fontId="8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>
      <alignment horizontal="left" wrapText="1"/>
    </xf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8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>
      <alignment horizontal="left" wrapText="1"/>
    </xf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>
      <alignment horizontal="left" wrapText="1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8" fillId="0" borderId="0"/>
    <xf numFmtId="43" fontId="16" fillId="0" borderId="0" applyFont="0" applyFill="0" applyBorder="0" applyAlignment="0" applyProtection="0"/>
    <xf numFmtId="0" fontId="16" fillId="0" borderId="0">
      <alignment horizontal="left" wrapText="1"/>
    </xf>
    <xf numFmtId="0" fontId="8" fillId="0" borderId="0"/>
    <xf numFmtId="0" fontId="16" fillId="0" borderId="0">
      <alignment horizontal="left" wrapText="1"/>
    </xf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>
      <alignment horizontal="left" wrapText="1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>
      <alignment horizontal="left" wrapText="1"/>
    </xf>
    <xf numFmtId="43" fontId="16" fillId="0" borderId="0" applyFont="0" applyFill="0" applyBorder="0" applyAlignment="0" applyProtection="0"/>
    <xf numFmtId="0" fontId="8" fillId="0" borderId="0"/>
    <xf numFmtId="0" fontId="57" fillId="0" borderId="0" applyNumberFormat="0" applyBorder="0" applyAlignment="0"/>
    <xf numFmtId="0" fontId="8" fillId="0" borderId="0"/>
    <xf numFmtId="9" fontId="16" fillId="0" borderId="0" applyFont="0" applyFill="0" applyBorder="0" applyAlignment="0" applyProtection="0"/>
    <xf numFmtId="0" fontId="16" fillId="0" borderId="0">
      <alignment horizontal="left" wrapText="1"/>
    </xf>
    <xf numFmtId="0" fontId="16" fillId="0" borderId="0">
      <alignment horizontal="left" wrapText="1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8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8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>
      <alignment horizontal="left" wrapText="1"/>
    </xf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8" fillId="0" borderId="0"/>
    <xf numFmtId="0" fontId="16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>
      <alignment horizontal="left" wrapText="1"/>
    </xf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8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8" fillId="0" borderId="0"/>
    <xf numFmtId="0" fontId="16" fillId="0" borderId="0">
      <alignment horizontal="left" wrapText="1"/>
    </xf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>
      <alignment horizontal="left" wrapText="1"/>
    </xf>
    <xf numFmtId="0" fontId="16" fillId="0" borderId="0">
      <alignment horizontal="left" wrapText="1"/>
    </xf>
    <xf numFmtId="0" fontId="8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>
      <alignment horizontal="left" wrapText="1"/>
    </xf>
    <xf numFmtId="0" fontId="8" fillId="0" borderId="0"/>
    <xf numFmtId="0" fontId="8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8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>
      <alignment horizontal="left" wrapText="1"/>
    </xf>
    <xf numFmtId="0" fontId="16" fillId="0" borderId="0">
      <alignment horizontal="left" wrapText="1"/>
    </xf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>
      <alignment horizontal="left" wrapText="1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8" fillId="0" borderId="0"/>
    <xf numFmtId="0" fontId="16" fillId="0" borderId="0">
      <alignment horizontal="left" wrapText="1"/>
    </xf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8" fillId="0" borderId="0"/>
    <xf numFmtId="0" fontId="16" fillId="0" borderId="0"/>
    <xf numFmtId="43" fontId="16" fillId="0" borderId="0" applyFont="0" applyFill="0" applyBorder="0" applyAlignment="0" applyProtection="0"/>
    <xf numFmtId="0" fontId="16" fillId="0" borderId="0">
      <alignment horizontal="left" wrapText="1"/>
    </xf>
    <xf numFmtId="9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8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8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8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8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8" fillId="0" borderId="0"/>
    <xf numFmtId="0" fontId="16" fillId="0" borderId="0">
      <alignment horizontal="left" wrapText="1"/>
    </xf>
    <xf numFmtId="0" fontId="8" fillId="0" borderId="0"/>
    <xf numFmtId="0" fontId="8" fillId="0" borderId="0"/>
    <xf numFmtId="43" fontId="16" fillId="0" borderId="0" applyFont="0" applyFill="0" applyBorder="0" applyAlignment="0" applyProtection="0"/>
    <xf numFmtId="0" fontId="8" fillId="0" borderId="0"/>
    <xf numFmtId="9" fontId="16" fillId="0" borderId="0" applyFont="0" applyFill="0" applyBorder="0" applyAlignment="0" applyProtection="0"/>
    <xf numFmtId="0" fontId="8" fillId="0" borderId="0"/>
    <xf numFmtId="0" fontId="16" fillId="0" borderId="0">
      <alignment horizontal="left" wrapText="1"/>
    </xf>
    <xf numFmtId="0" fontId="8" fillId="0" borderId="0"/>
    <xf numFmtId="43" fontId="16" fillId="0" borderId="0" applyFont="0" applyFill="0" applyBorder="0" applyAlignment="0" applyProtection="0"/>
    <xf numFmtId="0" fontId="16" fillId="0" borderId="0">
      <alignment horizontal="left" wrapText="1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>
      <alignment horizontal="left" wrapText="1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8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>
      <alignment horizontal="left" wrapText="1"/>
    </xf>
    <xf numFmtId="0" fontId="8" fillId="0" borderId="0"/>
    <xf numFmtId="44" fontId="16" fillId="0" borderId="0" applyFont="0" applyFill="0" applyBorder="0" applyAlignment="0" applyProtection="0"/>
    <xf numFmtId="0" fontId="16" fillId="0" borderId="0">
      <alignment horizontal="left" wrapText="1"/>
    </xf>
    <xf numFmtId="43" fontId="16" fillId="0" borderId="0" applyFont="0" applyFill="0" applyBorder="0" applyAlignment="0" applyProtection="0"/>
    <xf numFmtId="0" fontId="16" fillId="0" borderId="0">
      <alignment horizontal="left" wrapText="1"/>
    </xf>
    <xf numFmtId="0" fontId="8" fillId="0" borderId="0"/>
    <xf numFmtId="0" fontId="8" fillId="0" borderId="0"/>
    <xf numFmtId="0" fontId="16" fillId="0" borderId="0">
      <alignment horizontal="left" wrapText="1"/>
    </xf>
    <xf numFmtId="0" fontId="16" fillId="0" borderId="0"/>
    <xf numFmtId="43" fontId="16" fillId="0" borderId="0" applyFont="0" applyFill="0" applyBorder="0" applyAlignment="0" applyProtection="0"/>
    <xf numFmtId="0" fontId="16" fillId="0" borderId="0">
      <alignment horizontal="left" wrapText="1"/>
    </xf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>
      <alignment horizontal="left" wrapText="1"/>
    </xf>
    <xf numFmtId="9" fontId="16" fillId="0" borderId="0" applyFont="0" applyFill="0" applyBorder="0" applyAlignment="0" applyProtection="0"/>
    <xf numFmtId="0" fontId="16" fillId="0" borderId="0"/>
    <xf numFmtId="0" fontId="8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8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>
      <alignment horizontal="left" wrapText="1"/>
    </xf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8" fillId="0" borderId="0"/>
    <xf numFmtId="43" fontId="16" fillId="0" borderId="0" applyFont="0" applyFill="0" applyBorder="0" applyAlignment="0" applyProtection="0"/>
    <xf numFmtId="0" fontId="8" fillId="0" borderId="0"/>
    <xf numFmtId="9" fontId="16" fillId="0" borderId="0" applyFont="0" applyFill="0" applyBorder="0" applyAlignment="0" applyProtection="0"/>
    <xf numFmtId="0" fontId="8" fillId="0" borderId="0"/>
    <xf numFmtId="0" fontId="8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>
      <alignment horizontal="left" wrapText="1"/>
    </xf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8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8" fillId="0" borderId="0"/>
    <xf numFmtId="9" fontId="16" fillId="0" borderId="0" applyFont="0" applyFill="0" applyBorder="0" applyAlignment="0" applyProtection="0"/>
    <xf numFmtId="0" fontId="8" fillId="0" borderId="0"/>
    <xf numFmtId="0" fontId="8" fillId="0" borderId="0"/>
    <xf numFmtId="43" fontId="16" fillId="0" borderId="0" applyFont="0" applyFill="0" applyBorder="0" applyAlignment="0" applyProtection="0"/>
    <xf numFmtId="0" fontId="8" fillId="0" borderId="0"/>
    <xf numFmtId="9" fontId="16" fillId="0" borderId="0" applyFont="0" applyFill="0" applyBorder="0" applyAlignment="0" applyProtection="0"/>
    <xf numFmtId="0" fontId="8" fillId="0" borderId="0"/>
    <xf numFmtId="0" fontId="16" fillId="0" borderId="0">
      <alignment horizontal="left" wrapText="1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8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8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>
      <alignment horizontal="left" wrapText="1"/>
    </xf>
    <xf numFmtId="0" fontId="8" fillId="0" borderId="0"/>
    <xf numFmtId="44" fontId="16" fillId="0" borderId="0" applyFont="0" applyFill="0" applyBorder="0" applyAlignment="0" applyProtection="0"/>
    <xf numFmtId="0" fontId="16" fillId="0" borderId="0">
      <alignment horizontal="left" wrapText="1"/>
    </xf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8" fillId="0" borderId="0"/>
    <xf numFmtId="0" fontId="8" fillId="0" borderId="0"/>
    <xf numFmtId="0" fontId="16" fillId="0" borderId="0">
      <alignment horizontal="left" wrapText="1"/>
    </xf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0" borderId="0">
      <alignment horizontal="left" wrapText="1"/>
    </xf>
    <xf numFmtId="9" fontId="16" fillId="0" borderId="0" applyFont="0" applyFill="0" applyBorder="0" applyAlignment="0" applyProtection="0"/>
    <xf numFmtId="0" fontId="16" fillId="0" borderId="0"/>
    <xf numFmtId="0" fontId="8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8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>
      <alignment horizontal="left" wrapText="1"/>
    </xf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8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8" fillId="0" borderId="0"/>
    <xf numFmtId="9" fontId="16" fillId="0" borderId="0" applyFont="0" applyFill="0" applyBorder="0" applyAlignment="0" applyProtection="0"/>
    <xf numFmtId="0" fontId="8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8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8" fillId="0" borderId="0"/>
    <xf numFmtId="0" fontId="16" fillId="0" borderId="0">
      <alignment horizontal="left" wrapText="1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8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>
      <alignment horizontal="left" wrapText="1"/>
    </xf>
    <xf numFmtId="0" fontId="8" fillId="0" borderId="0"/>
    <xf numFmtId="44" fontId="16" fillId="0" borderId="0" applyFont="0" applyFill="0" applyBorder="0" applyAlignment="0" applyProtection="0"/>
    <xf numFmtId="0" fontId="16" fillId="0" borderId="0">
      <alignment horizontal="left" wrapText="1"/>
    </xf>
    <xf numFmtId="0" fontId="16" fillId="0" borderId="0">
      <alignment horizontal="left" wrapText="1"/>
    </xf>
    <xf numFmtId="0" fontId="8" fillId="0" borderId="0"/>
    <xf numFmtId="0" fontId="8" fillId="0" borderId="0"/>
    <xf numFmtId="0" fontId="16" fillId="0" borderId="0">
      <alignment horizontal="left" wrapText="1"/>
    </xf>
    <xf numFmtId="0" fontId="16" fillId="0" borderId="0"/>
    <xf numFmtId="43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8" fillId="0" borderId="0"/>
    <xf numFmtId="0" fontId="16" fillId="0" borderId="0"/>
    <xf numFmtId="0" fontId="16" fillId="0" borderId="0">
      <alignment horizontal="left" wrapText="1"/>
    </xf>
    <xf numFmtId="9" fontId="16" fillId="0" borderId="0" applyFont="0" applyFill="0" applyBorder="0" applyAlignment="0" applyProtection="0"/>
    <xf numFmtId="0" fontId="8" fillId="0" borderId="0"/>
    <xf numFmtId="0" fontId="16" fillId="0" borderId="0">
      <alignment horizontal="left" wrapText="1"/>
    </xf>
    <xf numFmtId="0" fontId="16" fillId="0" borderId="0">
      <alignment horizontal="left" wrapText="1"/>
    </xf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8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8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8" fillId="0" borderId="0"/>
    <xf numFmtId="43" fontId="16" fillId="0" borderId="0" applyFont="0" applyFill="0" applyBorder="0" applyAlignment="0" applyProtection="0"/>
    <xf numFmtId="0" fontId="8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8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>
      <alignment horizontal="left" wrapText="1"/>
    </xf>
    <xf numFmtId="0" fontId="8" fillId="0" borderId="0"/>
    <xf numFmtId="44" fontId="16" fillId="0" borderId="0" applyFont="0" applyFill="0" applyBorder="0" applyAlignment="0" applyProtection="0"/>
    <xf numFmtId="0" fontId="16" fillId="0" borderId="0">
      <alignment horizontal="left" wrapText="1"/>
    </xf>
    <xf numFmtId="0" fontId="8" fillId="0" borderId="0"/>
    <xf numFmtId="0" fontId="8" fillId="0" borderId="0"/>
    <xf numFmtId="0" fontId="16" fillId="0" borderId="0">
      <alignment horizontal="left" wrapText="1"/>
    </xf>
    <xf numFmtId="0" fontId="16" fillId="0" borderId="0"/>
    <xf numFmtId="43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43" fontId="16" fillId="0" borderId="0" applyFont="0" applyFill="0" applyBorder="0" applyAlignment="0" applyProtection="0"/>
    <xf numFmtId="0" fontId="8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8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8" fillId="0" borderId="0"/>
    <xf numFmtId="43" fontId="16" fillId="0" borderId="0" applyFont="0" applyFill="0" applyBorder="0" applyAlignment="0" applyProtection="0"/>
    <xf numFmtId="0" fontId="16" fillId="0" borderId="0"/>
    <xf numFmtId="0" fontId="8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8" fillId="0" borderId="0"/>
    <xf numFmtId="0" fontId="8" fillId="0" borderId="0"/>
    <xf numFmtId="0" fontId="16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8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>
      <alignment horizontal="left" wrapText="1"/>
    </xf>
    <xf numFmtId="0" fontId="8" fillId="0" borderId="0"/>
    <xf numFmtId="44" fontId="16" fillId="0" borderId="0" applyFont="0" applyFill="0" applyBorder="0" applyAlignment="0" applyProtection="0"/>
    <xf numFmtId="0" fontId="16" fillId="0" borderId="0">
      <alignment horizontal="left" wrapText="1"/>
    </xf>
    <xf numFmtId="0" fontId="8" fillId="0" borderId="0"/>
    <xf numFmtId="0" fontId="8" fillId="0" borderId="0"/>
    <xf numFmtId="0" fontId="16" fillId="0" borderId="0">
      <alignment horizontal="left" wrapText="1"/>
    </xf>
    <xf numFmtId="0" fontId="16" fillId="0" borderId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8" fillId="0" borderId="0"/>
    <xf numFmtId="0" fontId="16" fillId="0" borderId="0">
      <alignment horizontal="left" wrapText="1"/>
    </xf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57" fillId="0" borderId="0" applyNumberFormat="0" applyBorder="0" applyAlignment="0"/>
    <xf numFmtId="43" fontId="16" fillId="0" borderId="0" applyFont="0" applyFill="0" applyBorder="0" applyAlignment="0" applyProtection="0"/>
    <xf numFmtId="0" fontId="8" fillId="0" borderId="0"/>
    <xf numFmtId="0" fontId="16" fillId="0" borderId="0">
      <alignment horizontal="left" wrapText="1"/>
    </xf>
    <xf numFmtId="0" fontId="16" fillId="0" borderId="0">
      <alignment horizontal="left" wrapText="1"/>
    </xf>
    <xf numFmtId="0" fontId="8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8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>
      <alignment horizontal="left" wrapText="1"/>
    </xf>
    <xf numFmtId="9" fontId="16" fillId="0" borderId="0" applyFont="0" applyFill="0" applyBorder="0" applyAlignment="0" applyProtection="0"/>
    <xf numFmtId="0" fontId="8" fillId="0" borderId="0"/>
    <xf numFmtId="0" fontId="8" fillId="0" borderId="0"/>
    <xf numFmtId="9" fontId="16" fillId="0" borderId="0" applyFont="0" applyFill="0" applyBorder="0" applyAlignment="0" applyProtection="0"/>
    <xf numFmtId="0" fontId="8" fillId="0" borderId="0"/>
    <xf numFmtId="0" fontId="16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>
      <alignment horizontal="left" wrapText="1"/>
    </xf>
    <xf numFmtId="0" fontId="8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8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8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>
      <alignment horizontal="left" wrapText="1"/>
    </xf>
    <xf numFmtId="0" fontId="8" fillId="0" borderId="0"/>
    <xf numFmtId="0" fontId="8" fillId="0" borderId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84" fontId="9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9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16" fillId="0" borderId="0"/>
    <xf numFmtId="0" fontId="1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16" fillId="0" borderId="0"/>
    <xf numFmtId="0" fontId="5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76" fontId="98" fillId="0" borderId="0"/>
    <xf numFmtId="0" fontId="1" fillId="0" borderId="0"/>
    <xf numFmtId="176" fontId="27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" fillId="0" borderId="0"/>
    <xf numFmtId="0" fontId="99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</cellStyleXfs>
  <cellXfs count="560">
    <xf numFmtId="0" fontId="0" fillId="0" borderId="0" xfId="0"/>
    <xf numFmtId="0" fontId="17" fillId="0" borderId="0" xfId="0" applyFont="1"/>
    <xf numFmtId="0" fontId="19" fillId="0" borderId="0" xfId="0" applyFont="1"/>
    <xf numFmtId="0" fontId="18" fillId="0" borderId="0" xfId="0" applyFont="1" applyAlignment="1">
      <alignment horizontal="center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 wrapText="1"/>
    </xf>
    <xf numFmtId="0" fontId="22" fillId="0" borderId="2" xfId="0" applyFont="1" applyBorder="1" applyAlignment="1">
      <alignment horizontal="center" wrapText="1"/>
    </xf>
    <xf numFmtId="0" fontId="21" fillId="0" borderId="0" xfId="0" applyFont="1" applyAlignment="1">
      <alignment wrapText="1"/>
    </xf>
    <xf numFmtId="165" fontId="21" fillId="0" borderId="0" xfId="4" applyNumberFormat="1" applyFont="1" applyAlignment="1">
      <alignment wrapText="1"/>
    </xf>
    <xf numFmtId="0" fontId="20" fillId="0" borderId="0" xfId="0" applyFont="1" applyAlignment="1">
      <alignment horizontal="left" wrapText="1" indent="1"/>
    </xf>
    <xf numFmtId="0" fontId="21" fillId="0" borderId="0" xfId="0" applyFont="1" applyAlignment="1">
      <alignment horizontal="center" wrapText="1"/>
    </xf>
    <xf numFmtId="0" fontId="23" fillId="0" borderId="0" xfId="0" applyFont="1"/>
    <xf numFmtId="165" fontId="21" fillId="0" borderId="0" xfId="4" applyNumberFormat="1" applyFont="1" applyAlignment="1">
      <alignment horizontal="right" wrapText="1"/>
    </xf>
    <xf numFmtId="165" fontId="20" fillId="0" borderId="4" xfId="4" applyNumberFormat="1" applyFont="1" applyBorder="1" applyAlignment="1">
      <alignment wrapText="1"/>
    </xf>
    <xf numFmtId="0" fontId="25" fillId="0" borderId="0" xfId="0" applyFont="1" applyAlignment="1"/>
    <xf numFmtId="165" fontId="27" fillId="0" borderId="0" xfId="4" applyNumberFormat="1" applyFont="1" applyAlignment="1">
      <alignment horizontal="right"/>
    </xf>
    <xf numFmtId="44" fontId="21" fillId="0" borderId="0" xfId="43" applyFont="1" applyAlignment="1">
      <alignment horizontal="right" wrapText="1"/>
    </xf>
    <xf numFmtId="0" fontId="0" fillId="0" borderId="0" xfId="0" applyFill="1"/>
    <xf numFmtId="0" fontId="32" fillId="0" borderId="0" xfId="0" applyFont="1"/>
    <xf numFmtId="0" fontId="33" fillId="0" borderId="4" xfId="0" applyFont="1" applyBorder="1" applyAlignment="1">
      <alignment horizontal="center"/>
    </xf>
    <xf numFmtId="0" fontId="34" fillId="0" borderId="0" xfId="0" applyFont="1" applyAlignment="1">
      <alignment horizontal="center"/>
    </xf>
    <xf numFmtId="0" fontId="34" fillId="0" borderId="0" xfId="0" applyFont="1" applyAlignment="1">
      <alignment horizontal="right"/>
    </xf>
    <xf numFmtId="0" fontId="33" fillId="0" borderId="0" xfId="0" applyFont="1"/>
    <xf numFmtId="0" fontId="33" fillId="0" borderId="5" xfId="0" applyFont="1" applyBorder="1"/>
    <xf numFmtId="0" fontId="32" fillId="0" borderId="5" xfId="0" applyFont="1" applyBorder="1"/>
    <xf numFmtId="165" fontId="32" fillId="0" borderId="5" xfId="0" applyNumberFormat="1" applyFont="1" applyBorder="1"/>
    <xf numFmtId="166" fontId="35" fillId="0" borderId="0" xfId="54" applyNumberFormat="1" applyFont="1"/>
    <xf numFmtId="166" fontId="32" fillId="0" borderId="5" xfId="0" applyNumberFormat="1" applyFont="1" applyFill="1" applyBorder="1"/>
    <xf numFmtId="41" fontId="32" fillId="0" borderId="0" xfId="0" applyNumberFormat="1" applyFont="1" applyFill="1"/>
    <xf numFmtId="166" fontId="32" fillId="0" borderId="0" xfId="0" applyNumberFormat="1" applyFont="1" applyFill="1"/>
    <xf numFmtId="41" fontId="32" fillId="0" borderId="3" xfId="0" applyNumberFormat="1" applyFont="1" applyFill="1" applyBorder="1"/>
    <xf numFmtId="165" fontId="32" fillId="0" borderId="0" xfId="0" applyNumberFormat="1" applyFont="1" applyFill="1"/>
    <xf numFmtId="0" fontId="32" fillId="0" borderId="0" xfId="0" applyFont="1" applyFill="1"/>
    <xf numFmtId="167" fontId="21" fillId="0" borderId="0" xfId="0" applyNumberFormat="1" applyFont="1" applyAlignment="1">
      <alignment horizontal="right" wrapText="1"/>
    </xf>
    <xf numFmtId="15" fontId="19" fillId="0" borderId="0" xfId="0" applyNumberFormat="1" applyFont="1"/>
    <xf numFmtId="0" fontId="28" fillId="0" borderId="0" xfId="0" applyFont="1"/>
    <xf numFmtId="0" fontId="41" fillId="0" borderId="0" xfId="0" applyFont="1"/>
    <xf numFmtId="44" fontId="20" fillId="0" borderId="0" xfId="43" applyFont="1" applyBorder="1" applyAlignment="1">
      <alignment wrapText="1"/>
    </xf>
    <xf numFmtId="166" fontId="45" fillId="0" borderId="0" xfId="54" applyNumberFormat="1" applyFont="1"/>
    <xf numFmtId="0" fontId="18" fillId="0" borderId="0" xfId="0" applyFont="1" applyFill="1" applyAlignment="1">
      <alignment horizontal="justify"/>
    </xf>
    <xf numFmtId="16" fontId="28" fillId="0" borderId="0" xfId="0" applyNumberFormat="1" applyFont="1" applyFill="1" applyAlignment="1">
      <alignment horizontal="center"/>
    </xf>
    <xf numFmtId="0" fontId="22" fillId="0" borderId="2" xfId="0" applyFont="1" applyFill="1" applyBorder="1" applyAlignment="1">
      <alignment horizontal="center" wrapText="1"/>
    </xf>
    <xf numFmtId="0" fontId="21" fillId="0" borderId="0" xfId="0" applyFont="1" applyFill="1" applyAlignment="1">
      <alignment wrapText="1"/>
    </xf>
    <xf numFmtId="0" fontId="20" fillId="0" borderId="0" xfId="0" applyFont="1" applyFill="1" applyAlignment="1">
      <alignment horizontal="left" wrapText="1" indent="1"/>
    </xf>
    <xf numFmtId="165" fontId="0" fillId="0" borderId="0" xfId="0" applyNumberFormat="1" applyFill="1" applyBorder="1"/>
    <xf numFmtId="0" fontId="53" fillId="0" borderId="0" xfId="0" applyFont="1"/>
    <xf numFmtId="165" fontId="54" fillId="0" borderId="0" xfId="0" applyNumberFormat="1" applyFont="1"/>
    <xf numFmtId="0" fontId="62" fillId="0" borderId="0" xfId="52" applyFont="1"/>
    <xf numFmtId="0" fontId="50" fillId="0" borderId="0" xfId="52" applyFont="1"/>
    <xf numFmtId="0" fontId="50" fillId="0" borderId="0" xfId="52" applyFont="1" applyAlignment="1">
      <alignment horizontal="center"/>
    </xf>
    <xf numFmtId="174" fontId="50" fillId="0" borderId="0" xfId="52" applyNumberFormat="1" applyFont="1" applyAlignment="1">
      <alignment horizontal="center"/>
    </xf>
    <xf numFmtId="4" fontId="50" fillId="0" borderId="0" xfId="52" applyNumberFormat="1" applyFont="1" applyAlignment="1">
      <alignment horizontal="center"/>
    </xf>
    <xf numFmtId="0" fontId="63" fillId="0" borderId="0" xfId="52" applyFont="1"/>
    <xf numFmtId="0" fontId="63" fillId="0" borderId="0" xfId="52" applyFont="1" applyAlignment="1">
      <alignment horizontal="center"/>
    </xf>
    <xf numFmtId="174" fontId="63" fillId="0" borderId="0" xfId="52" applyNumberFormat="1" applyFont="1" applyAlignment="1">
      <alignment horizontal="center"/>
    </xf>
    <xf numFmtId="4" fontId="63" fillId="0" borderId="0" xfId="52" applyNumberFormat="1" applyFont="1" applyAlignment="1">
      <alignment horizontal="center"/>
    </xf>
    <xf numFmtId="37" fontId="63" fillId="0" borderId="0" xfId="52" applyNumberFormat="1" applyFont="1" applyBorder="1" applyAlignment="1">
      <alignment horizontal="center"/>
    </xf>
    <xf numFmtId="0" fontId="63" fillId="0" borderId="0" xfId="52" applyFont="1" applyBorder="1" applyAlignment="1">
      <alignment horizontal="center"/>
    </xf>
    <xf numFmtId="0" fontId="64" fillId="0" borderId="0" xfId="52" applyFont="1" applyBorder="1" applyAlignment="1">
      <alignment horizontal="center"/>
    </xf>
    <xf numFmtId="174" fontId="64" fillId="0" borderId="0" xfId="52" applyNumberFormat="1" applyFont="1" applyBorder="1" applyAlignment="1">
      <alignment horizontal="center"/>
    </xf>
    <xf numFmtId="4" fontId="64" fillId="0" borderId="0" xfId="52" applyNumberFormat="1" applyFont="1" applyBorder="1" applyAlignment="1">
      <alignment horizontal="center"/>
    </xf>
    <xf numFmtId="172" fontId="64" fillId="0" borderId="0" xfId="52" applyNumberFormat="1" applyFont="1" applyBorder="1" applyAlignment="1">
      <alignment horizontal="center"/>
    </xf>
    <xf numFmtId="0" fontId="65" fillId="0" borderId="0" xfId="52" applyFont="1" applyBorder="1" applyAlignment="1">
      <alignment horizontal="center"/>
    </xf>
    <xf numFmtId="0" fontId="50" fillId="0" borderId="0" xfId="52" applyFont="1" applyFill="1" applyBorder="1"/>
    <xf numFmtId="0" fontId="50" fillId="0" borderId="0" xfId="52" applyNumberFormat="1" applyFont="1" applyFill="1" applyBorder="1" applyAlignment="1">
      <alignment horizontal="center"/>
    </xf>
    <xf numFmtId="173" fontId="50" fillId="0" borderId="0" xfId="52" applyNumberFormat="1" applyFont="1" applyFill="1" applyBorder="1" applyAlignment="1">
      <alignment horizontal="center"/>
    </xf>
    <xf numFmtId="0" fontId="50" fillId="0" borderId="0" xfId="52" applyFont="1" applyFill="1" applyBorder="1" applyAlignment="1">
      <alignment horizontal="center"/>
    </xf>
    <xf numFmtId="37" fontId="50" fillId="0" borderId="3" xfId="52" applyNumberFormat="1" applyFont="1" applyBorder="1"/>
    <xf numFmtId="37" fontId="50" fillId="0" borderId="0" xfId="52" applyNumberFormat="1" applyFont="1"/>
    <xf numFmtId="175" fontId="50" fillId="0" borderId="0" xfId="52" applyNumberFormat="1" applyFont="1" applyAlignment="1">
      <alignment horizontal="center"/>
    </xf>
    <xf numFmtId="37" fontId="50" fillId="0" borderId="5" xfId="52" applyNumberFormat="1" applyFont="1" applyBorder="1"/>
    <xf numFmtId="37" fontId="50" fillId="0" borderId="0" xfId="52" applyNumberFormat="1" applyFont="1" applyBorder="1"/>
    <xf numFmtId="0" fontId="28" fillId="0" borderId="0" xfId="0" applyFont="1" applyFill="1" applyBorder="1" applyAlignment="1">
      <alignment horizontal="center"/>
    </xf>
    <xf numFmtId="0" fontId="31" fillId="0" borderId="0" xfId="0" applyFont="1" applyFill="1" applyBorder="1" applyAlignment="1">
      <alignment horizontal="center"/>
    </xf>
    <xf numFmtId="0" fontId="29" fillId="0" borderId="0" xfId="0" applyFont="1" applyFill="1" applyAlignment="1">
      <alignment horizontal="center"/>
    </xf>
    <xf numFmtId="0" fontId="29" fillId="0" borderId="0" xfId="0" applyFont="1" applyFill="1" applyAlignment="1">
      <alignment horizontal="centerContinuous"/>
    </xf>
    <xf numFmtId="165" fontId="54" fillId="0" borderId="3" xfId="0" applyNumberFormat="1" applyFont="1" applyBorder="1"/>
    <xf numFmtId="4" fontId="50" fillId="0" borderId="7" xfId="52" applyNumberFormat="1" applyFont="1" applyBorder="1" applyAlignment="1">
      <alignment horizontal="center"/>
    </xf>
    <xf numFmtId="0" fontId="28" fillId="0" borderId="0" xfId="0" applyFont="1" applyAlignment="1">
      <alignment horizontal="centerContinuous"/>
    </xf>
    <xf numFmtId="0" fontId="76" fillId="0" borderId="0" xfId="52" applyFont="1" applyBorder="1" applyAlignment="1">
      <alignment horizontal="center"/>
    </xf>
    <xf numFmtId="0" fontId="76" fillId="0" borderId="0" xfId="52" applyFont="1"/>
    <xf numFmtId="174" fontId="76" fillId="0" borderId="0" xfId="52" applyNumberFormat="1" applyFont="1" applyAlignment="1">
      <alignment horizontal="center"/>
    </xf>
    <xf numFmtId="37" fontId="76" fillId="0" borderId="0" xfId="52" applyNumberFormat="1" applyFont="1" applyBorder="1" applyAlignment="1">
      <alignment horizontal="center"/>
    </xf>
    <xf numFmtId="15" fontId="62" fillId="0" borderId="0" xfId="52" applyNumberFormat="1" applyFont="1"/>
    <xf numFmtId="0" fontId="75" fillId="0" borderId="0" xfId="52" applyFont="1"/>
    <xf numFmtId="174" fontId="75" fillId="0" borderId="0" xfId="52" applyNumberFormat="1" applyFont="1" applyAlignment="1">
      <alignment horizontal="center"/>
    </xf>
    <xf numFmtId="0" fontId="75" fillId="0" borderId="0" xfId="52" applyFont="1" applyAlignment="1">
      <alignment horizontal="center"/>
    </xf>
    <xf numFmtId="0" fontId="77" fillId="0" borderId="0" xfId="52" applyFont="1" applyBorder="1" applyAlignment="1">
      <alignment horizontal="center"/>
    </xf>
    <xf numFmtId="174" fontId="77" fillId="0" borderId="0" xfId="52" applyNumberFormat="1" applyFont="1" applyBorder="1" applyAlignment="1">
      <alignment horizontal="center"/>
    </xf>
    <xf numFmtId="172" fontId="77" fillId="0" borderId="0" xfId="52" applyNumberFormat="1" applyFont="1" applyBorder="1" applyAlignment="1">
      <alignment horizontal="center"/>
    </xf>
    <xf numFmtId="0" fontId="78" fillId="0" borderId="0" xfId="52" applyFont="1" applyBorder="1" applyAlignment="1">
      <alignment horizontal="center"/>
    </xf>
    <xf numFmtId="0" fontId="75" fillId="0" borderId="0" xfId="52" applyFont="1" applyFill="1" applyBorder="1"/>
    <xf numFmtId="173" fontId="75" fillId="0" borderId="0" xfId="52" applyNumberFormat="1" applyFont="1" applyFill="1" applyBorder="1" applyAlignment="1">
      <alignment horizontal="center"/>
    </xf>
    <xf numFmtId="0" fontId="75" fillId="0" borderId="0" xfId="52" applyFont="1" applyFill="1" applyBorder="1" applyAlignment="1">
      <alignment horizontal="center"/>
    </xf>
    <xf numFmtId="0" fontId="36" fillId="0" borderId="0" xfId="0" applyFont="1" applyBorder="1" applyAlignment="1">
      <alignment horizontal="left"/>
    </xf>
    <xf numFmtId="0" fontId="47" fillId="0" borderId="0" xfId="0" applyFont="1"/>
    <xf numFmtId="0" fontId="48" fillId="0" borderId="0" xfId="0" applyFont="1" applyBorder="1" applyAlignment="1">
      <alignment horizontal="center"/>
    </xf>
    <xf numFmtId="0" fontId="46" fillId="0" borderId="0" xfId="0" applyFont="1" applyBorder="1" applyAlignment="1"/>
    <xf numFmtId="0" fontId="47" fillId="0" borderId="0" xfId="0" applyFont="1" applyBorder="1"/>
    <xf numFmtId="0" fontId="50" fillId="0" borderId="0" xfId="0" applyFont="1" applyAlignment="1">
      <alignment horizontal="center"/>
    </xf>
    <xf numFmtId="0" fontId="46" fillId="0" borderId="0" xfId="0" applyFont="1" applyBorder="1" applyAlignment="1">
      <alignment horizontal="center"/>
    </xf>
    <xf numFmtId="0" fontId="49" fillId="0" borderId="0" xfId="0" applyFont="1" applyBorder="1" applyAlignment="1">
      <alignment horizontal="center"/>
    </xf>
    <xf numFmtId="0" fontId="46" fillId="0" borderId="0" xfId="0" applyFont="1"/>
    <xf numFmtId="0" fontId="46" fillId="0" borderId="0" xfId="0" applyFont="1" applyBorder="1"/>
    <xf numFmtId="169" fontId="46" fillId="0" borderId="0" xfId="0" applyNumberFormat="1" applyFont="1" applyBorder="1" applyAlignment="1">
      <alignment horizontal="center"/>
    </xf>
    <xf numFmtId="0" fontId="47" fillId="0" borderId="0" xfId="0" applyFont="1" applyAlignment="1">
      <alignment horizontal="center"/>
    </xf>
    <xf numFmtId="0" fontId="47" fillId="0" borderId="0" xfId="0" applyFont="1" applyBorder="1" applyAlignment="1">
      <alignment horizontal="center"/>
    </xf>
    <xf numFmtId="0" fontId="51" fillId="0" borderId="0" xfId="0" applyFont="1" applyAlignment="1">
      <alignment horizontal="center"/>
    </xf>
    <xf numFmtId="0" fontId="51" fillId="0" borderId="0" xfId="0" applyFont="1" applyBorder="1" applyAlignment="1">
      <alignment horizontal="center"/>
    </xf>
    <xf numFmtId="37" fontId="50" fillId="0" borderId="7" xfId="52" applyNumberFormat="1" applyFont="1" applyBorder="1"/>
    <xf numFmtId="0" fontId="22" fillId="0" borderId="0" xfId="0" applyFont="1" applyFill="1" applyBorder="1" applyAlignment="1">
      <alignment horizontal="center" wrapText="1"/>
    </xf>
    <xf numFmtId="165" fontId="21" fillId="0" borderId="0" xfId="4" applyNumberFormat="1" applyFont="1" applyFill="1" applyAlignment="1">
      <alignment horizontal="right" wrapText="1"/>
    </xf>
    <xf numFmtId="166" fontId="35" fillId="0" borderId="0" xfId="54" applyNumberFormat="1" applyFont="1" applyFill="1"/>
    <xf numFmtId="0" fontId="0" fillId="0" borderId="0" xfId="0" applyFill="1" applyAlignment="1"/>
    <xf numFmtId="165" fontId="21" fillId="0" borderId="0" xfId="38" applyNumberFormat="1" applyFont="1" applyFill="1" applyAlignment="1">
      <alignment horizontal="right" wrapText="1"/>
    </xf>
    <xf numFmtId="165" fontId="20" fillId="0" borderId="0" xfId="38" applyNumberFormat="1" applyFont="1" applyFill="1" applyAlignment="1">
      <alignment wrapText="1"/>
    </xf>
    <xf numFmtId="165" fontId="20" fillId="0" borderId="3" xfId="38" applyNumberFormat="1" applyFont="1" applyFill="1" applyBorder="1" applyAlignment="1">
      <alignment wrapText="1"/>
    </xf>
    <xf numFmtId="165" fontId="20" fillId="0" borderId="3" xfId="4" applyNumberFormat="1" applyFont="1" applyFill="1" applyBorder="1" applyAlignment="1">
      <alignment wrapText="1"/>
    </xf>
    <xf numFmtId="0" fontId="20" fillId="0" borderId="0" xfId="0" applyFont="1" applyFill="1" applyAlignment="1">
      <alignment horizontal="left" wrapText="1" indent="2"/>
    </xf>
    <xf numFmtId="0" fontId="20" fillId="0" borderId="0" xfId="0" applyFont="1" applyFill="1" applyAlignment="1">
      <alignment horizontal="left" wrapText="1" indent="3"/>
    </xf>
    <xf numFmtId="0" fontId="57" fillId="2" borderId="0" xfId="0" applyFont="1" applyFill="1"/>
    <xf numFmtId="0" fontId="28" fillId="2" borderId="0" xfId="0" applyFont="1" applyFill="1"/>
    <xf numFmtId="173" fontId="57" fillId="2" borderId="0" xfId="0" applyNumberFormat="1" applyFont="1" applyFill="1" applyAlignment="1">
      <alignment horizontal="left"/>
    </xf>
    <xf numFmtId="15" fontId="57" fillId="2" borderId="0" xfId="0" applyNumberFormat="1" applyFont="1" applyFill="1"/>
    <xf numFmtId="0" fontId="56" fillId="2" borderId="0" xfId="0" applyFont="1" applyFill="1" applyAlignment="1">
      <alignment horizontal="center"/>
    </xf>
    <xf numFmtId="0" fontId="55" fillId="2" borderId="0" xfId="0" applyFont="1" applyFill="1"/>
    <xf numFmtId="0" fontId="55" fillId="2" borderId="0" xfId="0" applyFont="1" applyFill="1" applyBorder="1" applyAlignment="1">
      <alignment horizontal="center"/>
    </xf>
    <xf numFmtId="0" fontId="58" fillId="2" borderId="0" xfId="0" applyFont="1" applyFill="1" applyAlignment="1">
      <alignment horizontal="center"/>
    </xf>
    <xf numFmtId="0" fontId="59" fillId="2" borderId="0" xfId="0" applyFont="1" applyFill="1" applyAlignment="1">
      <alignment horizontal="center"/>
    </xf>
    <xf numFmtId="0" fontId="42" fillId="2" borderId="0" xfId="0" applyFont="1" applyFill="1" applyAlignment="1">
      <alignment horizontal="center"/>
    </xf>
    <xf numFmtId="0" fontId="56" fillId="2" borderId="0" xfId="0" applyFont="1" applyFill="1"/>
    <xf numFmtId="0" fontId="36" fillId="2" borderId="0" xfId="0" applyFont="1" applyFill="1" applyAlignment="1">
      <alignment horizontal="left" indent="1"/>
    </xf>
    <xf numFmtId="0" fontId="36" fillId="2" borderId="0" xfId="0" applyFont="1" applyFill="1"/>
    <xf numFmtId="0" fontId="40" fillId="2" borderId="0" xfId="0" applyFont="1" applyFill="1"/>
    <xf numFmtId="0" fontId="60" fillId="2" borderId="0" xfId="0" applyFont="1" applyFill="1"/>
    <xf numFmtId="0" fontId="43" fillId="2" borderId="0" xfId="0" applyFont="1" applyFill="1"/>
    <xf numFmtId="0" fontId="56" fillId="2" borderId="0" xfId="0" applyFont="1" applyFill="1" applyBorder="1"/>
    <xf numFmtId="165" fontId="56" fillId="2" borderId="0" xfId="0" applyNumberFormat="1" applyFont="1" applyFill="1" applyAlignment="1">
      <alignment horizontal="left"/>
    </xf>
    <xf numFmtId="165" fontId="18" fillId="0" borderId="0" xfId="4" applyNumberFormat="1" applyFont="1" applyAlignment="1">
      <alignment horizontal="right"/>
    </xf>
    <xf numFmtId="10" fontId="50" fillId="0" borderId="0" xfId="52" applyNumberFormat="1" applyFont="1" applyFill="1" applyBorder="1"/>
    <xf numFmtId="10" fontId="50" fillId="0" borderId="0" xfId="52" applyNumberFormat="1" applyFont="1"/>
    <xf numFmtId="170" fontId="46" fillId="0" borderId="0" xfId="0" applyNumberFormat="1" applyFont="1" applyFill="1"/>
    <xf numFmtId="0" fontId="49" fillId="0" borderId="0" xfId="0" applyFont="1" applyBorder="1"/>
    <xf numFmtId="168" fontId="46" fillId="0" borderId="0" xfId="0" applyNumberFormat="1" applyFont="1"/>
    <xf numFmtId="170" fontId="46" fillId="0" borderId="6" xfId="0" applyNumberFormat="1" applyFont="1" applyBorder="1"/>
    <xf numFmtId="170" fontId="49" fillId="0" borderId="6" xfId="0" applyNumberFormat="1" applyFont="1" applyBorder="1"/>
    <xf numFmtId="181" fontId="49" fillId="0" borderId="0" xfId="0" applyNumberFormat="1" applyFont="1"/>
    <xf numFmtId="166" fontId="49" fillId="0" borderId="6" xfId="0" applyNumberFormat="1" applyFont="1" applyBorder="1"/>
    <xf numFmtId="165" fontId="46" fillId="0" borderId="3" xfId="4" applyNumberFormat="1" applyFont="1" applyBorder="1" applyAlignment="1">
      <alignment horizontal="center"/>
    </xf>
    <xf numFmtId="165" fontId="49" fillId="0" borderId="3" xfId="4" applyNumberFormat="1" applyFont="1" applyBorder="1" applyAlignment="1">
      <alignment horizontal="center"/>
    </xf>
    <xf numFmtId="165" fontId="47" fillId="0" borderId="0" xfId="4" applyNumberFormat="1" applyFont="1"/>
    <xf numFmtId="43" fontId="82" fillId="0" borderId="0" xfId="4" applyFont="1" applyFill="1" applyBorder="1"/>
    <xf numFmtId="164" fontId="49" fillId="0" borderId="0" xfId="4" applyNumberFormat="1" applyFont="1"/>
    <xf numFmtId="175" fontId="46" fillId="0" borderId="0" xfId="4" applyNumberFormat="1" applyFont="1"/>
    <xf numFmtId="166" fontId="46" fillId="0" borderId="0" xfId="54" applyNumberFormat="1" applyFont="1" applyFill="1"/>
    <xf numFmtId="166" fontId="49" fillId="0" borderId="0" xfId="4" applyNumberFormat="1" applyFont="1"/>
    <xf numFmtId="165" fontId="46" fillId="0" borderId="0" xfId="4" applyNumberFormat="1" applyFont="1"/>
    <xf numFmtId="166" fontId="46" fillId="0" borderId="6" xfId="54" applyNumberFormat="1" applyFont="1" applyFill="1" applyBorder="1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165" fontId="0" fillId="0" borderId="0" xfId="4" applyNumberFormat="1" applyFont="1" applyFill="1" applyBorder="1"/>
    <xf numFmtId="166" fontId="38" fillId="0" borderId="0" xfId="54" applyNumberFormat="1" applyFont="1" applyFill="1" applyAlignment="1">
      <alignment horizontal="right"/>
    </xf>
    <xf numFmtId="165" fontId="16" fillId="0" borderId="0" xfId="4" applyNumberFormat="1" applyFill="1" applyBorder="1"/>
    <xf numFmtId="165" fontId="16" fillId="0" borderId="0" xfId="4" applyNumberFormat="1" applyFont="1" applyFill="1"/>
    <xf numFmtId="166" fontId="38" fillId="0" borderId="0" xfId="54" applyNumberFormat="1" applyFont="1" applyFill="1"/>
    <xf numFmtId="166" fontId="38" fillId="0" borderId="3" xfId="54" applyNumberFormat="1" applyFont="1" applyFill="1" applyBorder="1" applyAlignment="1">
      <alignment horizontal="right"/>
    </xf>
    <xf numFmtId="166" fontId="38" fillId="0" borderId="0" xfId="54" applyNumberFormat="1" applyFont="1" applyFill="1" applyAlignment="1">
      <alignment horizontal="right" wrapText="1"/>
    </xf>
    <xf numFmtId="166" fontId="38" fillId="0" borderId="0" xfId="54" applyNumberFormat="1" applyFont="1" applyFill="1" applyBorder="1" applyAlignment="1">
      <alignment horizontal="right"/>
    </xf>
    <xf numFmtId="166" fontId="38" fillId="0" borderId="5" xfId="54" applyNumberFormat="1" applyFont="1" applyFill="1" applyBorder="1" applyAlignment="1">
      <alignment horizontal="right"/>
    </xf>
    <xf numFmtId="180" fontId="16" fillId="0" borderId="0" xfId="4" applyNumberFormat="1" applyFill="1" applyBorder="1"/>
    <xf numFmtId="180" fontId="16" fillId="0" borderId="3" xfId="4" applyNumberFormat="1" applyFill="1" applyBorder="1"/>
    <xf numFmtId="180" fontId="16" fillId="0" borderId="5" xfId="4" applyNumberFormat="1" applyFill="1" applyBorder="1"/>
    <xf numFmtId="166" fontId="16" fillId="0" borderId="0" xfId="54" applyNumberFormat="1" applyFill="1" applyBorder="1"/>
    <xf numFmtId="9" fontId="16" fillId="0" borderId="0" xfId="54" applyFill="1" applyBorder="1"/>
    <xf numFmtId="166" fontId="38" fillId="0" borderId="4" xfId="54" applyNumberFormat="1" applyFont="1" applyFill="1" applyBorder="1" applyAlignment="1">
      <alignment horizontal="right" wrapText="1"/>
    </xf>
    <xf numFmtId="166" fontId="38" fillId="0" borderId="3" xfId="54" applyNumberFormat="1" applyFont="1" applyFill="1" applyBorder="1" applyAlignment="1">
      <alignment horizontal="right" wrapText="1"/>
    </xf>
    <xf numFmtId="166" fontId="38" fillId="0" borderId="0" xfId="54" applyNumberFormat="1" applyFont="1" applyFill="1" applyBorder="1" applyAlignment="1">
      <alignment horizontal="right" wrapText="1"/>
    </xf>
    <xf numFmtId="43" fontId="0" fillId="0" borderId="0" xfId="4" applyFont="1" applyFill="1"/>
    <xf numFmtId="166" fontId="16" fillId="0" borderId="0" xfId="54" applyNumberFormat="1" applyFill="1" applyAlignment="1">
      <alignment horizontal="right"/>
    </xf>
    <xf numFmtId="166" fontId="30" fillId="0" borderId="0" xfId="54" applyNumberFormat="1" applyFont="1" applyFill="1" applyAlignment="1">
      <alignment horizontal="right"/>
    </xf>
    <xf numFmtId="166" fontId="16" fillId="0" borderId="3" xfId="54" applyNumberFormat="1" applyFill="1" applyBorder="1" applyAlignment="1">
      <alignment horizontal="right" wrapText="1"/>
    </xf>
    <xf numFmtId="0" fontId="16" fillId="0" borderId="0" xfId="0" applyFont="1"/>
    <xf numFmtId="0" fontId="79" fillId="0" borderId="0" xfId="110" applyFont="1"/>
    <xf numFmtId="41" fontId="79" fillId="0" borderId="0" xfId="110" applyNumberFormat="1" applyFont="1"/>
    <xf numFmtId="10" fontId="50" fillId="0" borderId="5" xfId="54" applyNumberFormat="1" applyFont="1" applyBorder="1" applyAlignment="1">
      <alignment horizontal="center"/>
    </xf>
    <xf numFmtId="165" fontId="50" fillId="0" borderId="0" xfId="4" applyNumberFormat="1" applyFont="1"/>
    <xf numFmtId="0" fontId="57" fillId="2" borderId="0" xfId="110" applyFont="1" applyFill="1"/>
    <xf numFmtId="0" fontId="55" fillId="2" borderId="0" xfId="110" applyFont="1" applyFill="1"/>
    <xf numFmtId="0" fontId="58" fillId="2" borderId="0" xfId="110" applyFont="1" applyFill="1" applyAlignment="1">
      <alignment horizontal="center"/>
    </xf>
    <xf numFmtId="0" fontId="16" fillId="2" borderId="0" xfId="0" applyFont="1" applyFill="1"/>
    <xf numFmtId="0" fontId="56" fillId="2" borderId="0" xfId="110" applyFont="1" applyFill="1"/>
    <xf numFmtId="165" fontId="56" fillId="2" borderId="0" xfId="4" applyNumberFormat="1" applyFont="1" applyFill="1" applyAlignment="1">
      <alignment horizontal="center"/>
    </xf>
    <xf numFmtId="166" fontId="56" fillId="2" borderId="0" xfId="54" applyNumberFormat="1" applyFont="1" applyFill="1"/>
    <xf numFmtId="165" fontId="16" fillId="2" borderId="0" xfId="4" applyNumberFormat="1" applyFont="1" applyFill="1" applyAlignment="1">
      <alignment horizontal="center"/>
    </xf>
    <xf numFmtId="166" fontId="16" fillId="2" borderId="0" xfId="54" applyNumberFormat="1" applyFont="1" applyFill="1"/>
    <xf numFmtId="166" fontId="36" fillId="2" borderId="0" xfId="54" applyNumberFormat="1" applyFont="1" applyFill="1" applyAlignment="1">
      <alignment horizontal="right"/>
    </xf>
    <xf numFmtId="9" fontId="36" fillId="2" borderId="0" xfId="54" applyFont="1" applyFill="1" applyAlignment="1">
      <alignment horizontal="right"/>
    </xf>
    <xf numFmtId="166" fontId="36" fillId="2" borderId="0" xfId="54" applyNumberFormat="1" applyFont="1" applyFill="1"/>
    <xf numFmtId="9" fontId="40" fillId="2" borderId="0" xfId="54" applyFont="1" applyFill="1" applyAlignment="1">
      <alignment horizontal="right"/>
    </xf>
    <xf numFmtId="166" fontId="40" fillId="2" borderId="0" xfId="54" applyNumberFormat="1" applyFont="1" applyFill="1" applyAlignment="1">
      <alignment horizontal="right"/>
    </xf>
    <xf numFmtId="166" fontId="40" fillId="2" borderId="0" xfId="54" applyNumberFormat="1" applyFont="1" applyFill="1"/>
    <xf numFmtId="0" fontId="36" fillId="2" borderId="0" xfId="110" applyFont="1" applyFill="1"/>
    <xf numFmtId="165" fontId="61" fillId="2" borderId="7" xfId="4" applyNumberFormat="1" applyFont="1" applyFill="1" applyBorder="1" applyAlignment="1">
      <alignment horizontal="center"/>
    </xf>
    <xf numFmtId="9" fontId="60" fillId="2" borderId="7" xfId="54" applyFont="1" applyFill="1" applyBorder="1" applyAlignment="1">
      <alignment horizontal="right"/>
    </xf>
    <xf numFmtId="165" fontId="52" fillId="2" borderId="7" xfId="4" applyNumberFormat="1" applyFont="1" applyFill="1" applyBorder="1" applyAlignment="1">
      <alignment horizontal="center"/>
    </xf>
    <xf numFmtId="9" fontId="43" fillId="2" borderId="7" xfId="54" applyFont="1" applyFill="1" applyBorder="1" applyAlignment="1">
      <alignment horizontal="right"/>
    </xf>
    <xf numFmtId="0" fontId="60" fillId="2" borderId="0" xfId="110" applyFont="1" applyFill="1"/>
    <xf numFmtId="165" fontId="57" fillId="2" borderId="0" xfId="4" applyNumberFormat="1" applyFont="1" applyFill="1" applyBorder="1" applyAlignment="1">
      <alignment horizontal="center"/>
    </xf>
    <xf numFmtId="9" fontId="56" fillId="2" borderId="0" xfId="54" applyFont="1" applyFill="1" applyBorder="1" applyAlignment="1">
      <alignment horizontal="right"/>
    </xf>
    <xf numFmtId="165" fontId="28" fillId="2" borderId="0" xfId="4" applyNumberFormat="1" applyFont="1" applyFill="1" applyBorder="1" applyAlignment="1">
      <alignment horizontal="center"/>
    </xf>
    <xf numFmtId="9" fontId="16" fillId="2" borderId="0" xfId="54" applyFont="1" applyFill="1" applyBorder="1" applyAlignment="1">
      <alignment horizontal="right"/>
    </xf>
    <xf numFmtId="9" fontId="36" fillId="2" borderId="0" xfId="54" applyNumberFormat="1" applyFont="1" applyFill="1" applyAlignment="1">
      <alignment horizontal="right"/>
    </xf>
    <xf numFmtId="165" fontId="66" fillId="2" borderId="0" xfId="54" applyNumberFormat="1" applyFont="1" applyFill="1" applyBorder="1" applyAlignment="1">
      <alignment horizontal="right"/>
    </xf>
    <xf numFmtId="165" fontId="56" fillId="2" borderId="0" xfId="4" applyNumberFormat="1" applyFont="1" applyFill="1" applyBorder="1" applyAlignment="1">
      <alignment horizontal="center"/>
    </xf>
    <xf numFmtId="165" fontId="16" fillId="2" borderId="0" xfId="4" applyNumberFormat="1" applyFont="1" applyFill="1" applyBorder="1" applyAlignment="1">
      <alignment horizontal="center"/>
    </xf>
    <xf numFmtId="0" fontId="16" fillId="2" borderId="0" xfId="0" applyFont="1" applyFill="1" applyBorder="1"/>
    <xf numFmtId="0" fontId="56" fillId="2" borderId="0" xfId="110" applyFont="1" applyFill="1" applyBorder="1"/>
    <xf numFmtId="165" fontId="61" fillId="2" borderId="0" xfId="4" applyNumberFormat="1" applyFont="1" applyFill="1" applyBorder="1" applyAlignment="1">
      <alignment horizontal="center"/>
    </xf>
    <xf numFmtId="165" fontId="81" fillId="2" borderId="0" xfId="54" applyNumberFormat="1" applyFont="1" applyFill="1" applyBorder="1" applyAlignment="1">
      <alignment horizontal="right"/>
    </xf>
    <xf numFmtId="165" fontId="52" fillId="2" borderId="0" xfId="4" applyNumberFormat="1" applyFont="1" applyFill="1" applyBorder="1" applyAlignment="1">
      <alignment horizontal="center"/>
    </xf>
    <xf numFmtId="165" fontId="61" fillId="2" borderId="0" xfId="4" applyNumberFormat="1" applyFont="1" applyFill="1" applyBorder="1" applyAlignment="1">
      <alignment horizontal="center" vertical="center"/>
    </xf>
    <xf numFmtId="9" fontId="43" fillId="2" borderId="0" xfId="54" applyFont="1" applyFill="1" applyBorder="1" applyAlignment="1">
      <alignment horizontal="right"/>
    </xf>
    <xf numFmtId="0" fontId="16" fillId="2" borderId="0" xfId="110" applyFont="1" applyFill="1"/>
    <xf numFmtId="165" fontId="27" fillId="0" borderId="0" xfId="4" applyNumberFormat="1" applyFont="1" applyFill="1" applyAlignment="1">
      <alignment horizontal="right"/>
    </xf>
    <xf numFmtId="10" fontId="32" fillId="0" borderId="0" xfId="612" applyNumberFormat="1" applyFont="1"/>
    <xf numFmtId="9" fontId="32" fillId="0" borderId="0" xfId="612" applyFont="1"/>
    <xf numFmtId="41" fontId="33" fillId="0" borderId="5" xfId="142" applyNumberFormat="1" applyFont="1" applyFill="1" applyBorder="1"/>
    <xf numFmtId="41" fontId="32" fillId="0" borderId="0" xfId="142" applyNumberFormat="1" applyFont="1" applyFill="1" applyBorder="1"/>
    <xf numFmtId="41" fontId="32" fillId="0" borderId="5" xfId="142" applyNumberFormat="1" applyFont="1" applyFill="1" applyBorder="1"/>
    <xf numFmtId="165" fontId="32" fillId="0" borderId="5" xfId="142" applyNumberFormat="1" applyFont="1" applyFill="1" applyBorder="1"/>
    <xf numFmtId="41" fontId="32" fillId="0" borderId="0" xfId="142" applyNumberFormat="1" applyFont="1" applyFill="1"/>
    <xf numFmtId="165" fontId="32" fillId="0" borderId="0" xfId="142" applyNumberFormat="1" applyFont="1" applyFill="1"/>
    <xf numFmtId="43" fontId="74" fillId="0" borderId="0" xfId="142" applyFont="1"/>
    <xf numFmtId="165" fontId="74" fillId="0" borderId="0" xfId="142" applyNumberFormat="1" applyFont="1"/>
    <xf numFmtId="4" fontId="75" fillId="0" borderId="0" xfId="612" applyNumberFormat="1" applyFont="1" applyFill="1" applyBorder="1" applyAlignment="1">
      <alignment horizontal="center"/>
    </xf>
    <xf numFmtId="41" fontId="75" fillId="0" borderId="0" xfId="142" applyNumberFormat="1" applyFont="1" applyFill="1" applyBorder="1"/>
    <xf numFmtId="165" fontId="75" fillId="0" borderId="0" xfId="142" applyNumberFormat="1" applyFont="1" applyFill="1" applyBorder="1" applyAlignment="1">
      <alignment horizontal="center"/>
    </xf>
    <xf numFmtId="165" fontId="75" fillId="0" borderId="0" xfId="142" applyNumberFormat="1" applyFont="1" applyFill="1" applyBorder="1"/>
    <xf numFmtId="165" fontId="79" fillId="0" borderId="0" xfId="142" applyNumberFormat="1" applyFont="1" applyAlignment="1">
      <alignment horizontal="center"/>
    </xf>
    <xf numFmtId="165" fontId="57" fillId="2" borderId="0" xfId="142" applyNumberFormat="1" applyFont="1" applyFill="1" applyAlignment="1">
      <alignment horizontal="center"/>
    </xf>
    <xf numFmtId="165" fontId="28" fillId="2" borderId="0" xfId="142" applyNumberFormat="1" applyFont="1" applyFill="1" applyAlignment="1">
      <alignment horizontal="center"/>
    </xf>
    <xf numFmtId="165" fontId="29" fillId="2" borderId="0" xfId="142" applyNumberFormat="1" applyFont="1" applyFill="1" applyBorder="1" applyAlignment="1">
      <alignment horizontal="center"/>
    </xf>
    <xf numFmtId="165" fontId="42" fillId="2" borderId="0" xfId="142" applyNumberFormat="1" applyFont="1" applyFill="1" applyAlignment="1">
      <alignment horizontal="center"/>
    </xf>
    <xf numFmtId="165" fontId="58" fillId="2" borderId="0" xfId="142" applyNumberFormat="1" applyFont="1" applyFill="1" applyAlignment="1">
      <alignment horizontal="center"/>
    </xf>
    <xf numFmtId="165" fontId="56" fillId="2" borderId="0" xfId="142" applyNumberFormat="1" applyFont="1" applyFill="1" applyAlignment="1">
      <alignment horizontal="center"/>
    </xf>
    <xf numFmtId="165" fontId="16" fillId="2" borderId="0" xfId="142" applyNumberFormat="1" applyFont="1" applyFill="1" applyAlignment="1">
      <alignment horizontal="center"/>
    </xf>
    <xf numFmtId="165" fontId="56" fillId="2" borderId="0" xfId="142" applyNumberFormat="1" applyFont="1" applyFill="1"/>
    <xf numFmtId="165" fontId="56" fillId="2" borderId="0" xfId="155" applyNumberFormat="1" applyFont="1" applyFill="1" applyAlignment="1">
      <alignment horizontal="center"/>
    </xf>
    <xf numFmtId="166" fontId="56" fillId="2" borderId="0" xfId="612" applyNumberFormat="1" applyFont="1" applyFill="1"/>
    <xf numFmtId="165" fontId="16" fillId="2" borderId="0" xfId="155" applyNumberFormat="1" applyFont="1" applyFill="1" applyAlignment="1">
      <alignment horizontal="center"/>
    </xf>
    <xf numFmtId="166" fontId="16" fillId="2" borderId="0" xfId="612" applyNumberFormat="1" applyFont="1" applyFill="1"/>
    <xf numFmtId="165" fontId="36" fillId="2" borderId="0" xfId="142" applyNumberFormat="1" applyFont="1" applyFill="1"/>
    <xf numFmtId="166" fontId="40" fillId="2" borderId="0" xfId="612" applyNumberFormat="1" applyFont="1" applyFill="1" applyAlignment="1">
      <alignment horizontal="right"/>
    </xf>
    <xf numFmtId="9" fontId="40" fillId="2" borderId="0" xfId="612" applyFont="1" applyFill="1" applyAlignment="1">
      <alignment horizontal="right"/>
    </xf>
    <xf numFmtId="9" fontId="36" fillId="2" borderId="0" xfId="612" applyFont="1" applyFill="1" applyAlignment="1">
      <alignment horizontal="right"/>
    </xf>
    <xf numFmtId="166" fontId="36" fillId="2" borderId="0" xfId="612" applyNumberFormat="1" applyFont="1" applyFill="1"/>
    <xf numFmtId="166" fontId="40" fillId="2" borderId="0" xfId="612" applyNumberFormat="1" applyFont="1" applyFill="1"/>
    <xf numFmtId="165" fontId="52" fillId="2" borderId="7" xfId="142" applyNumberFormat="1" applyFont="1" applyFill="1" applyBorder="1" applyAlignment="1">
      <alignment horizontal="center"/>
    </xf>
    <xf numFmtId="165" fontId="28" fillId="2" borderId="0" xfId="142" applyNumberFormat="1" applyFont="1" applyFill="1" applyBorder="1" applyAlignment="1">
      <alignment horizontal="center"/>
    </xf>
    <xf numFmtId="165" fontId="16" fillId="2" borderId="0" xfId="142" applyNumberFormat="1" applyFont="1" applyFill="1" applyBorder="1" applyAlignment="1">
      <alignment horizontal="center"/>
    </xf>
    <xf numFmtId="165" fontId="61" fillId="2" borderId="0" xfId="142" applyNumberFormat="1" applyFont="1" applyFill="1" applyBorder="1" applyAlignment="1">
      <alignment horizontal="center"/>
    </xf>
    <xf numFmtId="165" fontId="61" fillId="2" borderId="0" xfId="181" applyNumberFormat="1" applyFont="1" applyFill="1" applyBorder="1" applyAlignment="1">
      <alignment horizontal="center"/>
    </xf>
    <xf numFmtId="165" fontId="57" fillId="2" borderId="0" xfId="142" applyNumberFormat="1" applyFont="1" applyFill="1" applyBorder="1" applyAlignment="1">
      <alignment horizontal="center"/>
    </xf>
    <xf numFmtId="166" fontId="36" fillId="2" borderId="0" xfId="612" applyNumberFormat="1" applyFont="1" applyFill="1" applyAlignment="1">
      <alignment horizontal="right"/>
    </xf>
    <xf numFmtId="15" fontId="63" fillId="0" borderId="0" xfId="52" applyNumberFormat="1" applyFont="1"/>
    <xf numFmtId="165" fontId="50" fillId="0" borderId="0" xfId="142" applyNumberFormat="1" applyFont="1"/>
    <xf numFmtId="37" fontId="63" fillId="0" borderId="0" xfId="52" applyNumberFormat="1" applyFont="1"/>
    <xf numFmtId="165" fontId="63" fillId="0" borderId="0" xfId="142" applyNumberFormat="1" applyFont="1" applyAlignment="1">
      <alignment horizontal="center"/>
    </xf>
    <xf numFmtId="0" fontId="16" fillId="2" borderId="0" xfId="0" applyFont="1" applyFill="1" applyAlignment="1">
      <alignment horizontal="center"/>
    </xf>
    <xf numFmtId="10" fontId="50" fillId="0" borderId="0" xfId="612" applyNumberFormat="1" applyFont="1" applyFill="1" applyBorder="1" applyAlignment="1">
      <alignment horizontal="center"/>
    </xf>
    <xf numFmtId="165" fontId="50" fillId="0" borderId="0" xfId="142" applyNumberFormat="1" applyFont="1" applyFill="1" applyBorder="1"/>
    <xf numFmtId="165" fontId="50" fillId="0" borderId="7" xfId="142" applyNumberFormat="1" applyFont="1" applyBorder="1"/>
    <xf numFmtId="0" fontId="50" fillId="0" borderId="0" xfId="110" applyFont="1"/>
    <xf numFmtId="0" fontId="50" fillId="0" borderId="0" xfId="110" applyFont="1" applyAlignment="1">
      <alignment horizontal="center"/>
    </xf>
    <xf numFmtId="165" fontId="50" fillId="0" borderId="0" xfId="142" applyNumberFormat="1" applyFont="1" applyAlignment="1">
      <alignment horizontal="center"/>
    </xf>
    <xf numFmtId="165" fontId="50" fillId="0" borderId="0" xfId="110" applyNumberFormat="1" applyFont="1"/>
    <xf numFmtId="165" fontId="46" fillId="0" borderId="0" xfId="4" applyNumberFormat="1" applyFont="1" applyBorder="1" applyAlignment="1">
      <alignment horizontal="center"/>
    </xf>
    <xf numFmtId="165" fontId="49" fillId="0" borderId="0" xfId="4" applyNumberFormat="1" applyFont="1" applyBorder="1" applyAlignment="1">
      <alignment horizontal="center"/>
    </xf>
    <xf numFmtId="0" fontId="25" fillId="0" borderId="0" xfId="0" applyFont="1" applyFill="1" applyAlignment="1">
      <alignment horizontal="center"/>
    </xf>
    <xf numFmtId="0" fontId="85" fillId="0" borderId="0" xfId="0" applyFont="1" applyAlignment="1">
      <alignment horizontal="right" wrapText="1"/>
    </xf>
    <xf numFmtId="0" fontId="25" fillId="0" borderId="0" xfId="926" applyFont="1" applyAlignment="1">
      <alignment horizontal="center"/>
    </xf>
    <xf numFmtId="0" fontId="85" fillId="0" borderId="0" xfId="0" applyFont="1" applyFill="1" applyAlignment="1">
      <alignment horizontal="right" wrapText="1"/>
    </xf>
    <xf numFmtId="37" fontId="20" fillId="0" borderId="0" xfId="0" applyNumberFormat="1" applyFont="1" applyFill="1" applyAlignment="1" applyProtection="1">
      <alignment horizontal="center"/>
    </xf>
    <xf numFmtId="0" fontId="23" fillId="0" borderId="0" xfId="0" applyFont="1" applyAlignment="1"/>
    <xf numFmtId="0" fontId="85" fillId="0" borderId="0" xfId="0" applyFont="1" applyAlignment="1">
      <alignment horizontal="center" wrapText="1"/>
    </xf>
    <xf numFmtId="165" fontId="27" fillId="0" borderId="0" xfId="1104" applyNumberFormat="1" applyFont="1" applyAlignment="1">
      <alignment horizontal="right"/>
    </xf>
    <xf numFmtId="165" fontId="24" fillId="0" borderId="0" xfId="4" applyNumberFormat="1" applyFont="1" applyFill="1" applyProtection="1"/>
    <xf numFmtId="0" fontId="87" fillId="0" borderId="0" xfId="0" applyFont="1" applyFill="1" applyAlignment="1">
      <alignment horizontal="right" wrapText="1"/>
    </xf>
    <xf numFmtId="0" fontId="0" fillId="0" borderId="0" xfId="0"/>
    <xf numFmtId="165" fontId="24" fillId="0" borderId="0" xfId="4" applyNumberFormat="1" applyFont="1" applyFill="1" applyBorder="1" applyAlignment="1">
      <alignment wrapText="1"/>
    </xf>
    <xf numFmtId="165" fontId="16" fillId="0" borderId="0" xfId="1222" applyNumberFormat="1" applyFill="1"/>
    <xf numFmtId="0" fontId="16" fillId="0" borderId="0" xfId="1222" applyFill="1"/>
    <xf numFmtId="0" fontId="28" fillId="0" borderId="0" xfId="1222" applyFont="1" applyFill="1" applyAlignment="1">
      <alignment horizontal="center"/>
    </xf>
    <xf numFmtId="0" fontId="31" fillId="0" borderId="0" xfId="1222" applyFont="1" applyFill="1" applyAlignment="1">
      <alignment horizontal="center"/>
    </xf>
    <xf numFmtId="43" fontId="16" fillId="0" borderId="0" xfId="1222" applyNumberFormat="1" applyFill="1"/>
    <xf numFmtId="182" fontId="0" fillId="0" borderId="0" xfId="4" applyNumberFormat="1" applyFont="1" applyFill="1"/>
    <xf numFmtId="165" fontId="0" fillId="0" borderId="4" xfId="0" applyNumberFormat="1" applyFill="1" applyBorder="1"/>
    <xf numFmtId="165" fontId="0" fillId="0" borderId="5" xfId="4" applyNumberFormat="1" applyFont="1" applyFill="1" applyBorder="1"/>
    <xf numFmtId="165" fontId="56" fillId="2" borderId="0" xfId="4" applyNumberFormat="1" applyFont="1" applyFill="1" applyAlignment="1">
      <alignment horizontal="right"/>
    </xf>
    <xf numFmtId="0" fontId="16" fillId="2" borderId="0" xfId="1222" applyFill="1"/>
    <xf numFmtId="0" fontId="16" fillId="2" borderId="0" xfId="1222" applyFont="1" applyFill="1"/>
    <xf numFmtId="0" fontId="16" fillId="0" borderId="0" xfId="1223"/>
    <xf numFmtId="0" fontId="40" fillId="2" borderId="0" xfId="1222" applyFont="1" applyFill="1"/>
    <xf numFmtId="9" fontId="43" fillId="2" borderId="0" xfId="1230" applyFont="1" applyFill="1" applyBorder="1" applyAlignment="1">
      <alignment horizontal="right"/>
    </xf>
    <xf numFmtId="0" fontId="43" fillId="2" borderId="0" xfId="1224" applyFont="1" applyFill="1"/>
    <xf numFmtId="0" fontId="21" fillId="0" borderId="0" xfId="0" applyFont="1" applyFill="1" applyAlignment="1">
      <alignment horizontal="center" wrapText="1"/>
    </xf>
    <xf numFmtId="43" fontId="21" fillId="0" borderId="0" xfId="4" applyFont="1" applyFill="1" applyAlignment="1">
      <alignment horizontal="right" wrapText="1"/>
    </xf>
    <xf numFmtId="43" fontId="27" fillId="0" borderId="0" xfId="4" applyFont="1" applyFill="1" applyAlignment="1">
      <alignment horizontal="right"/>
    </xf>
    <xf numFmtId="44" fontId="20" fillId="0" borderId="0" xfId="43" applyNumberFormat="1" applyFont="1" applyFill="1" applyBorder="1" applyAlignment="1">
      <alignment wrapText="1"/>
    </xf>
    <xf numFmtId="165" fontId="20" fillId="0" borderId="6" xfId="4" applyNumberFormat="1" applyFont="1" applyFill="1" applyBorder="1" applyAlignment="1">
      <alignment wrapText="1"/>
    </xf>
    <xf numFmtId="0" fontId="0" fillId="0" borderId="0" xfId="0"/>
    <xf numFmtId="165" fontId="0" fillId="0" borderId="0" xfId="0" applyNumberFormat="1"/>
    <xf numFmtId="0" fontId="0" fillId="0" borderId="0" xfId="0" applyFill="1"/>
    <xf numFmtId="165" fontId="0" fillId="0" borderId="0" xfId="0" applyNumberFormat="1" applyFill="1"/>
    <xf numFmtId="0" fontId="0" fillId="0" borderId="0" xfId="0" applyFill="1" applyBorder="1"/>
    <xf numFmtId="0" fontId="0" fillId="0" borderId="0" xfId="0" applyBorder="1"/>
    <xf numFmtId="0" fontId="28" fillId="0" borderId="0" xfId="0" applyFont="1" applyFill="1" applyAlignment="1">
      <alignment horizontal="center"/>
    </xf>
    <xf numFmtId="0" fontId="31" fillId="0" borderId="0" xfId="0" applyFont="1" applyFill="1" applyAlignment="1">
      <alignment horizontal="center"/>
    </xf>
    <xf numFmtId="43" fontId="0" fillId="0" borderId="0" xfId="0" applyNumberFormat="1" applyFill="1"/>
    <xf numFmtId="165" fontId="16" fillId="0" borderId="0" xfId="0" applyNumberFormat="1" applyFont="1" applyFill="1" applyAlignment="1">
      <alignment horizontal="center"/>
    </xf>
    <xf numFmtId="43" fontId="0" fillId="0" borderId="0" xfId="0" applyNumberFormat="1"/>
    <xf numFmtId="165" fontId="38" fillId="0" borderId="0" xfId="54" applyNumberFormat="1" applyFont="1" applyFill="1" applyAlignment="1">
      <alignment horizontal="right"/>
    </xf>
    <xf numFmtId="165" fontId="38" fillId="0" borderId="0" xfId="54" applyNumberFormat="1" applyFont="1" applyFill="1"/>
    <xf numFmtId="165" fontId="38" fillId="0" borderId="3" xfId="54" applyNumberFormat="1" applyFont="1" applyFill="1" applyBorder="1" applyAlignment="1">
      <alignment horizontal="right"/>
    </xf>
    <xf numFmtId="165" fontId="38" fillId="0" borderId="0" xfId="54" applyNumberFormat="1" applyFont="1" applyFill="1" applyAlignment="1">
      <alignment horizontal="right" wrapText="1"/>
    </xf>
    <xf numFmtId="180" fontId="16" fillId="0" borderId="5" xfId="54" applyNumberFormat="1" applyFill="1" applyBorder="1" applyAlignment="1">
      <alignment horizontal="right"/>
    </xf>
    <xf numFmtId="166" fontId="40" fillId="0" borderId="0" xfId="54" applyNumberFormat="1" applyFont="1" applyFill="1" applyAlignment="1">
      <alignment horizontal="right"/>
    </xf>
    <xf numFmtId="165" fontId="16" fillId="0" borderId="0" xfId="1695" applyNumberFormat="1" applyFill="1"/>
    <xf numFmtId="165" fontId="16" fillId="0" borderId="3" xfId="1695" applyNumberFormat="1" applyFill="1" applyBorder="1"/>
    <xf numFmtId="165" fontId="16" fillId="0" borderId="4" xfId="1695" applyNumberFormat="1" applyFill="1" applyBorder="1"/>
    <xf numFmtId="182" fontId="0" fillId="0" borderId="0" xfId="4" applyNumberFormat="1" applyFont="1" applyFill="1" applyBorder="1"/>
    <xf numFmtId="182" fontId="38" fillId="0" borderId="0" xfId="4" applyNumberFormat="1" applyFont="1" applyFill="1"/>
    <xf numFmtId="164" fontId="46" fillId="0" borderId="6" xfId="4" applyNumberFormat="1" applyFont="1" applyBorder="1"/>
    <xf numFmtId="0" fontId="21" fillId="0" borderId="0" xfId="0" applyFont="1" applyFill="1" applyAlignment="1">
      <alignment horizontal="right" wrapText="1"/>
    </xf>
    <xf numFmtId="165" fontId="24" fillId="0" borderId="0" xfId="4" applyNumberFormat="1" applyFont="1" applyFill="1" applyBorder="1" applyProtection="1"/>
    <xf numFmtId="165" fontId="20" fillId="0" borderId="0" xfId="4" applyNumberFormat="1" applyFont="1" applyAlignment="1">
      <alignment wrapText="1"/>
    </xf>
    <xf numFmtId="165" fontId="20" fillId="0" borderId="3" xfId="4" applyNumberFormat="1" applyFont="1" applyBorder="1" applyAlignment="1">
      <alignment wrapText="1"/>
    </xf>
    <xf numFmtId="43" fontId="21" fillId="0" borderId="0" xfId="4" applyFont="1" applyAlignment="1">
      <alignment horizontal="right" wrapText="1"/>
    </xf>
    <xf numFmtId="43" fontId="27" fillId="0" borderId="0" xfId="4" applyFont="1" applyAlignment="1">
      <alignment horizontal="right"/>
    </xf>
    <xf numFmtId="165" fontId="27" fillId="0" borderId="0" xfId="4" applyNumberFormat="1" applyFont="1" applyAlignment="1">
      <alignment horizontal="right"/>
    </xf>
    <xf numFmtId="165" fontId="20" fillId="0" borderId="0" xfId="4" applyNumberFormat="1" applyFont="1" applyFill="1" applyAlignment="1">
      <alignment wrapText="1"/>
    </xf>
    <xf numFmtId="166" fontId="23" fillId="0" borderId="0" xfId="54" applyNumberFormat="1" applyFont="1"/>
    <xf numFmtId="165" fontId="21" fillId="0" borderId="0" xfId="4" applyNumberFormat="1" applyFont="1" applyFill="1" applyAlignment="1">
      <alignment wrapText="1"/>
    </xf>
    <xf numFmtId="165" fontId="20" fillId="0" borderId="4" xfId="4" applyNumberFormat="1" applyFont="1" applyFill="1" applyBorder="1" applyAlignment="1">
      <alignment wrapText="1"/>
    </xf>
    <xf numFmtId="43" fontId="23" fillId="0" borderId="0" xfId="4" applyFont="1" applyFill="1" applyAlignment="1">
      <alignment horizontal="right" wrapText="1"/>
    </xf>
    <xf numFmtId="43" fontId="44" fillId="0" borderId="0" xfId="4" applyFont="1" applyAlignment="1">
      <alignment horizontal="right" wrapText="1"/>
    </xf>
    <xf numFmtId="44" fontId="20" fillId="0" borderId="6" xfId="43" applyFont="1" applyFill="1" applyBorder="1" applyAlignment="1">
      <alignment wrapText="1"/>
    </xf>
    <xf numFmtId="43" fontId="20" fillId="0" borderId="0" xfId="4" applyFont="1" applyFill="1" applyBorder="1" applyAlignment="1">
      <alignment wrapText="1"/>
    </xf>
    <xf numFmtId="44" fontId="23" fillId="0" borderId="0" xfId="1105" applyFont="1" applyFill="1" applyBorder="1" applyAlignment="1">
      <alignment wrapText="1"/>
    </xf>
    <xf numFmtId="165" fontId="20" fillId="0" borderId="5" xfId="4" applyNumberFormat="1" applyFont="1" applyFill="1" applyBorder="1" applyAlignment="1">
      <alignment wrapText="1"/>
    </xf>
    <xf numFmtId="0" fontId="94" fillId="0" borderId="0" xfId="1545" applyFont="1" applyAlignment="1">
      <alignment wrapText="1"/>
    </xf>
    <xf numFmtId="43" fontId="23" fillId="0" borderId="0" xfId="4" applyFont="1" applyAlignment="1">
      <alignment horizontal="right" wrapText="1"/>
    </xf>
    <xf numFmtId="0" fontId="93" fillId="0" borderId="0" xfId="1862" applyFont="1" applyAlignment="1"/>
    <xf numFmtId="0" fontId="92" fillId="0" borderId="0" xfId="1863" applyFont="1" applyAlignment="1">
      <alignment horizontal="left" wrapText="1" indent="1"/>
    </xf>
    <xf numFmtId="0" fontId="93" fillId="0" borderId="0" xfId="2079" applyFont="1" applyAlignment="1"/>
    <xf numFmtId="0" fontId="92" fillId="0" borderId="0" xfId="2079" applyFont="1" applyAlignment="1">
      <alignment horizontal="left" wrapText="1" indent="1"/>
    </xf>
    <xf numFmtId="165" fontId="24" fillId="0" borderId="0" xfId="4" applyNumberFormat="1" applyFont="1" applyFill="1" applyBorder="1" applyAlignment="1">
      <alignment wrapText="1"/>
    </xf>
    <xf numFmtId="165" fontId="24" fillId="0" borderId="0" xfId="4" applyNumberFormat="1" applyFont="1" applyFill="1" applyProtection="1"/>
    <xf numFmtId="41" fontId="87" fillId="0" borderId="0" xfId="0" applyNumberFormat="1" applyFont="1" applyFill="1" applyAlignment="1">
      <alignment horizontal="right" wrapText="1"/>
    </xf>
    <xf numFmtId="43" fontId="87" fillId="0" borderId="0" xfId="0" applyNumberFormat="1" applyFont="1" applyFill="1" applyAlignment="1">
      <alignment horizontal="right" wrapText="1"/>
    </xf>
    <xf numFmtId="44" fontId="23" fillId="0" borderId="6" xfId="1105" applyFont="1" applyFill="1" applyBorder="1" applyAlignment="1">
      <alignment wrapText="1"/>
    </xf>
    <xf numFmtId="0" fontId="54" fillId="0" borderId="0" xfId="0" applyFont="1" applyFill="1" applyAlignment="1">
      <alignment horizontal="center" wrapText="1"/>
    </xf>
    <xf numFmtId="0" fontId="85" fillId="0" borderId="0" xfId="0" applyFont="1" applyFill="1" applyAlignment="1">
      <alignment horizontal="center" wrapText="1"/>
    </xf>
    <xf numFmtId="167" fontId="21" fillId="0" borderId="0" xfId="0" applyNumberFormat="1" applyFont="1" applyAlignment="1">
      <alignment horizontal="center" wrapText="1"/>
    </xf>
    <xf numFmtId="37" fontId="20" fillId="0" borderId="0" xfId="4" applyNumberFormat="1" applyFont="1" applyFill="1" applyProtection="1"/>
    <xf numFmtId="37" fontId="0" fillId="0" borderId="0" xfId="0" applyNumberFormat="1"/>
    <xf numFmtId="37" fontId="20" fillId="0" borderId="0" xfId="4" applyNumberFormat="1" applyFont="1" applyAlignment="1">
      <alignment wrapText="1"/>
    </xf>
    <xf numFmtId="37" fontId="20" fillId="0" borderId="0" xfId="38" applyNumberFormat="1" applyFont="1" applyFill="1" applyAlignment="1">
      <alignment wrapText="1"/>
    </xf>
    <xf numFmtId="37" fontId="0" fillId="0" borderId="0" xfId="0" applyNumberFormat="1" applyFill="1"/>
    <xf numFmtId="37" fontId="20" fillId="0" borderId="3" xfId="38" applyNumberFormat="1" applyFont="1" applyFill="1" applyBorder="1" applyAlignment="1">
      <alignment wrapText="1"/>
    </xf>
    <xf numFmtId="37" fontId="20" fillId="0" borderId="3" xfId="4" applyNumberFormat="1" applyFont="1" applyFill="1" applyBorder="1" applyAlignment="1">
      <alignment wrapText="1"/>
    </xf>
    <xf numFmtId="37" fontId="20" fillId="0" borderId="4" xfId="4" applyNumberFormat="1" applyFont="1" applyBorder="1" applyAlignment="1">
      <alignment wrapText="1"/>
    </xf>
    <xf numFmtId="37" fontId="21" fillId="0" borderId="0" xfId="4" applyNumberFormat="1" applyFont="1" applyAlignment="1">
      <alignment wrapText="1"/>
    </xf>
    <xf numFmtId="37" fontId="20" fillId="0" borderId="3" xfId="4" applyNumberFormat="1" applyFont="1" applyBorder="1" applyAlignment="1">
      <alignment wrapText="1"/>
    </xf>
    <xf numFmtId="7" fontId="0" fillId="0" borderId="0" xfId="0" applyNumberFormat="1"/>
    <xf numFmtId="7" fontId="21" fillId="0" borderId="0" xfId="43" applyNumberFormat="1" applyFont="1" applyAlignment="1">
      <alignment horizontal="right" wrapText="1"/>
    </xf>
    <xf numFmtId="7" fontId="21" fillId="0" borderId="0" xfId="43" applyNumberFormat="1" applyFont="1" applyBorder="1" applyAlignment="1">
      <alignment horizontal="right" wrapText="1"/>
    </xf>
    <xf numFmtId="7" fontId="0" fillId="0" borderId="0" xfId="0" applyNumberFormat="1" applyBorder="1"/>
    <xf numFmtId="39" fontId="0" fillId="0" borderId="0" xfId="0" applyNumberFormat="1"/>
    <xf numFmtId="39" fontId="21" fillId="0" borderId="0" xfId="43" applyNumberFormat="1" applyFont="1" applyAlignment="1">
      <alignment horizontal="right" wrapText="1"/>
    </xf>
    <xf numFmtId="0" fontId="0" fillId="0" borderId="0" xfId="0" applyFont="1" applyAlignment="1">
      <alignment horizontal="center"/>
    </xf>
    <xf numFmtId="0" fontId="21" fillId="0" borderId="0" xfId="0" applyFont="1" applyFill="1" applyAlignment="1">
      <alignment horizontal="right" wrapText="1"/>
    </xf>
    <xf numFmtId="0" fontId="32" fillId="0" borderId="0" xfId="0" applyNumberFormat="1" applyFont="1" applyFill="1"/>
    <xf numFmtId="165" fontId="75" fillId="0" borderId="4" xfId="142" applyNumberFormat="1" applyFont="1" applyFill="1" applyBorder="1"/>
    <xf numFmtId="0" fontId="84" fillId="0" borderId="0" xfId="0" applyFont="1" applyFill="1" applyAlignment="1">
      <alignment wrapText="1"/>
    </xf>
    <xf numFmtId="43" fontId="20" fillId="0" borderId="0" xfId="4" applyNumberFormat="1" applyFont="1" applyFill="1" applyBorder="1" applyAlignment="1">
      <alignment wrapText="1"/>
    </xf>
    <xf numFmtId="165" fontId="24" fillId="0" borderId="0" xfId="4" applyNumberFormat="1" applyFont="1" applyFill="1" applyProtection="1"/>
    <xf numFmtId="0" fontId="87" fillId="0" borderId="0" xfId="16748" applyFont="1" applyFill="1" applyAlignment="1">
      <alignment horizontal="right" wrapText="1"/>
    </xf>
    <xf numFmtId="43" fontId="87" fillId="0" borderId="0" xfId="16748" applyNumberFormat="1" applyFont="1" applyFill="1" applyAlignment="1">
      <alignment horizontal="right" wrapText="1"/>
    </xf>
    <xf numFmtId="165" fontId="24" fillId="0" borderId="0" xfId="4" applyNumberFormat="1" applyFont="1" applyFill="1" applyProtection="1"/>
    <xf numFmtId="165" fontId="24" fillId="0" borderId="0" xfId="4" applyNumberFormat="1" applyFont="1" applyFill="1" applyProtection="1"/>
    <xf numFmtId="165" fontId="24" fillId="0" borderId="0" xfId="4" applyNumberFormat="1" applyFont="1" applyFill="1" applyProtection="1"/>
    <xf numFmtId="165" fontId="24" fillId="0" borderId="0" xfId="4" applyNumberFormat="1" applyFont="1" applyFill="1" applyBorder="1" applyAlignment="1">
      <alignment wrapText="1"/>
    </xf>
    <xf numFmtId="165" fontId="24" fillId="0" borderId="3" xfId="4" applyNumberFormat="1" applyFont="1" applyFill="1" applyBorder="1" applyProtection="1"/>
    <xf numFmtId="0" fontId="0" fillId="0" borderId="0" xfId="0" applyAlignment="1"/>
    <xf numFmtId="165" fontId="20" fillId="0" borderId="3" xfId="4" applyNumberFormat="1" applyFont="1" applyFill="1" applyBorder="1" applyProtection="1"/>
    <xf numFmtId="41" fontId="22" fillId="0" borderId="4" xfId="4" applyNumberFormat="1" applyFont="1" applyFill="1" applyBorder="1" applyAlignment="1">
      <alignment wrapText="1"/>
    </xf>
    <xf numFmtId="42" fontId="23" fillId="0" borderId="0" xfId="4" applyNumberFormat="1" applyFont="1" applyFill="1" applyAlignment="1">
      <alignment horizontal="right" wrapText="1"/>
    </xf>
    <xf numFmtId="42" fontId="20" fillId="0" borderId="0" xfId="4" applyNumberFormat="1" applyFont="1" applyFill="1" applyProtection="1"/>
    <xf numFmtId="42" fontId="21" fillId="0" borderId="0" xfId="4" applyNumberFormat="1" applyFont="1" applyFill="1" applyAlignment="1">
      <alignment horizontal="right" wrapText="1"/>
    </xf>
    <xf numFmtId="41" fontId="20" fillId="0" borderId="4" xfId="4" applyNumberFormat="1" applyFont="1" applyFill="1" applyBorder="1" applyAlignment="1">
      <alignment wrapText="1"/>
    </xf>
    <xf numFmtId="44" fontId="20" fillId="0" borderId="5" xfId="43" applyNumberFormat="1" applyFont="1" applyFill="1" applyBorder="1" applyAlignment="1">
      <alignment wrapText="1"/>
    </xf>
    <xf numFmtId="41" fontId="20" fillId="0" borderId="5" xfId="4" applyNumberFormat="1" applyFont="1" applyFill="1" applyBorder="1" applyAlignment="1">
      <alignment wrapText="1"/>
    </xf>
    <xf numFmtId="42" fontId="23" fillId="0" borderId="5" xfId="4" applyNumberFormat="1" applyFont="1" applyFill="1" applyBorder="1" applyAlignment="1">
      <alignment horizontal="right" wrapText="1"/>
    </xf>
    <xf numFmtId="42" fontId="20" fillId="0" borderId="0" xfId="4" applyNumberFormat="1" applyFont="1" applyAlignment="1">
      <alignment wrapText="1"/>
    </xf>
    <xf numFmtId="41" fontId="27" fillId="0" borderId="0" xfId="4" applyNumberFormat="1" applyFont="1" applyAlignment="1">
      <alignment horizontal="right"/>
    </xf>
    <xf numFmtId="41" fontId="20" fillId="0" borderId="3" xfId="4" applyNumberFormat="1" applyFont="1" applyFill="1" applyBorder="1" applyAlignment="1">
      <alignment wrapText="1"/>
    </xf>
    <xf numFmtId="41" fontId="20" fillId="0" borderId="6" xfId="4" applyNumberFormat="1" applyFont="1" applyFill="1" applyBorder="1" applyAlignment="1">
      <alignment wrapText="1"/>
    </xf>
    <xf numFmtId="41" fontId="21" fillId="0" borderId="0" xfId="4" applyNumberFormat="1" applyFont="1" applyFill="1" applyAlignment="1">
      <alignment horizontal="right" wrapText="1"/>
    </xf>
    <xf numFmtId="41" fontId="20" fillId="0" borderId="0" xfId="38" applyNumberFormat="1" applyFont="1" applyFill="1" applyAlignment="1">
      <alignment wrapText="1"/>
    </xf>
    <xf numFmtId="41" fontId="23" fillId="0" borderId="0" xfId="4" applyNumberFormat="1" applyFont="1" applyAlignment="1">
      <alignment horizontal="right" wrapText="1"/>
    </xf>
    <xf numFmtId="41" fontId="21" fillId="0" borderId="0" xfId="38" applyNumberFormat="1" applyFont="1" applyFill="1" applyAlignment="1">
      <alignment horizontal="right" wrapText="1"/>
    </xf>
    <xf numFmtId="41" fontId="20" fillId="0" borderId="7" xfId="38" applyNumberFormat="1" applyFont="1" applyFill="1" applyBorder="1" applyAlignment="1">
      <alignment wrapText="1"/>
    </xf>
    <xf numFmtId="41" fontId="20" fillId="0" borderId="3" xfId="38" applyNumberFormat="1" applyFont="1" applyFill="1" applyBorder="1" applyAlignment="1">
      <alignment wrapText="1"/>
    </xf>
    <xf numFmtId="41" fontId="20" fillId="0" borderId="0" xfId="4" applyNumberFormat="1" applyFont="1" applyFill="1" applyAlignment="1">
      <alignment wrapText="1"/>
    </xf>
    <xf numFmtId="41" fontId="23" fillId="0" borderId="0" xfId="4" applyNumberFormat="1" applyFont="1" applyFill="1" applyAlignment="1">
      <alignment horizontal="right" wrapText="1"/>
    </xf>
    <xf numFmtId="41" fontId="0" fillId="0" borderId="0" xfId="0" applyNumberFormat="1"/>
    <xf numFmtId="41" fontId="20" fillId="0" borderId="3" xfId="4" applyNumberFormat="1" applyFont="1" applyBorder="1" applyAlignment="1">
      <alignment wrapText="1"/>
    </xf>
    <xf numFmtId="41" fontId="16" fillId="0" borderId="0" xfId="0" applyNumberFormat="1" applyFont="1"/>
    <xf numFmtId="41" fontId="21" fillId="0" borderId="0" xfId="4" applyNumberFormat="1" applyFont="1" applyAlignment="1">
      <alignment horizontal="right" wrapText="1"/>
    </xf>
    <xf numFmtId="41" fontId="23" fillId="0" borderId="0" xfId="0" applyNumberFormat="1" applyFont="1"/>
    <xf numFmtId="41" fontId="20" fillId="0" borderId="0" xfId="4" applyNumberFormat="1" applyFont="1" applyFill="1" applyProtection="1"/>
    <xf numFmtId="41" fontId="23" fillId="0" borderId="0" xfId="490" applyNumberFormat="1" applyFont="1" applyFill="1" applyAlignment="1">
      <alignment wrapText="1"/>
    </xf>
    <xf numFmtId="41" fontId="20" fillId="0" borderId="3" xfId="4" applyNumberFormat="1" applyFont="1" applyFill="1" applyBorder="1" applyProtection="1"/>
    <xf numFmtId="41" fontId="21" fillId="0" borderId="0" xfId="4" applyNumberFormat="1" applyFont="1" applyFill="1" applyAlignment="1">
      <alignment wrapText="1"/>
    </xf>
    <xf numFmtId="41" fontId="20" fillId="0" borderId="0" xfId="4" applyNumberFormat="1" applyFont="1" applyAlignment="1">
      <alignment wrapText="1"/>
    </xf>
    <xf numFmtId="42" fontId="0" fillId="0" borderId="0" xfId="0" applyNumberFormat="1"/>
    <xf numFmtId="42" fontId="23" fillId="0" borderId="0" xfId="0" applyNumberFormat="1" applyFont="1"/>
    <xf numFmtId="0" fontId="95" fillId="3" borderId="0" xfId="0" applyFont="1" applyFill="1" applyAlignment="1">
      <alignment horizontal="left"/>
    </xf>
    <xf numFmtId="0" fontId="23" fillId="3" borderId="0" xfId="0" applyFont="1" applyFill="1"/>
    <xf numFmtId="165" fontId="16" fillId="0" borderId="0" xfId="4" applyNumberFormat="1" applyFont="1" applyFill="1" applyAlignment="1">
      <alignment horizontal="center"/>
    </xf>
    <xf numFmtId="41" fontId="0" fillId="0" borderId="0" xfId="0" applyNumberFormat="1" applyFill="1"/>
    <xf numFmtId="185" fontId="24" fillId="0" borderId="0" xfId="43" applyNumberFormat="1" applyFont="1" applyFill="1" applyProtection="1"/>
    <xf numFmtId="0" fontId="20" fillId="0" borderId="0" xfId="0" applyFont="1" applyFill="1" applyAlignment="1">
      <alignment horizontal="left" wrapText="1" indent="3"/>
    </xf>
    <xf numFmtId="185" fontId="20" fillId="0" borderId="0" xfId="43" applyNumberFormat="1" applyFont="1" applyFill="1" applyProtection="1"/>
    <xf numFmtId="185" fontId="20" fillId="0" borderId="0" xfId="43" applyNumberFormat="1" applyFont="1" applyAlignment="1">
      <alignment wrapText="1"/>
    </xf>
    <xf numFmtId="185" fontId="22" fillId="0" borderId="5" xfId="43" applyNumberFormat="1" applyFont="1" applyFill="1" applyBorder="1" applyAlignment="1">
      <alignment wrapText="1"/>
    </xf>
    <xf numFmtId="0" fontId="20" fillId="0" borderId="0" xfId="0" applyFont="1" applyAlignment="1">
      <alignment wrapText="1"/>
    </xf>
    <xf numFmtId="0" fontId="0" fillId="0" borderId="0" xfId="0" applyFill="1"/>
    <xf numFmtId="165" fontId="0" fillId="0" borderId="0" xfId="4" applyNumberFormat="1" applyFont="1" applyFill="1"/>
    <xf numFmtId="165" fontId="16" fillId="0" borderId="0" xfId="4" applyNumberFormat="1" applyFill="1"/>
    <xf numFmtId="165" fontId="16" fillId="0" borderId="3" xfId="4" applyNumberFormat="1" applyFill="1" applyBorder="1"/>
    <xf numFmtId="165" fontId="16" fillId="0" borderId="5" xfId="4" applyNumberFormat="1" applyFill="1" applyBorder="1"/>
    <xf numFmtId="165" fontId="16" fillId="0" borderId="4" xfId="4" applyNumberFormat="1" applyFill="1" applyBorder="1"/>
    <xf numFmtId="166" fontId="16" fillId="0" borderId="0" xfId="54" applyNumberFormat="1" applyFill="1"/>
    <xf numFmtId="185" fontId="24" fillId="0" borderId="0" xfId="43" applyNumberFormat="1" applyFont="1" applyFill="1" applyBorder="1" applyAlignment="1">
      <alignment wrapText="1"/>
    </xf>
    <xf numFmtId="165" fontId="20" fillId="0" borderId="0" xfId="4" applyNumberFormat="1" applyFont="1" applyFill="1" applyProtection="1"/>
    <xf numFmtId="165" fontId="24" fillId="0" borderId="0" xfId="4" applyNumberFormat="1" applyFont="1" applyFill="1" applyProtection="1"/>
    <xf numFmtId="0" fontId="87" fillId="0" borderId="0" xfId="26317" applyFont="1" applyFill="1" applyAlignment="1">
      <alignment horizontal="right" wrapText="1"/>
    </xf>
    <xf numFmtId="165" fontId="24" fillId="0" borderId="0" xfId="4" applyNumberFormat="1" applyFont="1" applyFill="1" applyBorder="1" applyAlignment="1">
      <alignment wrapText="1"/>
    </xf>
    <xf numFmtId="165" fontId="24" fillId="0" borderId="3" xfId="4" applyNumberFormat="1" applyFont="1" applyFill="1" applyBorder="1" applyProtection="1"/>
    <xf numFmtId="165" fontId="24" fillId="0" borderId="7" xfId="4" applyNumberFormat="1" applyFont="1" applyFill="1" applyBorder="1" applyAlignment="1">
      <alignment wrapText="1"/>
    </xf>
    <xf numFmtId="165" fontId="24" fillId="0" borderId="3" xfId="4" applyNumberFormat="1" applyFont="1" applyFill="1" applyBorder="1" applyAlignment="1">
      <alignment wrapText="1"/>
    </xf>
    <xf numFmtId="41" fontId="87" fillId="0" borderId="0" xfId="26317" applyNumberFormat="1" applyFont="1" applyFill="1" applyAlignment="1">
      <alignment horizontal="right" wrapText="1"/>
    </xf>
    <xf numFmtId="43" fontId="87" fillId="0" borderId="0" xfId="26317" applyNumberFormat="1" applyFont="1" applyFill="1" applyAlignment="1">
      <alignment horizontal="right" wrapText="1"/>
    </xf>
    <xf numFmtId="185" fontId="24" fillId="0" borderId="0" xfId="43" applyNumberFormat="1" applyFont="1" applyFill="1" applyProtection="1"/>
    <xf numFmtId="185" fontId="24" fillId="0" borderId="6" xfId="43" applyNumberFormat="1" applyFont="1" applyFill="1" applyBorder="1" applyAlignment="1">
      <alignment wrapText="1"/>
    </xf>
    <xf numFmtId="185" fontId="24" fillId="0" borderId="4" xfId="43" applyNumberFormat="1" applyFont="1" applyFill="1" applyBorder="1" applyAlignment="1">
      <alignment wrapText="1"/>
    </xf>
    <xf numFmtId="185" fontId="24" fillId="0" borderId="5" xfId="43" applyNumberFormat="1" applyFont="1" applyFill="1" applyBorder="1" applyAlignment="1">
      <alignment wrapText="1"/>
    </xf>
    <xf numFmtId="0" fontId="25" fillId="0" borderId="0" xfId="0" applyFont="1" applyAlignment="1">
      <alignment horizontal="center"/>
    </xf>
    <xf numFmtId="41" fontId="97" fillId="0" borderId="0" xfId="4" applyNumberFormat="1" applyFont="1" applyFill="1" applyBorder="1"/>
    <xf numFmtId="41" fontId="21" fillId="0" borderId="0" xfId="4" applyNumberFormat="1" applyFont="1" applyAlignment="1">
      <alignment wrapText="1"/>
    </xf>
    <xf numFmtId="44" fontId="0" fillId="0" borderId="0" xfId="0" applyNumberFormat="1"/>
    <xf numFmtId="44" fontId="0" fillId="0" borderId="0" xfId="0" applyNumberFormat="1" applyBorder="1"/>
    <xf numFmtId="43" fontId="21" fillId="0" borderId="0" xfId="43" applyNumberFormat="1" applyFont="1" applyAlignment="1">
      <alignment horizontal="right" wrapText="1"/>
    </xf>
    <xf numFmtId="44" fontId="20" fillId="0" borderId="0" xfId="43" applyFont="1" applyFill="1" applyBorder="1" applyAlignment="1">
      <alignment wrapText="1"/>
    </xf>
    <xf numFmtId="0" fontId="26" fillId="0" borderId="0" xfId="0" applyFont="1" applyAlignment="1">
      <alignment horizontal="center" vertical="center" wrapText="1"/>
    </xf>
    <xf numFmtId="0" fontId="20" fillId="0" borderId="0" xfId="0" applyFont="1" applyAlignment="1">
      <alignment horizontal="left" wrapText="1"/>
    </xf>
    <xf numFmtId="0" fontId="46" fillId="0" borderId="3" xfId="0" applyFont="1" applyBorder="1" applyAlignment="1">
      <alignment horizontal="center"/>
    </xf>
    <xf numFmtId="0" fontId="49" fillId="0" borderId="3" xfId="0" applyFont="1" applyBorder="1" applyAlignment="1">
      <alignment horizontal="center"/>
    </xf>
    <xf numFmtId="165" fontId="79" fillId="0" borderId="0" xfId="110" applyNumberFormat="1" applyFont="1"/>
    <xf numFmtId="175" fontId="46" fillId="0" borderId="0" xfId="4" applyNumberFormat="1" applyFont="1" applyFill="1" applyBorder="1"/>
    <xf numFmtId="170" fontId="49" fillId="0" borderId="0" xfId="0" applyNumberFormat="1" applyFont="1"/>
    <xf numFmtId="0" fontId="49" fillId="0" borderId="3" xfId="0" applyFont="1" applyBorder="1" applyAlignment="1">
      <alignment horizontal="center"/>
    </xf>
    <xf numFmtId="165" fontId="20" fillId="0" borderId="0" xfId="4" applyNumberFormat="1" applyFont="1" applyFill="1" applyBorder="1" applyAlignment="1">
      <alignment wrapText="1"/>
    </xf>
    <xf numFmtId="165" fontId="27" fillId="0" borderId="0" xfId="4" applyNumberFormat="1" applyFont="1" applyBorder="1" applyAlignment="1">
      <alignment horizontal="right"/>
    </xf>
    <xf numFmtId="0" fontId="20" fillId="0" borderId="0" xfId="0" applyFont="1" applyFill="1" applyAlignment="1">
      <alignment wrapText="1"/>
    </xf>
    <xf numFmtId="0" fontId="26" fillId="0" borderId="0" xfId="0" applyFont="1" applyFill="1" applyAlignment="1">
      <alignment horizontal="center" vertical="center" wrapText="1"/>
    </xf>
    <xf numFmtId="0" fontId="0" fillId="0" borderId="0" xfId="0" applyAlignment="1"/>
    <xf numFmtId="165" fontId="38" fillId="0" borderId="0" xfId="4" applyNumberFormat="1" applyFont="1" applyFill="1"/>
    <xf numFmtId="182" fontId="16" fillId="0" borderId="0" xfId="4" applyNumberFormat="1" applyFill="1" applyBorder="1" applyAlignment="1">
      <alignment horizontal="right"/>
    </xf>
    <xf numFmtId="182" fontId="16" fillId="0" borderId="0" xfId="4" applyNumberFormat="1" applyFill="1" applyBorder="1"/>
    <xf numFmtId="182" fontId="16" fillId="0" borderId="0" xfId="4" applyNumberFormat="1" applyFill="1"/>
    <xf numFmtId="182" fontId="0" fillId="0" borderId="0" xfId="0" applyNumberFormat="1"/>
    <xf numFmtId="182" fontId="16" fillId="0" borderId="3" xfId="4" applyNumberFormat="1" applyFill="1" applyBorder="1" applyAlignment="1">
      <alignment horizontal="right"/>
    </xf>
    <xf numFmtId="182" fontId="16" fillId="0" borderId="3" xfId="4" applyNumberFormat="1" applyFill="1" applyBorder="1"/>
    <xf numFmtId="182" fontId="16" fillId="0" borderId="5" xfId="54" applyNumberFormat="1" applyFill="1" applyBorder="1" applyAlignment="1">
      <alignment horizontal="right"/>
    </xf>
    <xf numFmtId="182" fontId="16" fillId="0" borderId="5" xfId="4" applyNumberFormat="1" applyFill="1" applyBorder="1"/>
    <xf numFmtId="0" fontId="0" fillId="0" borderId="0" xfId="0" applyFont="1" applyFill="1"/>
    <xf numFmtId="0" fontId="16" fillId="0" borderId="0" xfId="0" applyFont="1" applyFill="1"/>
    <xf numFmtId="44" fontId="21" fillId="0" borderId="0" xfId="43" applyFont="1" applyBorder="1" applyAlignment="1">
      <alignment horizontal="right" wrapText="1"/>
    </xf>
    <xf numFmtId="165" fontId="16" fillId="0" borderId="0" xfId="0" applyNumberFormat="1" applyFont="1"/>
    <xf numFmtId="0" fontId="0" fillId="0" borderId="0" xfId="0" applyAlignment="1"/>
    <xf numFmtId="0" fontId="0" fillId="0" borderId="0" xfId="0" applyFill="1" applyAlignment="1">
      <alignment horizontal="center"/>
    </xf>
    <xf numFmtId="165" fontId="16" fillId="0" borderId="3" xfId="0" applyNumberFormat="1" applyFont="1" applyFill="1" applyBorder="1" applyAlignment="1">
      <alignment horizontal="center"/>
    </xf>
    <xf numFmtId="165" fontId="16" fillId="0" borderId="0" xfId="1696" applyNumberFormat="1" applyFill="1"/>
    <xf numFmtId="165" fontId="16" fillId="0" borderId="3" xfId="1696" applyNumberFormat="1" applyFill="1" applyBorder="1"/>
    <xf numFmtId="165" fontId="16" fillId="0" borderId="4" xfId="1696" applyNumberFormat="1" applyFill="1" applyBorder="1"/>
    <xf numFmtId="165" fontId="16" fillId="0" borderId="0" xfId="1696" applyNumberFormat="1" applyFill="1" applyBorder="1"/>
    <xf numFmtId="165" fontId="16" fillId="0" borderId="5" xfId="1696" applyNumberFormat="1" applyFill="1" applyBorder="1"/>
    <xf numFmtId="0" fontId="0" fillId="0" borderId="0" xfId="0" applyFill="1" applyAlignment="1">
      <alignment wrapText="1"/>
    </xf>
    <xf numFmtId="0" fontId="17" fillId="0" borderId="0" xfId="0" applyFont="1" applyFill="1"/>
    <xf numFmtId="0" fontId="29" fillId="0" borderId="0" xfId="0" applyFont="1" applyFill="1"/>
    <xf numFmtId="0" fontId="30" fillId="0" borderId="0" xfId="0" applyFont="1" applyFill="1"/>
    <xf numFmtId="0" fontId="28" fillId="0" borderId="0" xfId="0" applyFont="1" applyFill="1"/>
    <xf numFmtId="0" fontId="0" fillId="0" borderId="0" xfId="0" applyFill="1" applyBorder="1" applyAlignment="1">
      <alignment horizontal="center"/>
    </xf>
    <xf numFmtId="166" fontId="38" fillId="0" borderId="0" xfId="54" applyNumberFormat="1" applyFont="1" applyFill="1" applyAlignment="1">
      <alignment horizontal="center"/>
    </xf>
    <xf numFmtId="171" fontId="28" fillId="0" borderId="0" xfId="0" quotePrefix="1" applyNumberFormat="1" applyFont="1" applyFill="1" applyAlignment="1">
      <alignment horizontal="left"/>
    </xf>
    <xf numFmtId="0" fontId="96" fillId="0" borderId="0" xfId="0" applyFont="1" applyFill="1"/>
    <xf numFmtId="0" fontId="42" fillId="0" borderId="0" xfId="0" applyFont="1" applyFill="1"/>
    <xf numFmtId="182" fontId="0" fillId="0" borderId="0" xfId="0" applyNumberFormat="1" applyFill="1"/>
    <xf numFmtId="0" fontId="16" fillId="0" borderId="0" xfId="0" applyFont="1" applyFill="1" applyAlignment="1"/>
    <xf numFmtId="0" fontId="28" fillId="0" borderId="0" xfId="0" applyFont="1" applyFill="1" applyAlignment="1"/>
    <xf numFmtId="0" fontId="0" fillId="0" borderId="0" xfId="0" applyFill="1" applyAlignment="1">
      <alignment horizontal="left" indent="1"/>
    </xf>
    <xf numFmtId="165" fontId="16" fillId="0" borderId="0" xfId="1695" applyNumberFormat="1" applyFill="1" applyBorder="1"/>
    <xf numFmtId="165" fontId="16" fillId="0" borderId="5" xfId="1695" applyNumberFormat="1" applyFill="1" applyBorder="1"/>
    <xf numFmtId="0" fontId="29" fillId="0" borderId="0" xfId="0" applyFont="1"/>
    <xf numFmtId="0" fontId="29" fillId="0" borderId="0" xfId="0" applyFont="1" applyAlignment="1">
      <alignment horizontal="center"/>
    </xf>
    <xf numFmtId="0" fontId="30" fillId="0" borderId="0" xfId="0" applyFont="1"/>
    <xf numFmtId="0" fontId="28" fillId="0" borderId="0" xfId="0" applyFont="1" applyAlignment="1">
      <alignment horizontal="center"/>
    </xf>
    <xf numFmtId="0" fontId="96" fillId="0" borderId="0" xfId="0" applyFont="1"/>
    <xf numFmtId="0" fontId="42" fillId="0" borderId="0" xfId="0" applyFont="1"/>
    <xf numFmtId="165" fontId="16" fillId="0" borderId="0" xfId="4" applyNumberFormat="1"/>
    <xf numFmtId="165" fontId="16" fillId="0" borderId="3" xfId="4" applyNumberFormat="1" applyBorder="1"/>
    <xf numFmtId="0" fontId="0" fillId="0" borderId="0" xfId="0" applyAlignment="1">
      <alignment wrapText="1"/>
    </xf>
    <xf numFmtId="165" fontId="16" fillId="0" borderId="0" xfId="4" applyNumberFormat="1" applyBorder="1"/>
    <xf numFmtId="165" fontId="16" fillId="0" borderId="0" xfId="4" applyNumberFormat="1" applyFont="1"/>
    <xf numFmtId="180" fontId="0" fillId="0" borderId="0" xfId="4" applyNumberFormat="1" applyFont="1"/>
    <xf numFmtId="180" fontId="0" fillId="0" borderId="0" xfId="0" applyNumberFormat="1"/>
    <xf numFmtId="0" fontId="28" fillId="0" borderId="0" xfId="1222" applyFont="1" applyAlignment="1">
      <alignment horizontal="center"/>
    </xf>
    <xf numFmtId="0" fontId="31" fillId="0" borderId="0" xfId="1222" applyFont="1" applyAlignment="1">
      <alignment horizontal="center"/>
    </xf>
    <xf numFmtId="165" fontId="16" fillId="0" borderId="4" xfId="4" applyNumberFormat="1" applyBorder="1"/>
    <xf numFmtId="0" fontId="16" fillId="0" borderId="0" xfId="0" applyFont="1" applyAlignment="1"/>
    <xf numFmtId="0" fontId="28" fillId="0" borderId="0" xfId="0" applyFont="1" applyAlignment="1"/>
    <xf numFmtId="0" fontId="0" fillId="0" borderId="0" xfId="0" applyAlignment="1">
      <alignment horizontal="left" indent="1"/>
    </xf>
    <xf numFmtId="165" fontId="16" fillId="0" borderId="5" xfId="4" applyNumberFormat="1" applyBorder="1"/>
    <xf numFmtId="0" fontId="20" fillId="0" borderId="0" xfId="0" applyFont="1" applyFill="1" applyAlignment="1">
      <alignment wrapText="1"/>
    </xf>
    <xf numFmtId="0" fontId="19" fillId="0" borderId="0" xfId="0" applyFont="1" applyFill="1" applyAlignment="1">
      <alignment horizontal="center"/>
    </xf>
    <xf numFmtId="0" fontId="26" fillId="0" borderId="0" xfId="0" applyFont="1" applyFill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0" fillId="0" borderId="0" xfId="0" applyAlignment="1"/>
    <xf numFmtId="0" fontId="22" fillId="0" borderId="0" xfId="0" applyFont="1" applyAlignment="1">
      <alignment horizontal="center" wrapText="1"/>
    </xf>
    <xf numFmtId="0" fontId="20" fillId="0" borderId="0" xfId="0" applyFont="1" applyFill="1" applyAlignment="1">
      <alignment horizontal="center" wrapText="1"/>
    </xf>
    <xf numFmtId="171" fontId="28" fillId="0" borderId="0" xfId="0" applyNumberFormat="1" applyFont="1" applyFill="1" applyAlignment="1">
      <alignment horizontal="left"/>
    </xf>
    <xf numFmtId="171" fontId="28" fillId="0" borderId="0" xfId="0" quotePrefix="1" applyNumberFormat="1" applyFont="1" applyFill="1" applyAlignment="1">
      <alignment horizontal="left"/>
    </xf>
    <xf numFmtId="171" fontId="28" fillId="0" borderId="0" xfId="0" quotePrefix="1" applyNumberFormat="1" applyFont="1" applyAlignment="1">
      <alignment horizontal="left"/>
    </xf>
    <xf numFmtId="0" fontId="33" fillId="0" borderId="3" xfId="0" applyFont="1" applyBorder="1" applyAlignment="1">
      <alignment horizontal="center"/>
    </xf>
    <xf numFmtId="171" fontId="76" fillId="0" borderId="3" xfId="53" applyNumberFormat="1" applyFont="1" applyBorder="1" applyAlignment="1">
      <alignment horizontal="center"/>
    </xf>
    <xf numFmtId="0" fontId="76" fillId="0" borderId="3" xfId="52" applyFont="1" applyBorder="1" applyAlignment="1">
      <alignment horizontal="center"/>
    </xf>
    <xf numFmtId="165" fontId="29" fillId="2" borderId="3" xfId="142" applyNumberFormat="1" applyFont="1" applyFill="1" applyBorder="1" applyAlignment="1">
      <alignment horizontal="center"/>
    </xf>
    <xf numFmtId="0" fontId="55" fillId="2" borderId="3" xfId="0" applyFont="1" applyFill="1" applyBorder="1" applyAlignment="1">
      <alignment horizontal="center"/>
    </xf>
    <xf numFmtId="165" fontId="28" fillId="2" borderId="3" xfId="142" applyNumberFormat="1" applyFont="1" applyFill="1" applyBorder="1" applyAlignment="1">
      <alignment horizontal="center"/>
    </xf>
    <xf numFmtId="0" fontId="63" fillId="0" borderId="3" xfId="52" applyFont="1" applyBorder="1" applyAlignment="1">
      <alignment horizontal="center"/>
    </xf>
    <xf numFmtId="0" fontId="28" fillId="0" borderId="3" xfId="0" applyFont="1" applyBorder="1" applyAlignment="1">
      <alignment horizontal="center"/>
    </xf>
    <xf numFmtId="17" fontId="46" fillId="0" borderId="3" xfId="0" applyNumberFormat="1" applyFont="1" applyBorder="1" applyAlignment="1">
      <alignment horizontal="center"/>
    </xf>
    <xf numFmtId="0" fontId="46" fillId="0" borderId="3" xfId="0" applyFont="1" applyBorder="1" applyAlignment="1">
      <alignment horizontal="center"/>
    </xf>
    <xf numFmtId="0" fontId="49" fillId="0" borderId="3" xfId="0" applyFont="1" applyBorder="1" applyAlignment="1">
      <alignment horizontal="center"/>
    </xf>
    <xf numFmtId="17" fontId="46" fillId="0" borderId="3" xfId="0" quotePrefix="1" applyNumberFormat="1" applyFont="1" applyBorder="1" applyAlignment="1">
      <alignment horizontal="center"/>
    </xf>
    <xf numFmtId="17" fontId="46" fillId="0" borderId="4" xfId="0" quotePrefix="1" applyNumberFormat="1" applyFont="1" applyBorder="1" applyAlignment="1">
      <alignment horizontal="center"/>
    </xf>
    <xf numFmtId="0" fontId="49" fillId="0" borderId="4" xfId="0" applyFont="1" applyBorder="1" applyAlignment="1">
      <alignment horizontal="center"/>
    </xf>
  </cellXfs>
  <cellStyles count="27601">
    <cellStyle name="ArialNormal" xfId="1"/>
    <cellStyle name="Black" xfId="2"/>
    <cellStyle name="Blue" xfId="3"/>
    <cellStyle name="Comma" xfId="4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10" xfId="126"/>
    <cellStyle name="Comma 10 10" xfId="3234"/>
    <cellStyle name="Comma 10 11" xfId="3235"/>
    <cellStyle name="Comma 10 12" xfId="3236"/>
    <cellStyle name="Comma 10 13" xfId="3237"/>
    <cellStyle name="Comma 10 14" xfId="3238"/>
    <cellStyle name="Comma 10 15" xfId="3239"/>
    <cellStyle name="Comma 10 16" xfId="3240"/>
    <cellStyle name="Comma 10 17" xfId="3241"/>
    <cellStyle name="Comma 10 18" xfId="3242"/>
    <cellStyle name="Comma 10 19" xfId="3243"/>
    <cellStyle name="Comma 10 2" xfId="127"/>
    <cellStyle name="Comma 10 2 10" xfId="3244"/>
    <cellStyle name="Comma 10 2 11" xfId="3245"/>
    <cellStyle name="Comma 10 2 12" xfId="3246"/>
    <cellStyle name="Comma 10 2 13" xfId="3247"/>
    <cellStyle name="Comma 10 2 14" xfId="3248"/>
    <cellStyle name="Comma 10 2 15" xfId="3249"/>
    <cellStyle name="Comma 10 2 16" xfId="3250"/>
    <cellStyle name="Comma 10 2 17" xfId="3251"/>
    <cellStyle name="Comma 10 2 18" xfId="3252"/>
    <cellStyle name="Comma 10 2 19" xfId="3253"/>
    <cellStyle name="Comma 10 2 2" xfId="3254"/>
    <cellStyle name="Comma 10 2 20" xfId="3255"/>
    <cellStyle name="Comma 10 2 21" xfId="3256"/>
    <cellStyle name="Comma 10 2 22" xfId="3257"/>
    <cellStyle name="Comma 10 2 23" xfId="17015"/>
    <cellStyle name="Comma 10 2 24" xfId="17016"/>
    <cellStyle name="Comma 10 2 25" xfId="17017"/>
    <cellStyle name="Comma 10 2 26" xfId="17018"/>
    <cellStyle name="Comma 10 2 27" xfId="17019"/>
    <cellStyle name="Comma 10 2 28" xfId="17020"/>
    <cellStyle name="Comma 10 2 29" xfId="17021"/>
    <cellStyle name="Comma 10 2 3" xfId="3258"/>
    <cellStyle name="Comma 10 2 30" xfId="17022"/>
    <cellStyle name="Comma 10 2 31" xfId="17023"/>
    <cellStyle name="Comma 10 2 32" xfId="17024"/>
    <cellStyle name="Comma 10 2 33" xfId="17025"/>
    <cellStyle name="Comma 10 2 34" xfId="17026"/>
    <cellStyle name="Comma 10 2 35" xfId="17027"/>
    <cellStyle name="Comma 10 2 4" xfId="3259"/>
    <cellStyle name="Comma 10 2 5" xfId="3260"/>
    <cellStyle name="Comma 10 2 6" xfId="3261"/>
    <cellStyle name="Comma 10 2 7" xfId="3262"/>
    <cellStyle name="Comma 10 2 8" xfId="3263"/>
    <cellStyle name="Comma 10 2 9" xfId="3264"/>
    <cellStyle name="Comma 10 20" xfId="3265"/>
    <cellStyle name="Comma 10 21" xfId="3266"/>
    <cellStyle name="Comma 10 22" xfId="3267"/>
    <cellStyle name="Comma 10 23" xfId="3268"/>
    <cellStyle name="Comma 10 24" xfId="3269"/>
    <cellStyle name="Comma 10 25" xfId="3270"/>
    <cellStyle name="Comma 10 26" xfId="3271"/>
    <cellStyle name="Comma 10 27" xfId="3272"/>
    <cellStyle name="Comma 10 28" xfId="3273"/>
    <cellStyle name="Comma 10 29" xfId="3274"/>
    <cellStyle name="Comma 10 3" xfId="128"/>
    <cellStyle name="Comma 10 3 10" xfId="3275"/>
    <cellStyle name="Comma 10 3 11" xfId="3276"/>
    <cellStyle name="Comma 10 3 12" xfId="3277"/>
    <cellStyle name="Comma 10 3 13" xfId="3278"/>
    <cellStyle name="Comma 10 3 14" xfId="3279"/>
    <cellStyle name="Comma 10 3 15" xfId="3280"/>
    <cellStyle name="Comma 10 3 16" xfId="3281"/>
    <cellStyle name="Comma 10 3 17" xfId="3282"/>
    <cellStyle name="Comma 10 3 18" xfId="3283"/>
    <cellStyle name="Comma 10 3 19" xfId="3284"/>
    <cellStyle name="Comma 10 3 2" xfId="3285"/>
    <cellStyle name="Comma 10 3 20" xfId="3286"/>
    <cellStyle name="Comma 10 3 21" xfId="3287"/>
    <cellStyle name="Comma 10 3 22" xfId="3288"/>
    <cellStyle name="Comma 10 3 23" xfId="17028"/>
    <cellStyle name="Comma 10 3 24" xfId="17029"/>
    <cellStyle name="Comma 10 3 25" xfId="17030"/>
    <cellStyle name="Comma 10 3 26" xfId="17031"/>
    <cellStyle name="Comma 10 3 27" xfId="17032"/>
    <cellStyle name="Comma 10 3 28" xfId="17033"/>
    <cellStyle name="Comma 10 3 29" xfId="17034"/>
    <cellStyle name="Comma 10 3 3" xfId="3289"/>
    <cellStyle name="Comma 10 3 30" xfId="17035"/>
    <cellStyle name="Comma 10 3 31" xfId="17036"/>
    <cellStyle name="Comma 10 3 32" xfId="17037"/>
    <cellStyle name="Comma 10 3 33" xfId="17038"/>
    <cellStyle name="Comma 10 3 34" xfId="17039"/>
    <cellStyle name="Comma 10 3 35" xfId="17040"/>
    <cellStyle name="Comma 10 3 4" xfId="3290"/>
    <cellStyle name="Comma 10 3 5" xfId="3291"/>
    <cellStyle name="Comma 10 3 6" xfId="3292"/>
    <cellStyle name="Comma 10 3 7" xfId="3293"/>
    <cellStyle name="Comma 10 3 8" xfId="3294"/>
    <cellStyle name="Comma 10 3 9" xfId="3295"/>
    <cellStyle name="Comma 10 30" xfId="3296"/>
    <cellStyle name="Comma 10 31" xfId="17041"/>
    <cellStyle name="Comma 10 32" xfId="17042"/>
    <cellStyle name="Comma 10 33" xfId="17043"/>
    <cellStyle name="Comma 10 34" xfId="17044"/>
    <cellStyle name="Comma 10 35" xfId="17045"/>
    <cellStyle name="Comma 10 36" xfId="17046"/>
    <cellStyle name="Comma 10 37" xfId="17047"/>
    <cellStyle name="Comma 10 38" xfId="17048"/>
    <cellStyle name="Comma 10 39" xfId="17049"/>
    <cellStyle name="Comma 10 4" xfId="129"/>
    <cellStyle name="Comma 10 4 10" xfId="3297"/>
    <cellStyle name="Comma 10 4 11" xfId="3298"/>
    <cellStyle name="Comma 10 4 12" xfId="3299"/>
    <cellStyle name="Comma 10 4 13" xfId="3300"/>
    <cellStyle name="Comma 10 4 14" xfId="3301"/>
    <cellStyle name="Comma 10 4 15" xfId="3302"/>
    <cellStyle name="Comma 10 4 16" xfId="3303"/>
    <cellStyle name="Comma 10 4 17" xfId="3304"/>
    <cellStyle name="Comma 10 4 18" xfId="3305"/>
    <cellStyle name="Comma 10 4 19" xfId="3306"/>
    <cellStyle name="Comma 10 4 2" xfId="3307"/>
    <cellStyle name="Comma 10 4 20" xfId="3308"/>
    <cellStyle name="Comma 10 4 21" xfId="3309"/>
    <cellStyle name="Comma 10 4 22" xfId="3310"/>
    <cellStyle name="Comma 10 4 23" xfId="17050"/>
    <cellStyle name="Comma 10 4 24" xfId="17051"/>
    <cellStyle name="Comma 10 4 25" xfId="17052"/>
    <cellStyle name="Comma 10 4 26" xfId="17053"/>
    <cellStyle name="Comma 10 4 27" xfId="17054"/>
    <cellStyle name="Comma 10 4 28" xfId="17055"/>
    <cellStyle name="Comma 10 4 29" xfId="17056"/>
    <cellStyle name="Comma 10 4 3" xfId="3311"/>
    <cellStyle name="Comma 10 4 30" xfId="17057"/>
    <cellStyle name="Comma 10 4 31" xfId="17058"/>
    <cellStyle name="Comma 10 4 32" xfId="17059"/>
    <cellStyle name="Comma 10 4 33" xfId="17060"/>
    <cellStyle name="Comma 10 4 34" xfId="17061"/>
    <cellStyle name="Comma 10 4 35" xfId="17062"/>
    <cellStyle name="Comma 10 4 4" xfId="3312"/>
    <cellStyle name="Comma 10 4 5" xfId="3313"/>
    <cellStyle name="Comma 10 4 6" xfId="3314"/>
    <cellStyle name="Comma 10 4 7" xfId="3315"/>
    <cellStyle name="Comma 10 4 8" xfId="3316"/>
    <cellStyle name="Comma 10 4 9" xfId="3317"/>
    <cellStyle name="Comma 10 40" xfId="17063"/>
    <cellStyle name="Comma 10 41" xfId="17064"/>
    <cellStyle name="Comma 10 42" xfId="17065"/>
    <cellStyle name="Comma 10 43" xfId="17066"/>
    <cellStyle name="Comma 10 5" xfId="130"/>
    <cellStyle name="Comma 10 5 10" xfId="3318"/>
    <cellStyle name="Comma 10 5 11" xfId="3319"/>
    <cellStyle name="Comma 10 5 12" xfId="3320"/>
    <cellStyle name="Comma 10 5 13" xfId="3321"/>
    <cellStyle name="Comma 10 5 14" xfId="3322"/>
    <cellStyle name="Comma 10 5 15" xfId="3323"/>
    <cellStyle name="Comma 10 5 16" xfId="3324"/>
    <cellStyle name="Comma 10 5 17" xfId="3325"/>
    <cellStyle name="Comma 10 5 18" xfId="3326"/>
    <cellStyle name="Comma 10 5 19" xfId="3327"/>
    <cellStyle name="Comma 10 5 2" xfId="3328"/>
    <cellStyle name="Comma 10 5 20" xfId="3329"/>
    <cellStyle name="Comma 10 5 21" xfId="3330"/>
    <cellStyle name="Comma 10 5 22" xfId="3331"/>
    <cellStyle name="Comma 10 5 23" xfId="17067"/>
    <cellStyle name="Comma 10 5 24" xfId="17068"/>
    <cellStyle name="Comma 10 5 25" xfId="17069"/>
    <cellStyle name="Comma 10 5 26" xfId="17070"/>
    <cellStyle name="Comma 10 5 27" xfId="17071"/>
    <cellStyle name="Comma 10 5 28" xfId="17072"/>
    <cellStyle name="Comma 10 5 29" xfId="17073"/>
    <cellStyle name="Comma 10 5 3" xfId="3332"/>
    <cellStyle name="Comma 10 5 30" xfId="17074"/>
    <cellStyle name="Comma 10 5 31" xfId="17075"/>
    <cellStyle name="Comma 10 5 32" xfId="17076"/>
    <cellStyle name="Comma 10 5 33" xfId="17077"/>
    <cellStyle name="Comma 10 5 34" xfId="17078"/>
    <cellStyle name="Comma 10 5 35" xfId="17079"/>
    <cellStyle name="Comma 10 5 4" xfId="3333"/>
    <cellStyle name="Comma 10 5 5" xfId="3334"/>
    <cellStyle name="Comma 10 5 6" xfId="3335"/>
    <cellStyle name="Comma 10 5 7" xfId="3336"/>
    <cellStyle name="Comma 10 5 8" xfId="3337"/>
    <cellStyle name="Comma 10 5 9" xfId="3338"/>
    <cellStyle name="Comma 10 6" xfId="131"/>
    <cellStyle name="Comma 10 6 10" xfId="3339"/>
    <cellStyle name="Comma 10 6 11" xfId="3340"/>
    <cellStyle name="Comma 10 6 12" xfId="3341"/>
    <cellStyle name="Comma 10 6 13" xfId="3342"/>
    <cellStyle name="Comma 10 6 14" xfId="3343"/>
    <cellStyle name="Comma 10 6 15" xfId="3344"/>
    <cellStyle name="Comma 10 6 16" xfId="3345"/>
    <cellStyle name="Comma 10 6 17" xfId="3346"/>
    <cellStyle name="Comma 10 6 18" xfId="3347"/>
    <cellStyle name="Comma 10 6 19" xfId="3348"/>
    <cellStyle name="Comma 10 6 2" xfId="3349"/>
    <cellStyle name="Comma 10 6 20" xfId="3350"/>
    <cellStyle name="Comma 10 6 21" xfId="3351"/>
    <cellStyle name="Comma 10 6 22" xfId="3352"/>
    <cellStyle name="Comma 10 6 23" xfId="17080"/>
    <cellStyle name="Comma 10 6 24" xfId="17081"/>
    <cellStyle name="Comma 10 6 25" xfId="17082"/>
    <cellStyle name="Comma 10 6 26" xfId="17083"/>
    <cellStyle name="Comma 10 6 27" xfId="17084"/>
    <cellStyle name="Comma 10 6 28" xfId="17085"/>
    <cellStyle name="Comma 10 6 29" xfId="17086"/>
    <cellStyle name="Comma 10 6 3" xfId="3353"/>
    <cellStyle name="Comma 10 6 30" xfId="17087"/>
    <cellStyle name="Comma 10 6 31" xfId="17088"/>
    <cellStyle name="Comma 10 6 32" xfId="17089"/>
    <cellStyle name="Comma 10 6 33" xfId="17090"/>
    <cellStyle name="Comma 10 6 34" xfId="17091"/>
    <cellStyle name="Comma 10 6 35" xfId="17092"/>
    <cellStyle name="Comma 10 6 4" xfId="3354"/>
    <cellStyle name="Comma 10 6 5" xfId="3355"/>
    <cellStyle name="Comma 10 6 6" xfId="3356"/>
    <cellStyle name="Comma 10 6 7" xfId="3357"/>
    <cellStyle name="Comma 10 6 8" xfId="3358"/>
    <cellStyle name="Comma 10 6 9" xfId="3359"/>
    <cellStyle name="Comma 10 7" xfId="132"/>
    <cellStyle name="Comma 10 7 10" xfId="3360"/>
    <cellStyle name="Comma 10 7 11" xfId="3361"/>
    <cellStyle name="Comma 10 7 12" xfId="3362"/>
    <cellStyle name="Comma 10 7 13" xfId="3363"/>
    <cellStyle name="Comma 10 7 14" xfId="3364"/>
    <cellStyle name="Comma 10 7 15" xfId="3365"/>
    <cellStyle name="Comma 10 7 16" xfId="3366"/>
    <cellStyle name="Comma 10 7 17" xfId="3367"/>
    <cellStyle name="Comma 10 7 18" xfId="3368"/>
    <cellStyle name="Comma 10 7 19" xfId="3369"/>
    <cellStyle name="Comma 10 7 2" xfId="3370"/>
    <cellStyle name="Comma 10 7 20" xfId="3371"/>
    <cellStyle name="Comma 10 7 21" xfId="3372"/>
    <cellStyle name="Comma 10 7 22" xfId="3373"/>
    <cellStyle name="Comma 10 7 23" xfId="17093"/>
    <cellStyle name="Comma 10 7 24" xfId="17094"/>
    <cellStyle name="Comma 10 7 25" xfId="17095"/>
    <cellStyle name="Comma 10 7 26" xfId="17096"/>
    <cellStyle name="Comma 10 7 27" xfId="17097"/>
    <cellStyle name="Comma 10 7 28" xfId="17098"/>
    <cellStyle name="Comma 10 7 29" xfId="17099"/>
    <cellStyle name="Comma 10 7 3" xfId="3374"/>
    <cellStyle name="Comma 10 7 30" xfId="17100"/>
    <cellStyle name="Comma 10 7 31" xfId="17101"/>
    <cellStyle name="Comma 10 7 32" xfId="17102"/>
    <cellStyle name="Comma 10 7 33" xfId="17103"/>
    <cellStyle name="Comma 10 7 34" xfId="17104"/>
    <cellStyle name="Comma 10 7 35" xfId="17105"/>
    <cellStyle name="Comma 10 7 4" xfId="3375"/>
    <cellStyle name="Comma 10 7 5" xfId="3376"/>
    <cellStyle name="Comma 10 7 6" xfId="3377"/>
    <cellStyle name="Comma 10 7 7" xfId="3378"/>
    <cellStyle name="Comma 10 7 8" xfId="3379"/>
    <cellStyle name="Comma 10 7 9" xfId="3380"/>
    <cellStyle name="Comma 10 8" xfId="133"/>
    <cellStyle name="Comma 10 9" xfId="3381"/>
    <cellStyle name="Comma 11" xfId="134"/>
    <cellStyle name="Comma 11 10" xfId="3382"/>
    <cellStyle name="Comma 11 11" xfId="3383"/>
    <cellStyle name="Comma 11 12" xfId="3384"/>
    <cellStyle name="Comma 11 13" xfId="3385"/>
    <cellStyle name="Comma 11 14" xfId="3386"/>
    <cellStyle name="Comma 11 15" xfId="3387"/>
    <cellStyle name="Comma 11 16" xfId="3388"/>
    <cellStyle name="Comma 11 17" xfId="3389"/>
    <cellStyle name="Comma 11 18" xfId="3390"/>
    <cellStyle name="Comma 11 19" xfId="3391"/>
    <cellStyle name="Comma 11 2" xfId="135"/>
    <cellStyle name="Comma 11 2 10" xfId="3392"/>
    <cellStyle name="Comma 11 2 11" xfId="3393"/>
    <cellStyle name="Comma 11 2 12" xfId="3394"/>
    <cellStyle name="Comma 11 2 13" xfId="3395"/>
    <cellStyle name="Comma 11 2 14" xfId="3396"/>
    <cellStyle name="Comma 11 2 15" xfId="3397"/>
    <cellStyle name="Comma 11 2 16" xfId="3398"/>
    <cellStyle name="Comma 11 2 17" xfId="3399"/>
    <cellStyle name="Comma 11 2 18" xfId="3400"/>
    <cellStyle name="Comma 11 2 19" xfId="3401"/>
    <cellStyle name="Comma 11 2 2" xfId="3402"/>
    <cellStyle name="Comma 11 2 20" xfId="3403"/>
    <cellStyle name="Comma 11 2 21" xfId="3404"/>
    <cellStyle name="Comma 11 2 22" xfId="3405"/>
    <cellStyle name="Comma 11 2 23" xfId="17106"/>
    <cellStyle name="Comma 11 2 24" xfId="17107"/>
    <cellStyle name="Comma 11 2 25" xfId="17108"/>
    <cellStyle name="Comma 11 2 26" xfId="17109"/>
    <cellStyle name="Comma 11 2 27" xfId="17110"/>
    <cellStyle name="Comma 11 2 28" xfId="17111"/>
    <cellStyle name="Comma 11 2 29" xfId="17112"/>
    <cellStyle name="Comma 11 2 3" xfId="3406"/>
    <cellStyle name="Comma 11 2 30" xfId="17113"/>
    <cellStyle name="Comma 11 2 31" xfId="17114"/>
    <cellStyle name="Comma 11 2 32" xfId="17115"/>
    <cellStyle name="Comma 11 2 33" xfId="17116"/>
    <cellStyle name="Comma 11 2 34" xfId="17117"/>
    <cellStyle name="Comma 11 2 35" xfId="17118"/>
    <cellStyle name="Comma 11 2 4" xfId="3407"/>
    <cellStyle name="Comma 11 2 5" xfId="3408"/>
    <cellStyle name="Comma 11 2 6" xfId="3409"/>
    <cellStyle name="Comma 11 2 7" xfId="3410"/>
    <cellStyle name="Comma 11 2 8" xfId="3411"/>
    <cellStyle name="Comma 11 2 9" xfId="3412"/>
    <cellStyle name="Comma 11 20" xfId="3413"/>
    <cellStyle name="Comma 11 21" xfId="3414"/>
    <cellStyle name="Comma 11 22" xfId="3415"/>
    <cellStyle name="Comma 11 23" xfId="3416"/>
    <cellStyle name="Comma 11 24" xfId="3417"/>
    <cellStyle name="Comma 11 25" xfId="3418"/>
    <cellStyle name="Comma 11 26" xfId="3419"/>
    <cellStyle name="Comma 11 27" xfId="3420"/>
    <cellStyle name="Comma 11 28" xfId="3421"/>
    <cellStyle name="Comma 11 29" xfId="3422"/>
    <cellStyle name="Comma 11 3" xfId="136"/>
    <cellStyle name="Comma 11 3 10" xfId="3423"/>
    <cellStyle name="Comma 11 3 11" xfId="3424"/>
    <cellStyle name="Comma 11 3 12" xfId="3425"/>
    <cellStyle name="Comma 11 3 13" xfId="3426"/>
    <cellStyle name="Comma 11 3 14" xfId="3427"/>
    <cellStyle name="Comma 11 3 15" xfId="3428"/>
    <cellStyle name="Comma 11 3 16" xfId="3429"/>
    <cellStyle name="Comma 11 3 17" xfId="3430"/>
    <cellStyle name="Comma 11 3 18" xfId="3431"/>
    <cellStyle name="Comma 11 3 19" xfId="3432"/>
    <cellStyle name="Comma 11 3 2" xfId="3433"/>
    <cellStyle name="Comma 11 3 20" xfId="3434"/>
    <cellStyle name="Comma 11 3 21" xfId="3435"/>
    <cellStyle name="Comma 11 3 22" xfId="3436"/>
    <cellStyle name="Comma 11 3 23" xfId="17119"/>
    <cellStyle name="Comma 11 3 24" xfId="17120"/>
    <cellStyle name="Comma 11 3 25" xfId="17121"/>
    <cellStyle name="Comma 11 3 26" xfId="17122"/>
    <cellStyle name="Comma 11 3 27" xfId="17123"/>
    <cellStyle name="Comma 11 3 28" xfId="17124"/>
    <cellStyle name="Comma 11 3 29" xfId="17125"/>
    <cellStyle name="Comma 11 3 3" xfId="3437"/>
    <cellStyle name="Comma 11 3 30" xfId="17126"/>
    <cellStyle name="Comma 11 3 31" xfId="17127"/>
    <cellStyle name="Comma 11 3 32" xfId="17128"/>
    <cellStyle name="Comma 11 3 33" xfId="17129"/>
    <cellStyle name="Comma 11 3 34" xfId="17130"/>
    <cellStyle name="Comma 11 3 35" xfId="17131"/>
    <cellStyle name="Comma 11 3 4" xfId="3438"/>
    <cellStyle name="Comma 11 3 5" xfId="3439"/>
    <cellStyle name="Comma 11 3 6" xfId="3440"/>
    <cellStyle name="Comma 11 3 7" xfId="3441"/>
    <cellStyle name="Comma 11 3 8" xfId="3442"/>
    <cellStyle name="Comma 11 3 9" xfId="3443"/>
    <cellStyle name="Comma 11 30" xfId="3444"/>
    <cellStyle name="Comma 11 31" xfId="17132"/>
    <cellStyle name="Comma 11 32" xfId="17133"/>
    <cellStyle name="Comma 11 33" xfId="17134"/>
    <cellStyle name="Comma 11 34" xfId="17135"/>
    <cellStyle name="Comma 11 35" xfId="17136"/>
    <cellStyle name="Comma 11 36" xfId="17137"/>
    <cellStyle name="Comma 11 37" xfId="17138"/>
    <cellStyle name="Comma 11 38" xfId="17139"/>
    <cellStyle name="Comma 11 39" xfId="17140"/>
    <cellStyle name="Comma 11 4" xfId="137"/>
    <cellStyle name="Comma 11 4 10" xfId="3445"/>
    <cellStyle name="Comma 11 4 11" xfId="3446"/>
    <cellStyle name="Comma 11 4 12" xfId="3447"/>
    <cellStyle name="Comma 11 4 13" xfId="3448"/>
    <cellStyle name="Comma 11 4 14" xfId="3449"/>
    <cellStyle name="Comma 11 4 15" xfId="3450"/>
    <cellStyle name="Comma 11 4 16" xfId="3451"/>
    <cellStyle name="Comma 11 4 17" xfId="3452"/>
    <cellStyle name="Comma 11 4 18" xfId="3453"/>
    <cellStyle name="Comma 11 4 19" xfId="3454"/>
    <cellStyle name="Comma 11 4 2" xfId="3455"/>
    <cellStyle name="Comma 11 4 20" xfId="3456"/>
    <cellStyle name="Comma 11 4 21" xfId="3457"/>
    <cellStyle name="Comma 11 4 22" xfId="3458"/>
    <cellStyle name="Comma 11 4 23" xfId="17141"/>
    <cellStyle name="Comma 11 4 24" xfId="17142"/>
    <cellStyle name="Comma 11 4 25" xfId="17143"/>
    <cellStyle name="Comma 11 4 26" xfId="17144"/>
    <cellStyle name="Comma 11 4 27" xfId="17145"/>
    <cellStyle name="Comma 11 4 28" xfId="17146"/>
    <cellStyle name="Comma 11 4 29" xfId="17147"/>
    <cellStyle name="Comma 11 4 3" xfId="3459"/>
    <cellStyle name="Comma 11 4 30" xfId="17148"/>
    <cellStyle name="Comma 11 4 31" xfId="17149"/>
    <cellStyle name="Comma 11 4 32" xfId="17150"/>
    <cellStyle name="Comma 11 4 33" xfId="17151"/>
    <cellStyle name="Comma 11 4 34" xfId="17152"/>
    <cellStyle name="Comma 11 4 35" xfId="17153"/>
    <cellStyle name="Comma 11 4 4" xfId="3460"/>
    <cellStyle name="Comma 11 4 5" xfId="3461"/>
    <cellStyle name="Comma 11 4 6" xfId="3462"/>
    <cellStyle name="Comma 11 4 7" xfId="3463"/>
    <cellStyle name="Comma 11 4 8" xfId="3464"/>
    <cellStyle name="Comma 11 4 9" xfId="3465"/>
    <cellStyle name="Comma 11 40" xfId="17154"/>
    <cellStyle name="Comma 11 41" xfId="17155"/>
    <cellStyle name="Comma 11 42" xfId="17156"/>
    <cellStyle name="Comma 11 43" xfId="17157"/>
    <cellStyle name="Comma 11 5" xfId="138"/>
    <cellStyle name="Comma 11 5 10" xfId="3466"/>
    <cellStyle name="Comma 11 5 11" xfId="3467"/>
    <cellStyle name="Comma 11 5 12" xfId="3468"/>
    <cellStyle name="Comma 11 5 13" xfId="3469"/>
    <cellStyle name="Comma 11 5 14" xfId="3470"/>
    <cellStyle name="Comma 11 5 15" xfId="3471"/>
    <cellStyle name="Comma 11 5 16" xfId="3472"/>
    <cellStyle name="Comma 11 5 17" xfId="3473"/>
    <cellStyle name="Comma 11 5 18" xfId="3474"/>
    <cellStyle name="Comma 11 5 19" xfId="3475"/>
    <cellStyle name="Comma 11 5 2" xfId="3476"/>
    <cellStyle name="Comma 11 5 20" xfId="3477"/>
    <cellStyle name="Comma 11 5 21" xfId="3478"/>
    <cellStyle name="Comma 11 5 22" xfId="3479"/>
    <cellStyle name="Comma 11 5 23" xfId="17158"/>
    <cellStyle name="Comma 11 5 24" xfId="17159"/>
    <cellStyle name="Comma 11 5 25" xfId="17160"/>
    <cellStyle name="Comma 11 5 26" xfId="17161"/>
    <cellStyle name="Comma 11 5 27" xfId="17162"/>
    <cellStyle name="Comma 11 5 28" xfId="17163"/>
    <cellStyle name="Comma 11 5 29" xfId="17164"/>
    <cellStyle name="Comma 11 5 3" xfId="3480"/>
    <cellStyle name="Comma 11 5 30" xfId="17165"/>
    <cellStyle name="Comma 11 5 31" xfId="17166"/>
    <cellStyle name="Comma 11 5 32" xfId="17167"/>
    <cellStyle name="Comma 11 5 33" xfId="17168"/>
    <cellStyle name="Comma 11 5 34" xfId="17169"/>
    <cellStyle name="Comma 11 5 35" xfId="17170"/>
    <cellStyle name="Comma 11 5 4" xfId="3481"/>
    <cellStyle name="Comma 11 5 5" xfId="3482"/>
    <cellStyle name="Comma 11 5 6" xfId="3483"/>
    <cellStyle name="Comma 11 5 7" xfId="3484"/>
    <cellStyle name="Comma 11 5 8" xfId="3485"/>
    <cellStyle name="Comma 11 5 9" xfId="3486"/>
    <cellStyle name="Comma 11 6" xfId="139"/>
    <cellStyle name="Comma 11 6 10" xfId="3487"/>
    <cellStyle name="Comma 11 6 11" xfId="3488"/>
    <cellStyle name="Comma 11 6 12" xfId="3489"/>
    <cellStyle name="Comma 11 6 13" xfId="3490"/>
    <cellStyle name="Comma 11 6 14" xfId="3491"/>
    <cellStyle name="Comma 11 6 15" xfId="3492"/>
    <cellStyle name="Comma 11 6 16" xfId="3493"/>
    <cellStyle name="Comma 11 6 17" xfId="3494"/>
    <cellStyle name="Comma 11 6 18" xfId="3495"/>
    <cellStyle name="Comma 11 6 19" xfId="3496"/>
    <cellStyle name="Comma 11 6 2" xfId="3497"/>
    <cellStyle name="Comma 11 6 20" xfId="3498"/>
    <cellStyle name="Comma 11 6 21" xfId="3499"/>
    <cellStyle name="Comma 11 6 22" xfId="3500"/>
    <cellStyle name="Comma 11 6 23" xfId="17171"/>
    <cellStyle name="Comma 11 6 24" xfId="17172"/>
    <cellStyle name="Comma 11 6 25" xfId="17173"/>
    <cellStyle name="Comma 11 6 26" xfId="17174"/>
    <cellStyle name="Comma 11 6 27" xfId="17175"/>
    <cellStyle name="Comma 11 6 28" xfId="17176"/>
    <cellStyle name="Comma 11 6 29" xfId="17177"/>
    <cellStyle name="Comma 11 6 3" xfId="3501"/>
    <cellStyle name="Comma 11 6 30" xfId="17178"/>
    <cellStyle name="Comma 11 6 31" xfId="17179"/>
    <cellStyle name="Comma 11 6 32" xfId="17180"/>
    <cellStyle name="Comma 11 6 33" xfId="17181"/>
    <cellStyle name="Comma 11 6 34" xfId="17182"/>
    <cellStyle name="Comma 11 6 35" xfId="17183"/>
    <cellStyle name="Comma 11 6 4" xfId="3502"/>
    <cellStyle name="Comma 11 6 5" xfId="3503"/>
    <cellStyle name="Comma 11 6 6" xfId="3504"/>
    <cellStyle name="Comma 11 6 7" xfId="3505"/>
    <cellStyle name="Comma 11 6 8" xfId="3506"/>
    <cellStyle name="Comma 11 6 9" xfId="3507"/>
    <cellStyle name="Comma 11 7" xfId="140"/>
    <cellStyle name="Comma 11 7 10" xfId="3508"/>
    <cellStyle name="Comma 11 7 11" xfId="3509"/>
    <cellStyle name="Comma 11 7 12" xfId="3510"/>
    <cellStyle name="Comma 11 7 13" xfId="3511"/>
    <cellStyle name="Comma 11 7 14" xfId="3512"/>
    <cellStyle name="Comma 11 7 15" xfId="3513"/>
    <cellStyle name="Comma 11 7 16" xfId="3514"/>
    <cellStyle name="Comma 11 7 17" xfId="3515"/>
    <cellStyle name="Comma 11 7 18" xfId="3516"/>
    <cellStyle name="Comma 11 7 19" xfId="3517"/>
    <cellStyle name="Comma 11 7 2" xfId="3518"/>
    <cellStyle name="Comma 11 7 20" xfId="3519"/>
    <cellStyle name="Comma 11 7 21" xfId="3520"/>
    <cellStyle name="Comma 11 7 22" xfId="3521"/>
    <cellStyle name="Comma 11 7 23" xfId="17184"/>
    <cellStyle name="Comma 11 7 24" xfId="17185"/>
    <cellStyle name="Comma 11 7 25" xfId="17186"/>
    <cellStyle name="Comma 11 7 26" xfId="17187"/>
    <cellStyle name="Comma 11 7 27" xfId="17188"/>
    <cellStyle name="Comma 11 7 28" xfId="17189"/>
    <cellStyle name="Comma 11 7 29" xfId="17190"/>
    <cellStyle name="Comma 11 7 3" xfId="3522"/>
    <cellStyle name="Comma 11 7 30" xfId="17191"/>
    <cellStyle name="Comma 11 7 31" xfId="17192"/>
    <cellStyle name="Comma 11 7 32" xfId="17193"/>
    <cellStyle name="Comma 11 7 33" xfId="17194"/>
    <cellStyle name="Comma 11 7 34" xfId="17195"/>
    <cellStyle name="Comma 11 7 35" xfId="17196"/>
    <cellStyle name="Comma 11 7 4" xfId="3523"/>
    <cellStyle name="Comma 11 7 5" xfId="3524"/>
    <cellStyle name="Comma 11 7 6" xfId="3525"/>
    <cellStyle name="Comma 11 7 7" xfId="3526"/>
    <cellStyle name="Comma 11 7 8" xfId="3527"/>
    <cellStyle name="Comma 11 7 9" xfId="3528"/>
    <cellStyle name="Comma 11 8" xfId="141"/>
    <cellStyle name="Comma 11 9" xfId="3529"/>
    <cellStyle name="Comma 12" xfId="13"/>
    <cellStyle name="Comma 12 10" xfId="142"/>
    <cellStyle name="Comma 12 10 10" xfId="3530"/>
    <cellStyle name="Comma 12 10 11" xfId="3531"/>
    <cellStyle name="Comma 12 10 12" xfId="3532"/>
    <cellStyle name="Comma 12 10 13" xfId="3533"/>
    <cellStyle name="Comma 12 10 14" xfId="3534"/>
    <cellStyle name="Comma 12 10 15" xfId="3535"/>
    <cellStyle name="Comma 12 10 16" xfId="3536"/>
    <cellStyle name="Comma 12 10 17" xfId="3537"/>
    <cellStyle name="Comma 12 10 18" xfId="3538"/>
    <cellStyle name="Comma 12 10 19" xfId="3539"/>
    <cellStyle name="Comma 12 10 2" xfId="3540"/>
    <cellStyle name="Comma 12 10 20" xfId="3541"/>
    <cellStyle name="Comma 12 10 21" xfId="3542"/>
    <cellStyle name="Comma 12 10 22" xfId="3543"/>
    <cellStyle name="Comma 12 10 23" xfId="17197"/>
    <cellStyle name="Comma 12 10 24" xfId="17198"/>
    <cellStyle name="Comma 12 10 25" xfId="17199"/>
    <cellStyle name="Comma 12 10 26" xfId="17200"/>
    <cellStyle name="Comma 12 10 27" xfId="17201"/>
    <cellStyle name="Comma 12 10 28" xfId="17202"/>
    <cellStyle name="Comma 12 10 29" xfId="17203"/>
    <cellStyle name="Comma 12 10 3" xfId="3544"/>
    <cellStyle name="Comma 12 10 30" xfId="17204"/>
    <cellStyle name="Comma 12 10 31" xfId="17205"/>
    <cellStyle name="Comma 12 10 32" xfId="17206"/>
    <cellStyle name="Comma 12 10 33" xfId="17207"/>
    <cellStyle name="Comma 12 10 34" xfId="17208"/>
    <cellStyle name="Comma 12 10 35" xfId="17209"/>
    <cellStyle name="Comma 12 10 4" xfId="3545"/>
    <cellStyle name="Comma 12 10 5" xfId="3546"/>
    <cellStyle name="Comma 12 10 6" xfId="3547"/>
    <cellStyle name="Comma 12 10 7" xfId="3548"/>
    <cellStyle name="Comma 12 10 8" xfId="3549"/>
    <cellStyle name="Comma 12 10 9" xfId="3550"/>
    <cellStyle name="Comma 12 11" xfId="143"/>
    <cellStyle name="Comma 12 11 10" xfId="3551"/>
    <cellStyle name="Comma 12 11 11" xfId="3552"/>
    <cellStyle name="Comma 12 11 12" xfId="3553"/>
    <cellStyle name="Comma 12 11 13" xfId="3554"/>
    <cellStyle name="Comma 12 11 14" xfId="3555"/>
    <cellStyle name="Comma 12 11 15" xfId="3556"/>
    <cellStyle name="Comma 12 11 16" xfId="3557"/>
    <cellStyle name="Comma 12 11 17" xfId="3558"/>
    <cellStyle name="Comma 12 11 18" xfId="3559"/>
    <cellStyle name="Comma 12 11 19" xfId="3560"/>
    <cellStyle name="Comma 12 11 2" xfId="3561"/>
    <cellStyle name="Comma 12 11 20" xfId="3562"/>
    <cellStyle name="Comma 12 11 21" xfId="3563"/>
    <cellStyle name="Comma 12 11 22" xfId="3564"/>
    <cellStyle name="Comma 12 11 23" xfId="17210"/>
    <cellStyle name="Comma 12 11 24" xfId="17211"/>
    <cellStyle name="Comma 12 11 25" xfId="17212"/>
    <cellStyle name="Comma 12 11 26" xfId="17213"/>
    <cellStyle name="Comma 12 11 27" xfId="17214"/>
    <cellStyle name="Comma 12 11 28" xfId="17215"/>
    <cellStyle name="Comma 12 11 29" xfId="17216"/>
    <cellStyle name="Comma 12 11 3" xfId="3565"/>
    <cellStyle name="Comma 12 11 30" xfId="17217"/>
    <cellStyle name="Comma 12 11 31" xfId="17218"/>
    <cellStyle name="Comma 12 11 32" xfId="17219"/>
    <cellStyle name="Comma 12 11 33" xfId="17220"/>
    <cellStyle name="Comma 12 11 34" xfId="17221"/>
    <cellStyle name="Comma 12 11 35" xfId="17222"/>
    <cellStyle name="Comma 12 11 4" xfId="3566"/>
    <cellStyle name="Comma 12 11 5" xfId="3567"/>
    <cellStyle name="Comma 12 11 6" xfId="3568"/>
    <cellStyle name="Comma 12 11 7" xfId="3569"/>
    <cellStyle name="Comma 12 11 8" xfId="3570"/>
    <cellStyle name="Comma 12 11 9" xfId="3571"/>
    <cellStyle name="Comma 12 12" xfId="144"/>
    <cellStyle name="Comma 12 12 10" xfId="3572"/>
    <cellStyle name="Comma 12 12 11" xfId="3573"/>
    <cellStyle name="Comma 12 12 12" xfId="3574"/>
    <cellStyle name="Comma 12 12 13" xfId="3575"/>
    <cellStyle name="Comma 12 12 14" xfId="3576"/>
    <cellStyle name="Comma 12 12 15" xfId="3577"/>
    <cellStyle name="Comma 12 12 16" xfId="3578"/>
    <cellStyle name="Comma 12 12 17" xfId="3579"/>
    <cellStyle name="Comma 12 12 18" xfId="3580"/>
    <cellStyle name="Comma 12 12 19" xfId="3581"/>
    <cellStyle name="Comma 12 12 2" xfId="3582"/>
    <cellStyle name="Comma 12 12 20" xfId="3583"/>
    <cellStyle name="Comma 12 12 21" xfId="3584"/>
    <cellStyle name="Comma 12 12 22" xfId="3585"/>
    <cellStyle name="Comma 12 12 23" xfId="17223"/>
    <cellStyle name="Comma 12 12 24" xfId="17224"/>
    <cellStyle name="Comma 12 12 25" xfId="17225"/>
    <cellStyle name="Comma 12 12 26" xfId="17226"/>
    <cellStyle name="Comma 12 12 27" xfId="17227"/>
    <cellStyle name="Comma 12 12 28" xfId="17228"/>
    <cellStyle name="Comma 12 12 29" xfId="17229"/>
    <cellStyle name="Comma 12 12 3" xfId="3586"/>
    <cellStyle name="Comma 12 12 30" xfId="17230"/>
    <cellStyle name="Comma 12 12 31" xfId="17231"/>
    <cellStyle name="Comma 12 12 32" xfId="17232"/>
    <cellStyle name="Comma 12 12 33" xfId="17233"/>
    <cellStyle name="Comma 12 12 34" xfId="17234"/>
    <cellStyle name="Comma 12 12 35" xfId="17235"/>
    <cellStyle name="Comma 12 12 4" xfId="3587"/>
    <cellStyle name="Comma 12 12 5" xfId="3588"/>
    <cellStyle name="Comma 12 12 6" xfId="3589"/>
    <cellStyle name="Comma 12 12 7" xfId="3590"/>
    <cellStyle name="Comma 12 12 8" xfId="3591"/>
    <cellStyle name="Comma 12 12 9" xfId="3592"/>
    <cellStyle name="Comma 12 13" xfId="145"/>
    <cellStyle name="Comma 12 13 10" xfId="3593"/>
    <cellStyle name="Comma 12 13 11" xfId="3594"/>
    <cellStyle name="Comma 12 13 12" xfId="3595"/>
    <cellStyle name="Comma 12 13 13" xfId="3596"/>
    <cellStyle name="Comma 12 13 14" xfId="3597"/>
    <cellStyle name="Comma 12 13 15" xfId="3598"/>
    <cellStyle name="Comma 12 13 16" xfId="3599"/>
    <cellStyle name="Comma 12 13 17" xfId="3600"/>
    <cellStyle name="Comma 12 13 18" xfId="3601"/>
    <cellStyle name="Comma 12 13 19" xfId="3602"/>
    <cellStyle name="Comma 12 13 2" xfId="3603"/>
    <cellStyle name="Comma 12 13 20" xfId="3604"/>
    <cellStyle name="Comma 12 13 21" xfId="3605"/>
    <cellStyle name="Comma 12 13 22" xfId="3606"/>
    <cellStyle name="Comma 12 13 23" xfId="17236"/>
    <cellStyle name="Comma 12 13 24" xfId="17237"/>
    <cellStyle name="Comma 12 13 25" xfId="17238"/>
    <cellStyle name="Comma 12 13 26" xfId="17239"/>
    <cellStyle name="Comma 12 13 27" xfId="17240"/>
    <cellStyle name="Comma 12 13 28" xfId="17241"/>
    <cellStyle name="Comma 12 13 29" xfId="17242"/>
    <cellStyle name="Comma 12 13 3" xfId="3607"/>
    <cellStyle name="Comma 12 13 30" xfId="17243"/>
    <cellStyle name="Comma 12 13 31" xfId="17244"/>
    <cellStyle name="Comma 12 13 32" xfId="17245"/>
    <cellStyle name="Comma 12 13 33" xfId="17246"/>
    <cellStyle name="Comma 12 13 34" xfId="17247"/>
    <cellStyle name="Comma 12 13 35" xfId="17248"/>
    <cellStyle name="Comma 12 13 4" xfId="3608"/>
    <cellStyle name="Comma 12 13 5" xfId="3609"/>
    <cellStyle name="Comma 12 13 6" xfId="3610"/>
    <cellStyle name="Comma 12 13 7" xfId="3611"/>
    <cellStyle name="Comma 12 13 8" xfId="3612"/>
    <cellStyle name="Comma 12 13 9" xfId="3613"/>
    <cellStyle name="Comma 12 14" xfId="146"/>
    <cellStyle name="Comma 12 14 10" xfId="3614"/>
    <cellStyle name="Comma 12 14 11" xfId="3615"/>
    <cellStyle name="Comma 12 14 12" xfId="3616"/>
    <cellStyle name="Comma 12 14 13" xfId="3617"/>
    <cellStyle name="Comma 12 14 14" xfId="3618"/>
    <cellStyle name="Comma 12 14 15" xfId="3619"/>
    <cellStyle name="Comma 12 14 16" xfId="3620"/>
    <cellStyle name="Comma 12 14 17" xfId="3621"/>
    <cellStyle name="Comma 12 14 18" xfId="3622"/>
    <cellStyle name="Comma 12 14 19" xfId="3623"/>
    <cellStyle name="Comma 12 14 2" xfId="3624"/>
    <cellStyle name="Comma 12 14 20" xfId="3625"/>
    <cellStyle name="Comma 12 14 21" xfId="3626"/>
    <cellStyle name="Comma 12 14 22" xfId="3627"/>
    <cellStyle name="Comma 12 14 23" xfId="17249"/>
    <cellStyle name="Comma 12 14 24" xfId="17250"/>
    <cellStyle name="Comma 12 14 25" xfId="17251"/>
    <cellStyle name="Comma 12 14 26" xfId="17252"/>
    <cellStyle name="Comma 12 14 27" xfId="17253"/>
    <cellStyle name="Comma 12 14 28" xfId="17254"/>
    <cellStyle name="Comma 12 14 29" xfId="17255"/>
    <cellStyle name="Comma 12 14 3" xfId="3628"/>
    <cellStyle name="Comma 12 14 30" xfId="17256"/>
    <cellStyle name="Comma 12 14 31" xfId="17257"/>
    <cellStyle name="Comma 12 14 32" xfId="17258"/>
    <cellStyle name="Comma 12 14 33" xfId="17259"/>
    <cellStyle name="Comma 12 14 34" xfId="17260"/>
    <cellStyle name="Comma 12 14 35" xfId="17261"/>
    <cellStyle name="Comma 12 14 4" xfId="3629"/>
    <cellStyle name="Comma 12 14 5" xfId="3630"/>
    <cellStyle name="Comma 12 14 6" xfId="3631"/>
    <cellStyle name="Comma 12 14 7" xfId="3632"/>
    <cellStyle name="Comma 12 14 8" xfId="3633"/>
    <cellStyle name="Comma 12 14 9" xfId="3634"/>
    <cellStyle name="Comma 12 15" xfId="147"/>
    <cellStyle name="Comma 12 16" xfId="939"/>
    <cellStyle name="Comma 12 17" xfId="954"/>
    <cellStyle name="Comma 12 18" xfId="988"/>
    <cellStyle name="Comma 12 19" xfId="1021"/>
    <cellStyle name="Comma 12 2" xfId="109"/>
    <cellStyle name="Comma 12 2 10" xfId="3635"/>
    <cellStyle name="Comma 12 2 11" xfId="3636"/>
    <cellStyle name="Comma 12 2 12" xfId="3637"/>
    <cellStyle name="Comma 12 2 13" xfId="3638"/>
    <cellStyle name="Comma 12 2 14" xfId="3639"/>
    <cellStyle name="Comma 12 2 15" xfId="3640"/>
    <cellStyle name="Comma 12 2 16" xfId="3641"/>
    <cellStyle name="Comma 12 2 17" xfId="3642"/>
    <cellStyle name="Comma 12 2 18" xfId="3643"/>
    <cellStyle name="Comma 12 2 19" xfId="3644"/>
    <cellStyle name="Comma 12 2 2" xfId="3645"/>
    <cellStyle name="Comma 12 2 20" xfId="3646"/>
    <cellStyle name="Comma 12 2 21" xfId="3647"/>
    <cellStyle name="Comma 12 2 22" xfId="3648"/>
    <cellStyle name="Comma 12 2 23" xfId="17262"/>
    <cellStyle name="Comma 12 2 24" xfId="17263"/>
    <cellStyle name="Comma 12 2 25" xfId="17264"/>
    <cellStyle name="Comma 12 2 26" xfId="17265"/>
    <cellStyle name="Comma 12 2 27" xfId="17266"/>
    <cellStyle name="Comma 12 2 28" xfId="17267"/>
    <cellStyle name="Comma 12 2 29" xfId="17268"/>
    <cellStyle name="Comma 12 2 3" xfId="3649"/>
    <cellStyle name="Comma 12 2 30" xfId="17269"/>
    <cellStyle name="Comma 12 2 31" xfId="17270"/>
    <cellStyle name="Comma 12 2 32" xfId="17271"/>
    <cellStyle name="Comma 12 2 33" xfId="17272"/>
    <cellStyle name="Comma 12 2 34" xfId="17273"/>
    <cellStyle name="Comma 12 2 35" xfId="17274"/>
    <cellStyle name="Comma 12 2 4" xfId="3650"/>
    <cellStyle name="Comma 12 2 5" xfId="3651"/>
    <cellStyle name="Comma 12 2 6" xfId="3652"/>
    <cellStyle name="Comma 12 2 7" xfId="3653"/>
    <cellStyle name="Comma 12 2 8" xfId="3654"/>
    <cellStyle name="Comma 12 2 9" xfId="3655"/>
    <cellStyle name="Comma 12 20" xfId="1053"/>
    <cellStyle name="Comma 12 21" xfId="1085"/>
    <cellStyle name="Comma 12 22" xfId="1137"/>
    <cellStyle name="Comma 12 23" xfId="1152"/>
    <cellStyle name="Comma 12 24" xfId="1187"/>
    <cellStyle name="Comma 12 25" xfId="1219"/>
    <cellStyle name="Comma 12 26" xfId="1252"/>
    <cellStyle name="Comma 12 27" xfId="1285"/>
    <cellStyle name="Comma 12 28" xfId="1318"/>
    <cellStyle name="Comma 12 29" xfId="1350"/>
    <cellStyle name="Comma 12 3" xfId="148"/>
    <cellStyle name="Comma 12 3 10" xfId="3656"/>
    <cellStyle name="Comma 12 3 11" xfId="3657"/>
    <cellStyle name="Comma 12 3 12" xfId="3658"/>
    <cellStyle name="Comma 12 3 13" xfId="3659"/>
    <cellStyle name="Comma 12 3 14" xfId="3660"/>
    <cellStyle name="Comma 12 3 15" xfId="3661"/>
    <cellStyle name="Comma 12 3 16" xfId="3662"/>
    <cellStyle name="Comma 12 3 17" xfId="3663"/>
    <cellStyle name="Comma 12 3 18" xfId="3664"/>
    <cellStyle name="Comma 12 3 19" xfId="3665"/>
    <cellStyle name="Comma 12 3 2" xfId="3666"/>
    <cellStyle name="Comma 12 3 20" xfId="3667"/>
    <cellStyle name="Comma 12 3 21" xfId="3668"/>
    <cellStyle name="Comma 12 3 22" xfId="3669"/>
    <cellStyle name="Comma 12 3 23" xfId="17275"/>
    <cellStyle name="Comma 12 3 24" xfId="17276"/>
    <cellStyle name="Comma 12 3 25" xfId="17277"/>
    <cellStyle name="Comma 12 3 26" xfId="17278"/>
    <cellStyle name="Comma 12 3 27" xfId="17279"/>
    <cellStyle name="Comma 12 3 28" xfId="17280"/>
    <cellStyle name="Comma 12 3 29" xfId="17281"/>
    <cellStyle name="Comma 12 3 3" xfId="3670"/>
    <cellStyle name="Comma 12 3 30" xfId="17282"/>
    <cellStyle name="Comma 12 3 31" xfId="17283"/>
    <cellStyle name="Comma 12 3 32" xfId="17284"/>
    <cellStyle name="Comma 12 3 33" xfId="17285"/>
    <cellStyle name="Comma 12 3 34" xfId="17286"/>
    <cellStyle name="Comma 12 3 35" xfId="17287"/>
    <cellStyle name="Comma 12 3 4" xfId="3671"/>
    <cellStyle name="Comma 12 3 5" xfId="3672"/>
    <cellStyle name="Comma 12 3 6" xfId="3673"/>
    <cellStyle name="Comma 12 3 7" xfId="3674"/>
    <cellStyle name="Comma 12 3 8" xfId="3675"/>
    <cellStyle name="Comma 12 3 9" xfId="3676"/>
    <cellStyle name="Comma 12 30" xfId="1399"/>
    <cellStyle name="Comma 12 31" xfId="1576"/>
    <cellStyle name="Comma 12 32" xfId="1629"/>
    <cellStyle name="Comma 12 33" xfId="1681"/>
    <cellStyle name="Comma 12 34" xfId="1701"/>
    <cellStyle name="Comma 12 35" xfId="1844"/>
    <cellStyle name="Comma 12 36" xfId="2100"/>
    <cellStyle name="Comma 12 37" xfId="2157"/>
    <cellStyle name="Comma 12 38" xfId="2573"/>
    <cellStyle name="Comma 12 39" xfId="2351"/>
    <cellStyle name="Comma 12 4" xfId="149"/>
    <cellStyle name="Comma 12 4 10" xfId="3677"/>
    <cellStyle name="Comma 12 4 11" xfId="3678"/>
    <cellStyle name="Comma 12 4 12" xfId="3679"/>
    <cellStyle name="Comma 12 4 13" xfId="3680"/>
    <cellStyle name="Comma 12 4 14" xfId="3681"/>
    <cellStyle name="Comma 12 4 15" xfId="3682"/>
    <cellStyle name="Comma 12 4 16" xfId="3683"/>
    <cellStyle name="Comma 12 4 17" xfId="3684"/>
    <cellStyle name="Comma 12 4 18" xfId="3685"/>
    <cellStyle name="Comma 12 4 19" xfId="3686"/>
    <cellStyle name="Comma 12 4 2" xfId="3687"/>
    <cellStyle name="Comma 12 4 20" xfId="3688"/>
    <cellStyle name="Comma 12 4 21" xfId="3689"/>
    <cellStyle name="Comma 12 4 22" xfId="3690"/>
    <cellStyle name="Comma 12 4 23" xfId="17288"/>
    <cellStyle name="Comma 12 4 24" xfId="17289"/>
    <cellStyle name="Comma 12 4 25" xfId="17290"/>
    <cellStyle name="Comma 12 4 26" xfId="17291"/>
    <cellStyle name="Comma 12 4 27" xfId="17292"/>
    <cellStyle name="Comma 12 4 28" xfId="17293"/>
    <cellStyle name="Comma 12 4 29" xfId="17294"/>
    <cellStyle name="Comma 12 4 3" xfId="3691"/>
    <cellStyle name="Comma 12 4 30" xfId="17295"/>
    <cellStyle name="Comma 12 4 31" xfId="17296"/>
    <cellStyle name="Comma 12 4 32" xfId="17297"/>
    <cellStyle name="Comma 12 4 33" xfId="17298"/>
    <cellStyle name="Comma 12 4 34" xfId="17299"/>
    <cellStyle name="Comma 12 4 35" xfId="17300"/>
    <cellStyle name="Comma 12 4 4" xfId="3692"/>
    <cellStyle name="Comma 12 4 5" xfId="3693"/>
    <cellStyle name="Comma 12 4 6" xfId="3694"/>
    <cellStyle name="Comma 12 4 7" xfId="3695"/>
    <cellStyle name="Comma 12 4 8" xfId="3696"/>
    <cellStyle name="Comma 12 4 9" xfId="3697"/>
    <cellStyle name="Comma 12 40" xfId="2419"/>
    <cellStyle name="Comma 12 41" xfId="2708"/>
    <cellStyle name="Comma 12 42" xfId="3105"/>
    <cellStyle name="Comma 12 43" xfId="17301"/>
    <cellStyle name="Comma 12 44" xfId="17302"/>
    <cellStyle name="Comma 12 45" xfId="17303"/>
    <cellStyle name="Comma 12 46" xfId="17304"/>
    <cellStyle name="Comma 12 47" xfId="17305"/>
    <cellStyle name="Comma 12 48" xfId="17306"/>
    <cellStyle name="Comma 12 49" xfId="17307"/>
    <cellStyle name="Comma 12 5" xfId="150"/>
    <cellStyle name="Comma 12 5 10" xfId="3698"/>
    <cellStyle name="Comma 12 5 11" xfId="3699"/>
    <cellStyle name="Comma 12 5 12" xfId="3700"/>
    <cellStyle name="Comma 12 5 13" xfId="3701"/>
    <cellStyle name="Comma 12 5 14" xfId="3702"/>
    <cellStyle name="Comma 12 5 15" xfId="3703"/>
    <cellStyle name="Comma 12 5 16" xfId="3704"/>
    <cellStyle name="Comma 12 5 17" xfId="3705"/>
    <cellStyle name="Comma 12 5 18" xfId="3706"/>
    <cellStyle name="Comma 12 5 19" xfId="3707"/>
    <cellStyle name="Comma 12 5 2" xfId="3708"/>
    <cellStyle name="Comma 12 5 20" xfId="3709"/>
    <cellStyle name="Comma 12 5 21" xfId="3710"/>
    <cellStyle name="Comma 12 5 22" xfId="3711"/>
    <cellStyle name="Comma 12 5 23" xfId="17308"/>
    <cellStyle name="Comma 12 5 24" xfId="17309"/>
    <cellStyle name="Comma 12 5 25" xfId="17310"/>
    <cellStyle name="Comma 12 5 26" xfId="17311"/>
    <cellStyle name="Comma 12 5 27" xfId="17312"/>
    <cellStyle name="Comma 12 5 28" xfId="17313"/>
    <cellStyle name="Comma 12 5 29" xfId="17314"/>
    <cellStyle name="Comma 12 5 3" xfId="3712"/>
    <cellStyle name="Comma 12 5 30" xfId="17315"/>
    <cellStyle name="Comma 12 5 31" xfId="17316"/>
    <cellStyle name="Comma 12 5 32" xfId="17317"/>
    <cellStyle name="Comma 12 5 33" xfId="17318"/>
    <cellStyle name="Comma 12 5 34" xfId="17319"/>
    <cellStyle name="Comma 12 5 35" xfId="17320"/>
    <cellStyle name="Comma 12 5 4" xfId="3713"/>
    <cellStyle name="Comma 12 5 5" xfId="3714"/>
    <cellStyle name="Comma 12 5 6" xfId="3715"/>
    <cellStyle name="Comma 12 5 7" xfId="3716"/>
    <cellStyle name="Comma 12 5 8" xfId="3717"/>
    <cellStyle name="Comma 12 5 9" xfId="3718"/>
    <cellStyle name="Comma 12 50" xfId="17321"/>
    <cellStyle name="Comma 12 6" xfId="151"/>
    <cellStyle name="Comma 12 6 10" xfId="3719"/>
    <cellStyle name="Comma 12 6 11" xfId="3720"/>
    <cellStyle name="Comma 12 6 12" xfId="3721"/>
    <cellStyle name="Comma 12 6 13" xfId="3722"/>
    <cellStyle name="Comma 12 6 14" xfId="3723"/>
    <cellStyle name="Comma 12 6 15" xfId="3724"/>
    <cellStyle name="Comma 12 6 16" xfId="3725"/>
    <cellStyle name="Comma 12 6 17" xfId="3726"/>
    <cellStyle name="Comma 12 6 18" xfId="3727"/>
    <cellStyle name="Comma 12 6 19" xfId="3728"/>
    <cellStyle name="Comma 12 6 2" xfId="3729"/>
    <cellStyle name="Comma 12 6 20" xfId="3730"/>
    <cellStyle name="Comma 12 6 21" xfId="3731"/>
    <cellStyle name="Comma 12 6 22" xfId="3732"/>
    <cellStyle name="Comma 12 6 23" xfId="17322"/>
    <cellStyle name="Comma 12 6 24" xfId="17323"/>
    <cellStyle name="Comma 12 6 25" xfId="17324"/>
    <cellStyle name="Comma 12 6 26" xfId="17325"/>
    <cellStyle name="Comma 12 6 27" xfId="17326"/>
    <cellStyle name="Comma 12 6 28" xfId="17327"/>
    <cellStyle name="Comma 12 6 29" xfId="17328"/>
    <cellStyle name="Comma 12 6 3" xfId="3733"/>
    <cellStyle name="Comma 12 6 30" xfId="17329"/>
    <cellStyle name="Comma 12 6 31" xfId="17330"/>
    <cellStyle name="Comma 12 6 32" xfId="17331"/>
    <cellStyle name="Comma 12 6 33" xfId="17332"/>
    <cellStyle name="Comma 12 6 34" xfId="17333"/>
    <cellStyle name="Comma 12 6 35" xfId="17334"/>
    <cellStyle name="Comma 12 6 4" xfId="3734"/>
    <cellStyle name="Comma 12 6 5" xfId="3735"/>
    <cellStyle name="Comma 12 6 6" xfId="3736"/>
    <cellStyle name="Comma 12 6 7" xfId="3737"/>
    <cellStyle name="Comma 12 6 8" xfId="3738"/>
    <cellStyle name="Comma 12 6 9" xfId="3739"/>
    <cellStyle name="Comma 12 7" xfId="152"/>
    <cellStyle name="Comma 12 7 10" xfId="3740"/>
    <cellStyle name="Comma 12 7 11" xfId="3741"/>
    <cellStyle name="Comma 12 7 12" xfId="3742"/>
    <cellStyle name="Comma 12 7 13" xfId="3743"/>
    <cellStyle name="Comma 12 7 14" xfId="3744"/>
    <cellStyle name="Comma 12 7 15" xfId="3745"/>
    <cellStyle name="Comma 12 7 16" xfId="3746"/>
    <cellStyle name="Comma 12 7 17" xfId="3747"/>
    <cellStyle name="Comma 12 7 18" xfId="3748"/>
    <cellStyle name="Comma 12 7 19" xfId="3749"/>
    <cellStyle name="Comma 12 7 2" xfId="3750"/>
    <cellStyle name="Comma 12 7 20" xfId="3751"/>
    <cellStyle name="Comma 12 7 21" xfId="3752"/>
    <cellStyle name="Comma 12 7 22" xfId="3753"/>
    <cellStyle name="Comma 12 7 23" xfId="17335"/>
    <cellStyle name="Comma 12 7 24" xfId="17336"/>
    <cellStyle name="Comma 12 7 25" xfId="17337"/>
    <cellStyle name="Comma 12 7 26" xfId="17338"/>
    <cellStyle name="Comma 12 7 27" xfId="17339"/>
    <cellStyle name="Comma 12 7 28" xfId="17340"/>
    <cellStyle name="Comma 12 7 29" xfId="17341"/>
    <cellStyle name="Comma 12 7 3" xfId="3754"/>
    <cellStyle name="Comma 12 7 30" xfId="17342"/>
    <cellStyle name="Comma 12 7 31" xfId="17343"/>
    <cellStyle name="Comma 12 7 32" xfId="17344"/>
    <cellStyle name="Comma 12 7 33" xfId="17345"/>
    <cellStyle name="Comma 12 7 34" xfId="17346"/>
    <cellStyle name="Comma 12 7 35" xfId="17347"/>
    <cellStyle name="Comma 12 7 4" xfId="3755"/>
    <cellStyle name="Comma 12 7 5" xfId="3756"/>
    <cellStyle name="Comma 12 7 6" xfId="3757"/>
    <cellStyle name="Comma 12 7 7" xfId="3758"/>
    <cellStyle name="Comma 12 7 8" xfId="3759"/>
    <cellStyle name="Comma 12 7 9" xfId="3760"/>
    <cellStyle name="Comma 12 8" xfId="153"/>
    <cellStyle name="Comma 12 8 10" xfId="3761"/>
    <cellStyle name="Comma 12 8 11" xfId="3762"/>
    <cellStyle name="Comma 12 8 12" xfId="3763"/>
    <cellStyle name="Comma 12 8 13" xfId="3764"/>
    <cellStyle name="Comma 12 8 14" xfId="3765"/>
    <cellStyle name="Comma 12 8 15" xfId="3766"/>
    <cellStyle name="Comma 12 8 16" xfId="3767"/>
    <cellStyle name="Comma 12 8 17" xfId="3768"/>
    <cellStyle name="Comma 12 8 18" xfId="3769"/>
    <cellStyle name="Comma 12 8 19" xfId="3770"/>
    <cellStyle name="Comma 12 8 2" xfId="3771"/>
    <cellStyle name="Comma 12 8 20" xfId="3772"/>
    <cellStyle name="Comma 12 8 21" xfId="3773"/>
    <cellStyle name="Comma 12 8 22" xfId="3774"/>
    <cellStyle name="Comma 12 8 23" xfId="17348"/>
    <cellStyle name="Comma 12 8 24" xfId="17349"/>
    <cellStyle name="Comma 12 8 25" xfId="17350"/>
    <cellStyle name="Comma 12 8 26" xfId="17351"/>
    <cellStyle name="Comma 12 8 27" xfId="17352"/>
    <cellStyle name="Comma 12 8 28" xfId="17353"/>
    <cellStyle name="Comma 12 8 29" xfId="17354"/>
    <cellStyle name="Comma 12 8 3" xfId="3775"/>
    <cellStyle name="Comma 12 8 30" xfId="17355"/>
    <cellStyle name="Comma 12 8 31" xfId="17356"/>
    <cellStyle name="Comma 12 8 32" xfId="17357"/>
    <cellStyle name="Comma 12 8 33" xfId="17358"/>
    <cellStyle name="Comma 12 8 34" xfId="17359"/>
    <cellStyle name="Comma 12 8 35" xfId="17360"/>
    <cellStyle name="Comma 12 8 4" xfId="3776"/>
    <cellStyle name="Comma 12 8 5" xfId="3777"/>
    <cellStyle name="Comma 12 8 6" xfId="3778"/>
    <cellStyle name="Comma 12 8 7" xfId="3779"/>
    <cellStyle name="Comma 12 8 8" xfId="3780"/>
    <cellStyle name="Comma 12 8 9" xfId="3781"/>
    <cellStyle name="Comma 12 9" xfId="154"/>
    <cellStyle name="Comma 12 9 10" xfId="3782"/>
    <cellStyle name="Comma 12 9 11" xfId="3783"/>
    <cellStyle name="Comma 12 9 12" xfId="3784"/>
    <cellStyle name="Comma 12 9 13" xfId="3785"/>
    <cellStyle name="Comma 12 9 14" xfId="3786"/>
    <cellStyle name="Comma 12 9 15" xfId="3787"/>
    <cellStyle name="Comma 12 9 16" xfId="3788"/>
    <cellStyle name="Comma 12 9 17" xfId="3789"/>
    <cellStyle name="Comma 12 9 18" xfId="3790"/>
    <cellStyle name="Comma 12 9 19" xfId="3791"/>
    <cellStyle name="Comma 12 9 2" xfId="3792"/>
    <cellStyle name="Comma 12 9 20" xfId="3793"/>
    <cellStyle name="Comma 12 9 21" xfId="3794"/>
    <cellStyle name="Comma 12 9 22" xfId="3795"/>
    <cellStyle name="Comma 12 9 23" xfId="17361"/>
    <cellStyle name="Comma 12 9 24" xfId="17362"/>
    <cellStyle name="Comma 12 9 25" xfId="17363"/>
    <cellStyle name="Comma 12 9 26" xfId="17364"/>
    <cellStyle name="Comma 12 9 27" xfId="17365"/>
    <cellStyle name="Comma 12 9 28" xfId="17366"/>
    <cellStyle name="Comma 12 9 29" xfId="17367"/>
    <cellStyle name="Comma 12 9 3" xfId="3796"/>
    <cellStyle name="Comma 12 9 30" xfId="17368"/>
    <cellStyle name="Comma 12 9 31" xfId="17369"/>
    <cellStyle name="Comma 12 9 32" xfId="17370"/>
    <cellStyle name="Comma 12 9 33" xfId="17371"/>
    <cellStyle name="Comma 12 9 34" xfId="17372"/>
    <cellStyle name="Comma 12 9 35" xfId="17373"/>
    <cellStyle name="Comma 12 9 4" xfId="3797"/>
    <cellStyle name="Comma 12 9 5" xfId="3798"/>
    <cellStyle name="Comma 12 9 6" xfId="3799"/>
    <cellStyle name="Comma 12 9 7" xfId="3800"/>
    <cellStyle name="Comma 12 9 8" xfId="3801"/>
    <cellStyle name="Comma 12 9 9" xfId="3802"/>
    <cellStyle name="Comma 13" xfId="14"/>
    <cellStyle name="Comma 13 10" xfId="155"/>
    <cellStyle name="Comma 13 10 10" xfId="3803"/>
    <cellStyle name="Comma 13 10 11" xfId="3804"/>
    <cellStyle name="Comma 13 10 12" xfId="3805"/>
    <cellStyle name="Comma 13 10 13" xfId="3806"/>
    <cellStyle name="Comma 13 10 14" xfId="3807"/>
    <cellStyle name="Comma 13 10 15" xfId="3808"/>
    <cellStyle name="Comma 13 10 16" xfId="3809"/>
    <cellStyle name="Comma 13 10 17" xfId="3810"/>
    <cellStyle name="Comma 13 10 18" xfId="3811"/>
    <cellStyle name="Comma 13 10 19" xfId="3812"/>
    <cellStyle name="Comma 13 10 2" xfId="3813"/>
    <cellStyle name="Comma 13 10 20" xfId="3814"/>
    <cellStyle name="Comma 13 10 21" xfId="3815"/>
    <cellStyle name="Comma 13 10 22" xfId="3816"/>
    <cellStyle name="Comma 13 10 23" xfId="17374"/>
    <cellStyle name="Comma 13 10 24" xfId="17375"/>
    <cellStyle name="Comma 13 10 25" xfId="17376"/>
    <cellStyle name="Comma 13 10 26" xfId="17377"/>
    <cellStyle name="Comma 13 10 27" xfId="17378"/>
    <cellStyle name="Comma 13 10 28" xfId="17379"/>
    <cellStyle name="Comma 13 10 29" xfId="17380"/>
    <cellStyle name="Comma 13 10 3" xfId="3817"/>
    <cellStyle name="Comma 13 10 30" xfId="17381"/>
    <cellStyle name="Comma 13 10 31" xfId="17382"/>
    <cellStyle name="Comma 13 10 32" xfId="17383"/>
    <cellStyle name="Comma 13 10 33" xfId="17384"/>
    <cellStyle name="Comma 13 10 34" xfId="17385"/>
    <cellStyle name="Comma 13 10 35" xfId="17386"/>
    <cellStyle name="Comma 13 10 4" xfId="3818"/>
    <cellStyle name="Comma 13 10 5" xfId="3819"/>
    <cellStyle name="Comma 13 10 6" xfId="3820"/>
    <cellStyle name="Comma 13 10 7" xfId="3821"/>
    <cellStyle name="Comma 13 10 8" xfId="3822"/>
    <cellStyle name="Comma 13 10 9" xfId="3823"/>
    <cellStyle name="Comma 13 11" xfId="156"/>
    <cellStyle name="Comma 13 11 10" xfId="3824"/>
    <cellStyle name="Comma 13 11 11" xfId="3825"/>
    <cellStyle name="Comma 13 11 12" xfId="3826"/>
    <cellStyle name="Comma 13 11 13" xfId="3827"/>
    <cellStyle name="Comma 13 11 14" xfId="3828"/>
    <cellStyle name="Comma 13 11 15" xfId="3829"/>
    <cellStyle name="Comma 13 11 16" xfId="3830"/>
    <cellStyle name="Comma 13 11 17" xfId="3831"/>
    <cellStyle name="Comma 13 11 18" xfId="3832"/>
    <cellStyle name="Comma 13 11 19" xfId="3833"/>
    <cellStyle name="Comma 13 11 2" xfId="3834"/>
    <cellStyle name="Comma 13 11 20" xfId="3835"/>
    <cellStyle name="Comma 13 11 21" xfId="3836"/>
    <cellStyle name="Comma 13 11 22" xfId="3837"/>
    <cellStyle name="Comma 13 11 23" xfId="17387"/>
    <cellStyle name="Comma 13 11 24" xfId="17388"/>
    <cellStyle name="Comma 13 11 25" xfId="17389"/>
    <cellStyle name="Comma 13 11 26" xfId="17390"/>
    <cellStyle name="Comma 13 11 27" xfId="17391"/>
    <cellStyle name="Comma 13 11 28" xfId="17392"/>
    <cellStyle name="Comma 13 11 29" xfId="17393"/>
    <cellStyle name="Comma 13 11 3" xfId="3838"/>
    <cellStyle name="Comma 13 11 30" xfId="17394"/>
    <cellStyle name="Comma 13 11 31" xfId="17395"/>
    <cellStyle name="Comma 13 11 32" xfId="17396"/>
    <cellStyle name="Comma 13 11 33" xfId="17397"/>
    <cellStyle name="Comma 13 11 34" xfId="17398"/>
    <cellStyle name="Comma 13 11 35" xfId="17399"/>
    <cellStyle name="Comma 13 11 4" xfId="3839"/>
    <cellStyle name="Comma 13 11 5" xfId="3840"/>
    <cellStyle name="Comma 13 11 6" xfId="3841"/>
    <cellStyle name="Comma 13 11 7" xfId="3842"/>
    <cellStyle name="Comma 13 11 8" xfId="3843"/>
    <cellStyle name="Comma 13 11 9" xfId="3844"/>
    <cellStyle name="Comma 13 12" xfId="157"/>
    <cellStyle name="Comma 13 12 10" xfId="3845"/>
    <cellStyle name="Comma 13 12 11" xfId="3846"/>
    <cellStyle name="Comma 13 12 12" xfId="3847"/>
    <cellStyle name="Comma 13 12 13" xfId="3848"/>
    <cellStyle name="Comma 13 12 14" xfId="3849"/>
    <cellStyle name="Comma 13 12 15" xfId="3850"/>
    <cellStyle name="Comma 13 12 16" xfId="3851"/>
    <cellStyle name="Comma 13 12 17" xfId="3852"/>
    <cellStyle name="Comma 13 12 18" xfId="3853"/>
    <cellStyle name="Comma 13 12 19" xfId="3854"/>
    <cellStyle name="Comma 13 12 2" xfId="3855"/>
    <cellStyle name="Comma 13 12 20" xfId="3856"/>
    <cellStyle name="Comma 13 12 21" xfId="3857"/>
    <cellStyle name="Comma 13 12 22" xfId="3858"/>
    <cellStyle name="Comma 13 12 23" xfId="17400"/>
    <cellStyle name="Comma 13 12 24" xfId="17401"/>
    <cellStyle name="Comma 13 12 25" xfId="17402"/>
    <cellStyle name="Comma 13 12 26" xfId="17403"/>
    <cellStyle name="Comma 13 12 27" xfId="17404"/>
    <cellStyle name="Comma 13 12 28" xfId="17405"/>
    <cellStyle name="Comma 13 12 29" xfId="17406"/>
    <cellStyle name="Comma 13 12 3" xfId="3859"/>
    <cellStyle name="Comma 13 12 30" xfId="17407"/>
    <cellStyle name="Comma 13 12 31" xfId="17408"/>
    <cellStyle name="Comma 13 12 32" xfId="17409"/>
    <cellStyle name="Comma 13 12 33" xfId="17410"/>
    <cellStyle name="Comma 13 12 34" xfId="17411"/>
    <cellStyle name="Comma 13 12 35" xfId="17412"/>
    <cellStyle name="Comma 13 12 4" xfId="3860"/>
    <cellStyle name="Comma 13 12 5" xfId="3861"/>
    <cellStyle name="Comma 13 12 6" xfId="3862"/>
    <cellStyle name="Comma 13 12 7" xfId="3863"/>
    <cellStyle name="Comma 13 12 8" xfId="3864"/>
    <cellStyle name="Comma 13 12 9" xfId="3865"/>
    <cellStyle name="Comma 13 13" xfId="158"/>
    <cellStyle name="Comma 13 13 10" xfId="3866"/>
    <cellStyle name="Comma 13 13 11" xfId="3867"/>
    <cellStyle name="Comma 13 13 12" xfId="3868"/>
    <cellStyle name="Comma 13 13 13" xfId="3869"/>
    <cellStyle name="Comma 13 13 14" xfId="3870"/>
    <cellStyle name="Comma 13 13 15" xfId="3871"/>
    <cellStyle name="Comma 13 13 16" xfId="3872"/>
    <cellStyle name="Comma 13 13 17" xfId="3873"/>
    <cellStyle name="Comma 13 13 18" xfId="3874"/>
    <cellStyle name="Comma 13 13 19" xfId="3875"/>
    <cellStyle name="Comma 13 13 2" xfId="3876"/>
    <cellStyle name="Comma 13 13 20" xfId="3877"/>
    <cellStyle name="Comma 13 13 21" xfId="3878"/>
    <cellStyle name="Comma 13 13 22" xfId="3879"/>
    <cellStyle name="Comma 13 13 23" xfId="17413"/>
    <cellStyle name="Comma 13 13 24" xfId="17414"/>
    <cellStyle name="Comma 13 13 25" xfId="17415"/>
    <cellStyle name="Comma 13 13 26" xfId="17416"/>
    <cellStyle name="Comma 13 13 27" xfId="17417"/>
    <cellStyle name="Comma 13 13 28" xfId="17418"/>
    <cellStyle name="Comma 13 13 29" xfId="17419"/>
    <cellStyle name="Comma 13 13 3" xfId="3880"/>
    <cellStyle name="Comma 13 13 30" xfId="17420"/>
    <cellStyle name="Comma 13 13 31" xfId="17421"/>
    <cellStyle name="Comma 13 13 32" xfId="17422"/>
    <cellStyle name="Comma 13 13 33" xfId="17423"/>
    <cellStyle name="Comma 13 13 34" xfId="17424"/>
    <cellStyle name="Comma 13 13 35" xfId="17425"/>
    <cellStyle name="Comma 13 13 4" xfId="3881"/>
    <cellStyle name="Comma 13 13 5" xfId="3882"/>
    <cellStyle name="Comma 13 13 6" xfId="3883"/>
    <cellStyle name="Comma 13 13 7" xfId="3884"/>
    <cellStyle name="Comma 13 13 8" xfId="3885"/>
    <cellStyle name="Comma 13 13 9" xfId="3886"/>
    <cellStyle name="Comma 13 14" xfId="159"/>
    <cellStyle name="Comma 13 14 10" xfId="3887"/>
    <cellStyle name="Comma 13 14 11" xfId="3888"/>
    <cellStyle name="Comma 13 14 12" xfId="3889"/>
    <cellStyle name="Comma 13 14 13" xfId="3890"/>
    <cellStyle name="Comma 13 14 14" xfId="3891"/>
    <cellStyle name="Comma 13 14 15" xfId="3892"/>
    <cellStyle name="Comma 13 14 16" xfId="3893"/>
    <cellStyle name="Comma 13 14 17" xfId="3894"/>
    <cellStyle name="Comma 13 14 18" xfId="3895"/>
    <cellStyle name="Comma 13 14 19" xfId="3896"/>
    <cellStyle name="Comma 13 14 2" xfId="3897"/>
    <cellStyle name="Comma 13 14 20" xfId="3898"/>
    <cellStyle name="Comma 13 14 21" xfId="3899"/>
    <cellStyle name="Comma 13 14 22" xfId="3900"/>
    <cellStyle name="Comma 13 14 23" xfId="17426"/>
    <cellStyle name="Comma 13 14 24" xfId="17427"/>
    <cellStyle name="Comma 13 14 25" xfId="17428"/>
    <cellStyle name="Comma 13 14 26" xfId="17429"/>
    <cellStyle name="Comma 13 14 27" xfId="17430"/>
    <cellStyle name="Comma 13 14 28" xfId="17431"/>
    <cellStyle name="Comma 13 14 29" xfId="17432"/>
    <cellStyle name="Comma 13 14 3" xfId="3901"/>
    <cellStyle name="Comma 13 14 30" xfId="17433"/>
    <cellStyle name="Comma 13 14 31" xfId="17434"/>
    <cellStyle name="Comma 13 14 32" xfId="17435"/>
    <cellStyle name="Comma 13 14 33" xfId="17436"/>
    <cellStyle name="Comma 13 14 34" xfId="17437"/>
    <cellStyle name="Comma 13 14 35" xfId="17438"/>
    <cellStyle name="Comma 13 14 4" xfId="3902"/>
    <cellStyle name="Comma 13 14 5" xfId="3903"/>
    <cellStyle name="Comma 13 14 6" xfId="3904"/>
    <cellStyle name="Comma 13 14 7" xfId="3905"/>
    <cellStyle name="Comma 13 14 8" xfId="3906"/>
    <cellStyle name="Comma 13 14 9" xfId="3907"/>
    <cellStyle name="Comma 13 15" xfId="160"/>
    <cellStyle name="Comma 13 16" xfId="940"/>
    <cellStyle name="Comma 13 17" xfId="944"/>
    <cellStyle name="Comma 13 18" xfId="984"/>
    <cellStyle name="Comma 13 19" xfId="1019"/>
    <cellStyle name="Comma 13 2" xfId="111"/>
    <cellStyle name="Comma 13 2 10" xfId="3908"/>
    <cellStyle name="Comma 13 2 11" xfId="3909"/>
    <cellStyle name="Comma 13 2 12" xfId="3910"/>
    <cellStyle name="Comma 13 2 13" xfId="3911"/>
    <cellStyle name="Comma 13 2 14" xfId="3912"/>
    <cellStyle name="Comma 13 2 15" xfId="3913"/>
    <cellStyle name="Comma 13 2 16" xfId="3914"/>
    <cellStyle name="Comma 13 2 17" xfId="3915"/>
    <cellStyle name="Comma 13 2 18" xfId="3916"/>
    <cellStyle name="Comma 13 2 19" xfId="3917"/>
    <cellStyle name="Comma 13 2 2" xfId="3918"/>
    <cellStyle name="Comma 13 2 20" xfId="3919"/>
    <cellStyle name="Comma 13 2 21" xfId="3920"/>
    <cellStyle name="Comma 13 2 22" xfId="3921"/>
    <cellStyle name="Comma 13 2 23" xfId="17439"/>
    <cellStyle name="Comma 13 2 24" xfId="17440"/>
    <cellStyle name="Comma 13 2 25" xfId="17441"/>
    <cellStyle name="Comma 13 2 26" xfId="17442"/>
    <cellStyle name="Comma 13 2 27" xfId="17443"/>
    <cellStyle name="Comma 13 2 28" xfId="17444"/>
    <cellStyle name="Comma 13 2 29" xfId="17445"/>
    <cellStyle name="Comma 13 2 3" xfId="3922"/>
    <cellStyle name="Comma 13 2 30" xfId="17446"/>
    <cellStyle name="Comma 13 2 31" xfId="17447"/>
    <cellStyle name="Comma 13 2 32" xfId="17448"/>
    <cellStyle name="Comma 13 2 33" xfId="17449"/>
    <cellStyle name="Comma 13 2 34" xfId="17450"/>
    <cellStyle name="Comma 13 2 35" xfId="17451"/>
    <cellStyle name="Comma 13 2 4" xfId="3923"/>
    <cellStyle name="Comma 13 2 5" xfId="3924"/>
    <cellStyle name="Comma 13 2 6" xfId="3925"/>
    <cellStyle name="Comma 13 2 7" xfId="3926"/>
    <cellStyle name="Comma 13 2 8" xfId="3927"/>
    <cellStyle name="Comma 13 2 9" xfId="3928"/>
    <cellStyle name="Comma 13 20" xfId="1051"/>
    <cellStyle name="Comma 13 21" xfId="1083"/>
    <cellStyle name="Comma 13 22" xfId="1138"/>
    <cellStyle name="Comma 13 23" xfId="1142"/>
    <cellStyle name="Comma 13 24" xfId="1182"/>
    <cellStyle name="Comma 13 25" xfId="1217"/>
    <cellStyle name="Comma 13 26" xfId="1250"/>
    <cellStyle name="Comma 13 27" xfId="1283"/>
    <cellStyle name="Comma 13 28" xfId="1316"/>
    <cellStyle name="Comma 13 29" xfId="1348"/>
    <cellStyle name="Comma 13 3" xfId="161"/>
    <cellStyle name="Comma 13 3 10" xfId="3929"/>
    <cellStyle name="Comma 13 3 11" xfId="3930"/>
    <cellStyle name="Comma 13 3 12" xfId="3931"/>
    <cellStyle name="Comma 13 3 13" xfId="3932"/>
    <cellStyle name="Comma 13 3 14" xfId="3933"/>
    <cellStyle name="Comma 13 3 15" xfId="3934"/>
    <cellStyle name="Comma 13 3 16" xfId="3935"/>
    <cellStyle name="Comma 13 3 17" xfId="3936"/>
    <cellStyle name="Comma 13 3 18" xfId="3937"/>
    <cellStyle name="Comma 13 3 19" xfId="3938"/>
    <cellStyle name="Comma 13 3 2" xfId="3939"/>
    <cellStyle name="Comma 13 3 20" xfId="3940"/>
    <cellStyle name="Comma 13 3 21" xfId="3941"/>
    <cellStyle name="Comma 13 3 22" xfId="3942"/>
    <cellStyle name="Comma 13 3 23" xfId="17452"/>
    <cellStyle name="Comma 13 3 24" xfId="17453"/>
    <cellStyle name="Comma 13 3 25" xfId="17454"/>
    <cellStyle name="Comma 13 3 26" xfId="17455"/>
    <cellStyle name="Comma 13 3 27" xfId="17456"/>
    <cellStyle name="Comma 13 3 28" xfId="17457"/>
    <cellStyle name="Comma 13 3 29" xfId="17458"/>
    <cellStyle name="Comma 13 3 3" xfId="3943"/>
    <cellStyle name="Comma 13 3 30" xfId="17459"/>
    <cellStyle name="Comma 13 3 31" xfId="17460"/>
    <cellStyle name="Comma 13 3 32" xfId="17461"/>
    <cellStyle name="Comma 13 3 33" xfId="17462"/>
    <cellStyle name="Comma 13 3 34" xfId="17463"/>
    <cellStyle name="Comma 13 3 35" xfId="17464"/>
    <cellStyle name="Comma 13 3 4" xfId="3944"/>
    <cellStyle name="Comma 13 3 5" xfId="3945"/>
    <cellStyle name="Comma 13 3 6" xfId="3946"/>
    <cellStyle name="Comma 13 3 7" xfId="3947"/>
    <cellStyle name="Comma 13 3 8" xfId="3948"/>
    <cellStyle name="Comma 13 3 9" xfId="3949"/>
    <cellStyle name="Comma 13 30" xfId="1400"/>
    <cellStyle name="Comma 13 31" xfId="1575"/>
    <cellStyle name="Comma 13 32" xfId="1628"/>
    <cellStyle name="Comma 13 33" xfId="1680"/>
    <cellStyle name="Comma 13 34" xfId="1702"/>
    <cellStyle name="Comma 13 35" xfId="1843"/>
    <cellStyle name="Comma 13 36" xfId="2101"/>
    <cellStyle name="Comma 13 37" xfId="2771"/>
    <cellStyle name="Comma 13 38" xfId="2238"/>
    <cellStyle name="Comma 13 39" xfId="2766"/>
    <cellStyle name="Comma 13 4" xfId="162"/>
    <cellStyle name="Comma 13 4 10" xfId="3950"/>
    <cellStyle name="Comma 13 4 11" xfId="3951"/>
    <cellStyle name="Comma 13 4 12" xfId="3952"/>
    <cellStyle name="Comma 13 4 13" xfId="3953"/>
    <cellStyle name="Comma 13 4 14" xfId="3954"/>
    <cellStyle name="Comma 13 4 15" xfId="3955"/>
    <cellStyle name="Comma 13 4 16" xfId="3956"/>
    <cellStyle name="Comma 13 4 17" xfId="3957"/>
    <cellStyle name="Comma 13 4 18" xfId="3958"/>
    <cellStyle name="Comma 13 4 19" xfId="3959"/>
    <cellStyle name="Comma 13 4 2" xfId="3960"/>
    <cellStyle name="Comma 13 4 20" xfId="3961"/>
    <cellStyle name="Comma 13 4 21" xfId="3962"/>
    <cellStyle name="Comma 13 4 22" xfId="3963"/>
    <cellStyle name="Comma 13 4 23" xfId="17465"/>
    <cellStyle name="Comma 13 4 24" xfId="17466"/>
    <cellStyle name="Comma 13 4 25" xfId="17467"/>
    <cellStyle name="Comma 13 4 26" xfId="17468"/>
    <cellStyle name="Comma 13 4 27" xfId="17469"/>
    <cellStyle name="Comma 13 4 28" xfId="17470"/>
    <cellStyle name="Comma 13 4 29" xfId="17471"/>
    <cellStyle name="Comma 13 4 3" xfId="3964"/>
    <cellStyle name="Comma 13 4 30" xfId="17472"/>
    <cellStyle name="Comma 13 4 31" xfId="17473"/>
    <cellStyle name="Comma 13 4 32" xfId="17474"/>
    <cellStyle name="Comma 13 4 33" xfId="17475"/>
    <cellStyle name="Comma 13 4 34" xfId="17476"/>
    <cellStyle name="Comma 13 4 35" xfId="17477"/>
    <cellStyle name="Comma 13 4 4" xfId="3965"/>
    <cellStyle name="Comma 13 4 5" xfId="3966"/>
    <cellStyle name="Comma 13 4 6" xfId="3967"/>
    <cellStyle name="Comma 13 4 7" xfId="3968"/>
    <cellStyle name="Comma 13 4 8" xfId="3969"/>
    <cellStyle name="Comma 13 4 9" xfId="3970"/>
    <cellStyle name="Comma 13 40" xfId="2820"/>
    <cellStyle name="Comma 13 41" xfId="2524"/>
    <cellStyle name="Comma 13 42" xfId="2208"/>
    <cellStyle name="Comma 13 43" xfId="17478"/>
    <cellStyle name="Comma 13 44" xfId="17479"/>
    <cellStyle name="Comma 13 45" xfId="17480"/>
    <cellStyle name="Comma 13 46" xfId="17481"/>
    <cellStyle name="Comma 13 47" xfId="17482"/>
    <cellStyle name="Comma 13 48" xfId="17483"/>
    <cellStyle name="Comma 13 49" xfId="17484"/>
    <cellStyle name="Comma 13 5" xfId="163"/>
    <cellStyle name="Comma 13 5 10" xfId="3971"/>
    <cellStyle name="Comma 13 5 11" xfId="3972"/>
    <cellStyle name="Comma 13 5 12" xfId="3973"/>
    <cellStyle name="Comma 13 5 13" xfId="3974"/>
    <cellStyle name="Comma 13 5 14" xfId="3975"/>
    <cellStyle name="Comma 13 5 15" xfId="3976"/>
    <cellStyle name="Comma 13 5 16" xfId="3977"/>
    <cellStyle name="Comma 13 5 17" xfId="3978"/>
    <cellStyle name="Comma 13 5 18" xfId="3979"/>
    <cellStyle name="Comma 13 5 19" xfId="3980"/>
    <cellStyle name="Comma 13 5 2" xfId="3981"/>
    <cellStyle name="Comma 13 5 20" xfId="3982"/>
    <cellStyle name="Comma 13 5 21" xfId="3983"/>
    <cellStyle name="Comma 13 5 22" xfId="3984"/>
    <cellStyle name="Comma 13 5 23" xfId="17485"/>
    <cellStyle name="Comma 13 5 24" xfId="17486"/>
    <cellStyle name="Comma 13 5 25" xfId="17487"/>
    <cellStyle name="Comma 13 5 26" xfId="17488"/>
    <cellStyle name="Comma 13 5 27" xfId="17489"/>
    <cellStyle name="Comma 13 5 28" xfId="17490"/>
    <cellStyle name="Comma 13 5 29" xfId="17491"/>
    <cellStyle name="Comma 13 5 3" xfId="3985"/>
    <cellStyle name="Comma 13 5 30" xfId="17492"/>
    <cellStyle name="Comma 13 5 31" xfId="17493"/>
    <cellStyle name="Comma 13 5 32" xfId="17494"/>
    <cellStyle name="Comma 13 5 33" xfId="17495"/>
    <cellStyle name="Comma 13 5 34" xfId="17496"/>
    <cellStyle name="Comma 13 5 35" xfId="17497"/>
    <cellStyle name="Comma 13 5 4" xfId="3986"/>
    <cellStyle name="Comma 13 5 5" xfId="3987"/>
    <cellStyle name="Comma 13 5 6" xfId="3988"/>
    <cellStyle name="Comma 13 5 7" xfId="3989"/>
    <cellStyle name="Comma 13 5 8" xfId="3990"/>
    <cellStyle name="Comma 13 5 9" xfId="3991"/>
    <cellStyle name="Comma 13 50" xfId="17498"/>
    <cellStyle name="Comma 13 6" xfId="164"/>
    <cellStyle name="Comma 13 6 10" xfId="3992"/>
    <cellStyle name="Comma 13 6 11" xfId="3993"/>
    <cellStyle name="Comma 13 6 12" xfId="3994"/>
    <cellStyle name="Comma 13 6 13" xfId="3995"/>
    <cellStyle name="Comma 13 6 14" xfId="3996"/>
    <cellStyle name="Comma 13 6 15" xfId="3997"/>
    <cellStyle name="Comma 13 6 16" xfId="3998"/>
    <cellStyle name="Comma 13 6 17" xfId="3999"/>
    <cellStyle name="Comma 13 6 18" xfId="4000"/>
    <cellStyle name="Comma 13 6 19" xfId="4001"/>
    <cellStyle name="Comma 13 6 2" xfId="4002"/>
    <cellStyle name="Comma 13 6 20" xfId="4003"/>
    <cellStyle name="Comma 13 6 21" xfId="4004"/>
    <cellStyle name="Comma 13 6 22" xfId="4005"/>
    <cellStyle name="Comma 13 6 23" xfId="17499"/>
    <cellStyle name="Comma 13 6 24" xfId="17500"/>
    <cellStyle name="Comma 13 6 25" xfId="17501"/>
    <cellStyle name="Comma 13 6 26" xfId="17502"/>
    <cellStyle name="Comma 13 6 27" xfId="17503"/>
    <cellStyle name="Comma 13 6 28" xfId="17504"/>
    <cellStyle name="Comma 13 6 29" xfId="17505"/>
    <cellStyle name="Comma 13 6 3" xfId="4006"/>
    <cellStyle name="Comma 13 6 30" xfId="17506"/>
    <cellStyle name="Comma 13 6 31" xfId="17507"/>
    <cellStyle name="Comma 13 6 32" xfId="17508"/>
    <cellStyle name="Comma 13 6 33" xfId="17509"/>
    <cellStyle name="Comma 13 6 34" xfId="17510"/>
    <cellStyle name="Comma 13 6 35" xfId="17511"/>
    <cellStyle name="Comma 13 6 4" xfId="4007"/>
    <cellStyle name="Comma 13 6 5" xfId="4008"/>
    <cellStyle name="Comma 13 6 6" xfId="4009"/>
    <cellStyle name="Comma 13 6 7" xfId="4010"/>
    <cellStyle name="Comma 13 6 8" xfId="4011"/>
    <cellStyle name="Comma 13 6 9" xfId="4012"/>
    <cellStyle name="Comma 13 7" xfId="165"/>
    <cellStyle name="Comma 13 7 10" xfId="4013"/>
    <cellStyle name="Comma 13 7 11" xfId="4014"/>
    <cellStyle name="Comma 13 7 12" xfId="4015"/>
    <cellStyle name="Comma 13 7 13" xfId="4016"/>
    <cellStyle name="Comma 13 7 14" xfId="4017"/>
    <cellStyle name="Comma 13 7 15" xfId="4018"/>
    <cellStyle name="Comma 13 7 16" xfId="4019"/>
    <cellStyle name="Comma 13 7 17" xfId="4020"/>
    <cellStyle name="Comma 13 7 18" xfId="4021"/>
    <cellStyle name="Comma 13 7 19" xfId="4022"/>
    <cellStyle name="Comma 13 7 2" xfId="4023"/>
    <cellStyle name="Comma 13 7 20" xfId="4024"/>
    <cellStyle name="Comma 13 7 21" xfId="4025"/>
    <cellStyle name="Comma 13 7 22" xfId="4026"/>
    <cellStyle name="Comma 13 7 23" xfId="17512"/>
    <cellStyle name="Comma 13 7 24" xfId="17513"/>
    <cellStyle name="Comma 13 7 25" xfId="17514"/>
    <cellStyle name="Comma 13 7 26" xfId="17515"/>
    <cellStyle name="Comma 13 7 27" xfId="17516"/>
    <cellStyle name="Comma 13 7 28" xfId="17517"/>
    <cellStyle name="Comma 13 7 29" xfId="17518"/>
    <cellStyle name="Comma 13 7 3" xfId="4027"/>
    <cellStyle name="Comma 13 7 30" xfId="17519"/>
    <cellStyle name="Comma 13 7 31" xfId="17520"/>
    <cellStyle name="Comma 13 7 32" xfId="17521"/>
    <cellStyle name="Comma 13 7 33" xfId="17522"/>
    <cellStyle name="Comma 13 7 34" xfId="17523"/>
    <cellStyle name="Comma 13 7 35" xfId="17524"/>
    <cellStyle name="Comma 13 7 4" xfId="4028"/>
    <cellStyle name="Comma 13 7 5" xfId="4029"/>
    <cellStyle name="Comma 13 7 6" xfId="4030"/>
    <cellStyle name="Comma 13 7 7" xfId="4031"/>
    <cellStyle name="Comma 13 7 8" xfId="4032"/>
    <cellStyle name="Comma 13 7 9" xfId="4033"/>
    <cellStyle name="Comma 13 8" xfId="166"/>
    <cellStyle name="Comma 13 8 10" xfId="4034"/>
    <cellStyle name="Comma 13 8 11" xfId="4035"/>
    <cellStyle name="Comma 13 8 12" xfId="4036"/>
    <cellStyle name="Comma 13 8 13" xfId="4037"/>
    <cellStyle name="Comma 13 8 14" xfId="4038"/>
    <cellStyle name="Comma 13 8 15" xfId="4039"/>
    <cellStyle name="Comma 13 8 16" xfId="4040"/>
    <cellStyle name="Comma 13 8 17" xfId="4041"/>
    <cellStyle name="Comma 13 8 18" xfId="4042"/>
    <cellStyle name="Comma 13 8 19" xfId="4043"/>
    <cellStyle name="Comma 13 8 2" xfId="4044"/>
    <cellStyle name="Comma 13 8 20" xfId="4045"/>
    <cellStyle name="Comma 13 8 21" xfId="4046"/>
    <cellStyle name="Comma 13 8 22" xfId="4047"/>
    <cellStyle name="Comma 13 8 23" xfId="17525"/>
    <cellStyle name="Comma 13 8 24" xfId="17526"/>
    <cellStyle name="Comma 13 8 25" xfId="17527"/>
    <cellStyle name="Comma 13 8 26" xfId="17528"/>
    <cellStyle name="Comma 13 8 27" xfId="17529"/>
    <cellStyle name="Comma 13 8 28" xfId="17530"/>
    <cellStyle name="Comma 13 8 29" xfId="17531"/>
    <cellStyle name="Comma 13 8 3" xfId="4048"/>
    <cellStyle name="Comma 13 8 30" xfId="17532"/>
    <cellStyle name="Comma 13 8 31" xfId="17533"/>
    <cellStyle name="Comma 13 8 32" xfId="17534"/>
    <cellStyle name="Comma 13 8 33" xfId="17535"/>
    <cellStyle name="Comma 13 8 34" xfId="17536"/>
    <cellStyle name="Comma 13 8 35" xfId="17537"/>
    <cellStyle name="Comma 13 8 4" xfId="4049"/>
    <cellStyle name="Comma 13 8 5" xfId="4050"/>
    <cellStyle name="Comma 13 8 6" xfId="4051"/>
    <cellStyle name="Comma 13 8 7" xfId="4052"/>
    <cellStyle name="Comma 13 8 8" xfId="4053"/>
    <cellStyle name="Comma 13 8 9" xfId="4054"/>
    <cellStyle name="Comma 13 9" xfId="167"/>
    <cellStyle name="Comma 13 9 10" xfId="4055"/>
    <cellStyle name="Comma 13 9 11" xfId="4056"/>
    <cellStyle name="Comma 13 9 12" xfId="4057"/>
    <cellStyle name="Comma 13 9 13" xfId="4058"/>
    <cellStyle name="Comma 13 9 14" xfId="4059"/>
    <cellStyle name="Comma 13 9 15" xfId="4060"/>
    <cellStyle name="Comma 13 9 16" xfId="4061"/>
    <cellStyle name="Comma 13 9 17" xfId="4062"/>
    <cellStyle name="Comma 13 9 18" xfId="4063"/>
    <cellStyle name="Comma 13 9 19" xfId="4064"/>
    <cellStyle name="Comma 13 9 2" xfId="4065"/>
    <cellStyle name="Comma 13 9 20" xfId="4066"/>
    <cellStyle name="Comma 13 9 21" xfId="4067"/>
    <cellStyle name="Comma 13 9 22" xfId="4068"/>
    <cellStyle name="Comma 13 9 23" xfId="17538"/>
    <cellStyle name="Comma 13 9 24" xfId="17539"/>
    <cellStyle name="Comma 13 9 25" xfId="17540"/>
    <cellStyle name="Comma 13 9 26" xfId="17541"/>
    <cellStyle name="Comma 13 9 27" xfId="17542"/>
    <cellStyle name="Comma 13 9 28" xfId="17543"/>
    <cellStyle name="Comma 13 9 29" xfId="17544"/>
    <cellStyle name="Comma 13 9 3" xfId="4069"/>
    <cellStyle name="Comma 13 9 30" xfId="17545"/>
    <cellStyle name="Comma 13 9 31" xfId="17546"/>
    <cellStyle name="Comma 13 9 32" xfId="17547"/>
    <cellStyle name="Comma 13 9 33" xfId="17548"/>
    <cellStyle name="Comma 13 9 34" xfId="17549"/>
    <cellStyle name="Comma 13 9 35" xfId="17550"/>
    <cellStyle name="Comma 13 9 4" xfId="4070"/>
    <cellStyle name="Comma 13 9 5" xfId="4071"/>
    <cellStyle name="Comma 13 9 6" xfId="4072"/>
    <cellStyle name="Comma 13 9 7" xfId="4073"/>
    <cellStyle name="Comma 13 9 8" xfId="4074"/>
    <cellStyle name="Comma 13 9 9" xfId="4075"/>
    <cellStyle name="Comma 14" xfId="15"/>
    <cellStyle name="Comma 14 10" xfId="168"/>
    <cellStyle name="Comma 14 10 10" xfId="4076"/>
    <cellStyle name="Comma 14 10 11" xfId="4077"/>
    <cellStyle name="Comma 14 10 12" xfId="4078"/>
    <cellStyle name="Comma 14 10 13" xfId="4079"/>
    <cellStyle name="Comma 14 10 14" xfId="4080"/>
    <cellStyle name="Comma 14 10 15" xfId="4081"/>
    <cellStyle name="Comma 14 10 16" xfId="4082"/>
    <cellStyle name="Comma 14 10 17" xfId="4083"/>
    <cellStyle name="Comma 14 10 18" xfId="4084"/>
    <cellStyle name="Comma 14 10 19" xfId="4085"/>
    <cellStyle name="Comma 14 10 2" xfId="4086"/>
    <cellStyle name="Comma 14 10 20" xfId="4087"/>
    <cellStyle name="Comma 14 10 21" xfId="4088"/>
    <cellStyle name="Comma 14 10 22" xfId="4089"/>
    <cellStyle name="Comma 14 10 23" xfId="17551"/>
    <cellStyle name="Comma 14 10 24" xfId="17552"/>
    <cellStyle name="Comma 14 10 25" xfId="17553"/>
    <cellStyle name="Comma 14 10 26" xfId="17554"/>
    <cellStyle name="Comma 14 10 27" xfId="17555"/>
    <cellStyle name="Comma 14 10 28" xfId="17556"/>
    <cellStyle name="Comma 14 10 29" xfId="17557"/>
    <cellStyle name="Comma 14 10 3" xfId="4090"/>
    <cellStyle name="Comma 14 10 30" xfId="17558"/>
    <cellStyle name="Comma 14 10 31" xfId="17559"/>
    <cellStyle name="Comma 14 10 32" xfId="17560"/>
    <cellStyle name="Comma 14 10 33" xfId="17561"/>
    <cellStyle name="Comma 14 10 34" xfId="17562"/>
    <cellStyle name="Comma 14 10 35" xfId="17563"/>
    <cellStyle name="Comma 14 10 4" xfId="4091"/>
    <cellStyle name="Comma 14 10 5" xfId="4092"/>
    <cellStyle name="Comma 14 10 6" xfId="4093"/>
    <cellStyle name="Comma 14 10 7" xfId="4094"/>
    <cellStyle name="Comma 14 10 8" xfId="4095"/>
    <cellStyle name="Comma 14 10 9" xfId="4096"/>
    <cellStyle name="Comma 14 11" xfId="169"/>
    <cellStyle name="Comma 14 11 10" xfId="4097"/>
    <cellStyle name="Comma 14 11 11" xfId="4098"/>
    <cellStyle name="Comma 14 11 12" xfId="4099"/>
    <cellStyle name="Comma 14 11 13" xfId="4100"/>
    <cellStyle name="Comma 14 11 14" xfId="4101"/>
    <cellStyle name="Comma 14 11 15" xfId="4102"/>
    <cellStyle name="Comma 14 11 16" xfId="4103"/>
    <cellStyle name="Comma 14 11 17" xfId="4104"/>
    <cellStyle name="Comma 14 11 18" xfId="4105"/>
    <cellStyle name="Comma 14 11 19" xfId="4106"/>
    <cellStyle name="Comma 14 11 2" xfId="4107"/>
    <cellStyle name="Comma 14 11 20" xfId="4108"/>
    <cellStyle name="Comma 14 11 21" xfId="4109"/>
    <cellStyle name="Comma 14 11 22" xfId="4110"/>
    <cellStyle name="Comma 14 11 23" xfId="17564"/>
    <cellStyle name="Comma 14 11 24" xfId="17565"/>
    <cellStyle name="Comma 14 11 25" xfId="17566"/>
    <cellStyle name="Comma 14 11 26" xfId="17567"/>
    <cellStyle name="Comma 14 11 27" xfId="17568"/>
    <cellStyle name="Comma 14 11 28" xfId="17569"/>
    <cellStyle name="Comma 14 11 29" xfId="17570"/>
    <cellStyle name="Comma 14 11 3" xfId="4111"/>
    <cellStyle name="Comma 14 11 30" xfId="17571"/>
    <cellStyle name="Comma 14 11 31" xfId="17572"/>
    <cellStyle name="Comma 14 11 32" xfId="17573"/>
    <cellStyle name="Comma 14 11 33" xfId="17574"/>
    <cellStyle name="Comma 14 11 34" xfId="17575"/>
    <cellStyle name="Comma 14 11 35" xfId="17576"/>
    <cellStyle name="Comma 14 11 4" xfId="4112"/>
    <cellStyle name="Comma 14 11 5" xfId="4113"/>
    <cellStyle name="Comma 14 11 6" xfId="4114"/>
    <cellStyle name="Comma 14 11 7" xfId="4115"/>
    <cellStyle name="Comma 14 11 8" xfId="4116"/>
    <cellStyle name="Comma 14 11 9" xfId="4117"/>
    <cellStyle name="Comma 14 12" xfId="170"/>
    <cellStyle name="Comma 14 12 10" xfId="4118"/>
    <cellStyle name="Comma 14 12 11" xfId="4119"/>
    <cellStyle name="Comma 14 12 12" xfId="4120"/>
    <cellStyle name="Comma 14 12 13" xfId="4121"/>
    <cellStyle name="Comma 14 12 14" xfId="4122"/>
    <cellStyle name="Comma 14 12 15" xfId="4123"/>
    <cellStyle name="Comma 14 12 16" xfId="4124"/>
    <cellStyle name="Comma 14 12 17" xfId="4125"/>
    <cellStyle name="Comma 14 12 18" xfId="4126"/>
    <cellStyle name="Comma 14 12 19" xfId="4127"/>
    <cellStyle name="Comma 14 12 2" xfId="4128"/>
    <cellStyle name="Comma 14 12 20" xfId="4129"/>
    <cellStyle name="Comma 14 12 21" xfId="4130"/>
    <cellStyle name="Comma 14 12 22" xfId="4131"/>
    <cellStyle name="Comma 14 12 23" xfId="17577"/>
    <cellStyle name="Comma 14 12 24" xfId="17578"/>
    <cellStyle name="Comma 14 12 25" xfId="17579"/>
    <cellStyle name="Comma 14 12 26" xfId="17580"/>
    <cellStyle name="Comma 14 12 27" xfId="17581"/>
    <cellStyle name="Comma 14 12 28" xfId="17582"/>
    <cellStyle name="Comma 14 12 29" xfId="17583"/>
    <cellStyle name="Comma 14 12 3" xfId="4132"/>
    <cellStyle name="Comma 14 12 30" xfId="17584"/>
    <cellStyle name="Comma 14 12 31" xfId="17585"/>
    <cellStyle name="Comma 14 12 32" xfId="17586"/>
    <cellStyle name="Comma 14 12 33" xfId="17587"/>
    <cellStyle name="Comma 14 12 34" xfId="17588"/>
    <cellStyle name="Comma 14 12 35" xfId="17589"/>
    <cellStyle name="Comma 14 12 4" xfId="4133"/>
    <cellStyle name="Comma 14 12 5" xfId="4134"/>
    <cellStyle name="Comma 14 12 6" xfId="4135"/>
    <cellStyle name="Comma 14 12 7" xfId="4136"/>
    <cellStyle name="Comma 14 12 8" xfId="4137"/>
    <cellStyle name="Comma 14 12 9" xfId="4138"/>
    <cellStyle name="Comma 14 13" xfId="171"/>
    <cellStyle name="Comma 14 13 10" xfId="4139"/>
    <cellStyle name="Comma 14 13 11" xfId="4140"/>
    <cellStyle name="Comma 14 13 12" xfId="4141"/>
    <cellStyle name="Comma 14 13 13" xfId="4142"/>
    <cellStyle name="Comma 14 13 14" xfId="4143"/>
    <cellStyle name="Comma 14 13 15" xfId="4144"/>
    <cellStyle name="Comma 14 13 16" xfId="4145"/>
    <cellStyle name="Comma 14 13 17" xfId="4146"/>
    <cellStyle name="Comma 14 13 18" xfId="4147"/>
    <cellStyle name="Comma 14 13 19" xfId="4148"/>
    <cellStyle name="Comma 14 13 2" xfId="4149"/>
    <cellStyle name="Comma 14 13 20" xfId="4150"/>
    <cellStyle name="Comma 14 13 21" xfId="4151"/>
    <cellStyle name="Comma 14 13 22" xfId="4152"/>
    <cellStyle name="Comma 14 13 23" xfId="17590"/>
    <cellStyle name="Comma 14 13 24" xfId="17591"/>
    <cellStyle name="Comma 14 13 25" xfId="17592"/>
    <cellStyle name="Comma 14 13 26" xfId="17593"/>
    <cellStyle name="Comma 14 13 27" xfId="17594"/>
    <cellStyle name="Comma 14 13 28" xfId="17595"/>
    <cellStyle name="Comma 14 13 29" xfId="17596"/>
    <cellStyle name="Comma 14 13 3" xfId="4153"/>
    <cellStyle name="Comma 14 13 30" xfId="17597"/>
    <cellStyle name="Comma 14 13 31" xfId="17598"/>
    <cellStyle name="Comma 14 13 32" xfId="17599"/>
    <cellStyle name="Comma 14 13 33" xfId="17600"/>
    <cellStyle name="Comma 14 13 34" xfId="17601"/>
    <cellStyle name="Comma 14 13 35" xfId="17602"/>
    <cellStyle name="Comma 14 13 4" xfId="4154"/>
    <cellStyle name="Comma 14 13 5" xfId="4155"/>
    <cellStyle name="Comma 14 13 6" xfId="4156"/>
    <cellStyle name="Comma 14 13 7" xfId="4157"/>
    <cellStyle name="Comma 14 13 8" xfId="4158"/>
    <cellStyle name="Comma 14 13 9" xfId="4159"/>
    <cellStyle name="Comma 14 14" xfId="172"/>
    <cellStyle name="Comma 14 14 10" xfId="4160"/>
    <cellStyle name="Comma 14 14 11" xfId="4161"/>
    <cellStyle name="Comma 14 14 12" xfId="4162"/>
    <cellStyle name="Comma 14 14 13" xfId="4163"/>
    <cellStyle name="Comma 14 14 14" xfId="4164"/>
    <cellStyle name="Comma 14 14 15" xfId="4165"/>
    <cellStyle name="Comma 14 14 16" xfId="4166"/>
    <cellStyle name="Comma 14 14 17" xfId="4167"/>
    <cellStyle name="Comma 14 14 18" xfId="4168"/>
    <cellStyle name="Comma 14 14 19" xfId="4169"/>
    <cellStyle name="Comma 14 14 2" xfId="4170"/>
    <cellStyle name="Comma 14 14 20" xfId="4171"/>
    <cellStyle name="Comma 14 14 21" xfId="4172"/>
    <cellStyle name="Comma 14 14 22" xfId="4173"/>
    <cellStyle name="Comma 14 14 23" xfId="17603"/>
    <cellStyle name="Comma 14 14 24" xfId="17604"/>
    <cellStyle name="Comma 14 14 25" xfId="17605"/>
    <cellStyle name="Comma 14 14 26" xfId="17606"/>
    <cellStyle name="Comma 14 14 27" xfId="17607"/>
    <cellStyle name="Comma 14 14 28" xfId="17608"/>
    <cellStyle name="Comma 14 14 29" xfId="17609"/>
    <cellStyle name="Comma 14 14 3" xfId="4174"/>
    <cellStyle name="Comma 14 14 30" xfId="17610"/>
    <cellStyle name="Comma 14 14 31" xfId="17611"/>
    <cellStyle name="Comma 14 14 32" xfId="17612"/>
    <cellStyle name="Comma 14 14 33" xfId="17613"/>
    <cellStyle name="Comma 14 14 34" xfId="17614"/>
    <cellStyle name="Comma 14 14 35" xfId="17615"/>
    <cellStyle name="Comma 14 14 4" xfId="4175"/>
    <cellStyle name="Comma 14 14 5" xfId="4176"/>
    <cellStyle name="Comma 14 14 6" xfId="4177"/>
    <cellStyle name="Comma 14 14 7" xfId="4178"/>
    <cellStyle name="Comma 14 14 8" xfId="4179"/>
    <cellStyle name="Comma 14 14 9" xfId="4180"/>
    <cellStyle name="Comma 14 15" xfId="173"/>
    <cellStyle name="Comma 14 16" xfId="941"/>
    <cellStyle name="Comma 14 17" xfId="938"/>
    <cellStyle name="Comma 14 18" xfId="987"/>
    <cellStyle name="Comma 14 19" xfId="1020"/>
    <cellStyle name="Comma 14 2" xfId="112"/>
    <cellStyle name="Comma 14 2 10" xfId="4181"/>
    <cellStyle name="Comma 14 2 11" xfId="4182"/>
    <cellStyle name="Comma 14 2 12" xfId="4183"/>
    <cellStyle name="Comma 14 2 13" xfId="4184"/>
    <cellStyle name="Comma 14 2 14" xfId="4185"/>
    <cellStyle name="Comma 14 2 15" xfId="4186"/>
    <cellStyle name="Comma 14 2 16" xfId="4187"/>
    <cellStyle name="Comma 14 2 17" xfId="4188"/>
    <cellStyle name="Comma 14 2 18" xfId="4189"/>
    <cellStyle name="Comma 14 2 19" xfId="4190"/>
    <cellStyle name="Comma 14 2 2" xfId="4191"/>
    <cellStyle name="Comma 14 2 20" xfId="4192"/>
    <cellStyle name="Comma 14 2 21" xfId="4193"/>
    <cellStyle name="Comma 14 2 22" xfId="4194"/>
    <cellStyle name="Comma 14 2 23" xfId="17616"/>
    <cellStyle name="Comma 14 2 24" xfId="17617"/>
    <cellStyle name="Comma 14 2 25" xfId="17618"/>
    <cellStyle name="Comma 14 2 26" xfId="17619"/>
    <cellStyle name="Comma 14 2 27" xfId="17620"/>
    <cellStyle name="Comma 14 2 28" xfId="17621"/>
    <cellStyle name="Comma 14 2 29" xfId="17622"/>
    <cellStyle name="Comma 14 2 3" xfId="4195"/>
    <cellStyle name="Comma 14 2 30" xfId="17623"/>
    <cellStyle name="Comma 14 2 31" xfId="17624"/>
    <cellStyle name="Comma 14 2 32" xfId="17625"/>
    <cellStyle name="Comma 14 2 33" xfId="17626"/>
    <cellStyle name="Comma 14 2 34" xfId="17627"/>
    <cellStyle name="Comma 14 2 35" xfId="17628"/>
    <cellStyle name="Comma 14 2 4" xfId="4196"/>
    <cellStyle name="Comma 14 2 5" xfId="4197"/>
    <cellStyle name="Comma 14 2 6" xfId="4198"/>
    <cellStyle name="Comma 14 2 7" xfId="4199"/>
    <cellStyle name="Comma 14 2 8" xfId="4200"/>
    <cellStyle name="Comma 14 2 9" xfId="4201"/>
    <cellStyle name="Comma 14 20" xfId="1052"/>
    <cellStyle name="Comma 14 21" xfId="1084"/>
    <cellStyle name="Comma 14 22" xfId="1139"/>
    <cellStyle name="Comma 14 23" xfId="1136"/>
    <cellStyle name="Comma 14 24" xfId="1186"/>
    <cellStyle name="Comma 14 25" xfId="1218"/>
    <cellStyle name="Comma 14 26" xfId="1251"/>
    <cellStyle name="Comma 14 27" xfId="1284"/>
    <cellStyle name="Comma 14 28" xfId="1317"/>
    <cellStyle name="Comma 14 29" xfId="1349"/>
    <cellStyle name="Comma 14 3" xfId="174"/>
    <cellStyle name="Comma 14 3 10" xfId="4202"/>
    <cellStyle name="Comma 14 3 11" xfId="4203"/>
    <cellStyle name="Comma 14 3 12" xfId="4204"/>
    <cellStyle name="Comma 14 3 13" xfId="4205"/>
    <cellStyle name="Comma 14 3 14" xfId="4206"/>
    <cellStyle name="Comma 14 3 15" xfId="4207"/>
    <cellStyle name="Comma 14 3 16" xfId="4208"/>
    <cellStyle name="Comma 14 3 17" xfId="4209"/>
    <cellStyle name="Comma 14 3 18" xfId="4210"/>
    <cellStyle name="Comma 14 3 19" xfId="4211"/>
    <cellStyle name="Comma 14 3 2" xfId="4212"/>
    <cellStyle name="Comma 14 3 20" xfId="4213"/>
    <cellStyle name="Comma 14 3 21" xfId="4214"/>
    <cellStyle name="Comma 14 3 22" xfId="4215"/>
    <cellStyle name="Comma 14 3 23" xfId="17629"/>
    <cellStyle name="Comma 14 3 24" xfId="17630"/>
    <cellStyle name="Comma 14 3 25" xfId="17631"/>
    <cellStyle name="Comma 14 3 26" xfId="17632"/>
    <cellStyle name="Comma 14 3 27" xfId="17633"/>
    <cellStyle name="Comma 14 3 28" xfId="17634"/>
    <cellStyle name="Comma 14 3 29" xfId="17635"/>
    <cellStyle name="Comma 14 3 3" xfId="4216"/>
    <cellStyle name="Comma 14 3 30" xfId="17636"/>
    <cellStyle name="Comma 14 3 31" xfId="17637"/>
    <cellStyle name="Comma 14 3 32" xfId="17638"/>
    <cellStyle name="Comma 14 3 33" xfId="17639"/>
    <cellStyle name="Comma 14 3 34" xfId="17640"/>
    <cellStyle name="Comma 14 3 35" xfId="17641"/>
    <cellStyle name="Comma 14 3 4" xfId="4217"/>
    <cellStyle name="Comma 14 3 5" xfId="4218"/>
    <cellStyle name="Comma 14 3 6" xfId="4219"/>
    <cellStyle name="Comma 14 3 7" xfId="4220"/>
    <cellStyle name="Comma 14 3 8" xfId="4221"/>
    <cellStyle name="Comma 14 3 9" xfId="4222"/>
    <cellStyle name="Comma 14 30" xfId="1401"/>
    <cellStyle name="Comma 14 31" xfId="1574"/>
    <cellStyle name="Comma 14 32" xfId="1627"/>
    <cellStyle name="Comma 14 33" xfId="1679"/>
    <cellStyle name="Comma 14 34" xfId="1703"/>
    <cellStyle name="Comma 14 35" xfId="1842"/>
    <cellStyle name="Comma 14 36" xfId="2102"/>
    <cellStyle name="Comma 14 37" xfId="2756"/>
    <cellStyle name="Comma 14 38" xfId="2246"/>
    <cellStyle name="Comma 14 39" xfId="2944"/>
    <cellStyle name="Comma 14 4" xfId="175"/>
    <cellStyle name="Comma 14 4 10" xfId="4223"/>
    <cellStyle name="Comma 14 4 11" xfId="4224"/>
    <cellStyle name="Comma 14 4 12" xfId="4225"/>
    <cellStyle name="Comma 14 4 13" xfId="4226"/>
    <cellStyle name="Comma 14 4 14" xfId="4227"/>
    <cellStyle name="Comma 14 4 15" xfId="4228"/>
    <cellStyle name="Comma 14 4 16" xfId="4229"/>
    <cellStyle name="Comma 14 4 17" xfId="4230"/>
    <cellStyle name="Comma 14 4 18" xfId="4231"/>
    <cellStyle name="Comma 14 4 19" xfId="4232"/>
    <cellStyle name="Comma 14 4 2" xfId="4233"/>
    <cellStyle name="Comma 14 4 20" xfId="4234"/>
    <cellStyle name="Comma 14 4 21" xfId="4235"/>
    <cellStyle name="Comma 14 4 22" xfId="4236"/>
    <cellStyle name="Comma 14 4 23" xfId="17642"/>
    <cellStyle name="Comma 14 4 24" xfId="17643"/>
    <cellStyle name="Comma 14 4 25" xfId="17644"/>
    <cellStyle name="Comma 14 4 26" xfId="17645"/>
    <cellStyle name="Comma 14 4 27" xfId="17646"/>
    <cellStyle name="Comma 14 4 28" xfId="17647"/>
    <cellStyle name="Comma 14 4 29" xfId="17648"/>
    <cellStyle name="Comma 14 4 3" xfId="4237"/>
    <cellStyle name="Comma 14 4 30" xfId="17649"/>
    <cellStyle name="Comma 14 4 31" xfId="17650"/>
    <cellStyle name="Comma 14 4 32" xfId="17651"/>
    <cellStyle name="Comma 14 4 33" xfId="17652"/>
    <cellStyle name="Comma 14 4 34" xfId="17653"/>
    <cellStyle name="Comma 14 4 35" xfId="17654"/>
    <cellStyle name="Comma 14 4 4" xfId="4238"/>
    <cellStyle name="Comma 14 4 5" xfId="4239"/>
    <cellStyle name="Comma 14 4 6" xfId="4240"/>
    <cellStyle name="Comma 14 4 7" xfId="4241"/>
    <cellStyle name="Comma 14 4 8" xfId="4242"/>
    <cellStyle name="Comma 14 4 9" xfId="4243"/>
    <cellStyle name="Comma 14 40" xfId="3024"/>
    <cellStyle name="Comma 14 41" xfId="3087"/>
    <cellStyle name="Comma 14 42" xfId="3113"/>
    <cellStyle name="Comma 14 43" xfId="17655"/>
    <cellStyle name="Comma 14 44" xfId="17656"/>
    <cellStyle name="Comma 14 45" xfId="17657"/>
    <cellStyle name="Comma 14 46" xfId="17658"/>
    <cellStyle name="Comma 14 47" xfId="17659"/>
    <cellStyle name="Comma 14 48" xfId="17660"/>
    <cellStyle name="Comma 14 49" xfId="17661"/>
    <cellStyle name="Comma 14 5" xfId="176"/>
    <cellStyle name="Comma 14 5 10" xfId="4244"/>
    <cellStyle name="Comma 14 5 11" xfId="4245"/>
    <cellStyle name="Comma 14 5 12" xfId="4246"/>
    <cellStyle name="Comma 14 5 13" xfId="4247"/>
    <cellStyle name="Comma 14 5 14" xfId="4248"/>
    <cellStyle name="Comma 14 5 15" xfId="4249"/>
    <cellStyle name="Comma 14 5 16" xfId="4250"/>
    <cellStyle name="Comma 14 5 17" xfId="4251"/>
    <cellStyle name="Comma 14 5 18" xfId="4252"/>
    <cellStyle name="Comma 14 5 19" xfId="4253"/>
    <cellStyle name="Comma 14 5 2" xfId="4254"/>
    <cellStyle name="Comma 14 5 20" xfId="4255"/>
    <cellStyle name="Comma 14 5 21" xfId="4256"/>
    <cellStyle name="Comma 14 5 22" xfId="4257"/>
    <cellStyle name="Comma 14 5 23" xfId="17662"/>
    <cellStyle name="Comma 14 5 24" xfId="17663"/>
    <cellStyle name="Comma 14 5 25" xfId="17664"/>
    <cellStyle name="Comma 14 5 26" xfId="17665"/>
    <cellStyle name="Comma 14 5 27" xfId="17666"/>
    <cellStyle name="Comma 14 5 28" xfId="17667"/>
    <cellStyle name="Comma 14 5 29" xfId="17668"/>
    <cellStyle name="Comma 14 5 3" xfId="4258"/>
    <cellStyle name="Comma 14 5 30" xfId="17669"/>
    <cellStyle name="Comma 14 5 31" xfId="17670"/>
    <cellStyle name="Comma 14 5 32" xfId="17671"/>
    <cellStyle name="Comma 14 5 33" xfId="17672"/>
    <cellStyle name="Comma 14 5 34" xfId="17673"/>
    <cellStyle name="Comma 14 5 35" xfId="17674"/>
    <cellStyle name="Comma 14 5 4" xfId="4259"/>
    <cellStyle name="Comma 14 5 5" xfId="4260"/>
    <cellStyle name="Comma 14 5 6" xfId="4261"/>
    <cellStyle name="Comma 14 5 7" xfId="4262"/>
    <cellStyle name="Comma 14 5 8" xfId="4263"/>
    <cellStyle name="Comma 14 5 9" xfId="4264"/>
    <cellStyle name="Comma 14 50" xfId="17675"/>
    <cellStyle name="Comma 14 6" xfId="177"/>
    <cellStyle name="Comma 14 6 10" xfId="4265"/>
    <cellStyle name="Comma 14 6 11" xfId="4266"/>
    <cellStyle name="Comma 14 6 12" xfId="4267"/>
    <cellStyle name="Comma 14 6 13" xfId="4268"/>
    <cellStyle name="Comma 14 6 14" xfId="4269"/>
    <cellStyle name="Comma 14 6 15" xfId="4270"/>
    <cellStyle name="Comma 14 6 16" xfId="4271"/>
    <cellStyle name="Comma 14 6 17" xfId="4272"/>
    <cellStyle name="Comma 14 6 18" xfId="4273"/>
    <cellStyle name="Comma 14 6 19" xfId="4274"/>
    <cellStyle name="Comma 14 6 2" xfId="4275"/>
    <cellStyle name="Comma 14 6 20" xfId="4276"/>
    <cellStyle name="Comma 14 6 21" xfId="4277"/>
    <cellStyle name="Comma 14 6 22" xfId="4278"/>
    <cellStyle name="Comma 14 6 23" xfId="17676"/>
    <cellStyle name="Comma 14 6 24" xfId="17677"/>
    <cellStyle name="Comma 14 6 25" xfId="17678"/>
    <cellStyle name="Comma 14 6 26" xfId="17679"/>
    <cellStyle name="Comma 14 6 27" xfId="17680"/>
    <cellStyle name="Comma 14 6 28" xfId="17681"/>
    <cellStyle name="Comma 14 6 29" xfId="17682"/>
    <cellStyle name="Comma 14 6 3" xfId="4279"/>
    <cellStyle name="Comma 14 6 30" xfId="17683"/>
    <cellStyle name="Comma 14 6 31" xfId="17684"/>
    <cellStyle name="Comma 14 6 32" xfId="17685"/>
    <cellStyle name="Comma 14 6 33" xfId="17686"/>
    <cellStyle name="Comma 14 6 34" xfId="17687"/>
    <cellStyle name="Comma 14 6 35" xfId="17688"/>
    <cellStyle name="Comma 14 6 4" xfId="4280"/>
    <cellStyle name="Comma 14 6 5" xfId="4281"/>
    <cellStyle name="Comma 14 6 6" xfId="4282"/>
    <cellStyle name="Comma 14 6 7" xfId="4283"/>
    <cellStyle name="Comma 14 6 8" xfId="4284"/>
    <cellStyle name="Comma 14 6 9" xfId="4285"/>
    <cellStyle name="Comma 14 7" xfId="178"/>
    <cellStyle name="Comma 14 7 10" xfId="4286"/>
    <cellStyle name="Comma 14 7 11" xfId="4287"/>
    <cellStyle name="Comma 14 7 12" xfId="4288"/>
    <cellStyle name="Comma 14 7 13" xfId="4289"/>
    <cellStyle name="Comma 14 7 14" xfId="4290"/>
    <cellStyle name="Comma 14 7 15" xfId="4291"/>
    <cellStyle name="Comma 14 7 16" xfId="4292"/>
    <cellStyle name="Comma 14 7 17" xfId="4293"/>
    <cellStyle name="Comma 14 7 18" xfId="4294"/>
    <cellStyle name="Comma 14 7 19" xfId="4295"/>
    <cellStyle name="Comma 14 7 2" xfId="4296"/>
    <cellStyle name="Comma 14 7 20" xfId="4297"/>
    <cellStyle name="Comma 14 7 21" xfId="4298"/>
    <cellStyle name="Comma 14 7 22" xfId="4299"/>
    <cellStyle name="Comma 14 7 23" xfId="17689"/>
    <cellStyle name="Comma 14 7 24" xfId="17690"/>
    <cellStyle name="Comma 14 7 25" xfId="17691"/>
    <cellStyle name="Comma 14 7 26" xfId="17692"/>
    <cellStyle name="Comma 14 7 27" xfId="17693"/>
    <cellStyle name="Comma 14 7 28" xfId="17694"/>
    <cellStyle name="Comma 14 7 29" xfId="17695"/>
    <cellStyle name="Comma 14 7 3" xfId="4300"/>
    <cellStyle name="Comma 14 7 30" xfId="17696"/>
    <cellStyle name="Comma 14 7 31" xfId="17697"/>
    <cellStyle name="Comma 14 7 32" xfId="17698"/>
    <cellStyle name="Comma 14 7 33" xfId="17699"/>
    <cellStyle name="Comma 14 7 34" xfId="17700"/>
    <cellStyle name="Comma 14 7 35" xfId="17701"/>
    <cellStyle name="Comma 14 7 4" xfId="4301"/>
    <cellStyle name="Comma 14 7 5" xfId="4302"/>
    <cellStyle name="Comma 14 7 6" xfId="4303"/>
    <cellStyle name="Comma 14 7 7" xfId="4304"/>
    <cellStyle name="Comma 14 7 8" xfId="4305"/>
    <cellStyle name="Comma 14 7 9" xfId="4306"/>
    <cellStyle name="Comma 14 8" xfId="179"/>
    <cellStyle name="Comma 14 8 10" xfId="4307"/>
    <cellStyle name="Comma 14 8 11" xfId="4308"/>
    <cellStyle name="Comma 14 8 12" xfId="4309"/>
    <cellStyle name="Comma 14 8 13" xfId="4310"/>
    <cellStyle name="Comma 14 8 14" xfId="4311"/>
    <cellStyle name="Comma 14 8 15" xfId="4312"/>
    <cellStyle name="Comma 14 8 16" xfId="4313"/>
    <cellStyle name="Comma 14 8 17" xfId="4314"/>
    <cellStyle name="Comma 14 8 18" xfId="4315"/>
    <cellStyle name="Comma 14 8 19" xfId="4316"/>
    <cellStyle name="Comma 14 8 2" xfId="4317"/>
    <cellStyle name="Comma 14 8 20" xfId="4318"/>
    <cellStyle name="Comma 14 8 21" xfId="4319"/>
    <cellStyle name="Comma 14 8 22" xfId="4320"/>
    <cellStyle name="Comma 14 8 23" xfId="17702"/>
    <cellStyle name="Comma 14 8 24" xfId="17703"/>
    <cellStyle name="Comma 14 8 25" xfId="17704"/>
    <cellStyle name="Comma 14 8 26" xfId="17705"/>
    <cellStyle name="Comma 14 8 27" xfId="17706"/>
    <cellStyle name="Comma 14 8 28" xfId="17707"/>
    <cellStyle name="Comma 14 8 29" xfId="17708"/>
    <cellStyle name="Comma 14 8 3" xfId="4321"/>
    <cellStyle name="Comma 14 8 30" xfId="17709"/>
    <cellStyle name="Comma 14 8 31" xfId="17710"/>
    <cellStyle name="Comma 14 8 32" xfId="17711"/>
    <cellStyle name="Comma 14 8 33" xfId="17712"/>
    <cellStyle name="Comma 14 8 34" xfId="17713"/>
    <cellStyle name="Comma 14 8 35" xfId="17714"/>
    <cellStyle name="Comma 14 8 4" xfId="4322"/>
    <cellStyle name="Comma 14 8 5" xfId="4323"/>
    <cellStyle name="Comma 14 8 6" xfId="4324"/>
    <cellStyle name="Comma 14 8 7" xfId="4325"/>
    <cellStyle name="Comma 14 8 8" xfId="4326"/>
    <cellStyle name="Comma 14 8 9" xfId="4327"/>
    <cellStyle name="Comma 14 9" xfId="180"/>
    <cellStyle name="Comma 14 9 10" xfId="4328"/>
    <cellStyle name="Comma 14 9 11" xfId="4329"/>
    <cellStyle name="Comma 14 9 12" xfId="4330"/>
    <cellStyle name="Comma 14 9 13" xfId="4331"/>
    <cellStyle name="Comma 14 9 14" xfId="4332"/>
    <cellStyle name="Comma 14 9 15" xfId="4333"/>
    <cellStyle name="Comma 14 9 16" xfId="4334"/>
    <cellStyle name="Comma 14 9 17" xfId="4335"/>
    <cellStyle name="Comma 14 9 18" xfId="4336"/>
    <cellStyle name="Comma 14 9 19" xfId="4337"/>
    <cellStyle name="Comma 14 9 2" xfId="4338"/>
    <cellStyle name="Comma 14 9 20" xfId="4339"/>
    <cellStyle name="Comma 14 9 21" xfId="4340"/>
    <cellStyle name="Comma 14 9 22" xfId="4341"/>
    <cellStyle name="Comma 14 9 23" xfId="17715"/>
    <cellStyle name="Comma 14 9 24" xfId="17716"/>
    <cellStyle name="Comma 14 9 25" xfId="17717"/>
    <cellStyle name="Comma 14 9 26" xfId="17718"/>
    <cellStyle name="Comma 14 9 27" xfId="17719"/>
    <cellStyle name="Comma 14 9 28" xfId="17720"/>
    <cellStyle name="Comma 14 9 29" xfId="17721"/>
    <cellStyle name="Comma 14 9 3" xfId="4342"/>
    <cellStyle name="Comma 14 9 30" xfId="17722"/>
    <cellStyle name="Comma 14 9 31" xfId="17723"/>
    <cellStyle name="Comma 14 9 32" xfId="17724"/>
    <cellStyle name="Comma 14 9 33" xfId="17725"/>
    <cellStyle name="Comma 14 9 34" xfId="17726"/>
    <cellStyle name="Comma 14 9 35" xfId="17727"/>
    <cellStyle name="Comma 14 9 4" xfId="4343"/>
    <cellStyle name="Comma 14 9 5" xfId="4344"/>
    <cellStyle name="Comma 14 9 6" xfId="4345"/>
    <cellStyle name="Comma 14 9 7" xfId="4346"/>
    <cellStyle name="Comma 14 9 8" xfId="4347"/>
    <cellStyle name="Comma 14 9 9" xfId="4348"/>
    <cellStyle name="Comma 15" xfId="16"/>
    <cellStyle name="Comma 15 10" xfId="181"/>
    <cellStyle name="Comma 15 10 10" xfId="4349"/>
    <cellStyle name="Comma 15 10 11" xfId="4350"/>
    <cellStyle name="Comma 15 10 12" xfId="4351"/>
    <cellStyle name="Comma 15 10 13" xfId="4352"/>
    <cellStyle name="Comma 15 10 14" xfId="4353"/>
    <cellStyle name="Comma 15 10 15" xfId="4354"/>
    <cellStyle name="Comma 15 10 16" xfId="4355"/>
    <cellStyle name="Comma 15 10 17" xfId="4356"/>
    <cellStyle name="Comma 15 10 18" xfId="4357"/>
    <cellStyle name="Comma 15 10 19" xfId="4358"/>
    <cellStyle name="Comma 15 10 2" xfId="4359"/>
    <cellStyle name="Comma 15 10 20" xfId="4360"/>
    <cellStyle name="Comma 15 10 21" xfId="4361"/>
    <cellStyle name="Comma 15 10 22" xfId="4362"/>
    <cellStyle name="Comma 15 10 23" xfId="17728"/>
    <cellStyle name="Comma 15 10 24" xfId="17729"/>
    <cellStyle name="Comma 15 10 25" xfId="17730"/>
    <cellStyle name="Comma 15 10 26" xfId="17731"/>
    <cellStyle name="Comma 15 10 27" xfId="17732"/>
    <cellStyle name="Comma 15 10 28" xfId="17733"/>
    <cellStyle name="Comma 15 10 29" xfId="17734"/>
    <cellStyle name="Comma 15 10 3" xfId="4363"/>
    <cellStyle name="Comma 15 10 30" xfId="17735"/>
    <cellStyle name="Comma 15 10 31" xfId="17736"/>
    <cellStyle name="Comma 15 10 32" xfId="17737"/>
    <cellStyle name="Comma 15 10 33" xfId="17738"/>
    <cellStyle name="Comma 15 10 34" xfId="17739"/>
    <cellStyle name="Comma 15 10 35" xfId="17740"/>
    <cellStyle name="Comma 15 10 4" xfId="4364"/>
    <cellStyle name="Comma 15 10 5" xfId="4365"/>
    <cellStyle name="Comma 15 10 6" xfId="4366"/>
    <cellStyle name="Comma 15 10 7" xfId="4367"/>
    <cellStyle name="Comma 15 10 8" xfId="4368"/>
    <cellStyle name="Comma 15 10 9" xfId="4369"/>
    <cellStyle name="Comma 15 11" xfId="182"/>
    <cellStyle name="Comma 15 11 10" xfId="4370"/>
    <cellStyle name="Comma 15 11 11" xfId="4371"/>
    <cellStyle name="Comma 15 11 12" xfId="4372"/>
    <cellStyle name="Comma 15 11 13" xfId="4373"/>
    <cellStyle name="Comma 15 11 14" xfId="4374"/>
    <cellStyle name="Comma 15 11 15" xfId="4375"/>
    <cellStyle name="Comma 15 11 16" xfId="4376"/>
    <cellStyle name="Comma 15 11 17" xfId="4377"/>
    <cellStyle name="Comma 15 11 18" xfId="4378"/>
    <cellStyle name="Comma 15 11 19" xfId="4379"/>
    <cellStyle name="Comma 15 11 2" xfId="4380"/>
    <cellStyle name="Comma 15 11 20" xfId="4381"/>
    <cellStyle name="Comma 15 11 21" xfId="4382"/>
    <cellStyle name="Comma 15 11 22" xfId="4383"/>
    <cellStyle name="Comma 15 11 23" xfId="17741"/>
    <cellStyle name="Comma 15 11 24" xfId="17742"/>
    <cellStyle name="Comma 15 11 25" xfId="17743"/>
    <cellStyle name="Comma 15 11 26" xfId="17744"/>
    <cellStyle name="Comma 15 11 27" xfId="17745"/>
    <cellStyle name="Comma 15 11 28" xfId="17746"/>
    <cellStyle name="Comma 15 11 29" xfId="17747"/>
    <cellStyle name="Comma 15 11 3" xfId="4384"/>
    <cellStyle name="Comma 15 11 30" xfId="17748"/>
    <cellStyle name="Comma 15 11 31" xfId="17749"/>
    <cellStyle name="Comma 15 11 32" xfId="17750"/>
    <cellStyle name="Comma 15 11 33" xfId="17751"/>
    <cellStyle name="Comma 15 11 34" xfId="17752"/>
    <cellStyle name="Comma 15 11 35" xfId="17753"/>
    <cellStyle name="Comma 15 11 4" xfId="4385"/>
    <cellStyle name="Comma 15 11 5" xfId="4386"/>
    <cellStyle name="Comma 15 11 6" xfId="4387"/>
    <cellStyle name="Comma 15 11 7" xfId="4388"/>
    <cellStyle name="Comma 15 11 8" xfId="4389"/>
    <cellStyle name="Comma 15 11 9" xfId="4390"/>
    <cellStyle name="Comma 15 12" xfId="183"/>
    <cellStyle name="Comma 15 12 10" xfId="4391"/>
    <cellStyle name="Comma 15 12 11" xfId="4392"/>
    <cellStyle name="Comma 15 12 12" xfId="4393"/>
    <cellStyle name="Comma 15 12 13" xfId="4394"/>
    <cellStyle name="Comma 15 12 14" xfId="4395"/>
    <cellStyle name="Comma 15 12 15" xfId="4396"/>
    <cellStyle name="Comma 15 12 16" xfId="4397"/>
    <cellStyle name="Comma 15 12 17" xfId="4398"/>
    <cellStyle name="Comma 15 12 18" xfId="4399"/>
    <cellStyle name="Comma 15 12 19" xfId="4400"/>
    <cellStyle name="Comma 15 12 2" xfId="4401"/>
    <cellStyle name="Comma 15 12 20" xfId="4402"/>
    <cellStyle name="Comma 15 12 21" xfId="4403"/>
    <cellStyle name="Comma 15 12 22" xfId="4404"/>
    <cellStyle name="Comma 15 12 23" xfId="17754"/>
    <cellStyle name="Comma 15 12 24" xfId="17755"/>
    <cellStyle name="Comma 15 12 25" xfId="17756"/>
    <cellStyle name="Comma 15 12 26" xfId="17757"/>
    <cellStyle name="Comma 15 12 27" xfId="17758"/>
    <cellStyle name="Comma 15 12 28" xfId="17759"/>
    <cellStyle name="Comma 15 12 29" xfId="17760"/>
    <cellStyle name="Comma 15 12 3" xfId="4405"/>
    <cellStyle name="Comma 15 12 30" xfId="17761"/>
    <cellStyle name="Comma 15 12 31" xfId="17762"/>
    <cellStyle name="Comma 15 12 32" xfId="17763"/>
    <cellStyle name="Comma 15 12 33" xfId="17764"/>
    <cellStyle name="Comma 15 12 34" xfId="17765"/>
    <cellStyle name="Comma 15 12 35" xfId="17766"/>
    <cellStyle name="Comma 15 12 4" xfId="4406"/>
    <cellStyle name="Comma 15 12 5" xfId="4407"/>
    <cellStyle name="Comma 15 12 6" xfId="4408"/>
    <cellStyle name="Comma 15 12 7" xfId="4409"/>
    <cellStyle name="Comma 15 12 8" xfId="4410"/>
    <cellStyle name="Comma 15 12 9" xfId="4411"/>
    <cellStyle name="Comma 15 13" xfId="184"/>
    <cellStyle name="Comma 15 13 10" xfId="4412"/>
    <cellStyle name="Comma 15 13 11" xfId="4413"/>
    <cellStyle name="Comma 15 13 12" xfId="4414"/>
    <cellStyle name="Comma 15 13 13" xfId="4415"/>
    <cellStyle name="Comma 15 13 14" xfId="4416"/>
    <cellStyle name="Comma 15 13 15" xfId="4417"/>
    <cellStyle name="Comma 15 13 16" xfId="4418"/>
    <cellStyle name="Comma 15 13 17" xfId="4419"/>
    <cellStyle name="Comma 15 13 18" xfId="4420"/>
    <cellStyle name="Comma 15 13 19" xfId="4421"/>
    <cellStyle name="Comma 15 13 2" xfId="4422"/>
    <cellStyle name="Comma 15 13 20" xfId="4423"/>
    <cellStyle name="Comma 15 13 21" xfId="4424"/>
    <cellStyle name="Comma 15 13 22" xfId="4425"/>
    <cellStyle name="Comma 15 13 23" xfId="17767"/>
    <cellStyle name="Comma 15 13 24" xfId="17768"/>
    <cellStyle name="Comma 15 13 25" xfId="17769"/>
    <cellStyle name="Comma 15 13 26" xfId="17770"/>
    <cellStyle name="Comma 15 13 27" xfId="17771"/>
    <cellStyle name="Comma 15 13 28" xfId="17772"/>
    <cellStyle name="Comma 15 13 29" xfId="17773"/>
    <cellStyle name="Comma 15 13 3" xfId="4426"/>
    <cellStyle name="Comma 15 13 30" xfId="17774"/>
    <cellStyle name="Comma 15 13 31" xfId="17775"/>
    <cellStyle name="Comma 15 13 32" xfId="17776"/>
    <cellStyle name="Comma 15 13 33" xfId="17777"/>
    <cellStyle name="Comma 15 13 34" xfId="17778"/>
    <cellStyle name="Comma 15 13 35" xfId="17779"/>
    <cellStyle name="Comma 15 13 4" xfId="4427"/>
    <cellStyle name="Comma 15 13 5" xfId="4428"/>
    <cellStyle name="Comma 15 13 6" xfId="4429"/>
    <cellStyle name="Comma 15 13 7" xfId="4430"/>
    <cellStyle name="Comma 15 13 8" xfId="4431"/>
    <cellStyle name="Comma 15 13 9" xfId="4432"/>
    <cellStyle name="Comma 15 14" xfId="185"/>
    <cellStyle name="Comma 15 14 10" xfId="4433"/>
    <cellStyle name="Comma 15 14 11" xfId="4434"/>
    <cellStyle name="Comma 15 14 12" xfId="4435"/>
    <cellStyle name="Comma 15 14 13" xfId="4436"/>
    <cellStyle name="Comma 15 14 14" xfId="4437"/>
    <cellStyle name="Comma 15 14 15" xfId="4438"/>
    <cellStyle name="Comma 15 14 16" xfId="4439"/>
    <cellStyle name="Comma 15 14 17" xfId="4440"/>
    <cellStyle name="Comma 15 14 18" xfId="4441"/>
    <cellStyle name="Comma 15 14 19" xfId="4442"/>
    <cellStyle name="Comma 15 14 2" xfId="4443"/>
    <cellStyle name="Comma 15 14 20" xfId="4444"/>
    <cellStyle name="Comma 15 14 21" xfId="4445"/>
    <cellStyle name="Comma 15 14 22" xfId="4446"/>
    <cellStyle name="Comma 15 14 23" xfId="17780"/>
    <cellStyle name="Comma 15 14 24" xfId="17781"/>
    <cellStyle name="Comma 15 14 25" xfId="17782"/>
    <cellStyle name="Comma 15 14 26" xfId="17783"/>
    <cellStyle name="Comma 15 14 27" xfId="17784"/>
    <cellStyle name="Comma 15 14 28" xfId="17785"/>
    <cellStyle name="Comma 15 14 29" xfId="17786"/>
    <cellStyle name="Comma 15 14 3" xfId="4447"/>
    <cellStyle name="Comma 15 14 30" xfId="17787"/>
    <cellStyle name="Comma 15 14 31" xfId="17788"/>
    <cellStyle name="Comma 15 14 32" xfId="17789"/>
    <cellStyle name="Comma 15 14 33" xfId="17790"/>
    <cellStyle name="Comma 15 14 34" xfId="17791"/>
    <cellStyle name="Comma 15 14 35" xfId="17792"/>
    <cellStyle name="Comma 15 14 4" xfId="4448"/>
    <cellStyle name="Comma 15 14 5" xfId="4449"/>
    <cellStyle name="Comma 15 14 6" xfId="4450"/>
    <cellStyle name="Comma 15 14 7" xfId="4451"/>
    <cellStyle name="Comma 15 14 8" xfId="4452"/>
    <cellStyle name="Comma 15 14 9" xfId="4453"/>
    <cellStyle name="Comma 15 15" xfId="186"/>
    <cellStyle name="Comma 15 16" xfId="942"/>
    <cellStyle name="Comma 15 17" xfId="937"/>
    <cellStyle name="Comma 15 18" xfId="935"/>
    <cellStyle name="Comma 15 19" xfId="955"/>
    <cellStyle name="Comma 15 2" xfId="115"/>
    <cellStyle name="Comma 15 2 10" xfId="4454"/>
    <cellStyle name="Comma 15 2 11" xfId="4455"/>
    <cellStyle name="Comma 15 2 12" xfId="4456"/>
    <cellStyle name="Comma 15 2 13" xfId="4457"/>
    <cellStyle name="Comma 15 2 14" xfId="4458"/>
    <cellStyle name="Comma 15 2 15" xfId="4459"/>
    <cellStyle name="Comma 15 2 16" xfId="4460"/>
    <cellStyle name="Comma 15 2 17" xfId="4461"/>
    <cellStyle name="Comma 15 2 18" xfId="4462"/>
    <cellStyle name="Comma 15 2 19" xfId="4463"/>
    <cellStyle name="Comma 15 2 2" xfId="4464"/>
    <cellStyle name="Comma 15 2 20" xfId="4465"/>
    <cellStyle name="Comma 15 2 21" xfId="4466"/>
    <cellStyle name="Comma 15 2 22" xfId="4467"/>
    <cellStyle name="Comma 15 2 23" xfId="17793"/>
    <cellStyle name="Comma 15 2 24" xfId="17794"/>
    <cellStyle name="Comma 15 2 25" xfId="17795"/>
    <cellStyle name="Comma 15 2 26" xfId="17796"/>
    <cellStyle name="Comma 15 2 27" xfId="17797"/>
    <cellStyle name="Comma 15 2 28" xfId="17798"/>
    <cellStyle name="Comma 15 2 29" xfId="17799"/>
    <cellStyle name="Comma 15 2 3" xfId="4468"/>
    <cellStyle name="Comma 15 2 30" xfId="17800"/>
    <cellStyle name="Comma 15 2 31" xfId="17801"/>
    <cellStyle name="Comma 15 2 32" xfId="17802"/>
    <cellStyle name="Comma 15 2 33" xfId="17803"/>
    <cellStyle name="Comma 15 2 34" xfId="17804"/>
    <cellStyle name="Comma 15 2 35" xfId="17805"/>
    <cellStyle name="Comma 15 2 4" xfId="4469"/>
    <cellStyle name="Comma 15 2 5" xfId="4470"/>
    <cellStyle name="Comma 15 2 6" xfId="4471"/>
    <cellStyle name="Comma 15 2 7" xfId="4472"/>
    <cellStyle name="Comma 15 2 8" xfId="4473"/>
    <cellStyle name="Comma 15 2 9" xfId="4474"/>
    <cellStyle name="Comma 15 20" xfId="995"/>
    <cellStyle name="Comma 15 21" xfId="1028"/>
    <cellStyle name="Comma 15 22" xfId="1140"/>
    <cellStyle name="Comma 15 23" xfId="1135"/>
    <cellStyle name="Comma 15 24" xfId="1133"/>
    <cellStyle name="Comma 15 25" xfId="1153"/>
    <cellStyle name="Comma 15 26" xfId="1194"/>
    <cellStyle name="Comma 15 27" xfId="1226"/>
    <cellStyle name="Comma 15 28" xfId="1259"/>
    <cellStyle name="Comma 15 29" xfId="1292"/>
    <cellStyle name="Comma 15 3" xfId="187"/>
    <cellStyle name="Comma 15 3 10" xfId="4475"/>
    <cellStyle name="Comma 15 3 11" xfId="4476"/>
    <cellStyle name="Comma 15 3 12" xfId="4477"/>
    <cellStyle name="Comma 15 3 13" xfId="4478"/>
    <cellStyle name="Comma 15 3 14" xfId="4479"/>
    <cellStyle name="Comma 15 3 15" xfId="4480"/>
    <cellStyle name="Comma 15 3 16" xfId="4481"/>
    <cellStyle name="Comma 15 3 17" xfId="4482"/>
    <cellStyle name="Comma 15 3 18" xfId="4483"/>
    <cellStyle name="Comma 15 3 19" xfId="4484"/>
    <cellStyle name="Comma 15 3 2" xfId="4485"/>
    <cellStyle name="Comma 15 3 20" xfId="4486"/>
    <cellStyle name="Comma 15 3 21" xfId="4487"/>
    <cellStyle name="Comma 15 3 22" xfId="4488"/>
    <cellStyle name="Comma 15 3 23" xfId="17806"/>
    <cellStyle name="Comma 15 3 24" xfId="17807"/>
    <cellStyle name="Comma 15 3 25" xfId="17808"/>
    <cellStyle name="Comma 15 3 26" xfId="17809"/>
    <cellStyle name="Comma 15 3 27" xfId="17810"/>
    <cellStyle name="Comma 15 3 28" xfId="17811"/>
    <cellStyle name="Comma 15 3 29" xfId="17812"/>
    <cellStyle name="Comma 15 3 3" xfId="4489"/>
    <cellStyle name="Comma 15 3 30" xfId="17813"/>
    <cellStyle name="Comma 15 3 31" xfId="17814"/>
    <cellStyle name="Comma 15 3 32" xfId="17815"/>
    <cellStyle name="Comma 15 3 33" xfId="17816"/>
    <cellStyle name="Comma 15 3 34" xfId="17817"/>
    <cellStyle name="Comma 15 3 35" xfId="17818"/>
    <cellStyle name="Comma 15 3 4" xfId="4490"/>
    <cellStyle name="Comma 15 3 5" xfId="4491"/>
    <cellStyle name="Comma 15 3 6" xfId="4492"/>
    <cellStyle name="Comma 15 3 7" xfId="4493"/>
    <cellStyle name="Comma 15 3 8" xfId="4494"/>
    <cellStyle name="Comma 15 3 9" xfId="4495"/>
    <cellStyle name="Comma 15 30" xfId="1402"/>
    <cellStyle name="Comma 15 31" xfId="1573"/>
    <cellStyle name="Comma 15 32" xfId="1626"/>
    <cellStyle name="Comma 15 33" xfId="1678"/>
    <cellStyle name="Comma 15 34" xfId="1704"/>
    <cellStyle name="Comma 15 35" xfId="1841"/>
    <cellStyle name="Comma 15 36" xfId="2103"/>
    <cellStyle name="Comma 15 37" xfId="2742"/>
    <cellStyle name="Comma 15 38" xfId="2873"/>
    <cellStyle name="Comma 15 39" xfId="2097"/>
    <cellStyle name="Comma 15 4" xfId="188"/>
    <cellStyle name="Comma 15 4 10" xfId="4496"/>
    <cellStyle name="Comma 15 4 11" xfId="4497"/>
    <cellStyle name="Comma 15 4 12" xfId="4498"/>
    <cellStyle name="Comma 15 4 13" xfId="4499"/>
    <cellStyle name="Comma 15 4 14" xfId="4500"/>
    <cellStyle name="Comma 15 4 15" xfId="4501"/>
    <cellStyle name="Comma 15 4 16" xfId="4502"/>
    <cellStyle name="Comma 15 4 17" xfId="4503"/>
    <cellStyle name="Comma 15 4 18" xfId="4504"/>
    <cellStyle name="Comma 15 4 19" xfId="4505"/>
    <cellStyle name="Comma 15 4 2" xfId="4506"/>
    <cellStyle name="Comma 15 4 20" xfId="4507"/>
    <cellStyle name="Comma 15 4 21" xfId="4508"/>
    <cellStyle name="Comma 15 4 22" xfId="4509"/>
    <cellStyle name="Comma 15 4 23" xfId="17819"/>
    <cellStyle name="Comma 15 4 24" xfId="17820"/>
    <cellStyle name="Comma 15 4 25" xfId="17821"/>
    <cellStyle name="Comma 15 4 26" xfId="17822"/>
    <cellStyle name="Comma 15 4 27" xfId="17823"/>
    <cellStyle name="Comma 15 4 28" xfId="17824"/>
    <cellStyle name="Comma 15 4 29" xfId="17825"/>
    <cellStyle name="Comma 15 4 3" xfId="4510"/>
    <cellStyle name="Comma 15 4 30" xfId="17826"/>
    <cellStyle name="Comma 15 4 31" xfId="17827"/>
    <cellStyle name="Comma 15 4 32" xfId="17828"/>
    <cellStyle name="Comma 15 4 33" xfId="17829"/>
    <cellStyle name="Comma 15 4 34" xfId="17830"/>
    <cellStyle name="Comma 15 4 35" xfId="17831"/>
    <cellStyle name="Comma 15 4 4" xfId="4511"/>
    <cellStyle name="Comma 15 4 5" xfId="4512"/>
    <cellStyle name="Comma 15 4 6" xfId="4513"/>
    <cellStyle name="Comma 15 4 7" xfId="4514"/>
    <cellStyle name="Comma 15 4 8" xfId="4515"/>
    <cellStyle name="Comma 15 4 9" xfId="4516"/>
    <cellStyle name="Comma 15 40" xfId="2173"/>
    <cellStyle name="Comma 15 41" xfId="2661"/>
    <cellStyle name="Comma 15 42" xfId="2835"/>
    <cellStyle name="Comma 15 43" xfId="17832"/>
    <cellStyle name="Comma 15 44" xfId="17833"/>
    <cellStyle name="Comma 15 45" xfId="17834"/>
    <cellStyle name="Comma 15 46" xfId="17835"/>
    <cellStyle name="Comma 15 47" xfId="17836"/>
    <cellStyle name="Comma 15 48" xfId="17837"/>
    <cellStyle name="Comma 15 49" xfId="17838"/>
    <cellStyle name="Comma 15 5" xfId="189"/>
    <cellStyle name="Comma 15 5 10" xfId="4517"/>
    <cellStyle name="Comma 15 5 11" xfId="4518"/>
    <cellStyle name="Comma 15 5 12" xfId="4519"/>
    <cellStyle name="Comma 15 5 13" xfId="4520"/>
    <cellStyle name="Comma 15 5 14" xfId="4521"/>
    <cellStyle name="Comma 15 5 15" xfId="4522"/>
    <cellStyle name="Comma 15 5 16" xfId="4523"/>
    <cellStyle name="Comma 15 5 17" xfId="4524"/>
    <cellStyle name="Comma 15 5 18" xfId="4525"/>
    <cellStyle name="Comma 15 5 19" xfId="4526"/>
    <cellStyle name="Comma 15 5 2" xfId="4527"/>
    <cellStyle name="Comma 15 5 20" xfId="4528"/>
    <cellStyle name="Comma 15 5 21" xfId="4529"/>
    <cellStyle name="Comma 15 5 22" xfId="4530"/>
    <cellStyle name="Comma 15 5 23" xfId="17839"/>
    <cellStyle name="Comma 15 5 24" xfId="17840"/>
    <cellStyle name="Comma 15 5 25" xfId="17841"/>
    <cellStyle name="Comma 15 5 26" xfId="17842"/>
    <cellStyle name="Comma 15 5 27" xfId="17843"/>
    <cellStyle name="Comma 15 5 28" xfId="17844"/>
    <cellStyle name="Comma 15 5 29" xfId="17845"/>
    <cellStyle name="Comma 15 5 3" xfId="4531"/>
    <cellStyle name="Comma 15 5 30" xfId="17846"/>
    <cellStyle name="Comma 15 5 31" xfId="17847"/>
    <cellStyle name="Comma 15 5 32" xfId="17848"/>
    <cellStyle name="Comma 15 5 33" xfId="17849"/>
    <cellStyle name="Comma 15 5 34" xfId="17850"/>
    <cellStyle name="Comma 15 5 35" xfId="17851"/>
    <cellStyle name="Comma 15 5 4" xfId="4532"/>
    <cellStyle name="Comma 15 5 5" xfId="4533"/>
    <cellStyle name="Comma 15 5 6" xfId="4534"/>
    <cellStyle name="Comma 15 5 7" xfId="4535"/>
    <cellStyle name="Comma 15 5 8" xfId="4536"/>
    <cellStyle name="Comma 15 5 9" xfId="4537"/>
    <cellStyle name="Comma 15 50" xfId="17852"/>
    <cellStyle name="Comma 15 6" xfId="190"/>
    <cellStyle name="Comma 15 6 10" xfId="4538"/>
    <cellStyle name="Comma 15 6 11" xfId="4539"/>
    <cellStyle name="Comma 15 6 12" xfId="4540"/>
    <cellStyle name="Comma 15 6 13" xfId="4541"/>
    <cellStyle name="Comma 15 6 14" xfId="4542"/>
    <cellStyle name="Comma 15 6 15" xfId="4543"/>
    <cellStyle name="Comma 15 6 16" xfId="4544"/>
    <cellStyle name="Comma 15 6 17" xfId="4545"/>
    <cellStyle name="Comma 15 6 18" xfId="4546"/>
    <cellStyle name="Comma 15 6 19" xfId="4547"/>
    <cellStyle name="Comma 15 6 2" xfId="4548"/>
    <cellStyle name="Comma 15 6 20" xfId="4549"/>
    <cellStyle name="Comma 15 6 21" xfId="4550"/>
    <cellStyle name="Comma 15 6 22" xfId="4551"/>
    <cellStyle name="Comma 15 6 23" xfId="17853"/>
    <cellStyle name="Comma 15 6 24" xfId="17854"/>
    <cellStyle name="Comma 15 6 25" xfId="17855"/>
    <cellStyle name="Comma 15 6 26" xfId="17856"/>
    <cellStyle name="Comma 15 6 27" xfId="17857"/>
    <cellStyle name="Comma 15 6 28" xfId="17858"/>
    <cellStyle name="Comma 15 6 29" xfId="17859"/>
    <cellStyle name="Comma 15 6 3" xfId="4552"/>
    <cellStyle name="Comma 15 6 30" xfId="17860"/>
    <cellStyle name="Comma 15 6 31" xfId="17861"/>
    <cellStyle name="Comma 15 6 32" xfId="17862"/>
    <cellStyle name="Comma 15 6 33" xfId="17863"/>
    <cellStyle name="Comma 15 6 34" xfId="17864"/>
    <cellStyle name="Comma 15 6 35" xfId="17865"/>
    <cellStyle name="Comma 15 6 4" xfId="4553"/>
    <cellStyle name="Comma 15 6 5" xfId="4554"/>
    <cellStyle name="Comma 15 6 6" xfId="4555"/>
    <cellStyle name="Comma 15 6 7" xfId="4556"/>
    <cellStyle name="Comma 15 6 8" xfId="4557"/>
    <cellStyle name="Comma 15 6 9" xfId="4558"/>
    <cellStyle name="Comma 15 7" xfId="191"/>
    <cellStyle name="Comma 15 7 10" xfId="4559"/>
    <cellStyle name="Comma 15 7 11" xfId="4560"/>
    <cellStyle name="Comma 15 7 12" xfId="4561"/>
    <cellStyle name="Comma 15 7 13" xfId="4562"/>
    <cellStyle name="Comma 15 7 14" xfId="4563"/>
    <cellStyle name="Comma 15 7 15" xfId="4564"/>
    <cellStyle name="Comma 15 7 16" xfId="4565"/>
    <cellStyle name="Comma 15 7 17" xfId="4566"/>
    <cellStyle name="Comma 15 7 18" xfId="4567"/>
    <cellStyle name="Comma 15 7 19" xfId="4568"/>
    <cellStyle name="Comma 15 7 2" xfId="4569"/>
    <cellStyle name="Comma 15 7 20" xfId="4570"/>
    <cellStyle name="Comma 15 7 21" xfId="4571"/>
    <cellStyle name="Comma 15 7 22" xfId="4572"/>
    <cellStyle name="Comma 15 7 23" xfId="17866"/>
    <cellStyle name="Comma 15 7 24" xfId="17867"/>
    <cellStyle name="Comma 15 7 25" xfId="17868"/>
    <cellStyle name="Comma 15 7 26" xfId="17869"/>
    <cellStyle name="Comma 15 7 27" xfId="17870"/>
    <cellStyle name="Comma 15 7 28" xfId="17871"/>
    <cellStyle name="Comma 15 7 29" xfId="17872"/>
    <cellStyle name="Comma 15 7 3" xfId="4573"/>
    <cellStyle name="Comma 15 7 30" xfId="17873"/>
    <cellStyle name="Comma 15 7 31" xfId="17874"/>
    <cellStyle name="Comma 15 7 32" xfId="17875"/>
    <cellStyle name="Comma 15 7 33" xfId="17876"/>
    <cellStyle name="Comma 15 7 34" xfId="17877"/>
    <cellStyle name="Comma 15 7 35" xfId="17878"/>
    <cellStyle name="Comma 15 7 4" xfId="4574"/>
    <cellStyle name="Comma 15 7 5" xfId="4575"/>
    <cellStyle name="Comma 15 7 6" xfId="4576"/>
    <cellStyle name="Comma 15 7 7" xfId="4577"/>
    <cellStyle name="Comma 15 7 8" xfId="4578"/>
    <cellStyle name="Comma 15 7 9" xfId="4579"/>
    <cellStyle name="Comma 15 8" xfId="192"/>
    <cellStyle name="Comma 15 8 10" xfId="4580"/>
    <cellStyle name="Comma 15 8 11" xfId="4581"/>
    <cellStyle name="Comma 15 8 12" xfId="4582"/>
    <cellStyle name="Comma 15 8 13" xfId="4583"/>
    <cellStyle name="Comma 15 8 14" xfId="4584"/>
    <cellStyle name="Comma 15 8 15" xfId="4585"/>
    <cellStyle name="Comma 15 8 16" xfId="4586"/>
    <cellStyle name="Comma 15 8 17" xfId="4587"/>
    <cellStyle name="Comma 15 8 18" xfId="4588"/>
    <cellStyle name="Comma 15 8 19" xfId="4589"/>
    <cellStyle name="Comma 15 8 2" xfId="4590"/>
    <cellStyle name="Comma 15 8 20" xfId="4591"/>
    <cellStyle name="Comma 15 8 21" xfId="4592"/>
    <cellStyle name="Comma 15 8 22" xfId="4593"/>
    <cellStyle name="Comma 15 8 23" xfId="17879"/>
    <cellStyle name="Comma 15 8 24" xfId="17880"/>
    <cellStyle name="Comma 15 8 25" xfId="17881"/>
    <cellStyle name="Comma 15 8 26" xfId="17882"/>
    <cellStyle name="Comma 15 8 27" xfId="17883"/>
    <cellStyle name="Comma 15 8 28" xfId="17884"/>
    <cellStyle name="Comma 15 8 29" xfId="17885"/>
    <cellStyle name="Comma 15 8 3" xfId="4594"/>
    <cellStyle name="Comma 15 8 30" xfId="17886"/>
    <cellStyle name="Comma 15 8 31" xfId="17887"/>
    <cellStyle name="Comma 15 8 32" xfId="17888"/>
    <cellStyle name="Comma 15 8 33" xfId="17889"/>
    <cellStyle name="Comma 15 8 34" xfId="17890"/>
    <cellStyle name="Comma 15 8 35" xfId="17891"/>
    <cellStyle name="Comma 15 8 4" xfId="4595"/>
    <cellStyle name="Comma 15 8 5" xfId="4596"/>
    <cellStyle name="Comma 15 8 6" xfId="4597"/>
    <cellStyle name="Comma 15 8 7" xfId="4598"/>
    <cellStyle name="Comma 15 8 8" xfId="4599"/>
    <cellStyle name="Comma 15 8 9" xfId="4600"/>
    <cellStyle name="Comma 15 9" xfId="193"/>
    <cellStyle name="Comma 15 9 10" xfId="4601"/>
    <cellStyle name="Comma 15 9 11" xfId="4602"/>
    <cellStyle name="Comma 15 9 12" xfId="4603"/>
    <cellStyle name="Comma 15 9 13" xfId="4604"/>
    <cellStyle name="Comma 15 9 14" xfId="4605"/>
    <cellStyle name="Comma 15 9 15" xfId="4606"/>
    <cellStyle name="Comma 15 9 16" xfId="4607"/>
    <cellStyle name="Comma 15 9 17" xfId="4608"/>
    <cellStyle name="Comma 15 9 18" xfId="4609"/>
    <cellStyle name="Comma 15 9 19" xfId="4610"/>
    <cellStyle name="Comma 15 9 2" xfId="4611"/>
    <cellStyle name="Comma 15 9 20" xfId="4612"/>
    <cellStyle name="Comma 15 9 21" xfId="4613"/>
    <cellStyle name="Comma 15 9 22" xfId="4614"/>
    <cellStyle name="Comma 15 9 23" xfId="17892"/>
    <cellStyle name="Comma 15 9 24" xfId="17893"/>
    <cellStyle name="Comma 15 9 25" xfId="17894"/>
    <cellStyle name="Comma 15 9 26" xfId="17895"/>
    <cellStyle name="Comma 15 9 27" xfId="17896"/>
    <cellStyle name="Comma 15 9 28" xfId="17897"/>
    <cellStyle name="Comma 15 9 29" xfId="17898"/>
    <cellStyle name="Comma 15 9 3" xfId="4615"/>
    <cellStyle name="Comma 15 9 30" xfId="17899"/>
    <cellStyle name="Comma 15 9 31" xfId="17900"/>
    <cellStyle name="Comma 15 9 32" xfId="17901"/>
    <cellStyle name="Comma 15 9 33" xfId="17902"/>
    <cellStyle name="Comma 15 9 34" xfId="17903"/>
    <cellStyle name="Comma 15 9 35" xfId="17904"/>
    <cellStyle name="Comma 15 9 4" xfId="4616"/>
    <cellStyle name="Comma 15 9 5" xfId="4617"/>
    <cellStyle name="Comma 15 9 6" xfId="4618"/>
    <cellStyle name="Comma 15 9 7" xfId="4619"/>
    <cellStyle name="Comma 15 9 8" xfId="4620"/>
    <cellStyle name="Comma 15 9 9" xfId="4621"/>
    <cellStyle name="Comma 16" xfId="17"/>
    <cellStyle name="Comma 16 10" xfId="194"/>
    <cellStyle name="Comma 16 10 10" xfId="4622"/>
    <cellStyle name="Comma 16 10 11" xfId="4623"/>
    <cellStyle name="Comma 16 10 12" xfId="4624"/>
    <cellStyle name="Comma 16 10 13" xfId="4625"/>
    <cellStyle name="Comma 16 10 14" xfId="4626"/>
    <cellStyle name="Comma 16 10 15" xfId="4627"/>
    <cellStyle name="Comma 16 10 16" xfId="4628"/>
    <cellStyle name="Comma 16 10 17" xfId="4629"/>
    <cellStyle name="Comma 16 10 18" xfId="4630"/>
    <cellStyle name="Comma 16 10 19" xfId="4631"/>
    <cellStyle name="Comma 16 10 2" xfId="4632"/>
    <cellStyle name="Comma 16 10 20" xfId="4633"/>
    <cellStyle name="Comma 16 10 21" xfId="4634"/>
    <cellStyle name="Comma 16 10 22" xfId="4635"/>
    <cellStyle name="Comma 16 10 23" xfId="17905"/>
    <cellStyle name="Comma 16 10 24" xfId="17906"/>
    <cellStyle name="Comma 16 10 25" xfId="17907"/>
    <cellStyle name="Comma 16 10 26" xfId="17908"/>
    <cellStyle name="Comma 16 10 27" xfId="17909"/>
    <cellStyle name="Comma 16 10 28" xfId="17910"/>
    <cellStyle name="Comma 16 10 29" xfId="17911"/>
    <cellStyle name="Comma 16 10 3" xfId="4636"/>
    <cellStyle name="Comma 16 10 30" xfId="17912"/>
    <cellStyle name="Comma 16 10 31" xfId="17913"/>
    <cellStyle name="Comma 16 10 32" xfId="17914"/>
    <cellStyle name="Comma 16 10 33" xfId="17915"/>
    <cellStyle name="Comma 16 10 34" xfId="17916"/>
    <cellStyle name="Comma 16 10 35" xfId="17917"/>
    <cellStyle name="Comma 16 10 4" xfId="4637"/>
    <cellStyle name="Comma 16 10 5" xfId="4638"/>
    <cellStyle name="Comma 16 10 6" xfId="4639"/>
    <cellStyle name="Comma 16 10 7" xfId="4640"/>
    <cellStyle name="Comma 16 10 8" xfId="4641"/>
    <cellStyle name="Comma 16 10 9" xfId="4642"/>
    <cellStyle name="Comma 16 11" xfId="195"/>
    <cellStyle name="Comma 16 11 10" xfId="4643"/>
    <cellStyle name="Comma 16 11 11" xfId="4644"/>
    <cellStyle name="Comma 16 11 12" xfId="4645"/>
    <cellStyle name="Comma 16 11 13" xfId="4646"/>
    <cellStyle name="Comma 16 11 14" xfId="4647"/>
    <cellStyle name="Comma 16 11 15" xfId="4648"/>
    <cellStyle name="Comma 16 11 16" xfId="4649"/>
    <cellStyle name="Comma 16 11 17" xfId="4650"/>
    <cellStyle name="Comma 16 11 18" xfId="4651"/>
    <cellStyle name="Comma 16 11 19" xfId="4652"/>
    <cellStyle name="Comma 16 11 2" xfId="4653"/>
    <cellStyle name="Comma 16 11 20" xfId="4654"/>
    <cellStyle name="Comma 16 11 21" xfId="4655"/>
    <cellStyle name="Comma 16 11 22" xfId="4656"/>
    <cellStyle name="Comma 16 11 23" xfId="17918"/>
    <cellStyle name="Comma 16 11 24" xfId="17919"/>
    <cellStyle name="Comma 16 11 25" xfId="17920"/>
    <cellStyle name="Comma 16 11 26" xfId="17921"/>
    <cellStyle name="Comma 16 11 27" xfId="17922"/>
    <cellStyle name="Comma 16 11 28" xfId="17923"/>
    <cellStyle name="Comma 16 11 29" xfId="17924"/>
    <cellStyle name="Comma 16 11 3" xfId="4657"/>
    <cellStyle name="Comma 16 11 30" xfId="17925"/>
    <cellStyle name="Comma 16 11 31" xfId="17926"/>
    <cellStyle name="Comma 16 11 32" xfId="17927"/>
    <cellStyle name="Comma 16 11 33" xfId="17928"/>
    <cellStyle name="Comma 16 11 34" xfId="17929"/>
    <cellStyle name="Comma 16 11 35" xfId="17930"/>
    <cellStyle name="Comma 16 11 4" xfId="4658"/>
    <cellStyle name="Comma 16 11 5" xfId="4659"/>
    <cellStyle name="Comma 16 11 6" xfId="4660"/>
    <cellStyle name="Comma 16 11 7" xfId="4661"/>
    <cellStyle name="Comma 16 11 8" xfId="4662"/>
    <cellStyle name="Comma 16 11 9" xfId="4663"/>
    <cellStyle name="Comma 16 12" xfId="196"/>
    <cellStyle name="Comma 16 12 10" xfId="4664"/>
    <cellStyle name="Comma 16 12 11" xfId="4665"/>
    <cellStyle name="Comma 16 12 12" xfId="4666"/>
    <cellStyle name="Comma 16 12 13" xfId="4667"/>
    <cellStyle name="Comma 16 12 14" xfId="4668"/>
    <cellStyle name="Comma 16 12 15" xfId="4669"/>
    <cellStyle name="Comma 16 12 16" xfId="4670"/>
    <cellStyle name="Comma 16 12 17" xfId="4671"/>
    <cellStyle name="Comma 16 12 18" xfId="4672"/>
    <cellStyle name="Comma 16 12 19" xfId="4673"/>
    <cellStyle name="Comma 16 12 2" xfId="4674"/>
    <cellStyle name="Comma 16 12 20" xfId="4675"/>
    <cellStyle name="Comma 16 12 21" xfId="4676"/>
    <cellStyle name="Comma 16 12 22" xfId="4677"/>
    <cellStyle name="Comma 16 12 23" xfId="17931"/>
    <cellStyle name="Comma 16 12 24" xfId="17932"/>
    <cellStyle name="Comma 16 12 25" xfId="17933"/>
    <cellStyle name="Comma 16 12 26" xfId="17934"/>
    <cellStyle name="Comma 16 12 27" xfId="17935"/>
    <cellStyle name="Comma 16 12 28" xfId="17936"/>
    <cellStyle name="Comma 16 12 29" xfId="17937"/>
    <cellStyle name="Comma 16 12 3" xfId="4678"/>
    <cellStyle name="Comma 16 12 30" xfId="17938"/>
    <cellStyle name="Comma 16 12 31" xfId="17939"/>
    <cellStyle name="Comma 16 12 32" xfId="17940"/>
    <cellStyle name="Comma 16 12 33" xfId="17941"/>
    <cellStyle name="Comma 16 12 34" xfId="17942"/>
    <cellStyle name="Comma 16 12 35" xfId="17943"/>
    <cellStyle name="Comma 16 12 4" xfId="4679"/>
    <cellStyle name="Comma 16 12 5" xfId="4680"/>
    <cellStyle name="Comma 16 12 6" xfId="4681"/>
    <cellStyle name="Comma 16 12 7" xfId="4682"/>
    <cellStyle name="Comma 16 12 8" xfId="4683"/>
    <cellStyle name="Comma 16 12 9" xfId="4684"/>
    <cellStyle name="Comma 16 13" xfId="197"/>
    <cellStyle name="Comma 16 13 10" xfId="4685"/>
    <cellStyle name="Comma 16 13 11" xfId="4686"/>
    <cellStyle name="Comma 16 13 12" xfId="4687"/>
    <cellStyle name="Comma 16 13 13" xfId="4688"/>
    <cellStyle name="Comma 16 13 14" xfId="4689"/>
    <cellStyle name="Comma 16 13 15" xfId="4690"/>
    <cellStyle name="Comma 16 13 16" xfId="4691"/>
    <cellStyle name="Comma 16 13 17" xfId="4692"/>
    <cellStyle name="Comma 16 13 18" xfId="4693"/>
    <cellStyle name="Comma 16 13 19" xfId="4694"/>
    <cellStyle name="Comma 16 13 2" xfId="4695"/>
    <cellStyle name="Comma 16 13 20" xfId="4696"/>
    <cellStyle name="Comma 16 13 21" xfId="4697"/>
    <cellStyle name="Comma 16 13 22" xfId="4698"/>
    <cellStyle name="Comma 16 13 23" xfId="17944"/>
    <cellStyle name="Comma 16 13 24" xfId="17945"/>
    <cellStyle name="Comma 16 13 25" xfId="17946"/>
    <cellStyle name="Comma 16 13 26" xfId="17947"/>
    <cellStyle name="Comma 16 13 27" xfId="17948"/>
    <cellStyle name="Comma 16 13 28" xfId="17949"/>
    <cellStyle name="Comma 16 13 29" xfId="17950"/>
    <cellStyle name="Comma 16 13 3" xfId="4699"/>
    <cellStyle name="Comma 16 13 30" xfId="17951"/>
    <cellStyle name="Comma 16 13 31" xfId="17952"/>
    <cellStyle name="Comma 16 13 32" xfId="17953"/>
    <cellStyle name="Comma 16 13 33" xfId="17954"/>
    <cellStyle name="Comma 16 13 34" xfId="17955"/>
    <cellStyle name="Comma 16 13 35" xfId="17956"/>
    <cellStyle name="Comma 16 13 4" xfId="4700"/>
    <cellStyle name="Comma 16 13 5" xfId="4701"/>
    <cellStyle name="Comma 16 13 6" xfId="4702"/>
    <cellStyle name="Comma 16 13 7" xfId="4703"/>
    <cellStyle name="Comma 16 13 8" xfId="4704"/>
    <cellStyle name="Comma 16 13 9" xfId="4705"/>
    <cellStyle name="Comma 16 14" xfId="198"/>
    <cellStyle name="Comma 16 14 10" xfId="4706"/>
    <cellStyle name="Comma 16 14 11" xfId="4707"/>
    <cellStyle name="Comma 16 14 12" xfId="4708"/>
    <cellStyle name="Comma 16 14 13" xfId="4709"/>
    <cellStyle name="Comma 16 14 14" xfId="4710"/>
    <cellStyle name="Comma 16 14 15" xfId="4711"/>
    <cellStyle name="Comma 16 14 16" xfId="4712"/>
    <cellStyle name="Comma 16 14 17" xfId="4713"/>
    <cellStyle name="Comma 16 14 18" xfId="4714"/>
    <cellStyle name="Comma 16 14 19" xfId="4715"/>
    <cellStyle name="Comma 16 14 2" xfId="4716"/>
    <cellStyle name="Comma 16 14 20" xfId="4717"/>
    <cellStyle name="Comma 16 14 21" xfId="4718"/>
    <cellStyle name="Comma 16 14 22" xfId="4719"/>
    <cellStyle name="Comma 16 14 23" xfId="17957"/>
    <cellStyle name="Comma 16 14 24" xfId="17958"/>
    <cellStyle name="Comma 16 14 25" xfId="17959"/>
    <cellStyle name="Comma 16 14 26" xfId="17960"/>
    <cellStyle name="Comma 16 14 27" xfId="17961"/>
    <cellStyle name="Comma 16 14 28" xfId="17962"/>
    <cellStyle name="Comma 16 14 29" xfId="17963"/>
    <cellStyle name="Comma 16 14 3" xfId="4720"/>
    <cellStyle name="Comma 16 14 30" xfId="17964"/>
    <cellStyle name="Comma 16 14 31" xfId="17965"/>
    <cellStyle name="Comma 16 14 32" xfId="17966"/>
    <cellStyle name="Comma 16 14 33" xfId="17967"/>
    <cellStyle name="Comma 16 14 34" xfId="17968"/>
    <cellStyle name="Comma 16 14 35" xfId="17969"/>
    <cellStyle name="Comma 16 14 4" xfId="4721"/>
    <cellStyle name="Comma 16 14 5" xfId="4722"/>
    <cellStyle name="Comma 16 14 6" xfId="4723"/>
    <cellStyle name="Comma 16 14 7" xfId="4724"/>
    <cellStyle name="Comma 16 14 8" xfId="4725"/>
    <cellStyle name="Comma 16 14 9" xfId="4726"/>
    <cellStyle name="Comma 16 15" xfId="199"/>
    <cellStyle name="Comma 16 16" xfId="1403"/>
    <cellStyle name="Comma 16 17" xfId="1572"/>
    <cellStyle name="Comma 16 18" xfId="1625"/>
    <cellStyle name="Comma 16 19" xfId="1677"/>
    <cellStyle name="Comma 16 2" xfId="113"/>
    <cellStyle name="Comma 16 2 10" xfId="4727"/>
    <cellStyle name="Comma 16 2 11" xfId="4728"/>
    <cellStyle name="Comma 16 2 12" xfId="4729"/>
    <cellStyle name="Comma 16 2 13" xfId="4730"/>
    <cellStyle name="Comma 16 2 14" xfId="4731"/>
    <cellStyle name="Comma 16 2 15" xfId="4732"/>
    <cellStyle name="Comma 16 2 16" xfId="4733"/>
    <cellStyle name="Comma 16 2 17" xfId="4734"/>
    <cellStyle name="Comma 16 2 18" xfId="4735"/>
    <cellStyle name="Comma 16 2 19" xfId="4736"/>
    <cellStyle name="Comma 16 2 2" xfId="4737"/>
    <cellStyle name="Comma 16 2 20" xfId="4738"/>
    <cellStyle name="Comma 16 2 21" xfId="4739"/>
    <cellStyle name="Comma 16 2 22" xfId="4740"/>
    <cellStyle name="Comma 16 2 23" xfId="17970"/>
    <cellStyle name="Comma 16 2 24" xfId="17971"/>
    <cellStyle name="Comma 16 2 25" xfId="17972"/>
    <cellStyle name="Comma 16 2 26" xfId="17973"/>
    <cellStyle name="Comma 16 2 27" xfId="17974"/>
    <cellStyle name="Comma 16 2 28" xfId="17975"/>
    <cellStyle name="Comma 16 2 29" xfId="17976"/>
    <cellStyle name="Comma 16 2 3" xfId="4741"/>
    <cellStyle name="Comma 16 2 30" xfId="17977"/>
    <cellStyle name="Comma 16 2 31" xfId="17978"/>
    <cellStyle name="Comma 16 2 32" xfId="17979"/>
    <cellStyle name="Comma 16 2 33" xfId="17980"/>
    <cellStyle name="Comma 16 2 34" xfId="17981"/>
    <cellStyle name="Comma 16 2 35" xfId="17982"/>
    <cellStyle name="Comma 16 2 4" xfId="4742"/>
    <cellStyle name="Comma 16 2 5" xfId="4743"/>
    <cellStyle name="Comma 16 2 6" xfId="4744"/>
    <cellStyle name="Comma 16 2 7" xfId="4745"/>
    <cellStyle name="Comma 16 2 8" xfId="4746"/>
    <cellStyle name="Comma 16 2 9" xfId="4747"/>
    <cellStyle name="Comma 16 20" xfId="1705"/>
    <cellStyle name="Comma 16 21" xfId="1691"/>
    <cellStyle name="Comma 16 22" xfId="1840"/>
    <cellStyle name="Comma 16 23" xfId="2104"/>
    <cellStyle name="Comma 16 24" xfId="2722"/>
    <cellStyle name="Comma 16 25" xfId="2270"/>
    <cellStyle name="Comma 16 26" xfId="2883"/>
    <cellStyle name="Comma 16 27" xfId="2969"/>
    <cellStyle name="Comma 16 28" xfId="3043"/>
    <cellStyle name="Comma 16 29" xfId="3106"/>
    <cellStyle name="Comma 16 3" xfId="200"/>
    <cellStyle name="Comma 16 3 10" xfId="4748"/>
    <cellStyle name="Comma 16 3 11" xfId="4749"/>
    <cellStyle name="Comma 16 3 12" xfId="4750"/>
    <cellStyle name="Comma 16 3 13" xfId="4751"/>
    <cellStyle name="Comma 16 3 14" xfId="4752"/>
    <cellStyle name="Comma 16 3 15" xfId="4753"/>
    <cellStyle name="Comma 16 3 16" xfId="4754"/>
    <cellStyle name="Comma 16 3 17" xfId="4755"/>
    <cellStyle name="Comma 16 3 18" xfId="4756"/>
    <cellStyle name="Comma 16 3 19" xfId="4757"/>
    <cellStyle name="Comma 16 3 2" xfId="4758"/>
    <cellStyle name="Comma 16 3 20" xfId="4759"/>
    <cellStyle name="Comma 16 3 21" xfId="4760"/>
    <cellStyle name="Comma 16 3 22" xfId="4761"/>
    <cellStyle name="Comma 16 3 23" xfId="17983"/>
    <cellStyle name="Comma 16 3 24" xfId="17984"/>
    <cellStyle name="Comma 16 3 25" xfId="17985"/>
    <cellStyle name="Comma 16 3 26" xfId="17986"/>
    <cellStyle name="Comma 16 3 27" xfId="17987"/>
    <cellStyle name="Comma 16 3 28" xfId="17988"/>
    <cellStyle name="Comma 16 3 29" xfId="17989"/>
    <cellStyle name="Comma 16 3 3" xfId="4762"/>
    <cellStyle name="Comma 16 3 30" xfId="17990"/>
    <cellStyle name="Comma 16 3 31" xfId="17991"/>
    <cellStyle name="Comma 16 3 32" xfId="17992"/>
    <cellStyle name="Comma 16 3 33" xfId="17993"/>
    <cellStyle name="Comma 16 3 34" xfId="17994"/>
    <cellStyle name="Comma 16 3 35" xfId="17995"/>
    <cellStyle name="Comma 16 3 4" xfId="4763"/>
    <cellStyle name="Comma 16 3 5" xfId="4764"/>
    <cellStyle name="Comma 16 3 6" xfId="4765"/>
    <cellStyle name="Comma 16 3 7" xfId="4766"/>
    <cellStyle name="Comma 16 3 8" xfId="4767"/>
    <cellStyle name="Comma 16 3 9" xfId="4768"/>
    <cellStyle name="Comma 16 30" xfId="4769"/>
    <cellStyle name="Comma 16 31" xfId="4770"/>
    <cellStyle name="Comma 16 32" xfId="4771"/>
    <cellStyle name="Comma 16 33" xfId="4772"/>
    <cellStyle name="Comma 16 34" xfId="4773"/>
    <cellStyle name="Comma 16 35" xfId="4774"/>
    <cellStyle name="Comma 16 36" xfId="4775"/>
    <cellStyle name="Comma 16 37" xfId="4776"/>
    <cellStyle name="Comma 16 38" xfId="17996"/>
    <cellStyle name="Comma 16 39" xfId="17997"/>
    <cellStyle name="Comma 16 4" xfId="201"/>
    <cellStyle name="Comma 16 4 10" xfId="4777"/>
    <cellStyle name="Comma 16 4 11" xfId="4778"/>
    <cellStyle name="Comma 16 4 12" xfId="4779"/>
    <cellStyle name="Comma 16 4 13" xfId="4780"/>
    <cellStyle name="Comma 16 4 14" xfId="4781"/>
    <cellStyle name="Comma 16 4 15" xfId="4782"/>
    <cellStyle name="Comma 16 4 16" xfId="4783"/>
    <cellStyle name="Comma 16 4 17" xfId="4784"/>
    <cellStyle name="Comma 16 4 18" xfId="4785"/>
    <cellStyle name="Comma 16 4 19" xfId="4786"/>
    <cellStyle name="Comma 16 4 2" xfId="4787"/>
    <cellStyle name="Comma 16 4 20" xfId="4788"/>
    <cellStyle name="Comma 16 4 21" xfId="4789"/>
    <cellStyle name="Comma 16 4 22" xfId="4790"/>
    <cellStyle name="Comma 16 4 23" xfId="17998"/>
    <cellStyle name="Comma 16 4 24" xfId="17999"/>
    <cellStyle name="Comma 16 4 25" xfId="18000"/>
    <cellStyle name="Comma 16 4 26" xfId="18001"/>
    <cellStyle name="Comma 16 4 27" xfId="18002"/>
    <cellStyle name="Comma 16 4 28" xfId="18003"/>
    <cellStyle name="Comma 16 4 29" xfId="18004"/>
    <cellStyle name="Comma 16 4 3" xfId="4791"/>
    <cellStyle name="Comma 16 4 30" xfId="18005"/>
    <cellStyle name="Comma 16 4 31" xfId="18006"/>
    <cellStyle name="Comma 16 4 32" xfId="18007"/>
    <cellStyle name="Comma 16 4 33" xfId="18008"/>
    <cellStyle name="Comma 16 4 34" xfId="18009"/>
    <cellStyle name="Comma 16 4 35" xfId="18010"/>
    <cellStyle name="Comma 16 4 4" xfId="4792"/>
    <cellStyle name="Comma 16 4 5" xfId="4793"/>
    <cellStyle name="Comma 16 4 6" xfId="4794"/>
    <cellStyle name="Comma 16 4 7" xfId="4795"/>
    <cellStyle name="Comma 16 4 8" xfId="4796"/>
    <cellStyle name="Comma 16 4 9" xfId="4797"/>
    <cellStyle name="Comma 16 40" xfId="18011"/>
    <cellStyle name="Comma 16 41" xfId="18012"/>
    <cellStyle name="Comma 16 42" xfId="18013"/>
    <cellStyle name="Comma 16 43" xfId="18014"/>
    <cellStyle name="Comma 16 44" xfId="18015"/>
    <cellStyle name="Comma 16 45" xfId="18016"/>
    <cellStyle name="Comma 16 46" xfId="18017"/>
    <cellStyle name="Comma 16 47" xfId="18018"/>
    <cellStyle name="Comma 16 48" xfId="18019"/>
    <cellStyle name="Comma 16 49" xfId="18020"/>
    <cellStyle name="Comma 16 5" xfId="202"/>
    <cellStyle name="Comma 16 5 10" xfId="4798"/>
    <cellStyle name="Comma 16 5 11" xfId="4799"/>
    <cellStyle name="Comma 16 5 12" xfId="4800"/>
    <cellStyle name="Comma 16 5 13" xfId="4801"/>
    <cellStyle name="Comma 16 5 14" xfId="4802"/>
    <cellStyle name="Comma 16 5 15" xfId="4803"/>
    <cellStyle name="Comma 16 5 16" xfId="4804"/>
    <cellStyle name="Comma 16 5 17" xfId="4805"/>
    <cellStyle name="Comma 16 5 18" xfId="4806"/>
    <cellStyle name="Comma 16 5 19" xfId="4807"/>
    <cellStyle name="Comma 16 5 2" xfId="4808"/>
    <cellStyle name="Comma 16 5 20" xfId="4809"/>
    <cellStyle name="Comma 16 5 21" xfId="4810"/>
    <cellStyle name="Comma 16 5 22" xfId="4811"/>
    <cellStyle name="Comma 16 5 23" xfId="18021"/>
    <cellStyle name="Comma 16 5 24" xfId="18022"/>
    <cellStyle name="Comma 16 5 25" xfId="18023"/>
    <cellStyle name="Comma 16 5 26" xfId="18024"/>
    <cellStyle name="Comma 16 5 27" xfId="18025"/>
    <cellStyle name="Comma 16 5 28" xfId="18026"/>
    <cellStyle name="Comma 16 5 29" xfId="18027"/>
    <cellStyle name="Comma 16 5 3" xfId="4812"/>
    <cellStyle name="Comma 16 5 30" xfId="18028"/>
    <cellStyle name="Comma 16 5 31" xfId="18029"/>
    <cellStyle name="Comma 16 5 32" xfId="18030"/>
    <cellStyle name="Comma 16 5 33" xfId="18031"/>
    <cellStyle name="Comma 16 5 34" xfId="18032"/>
    <cellStyle name="Comma 16 5 35" xfId="18033"/>
    <cellStyle name="Comma 16 5 4" xfId="4813"/>
    <cellStyle name="Comma 16 5 5" xfId="4814"/>
    <cellStyle name="Comma 16 5 6" xfId="4815"/>
    <cellStyle name="Comma 16 5 7" xfId="4816"/>
    <cellStyle name="Comma 16 5 8" xfId="4817"/>
    <cellStyle name="Comma 16 5 9" xfId="4818"/>
    <cellStyle name="Comma 16 50" xfId="18034"/>
    <cellStyle name="Comma 16 6" xfId="203"/>
    <cellStyle name="Comma 16 6 10" xfId="4819"/>
    <cellStyle name="Comma 16 6 11" xfId="4820"/>
    <cellStyle name="Comma 16 6 12" xfId="4821"/>
    <cellStyle name="Comma 16 6 13" xfId="4822"/>
    <cellStyle name="Comma 16 6 14" xfId="4823"/>
    <cellStyle name="Comma 16 6 15" xfId="4824"/>
    <cellStyle name="Comma 16 6 16" xfId="4825"/>
    <cellStyle name="Comma 16 6 17" xfId="4826"/>
    <cellStyle name="Comma 16 6 18" xfId="4827"/>
    <cellStyle name="Comma 16 6 19" xfId="4828"/>
    <cellStyle name="Comma 16 6 2" xfId="4829"/>
    <cellStyle name="Comma 16 6 20" xfId="4830"/>
    <cellStyle name="Comma 16 6 21" xfId="4831"/>
    <cellStyle name="Comma 16 6 22" xfId="4832"/>
    <cellStyle name="Comma 16 6 23" xfId="18035"/>
    <cellStyle name="Comma 16 6 24" xfId="18036"/>
    <cellStyle name="Comma 16 6 25" xfId="18037"/>
    <cellStyle name="Comma 16 6 26" xfId="18038"/>
    <cellStyle name="Comma 16 6 27" xfId="18039"/>
    <cellStyle name="Comma 16 6 28" xfId="18040"/>
    <cellStyle name="Comma 16 6 29" xfId="18041"/>
    <cellStyle name="Comma 16 6 3" xfId="4833"/>
    <cellStyle name="Comma 16 6 30" xfId="18042"/>
    <cellStyle name="Comma 16 6 31" xfId="18043"/>
    <cellStyle name="Comma 16 6 32" xfId="18044"/>
    <cellStyle name="Comma 16 6 33" xfId="18045"/>
    <cellStyle name="Comma 16 6 34" xfId="18046"/>
    <cellStyle name="Comma 16 6 35" xfId="18047"/>
    <cellStyle name="Comma 16 6 4" xfId="4834"/>
    <cellStyle name="Comma 16 6 5" xfId="4835"/>
    <cellStyle name="Comma 16 6 6" xfId="4836"/>
    <cellStyle name="Comma 16 6 7" xfId="4837"/>
    <cellStyle name="Comma 16 6 8" xfId="4838"/>
    <cellStyle name="Comma 16 6 9" xfId="4839"/>
    <cellStyle name="Comma 16 7" xfId="204"/>
    <cellStyle name="Comma 16 7 10" xfId="4840"/>
    <cellStyle name="Comma 16 7 11" xfId="4841"/>
    <cellStyle name="Comma 16 7 12" xfId="4842"/>
    <cellStyle name="Comma 16 7 13" xfId="4843"/>
    <cellStyle name="Comma 16 7 14" xfId="4844"/>
    <cellStyle name="Comma 16 7 15" xfId="4845"/>
    <cellStyle name="Comma 16 7 16" xfId="4846"/>
    <cellStyle name="Comma 16 7 17" xfId="4847"/>
    <cellStyle name="Comma 16 7 18" xfId="4848"/>
    <cellStyle name="Comma 16 7 19" xfId="4849"/>
    <cellStyle name="Comma 16 7 2" xfId="4850"/>
    <cellStyle name="Comma 16 7 20" xfId="4851"/>
    <cellStyle name="Comma 16 7 21" xfId="4852"/>
    <cellStyle name="Comma 16 7 22" xfId="4853"/>
    <cellStyle name="Comma 16 7 23" xfId="18048"/>
    <cellStyle name="Comma 16 7 24" xfId="18049"/>
    <cellStyle name="Comma 16 7 25" xfId="18050"/>
    <cellStyle name="Comma 16 7 26" xfId="18051"/>
    <cellStyle name="Comma 16 7 27" xfId="18052"/>
    <cellStyle name="Comma 16 7 28" xfId="18053"/>
    <cellStyle name="Comma 16 7 29" xfId="18054"/>
    <cellStyle name="Comma 16 7 3" xfId="4854"/>
    <cellStyle name="Comma 16 7 30" xfId="18055"/>
    <cellStyle name="Comma 16 7 31" xfId="18056"/>
    <cellStyle name="Comma 16 7 32" xfId="18057"/>
    <cellStyle name="Comma 16 7 33" xfId="18058"/>
    <cellStyle name="Comma 16 7 34" xfId="18059"/>
    <cellStyle name="Comma 16 7 35" xfId="18060"/>
    <cellStyle name="Comma 16 7 4" xfId="4855"/>
    <cellStyle name="Comma 16 7 5" xfId="4856"/>
    <cellStyle name="Comma 16 7 6" xfId="4857"/>
    <cellStyle name="Comma 16 7 7" xfId="4858"/>
    <cellStyle name="Comma 16 7 8" xfId="4859"/>
    <cellStyle name="Comma 16 7 9" xfId="4860"/>
    <cellStyle name="Comma 16 8" xfId="205"/>
    <cellStyle name="Comma 16 8 10" xfId="4861"/>
    <cellStyle name="Comma 16 8 11" xfId="4862"/>
    <cellStyle name="Comma 16 8 12" xfId="4863"/>
    <cellStyle name="Comma 16 8 13" xfId="4864"/>
    <cellStyle name="Comma 16 8 14" xfId="4865"/>
    <cellStyle name="Comma 16 8 15" xfId="4866"/>
    <cellStyle name="Comma 16 8 16" xfId="4867"/>
    <cellStyle name="Comma 16 8 17" xfId="4868"/>
    <cellStyle name="Comma 16 8 18" xfId="4869"/>
    <cellStyle name="Comma 16 8 19" xfId="4870"/>
    <cellStyle name="Comma 16 8 2" xfId="4871"/>
    <cellStyle name="Comma 16 8 20" xfId="4872"/>
    <cellStyle name="Comma 16 8 21" xfId="4873"/>
    <cellStyle name="Comma 16 8 22" xfId="4874"/>
    <cellStyle name="Comma 16 8 23" xfId="18061"/>
    <cellStyle name="Comma 16 8 24" xfId="18062"/>
    <cellStyle name="Comma 16 8 25" xfId="18063"/>
    <cellStyle name="Comma 16 8 26" xfId="18064"/>
    <cellStyle name="Comma 16 8 27" xfId="18065"/>
    <cellStyle name="Comma 16 8 28" xfId="18066"/>
    <cellStyle name="Comma 16 8 29" xfId="18067"/>
    <cellStyle name="Comma 16 8 3" xfId="4875"/>
    <cellStyle name="Comma 16 8 30" xfId="18068"/>
    <cellStyle name="Comma 16 8 31" xfId="18069"/>
    <cellStyle name="Comma 16 8 32" xfId="18070"/>
    <cellStyle name="Comma 16 8 33" xfId="18071"/>
    <cellStyle name="Comma 16 8 34" xfId="18072"/>
    <cellStyle name="Comma 16 8 35" xfId="18073"/>
    <cellStyle name="Comma 16 8 4" xfId="4876"/>
    <cellStyle name="Comma 16 8 5" xfId="4877"/>
    <cellStyle name="Comma 16 8 6" xfId="4878"/>
    <cellStyle name="Comma 16 8 7" xfId="4879"/>
    <cellStyle name="Comma 16 8 8" xfId="4880"/>
    <cellStyle name="Comma 16 8 9" xfId="4881"/>
    <cellStyle name="Comma 16 9" xfId="206"/>
    <cellStyle name="Comma 16 9 10" xfId="4882"/>
    <cellStyle name="Comma 16 9 11" xfId="4883"/>
    <cellStyle name="Comma 16 9 12" xfId="4884"/>
    <cellStyle name="Comma 16 9 13" xfId="4885"/>
    <cellStyle name="Comma 16 9 14" xfId="4886"/>
    <cellStyle name="Comma 16 9 15" xfId="4887"/>
    <cellStyle name="Comma 16 9 16" xfId="4888"/>
    <cellStyle name="Comma 16 9 17" xfId="4889"/>
    <cellStyle name="Comma 16 9 18" xfId="4890"/>
    <cellStyle name="Comma 16 9 19" xfId="4891"/>
    <cellStyle name="Comma 16 9 2" xfId="4892"/>
    <cellStyle name="Comma 16 9 20" xfId="4893"/>
    <cellStyle name="Comma 16 9 21" xfId="4894"/>
    <cellStyle name="Comma 16 9 22" xfId="4895"/>
    <cellStyle name="Comma 16 9 23" xfId="18074"/>
    <cellStyle name="Comma 16 9 24" xfId="18075"/>
    <cellStyle name="Comma 16 9 25" xfId="18076"/>
    <cellStyle name="Comma 16 9 26" xfId="18077"/>
    <cellStyle name="Comma 16 9 27" xfId="18078"/>
    <cellStyle name="Comma 16 9 28" xfId="18079"/>
    <cellStyle name="Comma 16 9 29" xfId="18080"/>
    <cellStyle name="Comma 16 9 3" xfId="4896"/>
    <cellStyle name="Comma 16 9 30" xfId="18081"/>
    <cellStyle name="Comma 16 9 31" xfId="18082"/>
    <cellStyle name="Comma 16 9 32" xfId="18083"/>
    <cellStyle name="Comma 16 9 33" xfId="18084"/>
    <cellStyle name="Comma 16 9 34" xfId="18085"/>
    <cellStyle name="Comma 16 9 35" xfId="18086"/>
    <cellStyle name="Comma 16 9 4" xfId="4897"/>
    <cellStyle name="Comma 16 9 5" xfId="4898"/>
    <cellStyle name="Comma 16 9 6" xfId="4899"/>
    <cellStyle name="Comma 16 9 7" xfId="4900"/>
    <cellStyle name="Comma 16 9 8" xfId="4901"/>
    <cellStyle name="Comma 16 9 9" xfId="4902"/>
    <cellStyle name="Comma 17" xfId="18"/>
    <cellStyle name="Comma 17 10" xfId="207"/>
    <cellStyle name="Comma 17 10 10" xfId="4903"/>
    <cellStyle name="Comma 17 10 11" xfId="4904"/>
    <cellStyle name="Comma 17 10 12" xfId="4905"/>
    <cellStyle name="Comma 17 10 13" xfId="4906"/>
    <cellStyle name="Comma 17 10 14" xfId="4907"/>
    <cellStyle name="Comma 17 10 15" xfId="4908"/>
    <cellStyle name="Comma 17 10 16" xfId="4909"/>
    <cellStyle name="Comma 17 10 17" xfId="4910"/>
    <cellStyle name="Comma 17 10 18" xfId="4911"/>
    <cellStyle name="Comma 17 10 19" xfId="4912"/>
    <cellStyle name="Comma 17 10 2" xfId="4913"/>
    <cellStyle name="Comma 17 10 20" xfId="4914"/>
    <cellStyle name="Comma 17 10 21" xfId="4915"/>
    <cellStyle name="Comma 17 10 22" xfId="4916"/>
    <cellStyle name="Comma 17 10 23" xfId="18087"/>
    <cellStyle name="Comma 17 10 24" xfId="18088"/>
    <cellStyle name="Comma 17 10 25" xfId="18089"/>
    <cellStyle name="Comma 17 10 26" xfId="18090"/>
    <cellStyle name="Comma 17 10 27" xfId="18091"/>
    <cellStyle name="Comma 17 10 28" xfId="18092"/>
    <cellStyle name="Comma 17 10 29" xfId="18093"/>
    <cellStyle name="Comma 17 10 3" xfId="4917"/>
    <cellStyle name="Comma 17 10 30" xfId="18094"/>
    <cellStyle name="Comma 17 10 31" xfId="18095"/>
    <cellStyle name="Comma 17 10 32" xfId="18096"/>
    <cellStyle name="Comma 17 10 33" xfId="18097"/>
    <cellStyle name="Comma 17 10 34" xfId="18098"/>
    <cellStyle name="Comma 17 10 35" xfId="18099"/>
    <cellStyle name="Comma 17 10 4" xfId="4918"/>
    <cellStyle name="Comma 17 10 5" xfId="4919"/>
    <cellStyle name="Comma 17 10 6" xfId="4920"/>
    <cellStyle name="Comma 17 10 7" xfId="4921"/>
    <cellStyle name="Comma 17 10 8" xfId="4922"/>
    <cellStyle name="Comma 17 10 9" xfId="4923"/>
    <cellStyle name="Comma 17 11" xfId="208"/>
    <cellStyle name="Comma 17 11 10" xfId="4924"/>
    <cellStyle name="Comma 17 11 11" xfId="4925"/>
    <cellStyle name="Comma 17 11 12" xfId="4926"/>
    <cellStyle name="Comma 17 11 13" xfId="4927"/>
    <cellStyle name="Comma 17 11 14" xfId="4928"/>
    <cellStyle name="Comma 17 11 15" xfId="4929"/>
    <cellStyle name="Comma 17 11 16" xfId="4930"/>
    <cellStyle name="Comma 17 11 17" xfId="4931"/>
    <cellStyle name="Comma 17 11 18" xfId="4932"/>
    <cellStyle name="Comma 17 11 19" xfId="4933"/>
    <cellStyle name="Comma 17 11 2" xfId="4934"/>
    <cellStyle name="Comma 17 11 20" xfId="4935"/>
    <cellStyle name="Comma 17 11 21" xfId="4936"/>
    <cellStyle name="Comma 17 11 22" xfId="4937"/>
    <cellStyle name="Comma 17 11 23" xfId="18100"/>
    <cellStyle name="Comma 17 11 24" xfId="18101"/>
    <cellStyle name="Comma 17 11 25" xfId="18102"/>
    <cellStyle name="Comma 17 11 26" xfId="18103"/>
    <cellStyle name="Comma 17 11 27" xfId="18104"/>
    <cellStyle name="Comma 17 11 28" xfId="18105"/>
    <cellStyle name="Comma 17 11 29" xfId="18106"/>
    <cellStyle name="Comma 17 11 3" xfId="4938"/>
    <cellStyle name="Comma 17 11 30" xfId="18107"/>
    <cellStyle name="Comma 17 11 31" xfId="18108"/>
    <cellStyle name="Comma 17 11 32" xfId="18109"/>
    <cellStyle name="Comma 17 11 33" xfId="18110"/>
    <cellStyle name="Comma 17 11 34" xfId="18111"/>
    <cellStyle name="Comma 17 11 35" xfId="18112"/>
    <cellStyle name="Comma 17 11 4" xfId="4939"/>
    <cellStyle name="Comma 17 11 5" xfId="4940"/>
    <cellStyle name="Comma 17 11 6" xfId="4941"/>
    <cellStyle name="Comma 17 11 7" xfId="4942"/>
    <cellStyle name="Comma 17 11 8" xfId="4943"/>
    <cellStyle name="Comma 17 11 9" xfId="4944"/>
    <cellStyle name="Comma 17 12" xfId="209"/>
    <cellStyle name="Comma 17 12 10" xfId="4945"/>
    <cellStyle name="Comma 17 12 11" xfId="4946"/>
    <cellStyle name="Comma 17 12 12" xfId="4947"/>
    <cellStyle name="Comma 17 12 13" xfId="4948"/>
    <cellStyle name="Comma 17 12 14" xfId="4949"/>
    <cellStyle name="Comma 17 12 15" xfId="4950"/>
    <cellStyle name="Comma 17 12 16" xfId="4951"/>
    <cellStyle name="Comma 17 12 17" xfId="4952"/>
    <cellStyle name="Comma 17 12 18" xfId="4953"/>
    <cellStyle name="Comma 17 12 19" xfId="4954"/>
    <cellStyle name="Comma 17 12 2" xfId="4955"/>
    <cellStyle name="Comma 17 12 20" xfId="4956"/>
    <cellStyle name="Comma 17 12 21" xfId="4957"/>
    <cellStyle name="Comma 17 12 22" xfId="4958"/>
    <cellStyle name="Comma 17 12 23" xfId="18113"/>
    <cellStyle name="Comma 17 12 24" xfId="18114"/>
    <cellStyle name="Comma 17 12 25" xfId="18115"/>
    <cellStyle name="Comma 17 12 26" xfId="18116"/>
    <cellStyle name="Comma 17 12 27" xfId="18117"/>
    <cellStyle name="Comma 17 12 28" xfId="18118"/>
    <cellStyle name="Comma 17 12 29" xfId="18119"/>
    <cellStyle name="Comma 17 12 3" xfId="4959"/>
    <cellStyle name="Comma 17 12 30" xfId="18120"/>
    <cellStyle name="Comma 17 12 31" xfId="18121"/>
    <cellStyle name="Comma 17 12 32" xfId="18122"/>
    <cellStyle name="Comma 17 12 33" xfId="18123"/>
    <cellStyle name="Comma 17 12 34" xfId="18124"/>
    <cellStyle name="Comma 17 12 35" xfId="18125"/>
    <cellStyle name="Comma 17 12 4" xfId="4960"/>
    <cellStyle name="Comma 17 12 5" xfId="4961"/>
    <cellStyle name="Comma 17 12 6" xfId="4962"/>
    <cellStyle name="Comma 17 12 7" xfId="4963"/>
    <cellStyle name="Comma 17 12 8" xfId="4964"/>
    <cellStyle name="Comma 17 12 9" xfId="4965"/>
    <cellStyle name="Comma 17 13" xfId="210"/>
    <cellStyle name="Comma 17 13 10" xfId="4966"/>
    <cellStyle name="Comma 17 13 11" xfId="4967"/>
    <cellStyle name="Comma 17 13 12" xfId="4968"/>
    <cellStyle name="Comma 17 13 13" xfId="4969"/>
    <cellStyle name="Comma 17 13 14" xfId="4970"/>
    <cellStyle name="Comma 17 13 15" xfId="4971"/>
    <cellStyle name="Comma 17 13 16" xfId="4972"/>
    <cellStyle name="Comma 17 13 17" xfId="4973"/>
    <cellStyle name="Comma 17 13 18" xfId="4974"/>
    <cellStyle name="Comma 17 13 19" xfId="4975"/>
    <cellStyle name="Comma 17 13 2" xfId="4976"/>
    <cellStyle name="Comma 17 13 20" xfId="4977"/>
    <cellStyle name="Comma 17 13 21" xfId="4978"/>
    <cellStyle name="Comma 17 13 22" xfId="4979"/>
    <cellStyle name="Comma 17 13 23" xfId="18126"/>
    <cellStyle name="Comma 17 13 24" xfId="18127"/>
    <cellStyle name="Comma 17 13 25" xfId="18128"/>
    <cellStyle name="Comma 17 13 26" xfId="18129"/>
    <cellStyle name="Comma 17 13 27" xfId="18130"/>
    <cellStyle name="Comma 17 13 28" xfId="18131"/>
    <cellStyle name="Comma 17 13 29" xfId="18132"/>
    <cellStyle name="Comma 17 13 3" xfId="4980"/>
    <cellStyle name="Comma 17 13 30" xfId="18133"/>
    <cellStyle name="Comma 17 13 31" xfId="18134"/>
    <cellStyle name="Comma 17 13 32" xfId="18135"/>
    <cellStyle name="Comma 17 13 33" xfId="18136"/>
    <cellStyle name="Comma 17 13 34" xfId="18137"/>
    <cellStyle name="Comma 17 13 35" xfId="18138"/>
    <cellStyle name="Comma 17 13 4" xfId="4981"/>
    <cellStyle name="Comma 17 13 5" xfId="4982"/>
    <cellStyle name="Comma 17 13 6" xfId="4983"/>
    <cellStyle name="Comma 17 13 7" xfId="4984"/>
    <cellStyle name="Comma 17 13 8" xfId="4985"/>
    <cellStyle name="Comma 17 13 9" xfId="4986"/>
    <cellStyle name="Comma 17 14" xfId="211"/>
    <cellStyle name="Comma 17 14 10" xfId="4987"/>
    <cellStyle name="Comma 17 14 11" xfId="4988"/>
    <cellStyle name="Comma 17 14 12" xfId="4989"/>
    <cellStyle name="Comma 17 14 13" xfId="4990"/>
    <cellStyle name="Comma 17 14 14" xfId="4991"/>
    <cellStyle name="Comma 17 14 15" xfId="4992"/>
    <cellStyle name="Comma 17 14 16" xfId="4993"/>
    <cellStyle name="Comma 17 14 17" xfId="4994"/>
    <cellStyle name="Comma 17 14 18" xfId="4995"/>
    <cellStyle name="Comma 17 14 19" xfId="4996"/>
    <cellStyle name="Comma 17 14 2" xfId="4997"/>
    <cellStyle name="Comma 17 14 20" xfId="4998"/>
    <cellStyle name="Comma 17 14 21" xfId="4999"/>
    <cellStyle name="Comma 17 14 22" xfId="5000"/>
    <cellStyle name="Comma 17 14 23" xfId="18139"/>
    <cellStyle name="Comma 17 14 24" xfId="18140"/>
    <cellStyle name="Comma 17 14 25" xfId="18141"/>
    <cellStyle name="Comma 17 14 26" xfId="18142"/>
    <cellStyle name="Comma 17 14 27" xfId="18143"/>
    <cellStyle name="Comma 17 14 28" xfId="18144"/>
    <cellStyle name="Comma 17 14 29" xfId="18145"/>
    <cellStyle name="Comma 17 14 3" xfId="5001"/>
    <cellStyle name="Comma 17 14 30" xfId="18146"/>
    <cellStyle name="Comma 17 14 31" xfId="18147"/>
    <cellStyle name="Comma 17 14 32" xfId="18148"/>
    <cellStyle name="Comma 17 14 33" xfId="18149"/>
    <cellStyle name="Comma 17 14 34" xfId="18150"/>
    <cellStyle name="Comma 17 14 35" xfId="18151"/>
    <cellStyle name="Comma 17 14 4" xfId="5002"/>
    <cellStyle name="Comma 17 14 5" xfId="5003"/>
    <cellStyle name="Comma 17 14 6" xfId="5004"/>
    <cellStyle name="Comma 17 14 7" xfId="5005"/>
    <cellStyle name="Comma 17 14 8" xfId="5006"/>
    <cellStyle name="Comma 17 14 9" xfId="5007"/>
    <cellStyle name="Comma 17 15" xfId="99"/>
    <cellStyle name="Comma 17 15 10" xfId="2590"/>
    <cellStyle name="Comma 17 15 11" xfId="2341"/>
    <cellStyle name="Comma 17 15 12" xfId="2426"/>
    <cellStyle name="Comma 17 15 13" xfId="2397"/>
    <cellStyle name="Comma 17 15 14" xfId="2400"/>
    <cellStyle name="Comma 17 15 15" xfId="3196"/>
    <cellStyle name="Comma 17 15 2" xfId="919"/>
    <cellStyle name="Comma 17 15 3" xfId="1472"/>
    <cellStyle name="Comma 17 15 4" xfId="1509"/>
    <cellStyle name="Comma 17 15 5" xfId="1486"/>
    <cellStyle name="Comma 17 15 6" xfId="1478"/>
    <cellStyle name="Comma 17 15 7" xfId="1767"/>
    <cellStyle name="Comma 17 15 8" xfId="1778"/>
    <cellStyle name="Comma 17 15 9" xfId="2177"/>
    <cellStyle name="Comma 17 16" xfId="1404"/>
    <cellStyle name="Comma 17 17" xfId="1571"/>
    <cellStyle name="Comma 17 18" xfId="1624"/>
    <cellStyle name="Comma 17 19" xfId="1676"/>
    <cellStyle name="Comma 17 2" xfId="212"/>
    <cellStyle name="Comma 17 2 10" xfId="5008"/>
    <cellStyle name="Comma 17 2 11" xfId="5009"/>
    <cellStyle name="Comma 17 2 12" xfId="5010"/>
    <cellStyle name="Comma 17 2 13" xfId="5011"/>
    <cellStyle name="Comma 17 2 14" xfId="5012"/>
    <cellStyle name="Comma 17 2 15" xfId="5013"/>
    <cellStyle name="Comma 17 2 16" xfId="5014"/>
    <cellStyle name="Comma 17 2 17" xfId="5015"/>
    <cellStyle name="Comma 17 2 18" xfId="5016"/>
    <cellStyle name="Comma 17 2 19" xfId="5017"/>
    <cellStyle name="Comma 17 2 2" xfId="5018"/>
    <cellStyle name="Comma 17 2 20" xfId="5019"/>
    <cellStyle name="Comma 17 2 21" xfId="5020"/>
    <cellStyle name="Comma 17 2 22" xfId="5021"/>
    <cellStyle name="Comma 17 2 23" xfId="18152"/>
    <cellStyle name="Comma 17 2 24" xfId="18153"/>
    <cellStyle name="Comma 17 2 25" xfId="18154"/>
    <cellStyle name="Comma 17 2 26" xfId="18155"/>
    <cellStyle name="Comma 17 2 27" xfId="18156"/>
    <cellStyle name="Comma 17 2 28" xfId="18157"/>
    <cellStyle name="Comma 17 2 29" xfId="18158"/>
    <cellStyle name="Comma 17 2 3" xfId="5022"/>
    <cellStyle name="Comma 17 2 30" xfId="18159"/>
    <cellStyle name="Comma 17 2 31" xfId="18160"/>
    <cellStyle name="Comma 17 2 32" xfId="18161"/>
    <cellStyle name="Comma 17 2 33" xfId="18162"/>
    <cellStyle name="Comma 17 2 34" xfId="18163"/>
    <cellStyle name="Comma 17 2 35" xfId="18164"/>
    <cellStyle name="Comma 17 2 4" xfId="5023"/>
    <cellStyle name="Comma 17 2 5" xfId="5024"/>
    <cellStyle name="Comma 17 2 6" xfId="5025"/>
    <cellStyle name="Comma 17 2 7" xfId="5026"/>
    <cellStyle name="Comma 17 2 8" xfId="5027"/>
    <cellStyle name="Comma 17 2 9" xfId="5028"/>
    <cellStyle name="Comma 17 20" xfId="1706"/>
    <cellStyle name="Comma 17 21" xfId="1839"/>
    <cellStyle name="Comma 17 22" xfId="2105"/>
    <cellStyle name="Comma 17 23" xfId="2701"/>
    <cellStyle name="Comma 17 24" xfId="2279"/>
    <cellStyle name="Comma 17 25" xfId="2475"/>
    <cellStyle name="Comma 17 26" xfId="2374"/>
    <cellStyle name="Comma 17 27" xfId="2840"/>
    <cellStyle name="Comma 17 28" xfId="2422"/>
    <cellStyle name="Comma 17 29" xfId="5029"/>
    <cellStyle name="Comma 17 3" xfId="213"/>
    <cellStyle name="Comma 17 3 10" xfId="5030"/>
    <cellStyle name="Comma 17 3 11" xfId="5031"/>
    <cellStyle name="Comma 17 3 12" xfId="5032"/>
    <cellStyle name="Comma 17 3 13" xfId="5033"/>
    <cellStyle name="Comma 17 3 14" xfId="5034"/>
    <cellStyle name="Comma 17 3 15" xfId="5035"/>
    <cellStyle name="Comma 17 3 16" xfId="5036"/>
    <cellStyle name="Comma 17 3 17" xfId="5037"/>
    <cellStyle name="Comma 17 3 18" xfId="5038"/>
    <cellStyle name="Comma 17 3 19" xfId="5039"/>
    <cellStyle name="Comma 17 3 2" xfId="5040"/>
    <cellStyle name="Comma 17 3 20" xfId="5041"/>
    <cellStyle name="Comma 17 3 21" xfId="5042"/>
    <cellStyle name="Comma 17 3 22" xfId="5043"/>
    <cellStyle name="Comma 17 3 23" xfId="18165"/>
    <cellStyle name="Comma 17 3 24" xfId="18166"/>
    <cellStyle name="Comma 17 3 25" xfId="18167"/>
    <cellStyle name="Comma 17 3 26" xfId="18168"/>
    <cellStyle name="Comma 17 3 27" xfId="18169"/>
    <cellStyle name="Comma 17 3 28" xfId="18170"/>
    <cellStyle name="Comma 17 3 29" xfId="18171"/>
    <cellStyle name="Comma 17 3 3" xfId="5044"/>
    <cellStyle name="Comma 17 3 30" xfId="18172"/>
    <cellStyle name="Comma 17 3 31" xfId="18173"/>
    <cellStyle name="Comma 17 3 32" xfId="18174"/>
    <cellStyle name="Comma 17 3 33" xfId="18175"/>
    <cellStyle name="Comma 17 3 34" xfId="18176"/>
    <cellStyle name="Comma 17 3 35" xfId="18177"/>
    <cellStyle name="Comma 17 3 4" xfId="5045"/>
    <cellStyle name="Comma 17 3 5" xfId="5046"/>
    <cellStyle name="Comma 17 3 6" xfId="5047"/>
    <cellStyle name="Comma 17 3 7" xfId="5048"/>
    <cellStyle name="Comma 17 3 8" xfId="5049"/>
    <cellStyle name="Comma 17 3 9" xfId="5050"/>
    <cellStyle name="Comma 17 30" xfId="5051"/>
    <cellStyle name="Comma 17 31" xfId="5052"/>
    <cellStyle name="Comma 17 32" xfId="5053"/>
    <cellStyle name="Comma 17 33" xfId="5054"/>
    <cellStyle name="Comma 17 34" xfId="5055"/>
    <cellStyle name="Comma 17 35" xfId="5056"/>
    <cellStyle name="Comma 17 36" xfId="5057"/>
    <cellStyle name="Comma 17 37" xfId="5058"/>
    <cellStyle name="Comma 17 38" xfId="18178"/>
    <cellStyle name="Comma 17 39" xfId="18179"/>
    <cellStyle name="Comma 17 4" xfId="214"/>
    <cellStyle name="Comma 17 4 10" xfId="5059"/>
    <cellStyle name="Comma 17 4 11" xfId="5060"/>
    <cellStyle name="Comma 17 4 12" xfId="5061"/>
    <cellStyle name="Comma 17 4 13" xfId="5062"/>
    <cellStyle name="Comma 17 4 14" xfId="5063"/>
    <cellStyle name="Comma 17 4 15" xfId="5064"/>
    <cellStyle name="Comma 17 4 16" xfId="5065"/>
    <cellStyle name="Comma 17 4 17" xfId="5066"/>
    <cellStyle name="Comma 17 4 18" xfId="5067"/>
    <cellStyle name="Comma 17 4 19" xfId="5068"/>
    <cellStyle name="Comma 17 4 2" xfId="5069"/>
    <cellStyle name="Comma 17 4 20" xfId="5070"/>
    <cellStyle name="Comma 17 4 21" xfId="5071"/>
    <cellStyle name="Comma 17 4 22" xfId="5072"/>
    <cellStyle name="Comma 17 4 23" xfId="18180"/>
    <cellStyle name="Comma 17 4 24" xfId="18181"/>
    <cellStyle name="Comma 17 4 25" xfId="18182"/>
    <cellStyle name="Comma 17 4 26" xfId="18183"/>
    <cellStyle name="Comma 17 4 27" xfId="18184"/>
    <cellStyle name="Comma 17 4 28" xfId="18185"/>
    <cellStyle name="Comma 17 4 29" xfId="18186"/>
    <cellStyle name="Comma 17 4 3" xfId="5073"/>
    <cellStyle name="Comma 17 4 30" xfId="18187"/>
    <cellStyle name="Comma 17 4 31" xfId="18188"/>
    <cellStyle name="Comma 17 4 32" xfId="18189"/>
    <cellStyle name="Comma 17 4 33" xfId="18190"/>
    <cellStyle name="Comma 17 4 34" xfId="18191"/>
    <cellStyle name="Comma 17 4 35" xfId="18192"/>
    <cellStyle name="Comma 17 4 4" xfId="5074"/>
    <cellStyle name="Comma 17 4 5" xfId="5075"/>
    <cellStyle name="Comma 17 4 6" xfId="5076"/>
    <cellStyle name="Comma 17 4 7" xfId="5077"/>
    <cellStyle name="Comma 17 4 8" xfId="5078"/>
    <cellStyle name="Comma 17 4 9" xfId="5079"/>
    <cellStyle name="Comma 17 40" xfId="18193"/>
    <cellStyle name="Comma 17 41" xfId="18194"/>
    <cellStyle name="Comma 17 42" xfId="18195"/>
    <cellStyle name="Comma 17 43" xfId="18196"/>
    <cellStyle name="Comma 17 44" xfId="18197"/>
    <cellStyle name="Comma 17 45" xfId="18198"/>
    <cellStyle name="Comma 17 46" xfId="18199"/>
    <cellStyle name="Comma 17 47" xfId="18200"/>
    <cellStyle name="Comma 17 48" xfId="18201"/>
    <cellStyle name="Comma 17 49" xfId="18202"/>
    <cellStyle name="Comma 17 5" xfId="215"/>
    <cellStyle name="Comma 17 5 10" xfId="5080"/>
    <cellStyle name="Comma 17 5 11" xfId="5081"/>
    <cellStyle name="Comma 17 5 12" xfId="5082"/>
    <cellStyle name="Comma 17 5 13" xfId="5083"/>
    <cellStyle name="Comma 17 5 14" xfId="5084"/>
    <cellStyle name="Comma 17 5 15" xfId="5085"/>
    <cellStyle name="Comma 17 5 16" xfId="5086"/>
    <cellStyle name="Comma 17 5 17" xfId="5087"/>
    <cellStyle name="Comma 17 5 18" xfId="5088"/>
    <cellStyle name="Comma 17 5 19" xfId="5089"/>
    <cellStyle name="Comma 17 5 2" xfId="5090"/>
    <cellStyle name="Comma 17 5 20" xfId="5091"/>
    <cellStyle name="Comma 17 5 21" xfId="5092"/>
    <cellStyle name="Comma 17 5 22" xfId="5093"/>
    <cellStyle name="Comma 17 5 23" xfId="18203"/>
    <cellStyle name="Comma 17 5 24" xfId="18204"/>
    <cellStyle name="Comma 17 5 25" xfId="18205"/>
    <cellStyle name="Comma 17 5 26" xfId="18206"/>
    <cellStyle name="Comma 17 5 27" xfId="18207"/>
    <cellStyle name="Comma 17 5 28" xfId="18208"/>
    <cellStyle name="Comma 17 5 29" xfId="18209"/>
    <cellStyle name="Comma 17 5 3" xfId="5094"/>
    <cellStyle name="Comma 17 5 30" xfId="18210"/>
    <cellStyle name="Comma 17 5 31" xfId="18211"/>
    <cellStyle name="Comma 17 5 32" xfId="18212"/>
    <cellStyle name="Comma 17 5 33" xfId="18213"/>
    <cellStyle name="Comma 17 5 34" xfId="18214"/>
    <cellStyle name="Comma 17 5 35" xfId="18215"/>
    <cellStyle name="Comma 17 5 4" xfId="5095"/>
    <cellStyle name="Comma 17 5 5" xfId="5096"/>
    <cellStyle name="Comma 17 5 6" xfId="5097"/>
    <cellStyle name="Comma 17 5 7" xfId="5098"/>
    <cellStyle name="Comma 17 5 8" xfId="5099"/>
    <cellStyle name="Comma 17 5 9" xfId="5100"/>
    <cellStyle name="Comma 17 50" xfId="18216"/>
    <cellStyle name="Comma 17 51" xfId="27451"/>
    <cellStyle name="Comma 17 6" xfId="216"/>
    <cellStyle name="Comma 17 6 10" xfId="5101"/>
    <cellStyle name="Comma 17 6 11" xfId="5102"/>
    <cellStyle name="Comma 17 6 12" xfId="5103"/>
    <cellStyle name="Comma 17 6 13" xfId="5104"/>
    <cellStyle name="Comma 17 6 14" xfId="5105"/>
    <cellStyle name="Comma 17 6 15" xfId="5106"/>
    <cellStyle name="Comma 17 6 16" xfId="5107"/>
    <cellStyle name="Comma 17 6 17" xfId="5108"/>
    <cellStyle name="Comma 17 6 18" xfId="5109"/>
    <cellStyle name="Comma 17 6 19" xfId="5110"/>
    <cellStyle name="Comma 17 6 2" xfId="5111"/>
    <cellStyle name="Comma 17 6 20" xfId="5112"/>
    <cellStyle name="Comma 17 6 21" xfId="5113"/>
    <cellStyle name="Comma 17 6 22" xfId="5114"/>
    <cellStyle name="Comma 17 6 23" xfId="18217"/>
    <cellStyle name="Comma 17 6 24" xfId="18218"/>
    <cellStyle name="Comma 17 6 25" xfId="18219"/>
    <cellStyle name="Comma 17 6 26" xfId="18220"/>
    <cellStyle name="Comma 17 6 27" xfId="18221"/>
    <cellStyle name="Comma 17 6 28" xfId="18222"/>
    <cellStyle name="Comma 17 6 29" xfId="18223"/>
    <cellStyle name="Comma 17 6 3" xfId="5115"/>
    <cellStyle name="Comma 17 6 30" xfId="18224"/>
    <cellStyle name="Comma 17 6 31" xfId="18225"/>
    <cellStyle name="Comma 17 6 32" xfId="18226"/>
    <cellStyle name="Comma 17 6 33" xfId="18227"/>
    <cellStyle name="Comma 17 6 34" xfId="18228"/>
    <cellStyle name="Comma 17 6 35" xfId="18229"/>
    <cellStyle name="Comma 17 6 4" xfId="5116"/>
    <cellStyle name="Comma 17 6 5" xfId="5117"/>
    <cellStyle name="Comma 17 6 6" xfId="5118"/>
    <cellStyle name="Comma 17 6 7" xfId="5119"/>
    <cellStyle name="Comma 17 6 8" xfId="5120"/>
    <cellStyle name="Comma 17 6 9" xfId="5121"/>
    <cellStyle name="Comma 17 7" xfId="217"/>
    <cellStyle name="Comma 17 7 10" xfId="5122"/>
    <cellStyle name="Comma 17 7 11" xfId="5123"/>
    <cellStyle name="Comma 17 7 12" xfId="5124"/>
    <cellStyle name="Comma 17 7 13" xfId="5125"/>
    <cellStyle name="Comma 17 7 14" xfId="5126"/>
    <cellStyle name="Comma 17 7 15" xfId="5127"/>
    <cellStyle name="Comma 17 7 16" xfId="5128"/>
    <cellStyle name="Comma 17 7 17" xfId="5129"/>
    <cellStyle name="Comma 17 7 18" xfId="5130"/>
    <cellStyle name="Comma 17 7 19" xfId="5131"/>
    <cellStyle name="Comma 17 7 2" xfId="5132"/>
    <cellStyle name="Comma 17 7 20" xfId="5133"/>
    <cellStyle name="Comma 17 7 21" xfId="5134"/>
    <cellStyle name="Comma 17 7 22" xfId="5135"/>
    <cellStyle name="Comma 17 7 23" xfId="18230"/>
    <cellStyle name="Comma 17 7 24" xfId="18231"/>
    <cellStyle name="Comma 17 7 25" xfId="18232"/>
    <cellStyle name="Comma 17 7 26" xfId="18233"/>
    <cellStyle name="Comma 17 7 27" xfId="18234"/>
    <cellStyle name="Comma 17 7 28" xfId="18235"/>
    <cellStyle name="Comma 17 7 29" xfId="18236"/>
    <cellStyle name="Comma 17 7 3" xfId="5136"/>
    <cellStyle name="Comma 17 7 30" xfId="18237"/>
    <cellStyle name="Comma 17 7 31" xfId="18238"/>
    <cellStyle name="Comma 17 7 32" xfId="18239"/>
    <cellStyle name="Comma 17 7 33" xfId="18240"/>
    <cellStyle name="Comma 17 7 34" xfId="18241"/>
    <cellStyle name="Comma 17 7 35" xfId="18242"/>
    <cellStyle name="Comma 17 7 4" xfId="5137"/>
    <cellStyle name="Comma 17 7 5" xfId="5138"/>
    <cellStyle name="Comma 17 7 6" xfId="5139"/>
    <cellStyle name="Comma 17 7 7" xfId="5140"/>
    <cellStyle name="Comma 17 7 8" xfId="5141"/>
    <cellStyle name="Comma 17 7 9" xfId="5142"/>
    <cellStyle name="Comma 17 8" xfId="218"/>
    <cellStyle name="Comma 17 8 10" xfId="5143"/>
    <cellStyle name="Comma 17 8 11" xfId="5144"/>
    <cellStyle name="Comma 17 8 12" xfId="5145"/>
    <cellStyle name="Comma 17 8 13" xfId="5146"/>
    <cellStyle name="Comma 17 8 14" xfId="5147"/>
    <cellStyle name="Comma 17 8 15" xfId="5148"/>
    <cellStyle name="Comma 17 8 16" xfId="5149"/>
    <cellStyle name="Comma 17 8 17" xfId="5150"/>
    <cellStyle name="Comma 17 8 18" xfId="5151"/>
    <cellStyle name="Comma 17 8 19" xfId="5152"/>
    <cellStyle name="Comma 17 8 2" xfId="5153"/>
    <cellStyle name="Comma 17 8 20" xfId="5154"/>
    <cellStyle name="Comma 17 8 21" xfId="5155"/>
    <cellStyle name="Comma 17 8 22" xfId="5156"/>
    <cellStyle name="Comma 17 8 23" xfId="18243"/>
    <cellStyle name="Comma 17 8 24" xfId="18244"/>
    <cellStyle name="Comma 17 8 25" xfId="18245"/>
    <cellStyle name="Comma 17 8 26" xfId="18246"/>
    <cellStyle name="Comma 17 8 27" xfId="18247"/>
    <cellStyle name="Comma 17 8 28" xfId="18248"/>
    <cellStyle name="Comma 17 8 29" xfId="18249"/>
    <cellStyle name="Comma 17 8 3" xfId="5157"/>
    <cellStyle name="Comma 17 8 30" xfId="18250"/>
    <cellStyle name="Comma 17 8 31" xfId="18251"/>
    <cellStyle name="Comma 17 8 32" xfId="18252"/>
    <cellStyle name="Comma 17 8 33" xfId="18253"/>
    <cellStyle name="Comma 17 8 34" xfId="18254"/>
    <cellStyle name="Comma 17 8 35" xfId="18255"/>
    <cellStyle name="Comma 17 8 4" xfId="5158"/>
    <cellStyle name="Comma 17 8 5" xfId="5159"/>
    <cellStyle name="Comma 17 8 6" xfId="5160"/>
    <cellStyle name="Comma 17 8 7" xfId="5161"/>
    <cellStyle name="Comma 17 8 8" xfId="5162"/>
    <cellStyle name="Comma 17 8 9" xfId="5163"/>
    <cellStyle name="Comma 17 9" xfId="219"/>
    <cellStyle name="Comma 17 9 10" xfId="5164"/>
    <cellStyle name="Comma 17 9 11" xfId="5165"/>
    <cellStyle name="Comma 17 9 12" xfId="5166"/>
    <cellStyle name="Comma 17 9 13" xfId="5167"/>
    <cellStyle name="Comma 17 9 14" xfId="5168"/>
    <cellStyle name="Comma 17 9 15" xfId="5169"/>
    <cellStyle name="Comma 17 9 16" xfId="5170"/>
    <cellStyle name="Comma 17 9 17" xfId="5171"/>
    <cellStyle name="Comma 17 9 18" xfId="5172"/>
    <cellStyle name="Comma 17 9 19" xfId="5173"/>
    <cellStyle name="Comma 17 9 2" xfId="5174"/>
    <cellStyle name="Comma 17 9 20" xfId="5175"/>
    <cellStyle name="Comma 17 9 21" xfId="5176"/>
    <cellStyle name="Comma 17 9 22" xfId="5177"/>
    <cellStyle name="Comma 17 9 23" xfId="18256"/>
    <cellStyle name="Comma 17 9 24" xfId="18257"/>
    <cellStyle name="Comma 17 9 25" xfId="18258"/>
    <cellStyle name="Comma 17 9 26" xfId="18259"/>
    <cellStyle name="Comma 17 9 27" xfId="18260"/>
    <cellStyle name="Comma 17 9 28" xfId="18261"/>
    <cellStyle name="Comma 17 9 29" xfId="18262"/>
    <cellStyle name="Comma 17 9 3" xfId="5178"/>
    <cellStyle name="Comma 17 9 30" xfId="18263"/>
    <cellStyle name="Comma 17 9 31" xfId="18264"/>
    <cellStyle name="Comma 17 9 32" xfId="18265"/>
    <cellStyle name="Comma 17 9 33" xfId="18266"/>
    <cellStyle name="Comma 17 9 34" xfId="18267"/>
    <cellStyle name="Comma 17 9 35" xfId="18268"/>
    <cellStyle name="Comma 17 9 4" xfId="5179"/>
    <cellStyle name="Comma 17 9 5" xfId="5180"/>
    <cellStyle name="Comma 17 9 6" xfId="5181"/>
    <cellStyle name="Comma 17 9 7" xfId="5182"/>
    <cellStyle name="Comma 17 9 8" xfId="5183"/>
    <cellStyle name="Comma 17 9 9" xfId="5184"/>
    <cellStyle name="Comma 18" xfId="104"/>
    <cellStyle name="Comma 18 10" xfId="2824"/>
    <cellStyle name="Comma 18 11" xfId="2212"/>
    <cellStyle name="Comma 18 12" xfId="2500"/>
    <cellStyle name="Comma 18 13" xfId="2644"/>
    <cellStyle name="Comma 18 14" xfId="2313"/>
    <cellStyle name="Comma 18 15" xfId="2579"/>
    <cellStyle name="Comma 18 16" xfId="5185"/>
    <cellStyle name="Comma 18 17" xfId="5186"/>
    <cellStyle name="Comma 18 18" xfId="5187"/>
    <cellStyle name="Comma 18 19" xfId="5188"/>
    <cellStyle name="Comma 18 2" xfId="924"/>
    <cellStyle name="Comma 18 20" xfId="5189"/>
    <cellStyle name="Comma 18 21" xfId="5190"/>
    <cellStyle name="Comma 18 22" xfId="5191"/>
    <cellStyle name="Comma 18 23" xfId="18269"/>
    <cellStyle name="Comma 18 24" xfId="18270"/>
    <cellStyle name="Comma 18 25" xfId="18271"/>
    <cellStyle name="Comma 18 26" xfId="18272"/>
    <cellStyle name="Comma 18 27" xfId="18273"/>
    <cellStyle name="Comma 18 28" xfId="18274"/>
    <cellStyle name="Comma 18 29" xfId="18275"/>
    <cellStyle name="Comma 18 3" xfId="1477"/>
    <cellStyle name="Comma 18 30" xfId="18276"/>
    <cellStyle name="Comma 18 31" xfId="18277"/>
    <cellStyle name="Comma 18 32" xfId="18278"/>
    <cellStyle name="Comma 18 33" xfId="18279"/>
    <cellStyle name="Comma 18 34" xfId="18280"/>
    <cellStyle name="Comma 18 35" xfId="18281"/>
    <cellStyle name="Comma 18 4" xfId="1504"/>
    <cellStyle name="Comma 18 5" xfId="1491"/>
    <cellStyle name="Comma 18 6" xfId="1492"/>
    <cellStyle name="Comma 18 7" xfId="1772"/>
    <cellStyle name="Comma 18 8" xfId="1773"/>
    <cellStyle name="Comma 18 9" xfId="2182"/>
    <cellStyle name="Comma 19" xfId="19"/>
    <cellStyle name="Comma 19 10" xfId="220"/>
    <cellStyle name="Comma 19 10 10" xfId="5192"/>
    <cellStyle name="Comma 19 10 11" xfId="5193"/>
    <cellStyle name="Comma 19 10 12" xfId="5194"/>
    <cellStyle name="Comma 19 10 13" xfId="5195"/>
    <cellStyle name="Comma 19 10 14" xfId="5196"/>
    <cellStyle name="Comma 19 10 15" xfId="5197"/>
    <cellStyle name="Comma 19 10 16" xfId="5198"/>
    <cellStyle name="Comma 19 10 17" xfId="5199"/>
    <cellStyle name="Comma 19 10 18" xfId="5200"/>
    <cellStyle name="Comma 19 10 19" xfId="5201"/>
    <cellStyle name="Comma 19 10 2" xfId="5202"/>
    <cellStyle name="Comma 19 10 20" xfId="5203"/>
    <cellStyle name="Comma 19 10 21" xfId="5204"/>
    <cellStyle name="Comma 19 10 22" xfId="5205"/>
    <cellStyle name="Comma 19 10 23" xfId="18282"/>
    <cellStyle name="Comma 19 10 24" xfId="18283"/>
    <cellStyle name="Comma 19 10 25" xfId="18284"/>
    <cellStyle name="Comma 19 10 26" xfId="18285"/>
    <cellStyle name="Comma 19 10 27" xfId="18286"/>
    <cellStyle name="Comma 19 10 28" xfId="18287"/>
    <cellStyle name="Comma 19 10 29" xfId="18288"/>
    <cellStyle name="Comma 19 10 3" xfId="5206"/>
    <cellStyle name="Comma 19 10 30" xfId="18289"/>
    <cellStyle name="Comma 19 10 31" xfId="18290"/>
    <cellStyle name="Comma 19 10 32" xfId="18291"/>
    <cellStyle name="Comma 19 10 33" xfId="18292"/>
    <cellStyle name="Comma 19 10 34" xfId="18293"/>
    <cellStyle name="Comma 19 10 35" xfId="18294"/>
    <cellStyle name="Comma 19 10 4" xfId="5207"/>
    <cellStyle name="Comma 19 10 5" xfId="5208"/>
    <cellStyle name="Comma 19 10 6" xfId="5209"/>
    <cellStyle name="Comma 19 10 7" xfId="5210"/>
    <cellStyle name="Comma 19 10 8" xfId="5211"/>
    <cellStyle name="Comma 19 10 9" xfId="5212"/>
    <cellStyle name="Comma 19 11" xfId="221"/>
    <cellStyle name="Comma 19 11 10" xfId="5213"/>
    <cellStyle name="Comma 19 11 11" xfId="5214"/>
    <cellStyle name="Comma 19 11 12" xfId="5215"/>
    <cellStyle name="Comma 19 11 13" xfId="5216"/>
    <cellStyle name="Comma 19 11 14" xfId="5217"/>
    <cellStyle name="Comma 19 11 15" xfId="5218"/>
    <cellStyle name="Comma 19 11 16" xfId="5219"/>
    <cellStyle name="Comma 19 11 17" xfId="5220"/>
    <cellStyle name="Comma 19 11 18" xfId="5221"/>
    <cellStyle name="Comma 19 11 19" xfId="5222"/>
    <cellStyle name="Comma 19 11 2" xfId="5223"/>
    <cellStyle name="Comma 19 11 20" xfId="5224"/>
    <cellStyle name="Comma 19 11 21" xfId="5225"/>
    <cellStyle name="Comma 19 11 22" xfId="5226"/>
    <cellStyle name="Comma 19 11 23" xfId="18295"/>
    <cellStyle name="Comma 19 11 24" xfId="18296"/>
    <cellStyle name="Comma 19 11 25" xfId="18297"/>
    <cellStyle name="Comma 19 11 26" xfId="18298"/>
    <cellStyle name="Comma 19 11 27" xfId="18299"/>
    <cellStyle name="Comma 19 11 28" xfId="18300"/>
    <cellStyle name="Comma 19 11 29" xfId="18301"/>
    <cellStyle name="Comma 19 11 3" xfId="5227"/>
    <cellStyle name="Comma 19 11 30" xfId="18302"/>
    <cellStyle name="Comma 19 11 31" xfId="18303"/>
    <cellStyle name="Comma 19 11 32" xfId="18304"/>
    <cellStyle name="Comma 19 11 33" xfId="18305"/>
    <cellStyle name="Comma 19 11 34" xfId="18306"/>
    <cellStyle name="Comma 19 11 35" xfId="18307"/>
    <cellStyle name="Comma 19 11 4" xfId="5228"/>
    <cellStyle name="Comma 19 11 5" xfId="5229"/>
    <cellStyle name="Comma 19 11 6" xfId="5230"/>
    <cellStyle name="Comma 19 11 7" xfId="5231"/>
    <cellStyle name="Comma 19 11 8" xfId="5232"/>
    <cellStyle name="Comma 19 11 9" xfId="5233"/>
    <cellStyle name="Comma 19 12" xfId="222"/>
    <cellStyle name="Comma 19 12 10" xfId="5234"/>
    <cellStyle name="Comma 19 12 11" xfId="5235"/>
    <cellStyle name="Comma 19 12 12" xfId="5236"/>
    <cellStyle name="Comma 19 12 13" xfId="5237"/>
    <cellStyle name="Comma 19 12 14" xfId="5238"/>
    <cellStyle name="Comma 19 12 15" xfId="5239"/>
    <cellStyle name="Comma 19 12 16" xfId="5240"/>
    <cellStyle name="Comma 19 12 17" xfId="5241"/>
    <cellStyle name="Comma 19 12 18" xfId="5242"/>
    <cellStyle name="Comma 19 12 19" xfId="5243"/>
    <cellStyle name="Comma 19 12 2" xfId="5244"/>
    <cellStyle name="Comma 19 12 20" xfId="5245"/>
    <cellStyle name="Comma 19 12 21" xfId="5246"/>
    <cellStyle name="Comma 19 12 22" xfId="5247"/>
    <cellStyle name="Comma 19 12 23" xfId="18308"/>
    <cellStyle name="Comma 19 12 24" xfId="18309"/>
    <cellStyle name="Comma 19 12 25" xfId="18310"/>
    <cellStyle name="Comma 19 12 26" xfId="18311"/>
    <cellStyle name="Comma 19 12 27" xfId="18312"/>
    <cellStyle name="Comma 19 12 28" xfId="18313"/>
    <cellStyle name="Comma 19 12 29" xfId="18314"/>
    <cellStyle name="Comma 19 12 3" xfId="5248"/>
    <cellStyle name="Comma 19 12 30" xfId="18315"/>
    <cellStyle name="Comma 19 12 31" xfId="18316"/>
    <cellStyle name="Comma 19 12 32" xfId="18317"/>
    <cellStyle name="Comma 19 12 33" xfId="18318"/>
    <cellStyle name="Comma 19 12 34" xfId="18319"/>
    <cellStyle name="Comma 19 12 35" xfId="18320"/>
    <cellStyle name="Comma 19 12 4" xfId="5249"/>
    <cellStyle name="Comma 19 12 5" xfId="5250"/>
    <cellStyle name="Comma 19 12 6" xfId="5251"/>
    <cellStyle name="Comma 19 12 7" xfId="5252"/>
    <cellStyle name="Comma 19 12 8" xfId="5253"/>
    <cellStyle name="Comma 19 12 9" xfId="5254"/>
    <cellStyle name="Comma 19 13" xfId="223"/>
    <cellStyle name="Comma 19 13 10" xfId="5255"/>
    <cellStyle name="Comma 19 13 11" xfId="5256"/>
    <cellStyle name="Comma 19 13 12" xfId="5257"/>
    <cellStyle name="Comma 19 13 13" xfId="5258"/>
    <cellStyle name="Comma 19 13 14" xfId="5259"/>
    <cellStyle name="Comma 19 13 15" xfId="5260"/>
    <cellStyle name="Comma 19 13 16" xfId="5261"/>
    <cellStyle name="Comma 19 13 17" xfId="5262"/>
    <cellStyle name="Comma 19 13 18" xfId="5263"/>
    <cellStyle name="Comma 19 13 19" xfId="5264"/>
    <cellStyle name="Comma 19 13 2" xfId="5265"/>
    <cellStyle name="Comma 19 13 20" xfId="5266"/>
    <cellStyle name="Comma 19 13 21" xfId="5267"/>
    <cellStyle name="Comma 19 13 22" xfId="5268"/>
    <cellStyle name="Comma 19 13 23" xfId="18321"/>
    <cellStyle name="Comma 19 13 24" xfId="18322"/>
    <cellStyle name="Comma 19 13 25" xfId="18323"/>
    <cellStyle name="Comma 19 13 26" xfId="18324"/>
    <cellStyle name="Comma 19 13 27" xfId="18325"/>
    <cellStyle name="Comma 19 13 28" xfId="18326"/>
    <cellStyle name="Comma 19 13 29" xfId="18327"/>
    <cellStyle name="Comma 19 13 3" xfId="5269"/>
    <cellStyle name="Comma 19 13 30" xfId="18328"/>
    <cellStyle name="Comma 19 13 31" xfId="18329"/>
    <cellStyle name="Comma 19 13 32" xfId="18330"/>
    <cellStyle name="Comma 19 13 33" xfId="18331"/>
    <cellStyle name="Comma 19 13 34" xfId="18332"/>
    <cellStyle name="Comma 19 13 35" xfId="18333"/>
    <cellStyle name="Comma 19 13 4" xfId="5270"/>
    <cellStyle name="Comma 19 13 5" xfId="5271"/>
    <cellStyle name="Comma 19 13 6" xfId="5272"/>
    <cellStyle name="Comma 19 13 7" xfId="5273"/>
    <cellStyle name="Comma 19 13 8" xfId="5274"/>
    <cellStyle name="Comma 19 13 9" xfId="5275"/>
    <cellStyle name="Comma 19 14" xfId="224"/>
    <cellStyle name="Comma 19 14 10" xfId="5276"/>
    <cellStyle name="Comma 19 14 11" xfId="5277"/>
    <cellStyle name="Comma 19 14 12" xfId="5278"/>
    <cellStyle name="Comma 19 14 13" xfId="5279"/>
    <cellStyle name="Comma 19 14 14" xfId="5280"/>
    <cellStyle name="Comma 19 14 15" xfId="5281"/>
    <cellStyle name="Comma 19 14 16" xfId="5282"/>
    <cellStyle name="Comma 19 14 17" xfId="5283"/>
    <cellStyle name="Comma 19 14 18" xfId="5284"/>
    <cellStyle name="Comma 19 14 19" xfId="5285"/>
    <cellStyle name="Comma 19 14 2" xfId="5286"/>
    <cellStyle name="Comma 19 14 20" xfId="5287"/>
    <cellStyle name="Comma 19 14 21" xfId="5288"/>
    <cellStyle name="Comma 19 14 22" xfId="5289"/>
    <cellStyle name="Comma 19 14 23" xfId="18334"/>
    <cellStyle name="Comma 19 14 24" xfId="18335"/>
    <cellStyle name="Comma 19 14 25" xfId="18336"/>
    <cellStyle name="Comma 19 14 26" xfId="18337"/>
    <cellStyle name="Comma 19 14 27" xfId="18338"/>
    <cellStyle name="Comma 19 14 28" xfId="18339"/>
    <cellStyle name="Comma 19 14 29" xfId="18340"/>
    <cellStyle name="Comma 19 14 3" xfId="5290"/>
    <cellStyle name="Comma 19 14 30" xfId="18341"/>
    <cellStyle name="Comma 19 14 31" xfId="18342"/>
    <cellStyle name="Comma 19 14 32" xfId="18343"/>
    <cellStyle name="Comma 19 14 33" xfId="18344"/>
    <cellStyle name="Comma 19 14 34" xfId="18345"/>
    <cellStyle name="Comma 19 14 35" xfId="18346"/>
    <cellStyle name="Comma 19 14 4" xfId="5291"/>
    <cellStyle name="Comma 19 14 5" xfId="5292"/>
    <cellStyle name="Comma 19 14 6" xfId="5293"/>
    <cellStyle name="Comma 19 14 7" xfId="5294"/>
    <cellStyle name="Comma 19 14 8" xfId="5295"/>
    <cellStyle name="Comma 19 14 9" xfId="5296"/>
    <cellStyle name="Comma 19 15" xfId="225"/>
    <cellStyle name="Comma 19 16" xfId="1405"/>
    <cellStyle name="Comma 19 17" xfId="1570"/>
    <cellStyle name="Comma 19 18" xfId="1623"/>
    <cellStyle name="Comma 19 19" xfId="1675"/>
    <cellStyle name="Comma 19 2" xfId="226"/>
    <cellStyle name="Comma 19 2 10" xfId="5297"/>
    <cellStyle name="Comma 19 2 11" xfId="5298"/>
    <cellStyle name="Comma 19 2 12" xfId="5299"/>
    <cellStyle name="Comma 19 2 13" xfId="5300"/>
    <cellStyle name="Comma 19 2 14" xfId="5301"/>
    <cellStyle name="Comma 19 2 15" xfId="5302"/>
    <cellStyle name="Comma 19 2 16" xfId="5303"/>
    <cellStyle name="Comma 19 2 17" xfId="5304"/>
    <cellStyle name="Comma 19 2 18" xfId="5305"/>
    <cellStyle name="Comma 19 2 19" xfId="5306"/>
    <cellStyle name="Comma 19 2 2" xfId="5307"/>
    <cellStyle name="Comma 19 2 20" xfId="5308"/>
    <cellStyle name="Comma 19 2 21" xfId="5309"/>
    <cellStyle name="Comma 19 2 22" xfId="5310"/>
    <cellStyle name="Comma 19 2 23" xfId="18347"/>
    <cellStyle name="Comma 19 2 24" xfId="18348"/>
    <cellStyle name="Comma 19 2 25" xfId="18349"/>
    <cellStyle name="Comma 19 2 26" xfId="18350"/>
    <cellStyle name="Comma 19 2 27" xfId="18351"/>
    <cellStyle name="Comma 19 2 28" xfId="18352"/>
    <cellStyle name="Comma 19 2 29" xfId="18353"/>
    <cellStyle name="Comma 19 2 3" xfId="5311"/>
    <cellStyle name="Comma 19 2 30" xfId="18354"/>
    <cellStyle name="Comma 19 2 31" xfId="18355"/>
    <cellStyle name="Comma 19 2 32" xfId="18356"/>
    <cellStyle name="Comma 19 2 33" xfId="18357"/>
    <cellStyle name="Comma 19 2 34" xfId="18358"/>
    <cellStyle name="Comma 19 2 35" xfId="18359"/>
    <cellStyle name="Comma 19 2 4" xfId="5312"/>
    <cellStyle name="Comma 19 2 5" xfId="5313"/>
    <cellStyle name="Comma 19 2 6" xfId="5314"/>
    <cellStyle name="Comma 19 2 7" xfId="5315"/>
    <cellStyle name="Comma 19 2 8" xfId="5316"/>
    <cellStyle name="Comma 19 2 9" xfId="5317"/>
    <cellStyle name="Comma 19 20" xfId="1707"/>
    <cellStyle name="Comma 19 21" xfId="1838"/>
    <cellStyle name="Comma 19 22" xfId="2106"/>
    <cellStyle name="Comma 19 23" xfId="2681"/>
    <cellStyle name="Comma 19 24" xfId="2731"/>
    <cellStyle name="Comma 19 25" xfId="2902"/>
    <cellStyle name="Comma 19 26" xfId="2984"/>
    <cellStyle name="Comma 19 27" xfId="3054"/>
    <cellStyle name="Comma 19 28" xfId="3147"/>
    <cellStyle name="Comma 19 29" xfId="5318"/>
    <cellStyle name="Comma 19 3" xfId="227"/>
    <cellStyle name="Comma 19 3 10" xfId="5319"/>
    <cellStyle name="Comma 19 3 11" xfId="5320"/>
    <cellStyle name="Comma 19 3 12" xfId="5321"/>
    <cellStyle name="Comma 19 3 13" xfId="5322"/>
    <cellStyle name="Comma 19 3 14" xfId="5323"/>
    <cellStyle name="Comma 19 3 15" xfId="5324"/>
    <cellStyle name="Comma 19 3 16" xfId="5325"/>
    <cellStyle name="Comma 19 3 17" xfId="5326"/>
    <cellStyle name="Comma 19 3 18" xfId="5327"/>
    <cellStyle name="Comma 19 3 19" xfId="5328"/>
    <cellStyle name="Comma 19 3 2" xfId="5329"/>
    <cellStyle name="Comma 19 3 20" xfId="5330"/>
    <cellStyle name="Comma 19 3 21" xfId="5331"/>
    <cellStyle name="Comma 19 3 22" xfId="5332"/>
    <cellStyle name="Comma 19 3 23" xfId="18360"/>
    <cellStyle name="Comma 19 3 24" xfId="18361"/>
    <cellStyle name="Comma 19 3 25" xfId="18362"/>
    <cellStyle name="Comma 19 3 26" xfId="18363"/>
    <cellStyle name="Comma 19 3 27" xfId="18364"/>
    <cellStyle name="Comma 19 3 28" xfId="18365"/>
    <cellStyle name="Comma 19 3 29" xfId="18366"/>
    <cellStyle name="Comma 19 3 3" xfId="5333"/>
    <cellStyle name="Comma 19 3 30" xfId="18367"/>
    <cellStyle name="Comma 19 3 31" xfId="18368"/>
    <cellStyle name="Comma 19 3 32" xfId="18369"/>
    <cellStyle name="Comma 19 3 33" xfId="18370"/>
    <cellStyle name="Comma 19 3 34" xfId="18371"/>
    <cellStyle name="Comma 19 3 35" xfId="18372"/>
    <cellStyle name="Comma 19 3 4" xfId="5334"/>
    <cellStyle name="Comma 19 3 5" xfId="5335"/>
    <cellStyle name="Comma 19 3 6" xfId="5336"/>
    <cellStyle name="Comma 19 3 7" xfId="5337"/>
    <cellStyle name="Comma 19 3 8" xfId="5338"/>
    <cellStyle name="Comma 19 3 9" xfId="5339"/>
    <cellStyle name="Comma 19 30" xfId="5340"/>
    <cellStyle name="Comma 19 31" xfId="5341"/>
    <cellStyle name="Comma 19 32" xfId="5342"/>
    <cellStyle name="Comma 19 33" xfId="5343"/>
    <cellStyle name="Comma 19 34" xfId="5344"/>
    <cellStyle name="Comma 19 35" xfId="5345"/>
    <cellStyle name="Comma 19 36" xfId="5346"/>
    <cellStyle name="Comma 19 37" xfId="5347"/>
    <cellStyle name="Comma 19 38" xfId="18373"/>
    <cellStyle name="Comma 19 39" xfId="18374"/>
    <cellStyle name="Comma 19 4" xfId="228"/>
    <cellStyle name="Comma 19 4 10" xfId="5348"/>
    <cellStyle name="Comma 19 4 11" xfId="5349"/>
    <cellStyle name="Comma 19 4 12" xfId="5350"/>
    <cellStyle name="Comma 19 4 13" xfId="5351"/>
    <cellStyle name="Comma 19 4 14" xfId="5352"/>
    <cellStyle name="Comma 19 4 15" xfId="5353"/>
    <cellStyle name="Comma 19 4 16" xfId="5354"/>
    <cellStyle name="Comma 19 4 17" xfId="5355"/>
    <cellStyle name="Comma 19 4 18" xfId="5356"/>
    <cellStyle name="Comma 19 4 19" xfId="5357"/>
    <cellStyle name="Comma 19 4 2" xfId="5358"/>
    <cellStyle name="Comma 19 4 20" xfId="5359"/>
    <cellStyle name="Comma 19 4 21" xfId="5360"/>
    <cellStyle name="Comma 19 4 22" xfId="5361"/>
    <cellStyle name="Comma 19 4 23" xfId="18375"/>
    <cellStyle name="Comma 19 4 24" xfId="18376"/>
    <cellStyle name="Comma 19 4 25" xfId="18377"/>
    <cellStyle name="Comma 19 4 26" xfId="18378"/>
    <cellStyle name="Comma 19 4 27" xfId="18379"/>
    <cellStyle name="Comma 19 4 28" xfId="18380"/>
    <cellStyle name="Comma 19 4 29" xfId="18381"/>
    <cellStyle name="Comma 19 4 3" xfId="5362"/>
    <cellStyle name="Comma 19 4 30" xfId="18382"/>
    <cellStyle name="Comma 19 4 31" xfId="18383"/>
    <cellStyle name="Comma 19 4 32" xfId="18384"/>
    <cellStyle name="Comma 19 4 33" xfId="18385"/>
    <cellStyle name="Comma 19 4 34" xfId="18386"/>
    <cellStyle name="Comma 19 4 35" xfId="18387"/>
    <cellStyle name="Comma 19 4 4" xfId="5363"/>
    <cellStyle name="Comma 19 4 5" xfId="5364"/>
    <cellStyle name="Comma 19 4 6" xfId="5365"/>
    <cellStyle name="Comma 19 4 7" xfId="5366"/>
    <cellStyle name="Comma 19 4 8" xfId="5367"/>
    <cellStyle name="Comma 19 4 9" xfId="5368"/>
    <cellStyle name="Comma 19 40" xfId="18388"/>
    <cellStyle name="Comma 19 41" xfId="18389"/>
    <cellStyle name="Comma 19 42" xfId="18390"/>
    <cellStyle name="Comma 19 43" xfId="18391"/>
    <cellStyle name="Comma 19 44" xfId="18392"/>
    <cellStyle name="Comma 19 45" xfId="18393"/>
    <cellStyle name="Comma 19 46" xfId="18394"/>
    <cellStyle name="Comma 19 47" xfId="18395"/>
    <cellStyle name="Comma 19 48" xfId="18396"/>
    <cellStyle name="Comma 19 49" xfId="18397"/>
    <cellStyle name="Comma 19 5" xfId="229"/>
    <cellStyle name="Comma 19 5 10" xfId="5369"/>
    <cellStyle name="Comma 19 5 11" xfId="5370"/>
    <cellStyle name="Comma 19 5 12" xfId="5371"/>
    <cellStyle name="Comma 19 5 13" xfId="5372"/>
    <cellStyle name="Comma 19 5 14" xfId="5373"/>
    <cellStyle name="Comma 19 5 15" xfId="5374"/>
    <cellStyle name="Comma 19 5 16" xfId="5375"/>
    <cellStyle name="Comma 19 5 17" xfId="5376"/>
    <cellStyle name="Comma 19 5 18" xfId="5377"/>
    <cellStyle name="Comma 19 5 19" xfId="5378"/>
    <cellStyle name="Comma 19 5 2" xfId="5379"/>
    <cellStyle name="Comma 19 5 20" xfId="5380"/>
    <cellStyle name="Comma 19 5 21" xfId="5381"/>
    <cellStyle name="Comma 19 5 22" xfId="5382"/>
    <cellStyle name="Comma 19 5 23" xfId="18398"/>
    <cellStyle name="Comma 19 5 24" xfId="18399"/>
    <cellStyle name="Comma 19 5 25" xfId="18400"/>
    <cellStyle name="Comma 19 5 26" xfId="18401"/>
    <cellStyle name="Comma 19 5 27" xfId="18402"/>
    <cellStyle name="Comma 19 5 28" xfId="18403"/>
    <cellStyle name="Comma 19 5 29" xfId="18404"/>
    <cellStyle name="Comma 19 5 3" xfId="5383"/>
    <cellStyle name="Comma 19 5 30" xfId="18405"/>
    <cellStyle name="Comma 19 5 31" xfId="18406"/>
    <cellStyle name="Comma 19 5 32" xfId="18407"/>
    <cellStyle name="Comma 19 5 33" xfId="18408"/>
    <cellStyle name="Comma 19 5 34" xfId="18409"/>
    <cellStyle name="Comma 19 5 35" xfId="18410"/>
    <cellStyle name="Comma 19 5 4" xfId="5384"/>
    <cellStyle name="Comma 19 5 5" xfId="5385"/>
    <cellStyle name="Comma 19 5 6" xfId="5386"/>
    <cellStyle name="Comma 19 5 7" xfId="5387"/>
    <cellStyle name="Comma 19 5 8" xfId="5388"/>
    <cellStyle name="Comma 19 5 9" xfId="5389"/>
    <cellStyle name="Comma 19 50" xfId="18411"/>
    <cellStyle name="Comma 19 6" xfId="230"/>
    <cellStyle name="Comma 19 6 10" xfId="5390"/>
    <cellStyle name="Comma 19 6 11" xfId="5391"/>
    <cellStyle name="Comma 19 6 12" xfId="5392"/>
    <cellStyle name="Comma 19 6 13" xfId="5393"/>
    <cellStyle name="Comma 19 6 14" xfId="5394"/>
    <cellStyle name="Comma 19 6 15" xfId="5395"/>
    <cellStyle name="Comma 19 6 16" xfId="5396"/>
    <cellStyle name="Comma 19 6 17" xfId="5397"/>
    <cellStyle name="Comma 19 6 18" xfId="5398"/>
    <cellStyle name="Comma 19 6 19" xfId="5399"/>
    <cellStyle name="Comma 19 6 2" xfId="5400"/>
    <cellStyle name="Comma 19 6 20" xfId="5401"/>
    <cellStyle name="Comma 19 6 21" xfId="5402"/>
    <cellStyle name="Comma 19 6 22" xfId="5403"/>
    <cellStyle name="Comma 19 6 23" xfId="18412"/>
    <cellStyle name="Comma 19 6 24" xfId="18413"/>
    <cellStyle name="Comma 19 6 25" xfId="18414"/>
    <cellStyle name="Comma 19 6 26" xfId="18415"/>
    <cellStyle name="Comma 19 6 27" xfId="18416"/>
    <cellStyle name="Comma 19 6 28" xfId="18417"/>
    <cellStyle name="Comma 19 6 29" xfId="18418"/>
    <cellStyle name="Comma 19 6 3" xfId="5404"/>
    <cellStyle name="Comma 19 6 30" xfId="18419"/>
    <cellStyle name="Comma 19 6 31" xfId="18420"/>
    <cellStyle name="Comma 19 6 32" xfId="18421"/>
    <cellStyle name="Comma 19 6 33" xfId="18422"/>
    <cellStyle name="Comma 19 6 34" xfId="18423"/>
    <cellStyle name="Comma 19 6 35" xfId="18424"/>
    <cellStyle name="Comma 19 6 4" xfId="5405"/>
    <cellStyle name="Comma 19 6 5" xfId="5406"/>
    <cellStyle name="Comma 19 6 6" xfId="5407"/>
    <cellStyle name="Comma 19 6 7" xfId="5408"/>
    <cellStyle name="Comma 19 6 8" xfId="5409"/>
    <cellStyle name="Comma 19 6 9" xfId="5410"/>
    <cellStyle name="Comma 19 7" xfId="231"/>
    <cellStyle name="Comma 19 7 10" xfId="5411"/>
    <cellStyle name="Comma 19 7 11" xfId="5412"/>
    <cellStyle name="Comma 19 7 12" xfId="5413"/>
    <cellStyle name="Comma 19 7 13" xfId="5414"/>
    <cellStyle name="Comma 19 7 14" xfId="5415"/>
    <cellStyle name="Comma 19 7 15" xfId="5416"/>
    <cellStyle name="Comma 19 7 16" xfId="5417"/>
    <cellStyle name="Comma 19 7 17" xfId="5418"/>
    <cellStyle name="Comma 19 7 18" xfId="5419"/>
    <cellStyle name="Comma 19 7 19" xfId="5420"/>
    <cellStyle name="Comma 19 7 2" xfId="5421"/>
    <cellStyle name="Comma 19 7 20" xfId="5422"/>
    <cellStyle name="Comma 19 7 21" xfId="5423"/>
    <cellStyle name="Comma 19 7 22" xfId="5424"/>
    <cellStyle name="Comma 19 7 23" xfId="18425"/>
    <cellStyle name="Comma 19 7 24" xfId="18426"/>
    <cellStyle name="Comma 19 7 25" xfId="18427"/>
    <cellStyle name="Comma 19 7 26" xfId="18428"/>
    <cellStyle name="Comma 19 7 27" xfId="18429"/>
    <cellStyle name="Comma 19 7 28" xfId="18430"/>
    <cellStyle name="Comma 19 7 29" xfId="18431"/>
    <cellStyle name="Comma 19 7 3" xfId="5425"/>
    <cellStyle name="Comma 19 7 30" xfId="18432"/>
    <cellStyle name="Comma 19 7 31" xfId="18433"/>
    <cellStyle name="Comma 19 7 32" xfId="18434"/>
    <cellStyle name="Comma 19 7 33" xfId="18435"/>
    <cellStyle name="Comma 19 7 34" xfId="18436"/>
    <cellStyle name="Comma 19 7 35" xfId="18437"/>
    <cellStyle name="Comma 19 7 4" xfId="5426"/>
    <cellStyle name="Comma 19 7 5" xfId="5427"/>
    <cellStyle name="Comma 19 7 6" xfId="5428"/>
    <cellStyle name="Comma 19 7 7" xfId="5429"/>
    <cellStyle name="Comma 19 7 8" xfId="5430"/>
    <cellStyle name="Comma 19 7 9" xfId="5431"/>
    <cellStyle name="Comma 19 8" xfId="232"/>
    <cellStyle name="Comma 19 8 10" xfId="5432"/>
    <cellStyle name="Comma 19 8 11" xfId="5433"/>
    <cellStyle name="Comma 19 8 12" xfId="5434"/>
    <cellStyle name="Comma 19 8 13" xfId="5435"/>
    <cellStyle name="Comma 19 8 14" xfId="5436"/>
    <cellStyle name="Comma 19 8 15" xfId="5437"/>
    <cellStyle name="Comma 19 8 16" xfId="5438"/>
    <cellStyle name="Comma 19 8 17" xfId="5439"/>
    <cellStyle name="Comma 19 8 18" xfId="5440"/>
    <cellStyle name="Comma 19 8 19" xfId="5441"/>
    <cellStyle name="Comma 19 8 2" xfId="5442"/>
    <cellStyle name="Comma 19 8 20" xfId="5443"/>
    <cellStyle name="Comma 19 8 21" xfId="5444"/>
    <cellStyle name="Comma 19 8 22" xfId="5445"/>
    <cellStyle name="Comma 19 8 23" xfId="18438"/>
    <cellStyle name="Comma 19 8 24" xfId="18439"/>
    <cellStyle name="Comma 19 8 25" xfId="18440"/>
    <cellStyle name="Comma 19 8 26" xfId="18441"/>
    <cellStyle name="Comma 19 8 27" xfId="18442"/>
    <cellStyle name="Comma 19 8 28" xfId="18443"/>
    <cellStyle name="Comma 19 8 29" xfId="18444"/>
    <cellStyle name="Comma 19 8 3" xfId="5446"/>
    <cellStyle name="Comma 19 8 30" xfId="18445"/>
    <cellStyle name="Comma 19 8 31" xfId="18446"/>
    <cellStyle name="Comma 19 8 32" xfId="18447"/>
    <cellStyle name="Comma 19 8 33" xfId="18448"/>
    <cellStyle name="Comma 19 8 34" xfId="18449"/>
    <cellStyle name="Comma 19 8 35" xfId="18450"/>
    <cellStyle name="Comma 19 8 4" xfId="5447"/>
    <cellStyle name="Comma 19 8 5" xfId="5448"/>
    <cellStyle name="Comma 19 8 6" xfId="5449"/>
    <cellStyle name="Comma 19 8 7" xfId="5450"/>
    <cellStyle name="Comma 19 8 8" xfId="5451"/>
    <cellStyle name="Comma 19 8 9" xfId="5452"/>
    <cellStyle name="Comma 19 9" xfId="233"/>
    <cellStyle name="Comma 19 9 10" xfId="5453"/>
    <cellStyle name="Comma 19 9 11" xfId="5454"/>
    <cellStyle name="Comma 19 9 12" xfId="5455"/>
    <cellStyle name="Comma 19 9 13" xfId="5456"/>
    <cellStyle name="Comma 19 9 14" xfId="5457"/>
    <cellStyle name="Comma 19 9 15" xfId="5458"/>
    <cellStyle name="Comma 19 9 16" xfId="5459"/>
    <cellStyle name="Comma 19 9 17" xfId="5460"/>
    <cellStyle name="Comma 19 9 18" xfId="5461"/>
    <cellStyle name="Comma 19 9 19" xfId="5462"/>
    <cellStyle name="Comma 19 9 2" xfId="5463"/>
    <cellStyle name="Comma 19 9 20" xfId="5464"/>
    <cellStyle name="Comma 19 9 21" xfId="5465"/>
    <cellStyle name="Comma 19 9 22" xfId="5466"/>
    <cellStyle name="Comma 19 9 23" xfId="18451"/>
    <cellStyle name="Comma 19 9 24" xfId="18452"/>
    <cellStyle name="Comma 19 9 25" xfId="18453"/>
    <cellStyle name="Comma 19 9 26" xfId="18454"/>
    <cellStyle name="Comma 19 9 27" xfId="18455"/>
    <cellStyle name="Comma 19 9 28" xfId="18456"/>
    <cellStyle name="Comma 19 9 29" xfId="18457"/>
    <cellStyle name="Comma 19 9 3" xfId="5467"/>
    <cellStyle name="Comma 19 9 30" xfId="18458"/>
    <cellStyle name="Comma 19 9 31" xfId="18459"/>
    <cellStyle name="Comma 19 9 32" xfId="18460"/>
    <cellStyle name="Comma 19 9 33" xfId="18461"/>
    <cellStyle name="Comma 19 9 34" xfId="18462"/>
    <cellStyle name="Comma 19 9 35" xfId="18463"/>
    <cellStyle name="Comma 19 9 4" xfId="5468"/>
    <cellStyle name="Comma 19 9 5" xfId="5469"/>
    <cellStyle name="Comma 19 9 6" xfId="5470"/>
    <cellStyle name="Comma 19 9 7" xfId="5471"/>
    <cellStyle name="Comma 19 9 8" xfId="5472"/>
    <cellStyle name="Comma 19 9 9" xfId="5473"/>
    <cellStyle name="Comma 2" xfId="234"/>
    <cellStyle name="Comma 2 10" xfId="2073"/>
    <cellStyle name="Comma 2 10 2" xfId="27455"/>
    <cellStyle name="Comma 2 10 3" xfId="27456"/>
    <cellStyle name="Comma 2 10 4" xfId="27457"/>
    <cellStyle name="Comma 2 10 5" xfId="27458"/>
    <cellStyle name="Comma 2 11" xfId="5474"/>
    <cellStyle name="Comma 2 11 2" xfId="27459"/>
    <cellStyle name="Comma 2 11 3" xfId="27460"/>
    <cellStyle name="Comma 2 11 4" xfId="27461"/>
    <cellStyle name="Comma 2 11 5" xfId="27462"/>
    <cellStyle name="Comma 2 12" xfId="5475"/>
    <cellStyle name="Comma 2 12 2" xfId="27463"/>
    <cellStyle name="Comma 2 12 3" xfId="27464"/>
    <cellStyle name="Comma 2 12 4" xfId="27465"/>
    <cellStyle name="Comma 2 12 5" xfId="27466"/>
    <cellStyle name="Comma 2 13" xfId="5476"/>
    <cellStyle name="Comma 2 13 2" xfId="27467"/>
    <cellStyle name="Comma 2 13 3" xfId="27468"/>
    <cellStyle name="Comma 2 13 4" xfId="27469"/>
    <cellStyle name="Comma 2 13 5" xfId="27470"/>
    <cellStyle name="Comma 2 14" xfId="5477"/>
    <cellStyle name="Comma 2 14 2" xfId="27471"/>
    <cellStyle name="Comma 2 14 3" xfId="27472"/>
    <cellStyle name="Comma 2 14 4" xfId="27473"/>
    <cellStyle name="Comma 2 14 5" xfId="27474"/>
    <cellStyle name="Comma 2 15" xfId="5478"/>
    <cellStyle name="Comma 2 15 2" xfId="27475"/>
    <cellStyle name="Comma 2 15 3" xfId="27476"/>
    <cellStyle name="Comma 2 16" xfId="5479"/>
    <cellStyle name="Comma 2 16 2" xfId="27477"/>
    <cellStyle name="Comma 2 16 3" xfId="27478"/>
    <cellStyle name="Comma 2 17" xfId="5480"/>
    <cellStyle name="Comma 2 17 2" xfId="27479"/>
    <cellStyle name="Comma 2 17 3" xfId="27480"/>
    <cellStyle name="Comma 2 18" xfId="5481"/>
    <cellStyle name="Comma 2 18 2" xfId="27481"/>
    <cellStyle name="Comma 2 18 3" xfId="27482"/>
    <cellStyle name="Comma 2 19" xfId="5482"/>
    <cellStyle name="Comma 2 19 2" xfId="27483"/>
    <cellStyle name="Comma 2 19 3" xfId="27484"/>
    <cellStyle name="Comma 2 2" xfId="235"/>
    <cellStyle name="Comma 2 2 2" xfId="27485"/>
    <cellStyle name="Comma 2 2 3" xfId="27486"/>
    <cellStyle name="Comma 2 2 4" xfId="27487"/>
    <cellStyle name="Comma 2 2 5" xfId="27488"/>
    <cellStyle name="Comma 2 20" xfId="5483"/>
    <cellStyle name="Comma 2 21" xfId="5484"/>
    <cellStyle name="Comma 2 22" xfId="5485"/>
    <cellStyle name="Comma 2 23" xfId="5486"/>
    <cellStyle name="Comma 2 24" xfId="5487"/>
    <cellStyle name="Comma 2 25" xfId="5488"/>
    <cellStyle name="Comma 2 26" xfId="5489"/>
    <cellStyle name="Comma 2 27" xfId="5490"/>
    <cellStyle name="Comma 2 28" xfId="5491"/>
    <cellStyle name="Comma 2 29" xfId="5492"/>
    <cellStyle name="Comma 2 3" xfId="236"/>
    <cellStyle name="Comma 2 3 2" xfId="27489"/>
    <cellStyle name="Comma 2 3 3" xfId="27490"/>
    <cellStyle name="Comma 2 3 4" xfId="27491"/>
    <cellStyle name="Comma 2 3 5" xfId="27492"/>
    <cellStyle name="Comma 2 30" xfId="5493"/>
    <cellStyle name="Comma 2 31" xfId="18464"/>
    <cellStyle name="Comma 2 32" xfId="18465"/>
    <cellStyle name="Comma 2 33" xfId="18466"/>
    <cellStyle name="Comma 2 34" xfId="18467"/>
    <cellStyle name="Comma 2 35" xfId="18468"/>
    <cellStyle name="Comma 2 36" xfId="18469"/>
    <cellStyle name="Comma 2 37" xfId="18470"/>
    <cellStyle name="Comma 2 38" xfId="18471"/>
    <cellStyle name="Comma 2 39" xfId="18472"/>
    <cellStyle name="Comma 2 4" xfId="237"/>
    <cellStyle name="Comma 2 4 2" xfId="27493"/>
    <cellStyle name="Comma 2 4 3" xfId="27494"/>
    <cellStyle name="Comma 2 4 4" xfId="27495"/>
    <cellStyle name="Comma 2 4 5" xfId="27496"/>
    <cellStyle name="Comma 2 40" xfId="18473"/>
    <cellStyle name="Comma 2 41" xfId="18474"/>
    <cellStyle name="Comma 2 42" xfId="18475"/>
    <cellStyle name="Comma 2 43" xfId="18476"/>
    <cellStyle name="Comma 2 5" xfId="238"/>
    <cellStyle name="Comma 2 5 2" xfId="27497"/>
    <cellStyle name="Comma 2 5 3" xfId="27498"/>
    <cellStyle name="Comma 2 5 4" xfId="27499"/>
    <cellStyle name="Comma 2 5 5" xfId="27500"/>
    <cellStyle name="Comma 2 6" xfId="239"/>
    <cellStyle name="Comma 2 6 2" xfId="27501"/>
    <cellStyle name="Comma 2 6 3" xfId="27502"/>
    <cellStyle name="Comma 2 6 4" xfId="27503"/>
    <cellStyle name="Comma 2 6 5" xfId="27504"/>
    <cellStyle name="Comma 2 7" xfId="1854"/>
    <cellStyle name="Comma 2 7 2" xfId="27506"/>
    <cellStyle name="Comma 2 7 3" xfId="27507"/>
    <cellStyle name="Comma 2 7 4" xfId="27508"/>
    <cellStyle name="Comma 2 7 5" xfId="27509"/>
    <cellStyle name="Comma 2 7 6" xfId="27505"/>
    <cellStyle name="Comma 2 8" xfId="5494"/>
    <cellStyle name="Comma 2 8 2" xfId="27510"/>
    <cellStyle name="Comma 2 8 3" xfId="27511"/>
    <cellStyle name="Comma 2 8 4" xfId="27512"/>
    <cellStyle name="Comma 2 8 5" xfId="27513"/>
    <cellStyle name="Comma 2 9" xfId="5495"/>
    <cellStyle name="Comma 2 9 2" xfId="27514"/>
    <cellStyle name="Comma 2 9 3" xfId="27515"/>
    <cellStyle name="Comma 2 9 4" xfId="27516"/>
    <cellStyle name="Comma 2 9 5" xfId="27517"/>
    <cellStyle name="Comma 20" xfId="100"/>
    <cellStyle name="Comma 20 10" xfId="2572"/>
    <cellStyle name="Comma 20 11" xfId="2352"/>
    <cellStyle name="Comma 20 12" xfId="2418"/>
    <cellStyle name="Comma 20 13" xfId="2729"/>
    <cellStyle name="Comma 20 14" xfId="2263"/>
    <cellStyle name="Comma 20 15" xfId="2838"/>
    <cellStyle name="Comma 20 16" xfId="5496"/>
    <cellStyle name="Comma 20 17" xfId="5497"/>
    <cellStyle name="Comma 20 18" xfId="5498"/>
    <cellStyle name="Comma 20 19" xfId="5499"/>
    <cellStyle name="Comma 20 2" xfId="920"/>
    <cellStyle name="Comma 20 20" xfId="5500"/>
    <cellStyle name="Comma 20 21" xfId="5501"/>
    <cellStyle name="Comma 20 22" xfId="5502"/>
    <cellStyle name="Comma 20 23" xfId="18477"/>
    <cellStyle name="Comma 20 24" xfId="18478"/>
    <cellStyle name="Comma 20 25" xfId="18479"/>
    <cellStyle name="Comma 20 26" xfId="18480"/>
    <cellStyle name="Comma 20 27" xfId="18481"/>
    <cellStyle name="Comma 20 28" xfId="18482"/>
    <cellStyle name="Comma 20 29" xfId="18483"/>
    <cellStyle name="Comma 20 3" xfId="1473"/>
    <cellStyle name="Comma 20 30" xfId="18484"/>
    <cellStyle name="Comma 20 31" xfId="18485"/>
    <cellStyle name="Comma 20 32" xfId="18486"/>
    <cellStyle name="Comma 20 33" xfId="18487"/>
    <cellStyle name="Comma 20 34" xfId="18488"/>
    <cellStyle name="Comma 20 35" xfId="18489"/>
    <cellStyle name="Comma 20 4" xfId="1508"/>
    <cellStyle name="Comma 20 5" xfId="1487"/>
    <cellStyle name="Comma 20 6" xfId="1496"/>
    <cellStyle name="Comma 20 7" xfId="1768"/>
    <cellStyle name="Comma 20 8" xfId="1777"/>
    <cellStyle name="Comma 20 9" xfId="2178"/>
    <cellStyle name="Comma 21" xfId="980"/>
    <cellStyle name="Comma 21 2" xfId="2545"/>
    <cellStyle name="Comma 21 3" xfId="2922"/>
    <cellStyle name="Comma 21 4" xfId="3004"/>
    <cellStyle name="Comma 21 5" xfId="3071"/>
    <cellStyle name="Comma 21 6" xfId="3128"/>
    <cellStyle name="Comma 21 7" xfId="3179"/>
    <cellStyle name="Comma 21 8" xfId="2483"/>
    <cellStyle name="Comma 22" xfId="1015"/>
    <cellStyle name="Comma 22 2" xfId="2564"/>
    <cellStyle name="Comma 22 3" xfId="2586"/>
    <cellStyle name="Comma 22 4" xfId="2344"/>
    <cellStyle name="Comma 22 5" xfId="2423"/>
    <cellStyle name="Comma 22 6" xfId="2864"/>
    <cellStyle name="Comma 22 7" xfId="2199"/>
    <cellStyle name="Comma 22 8" xfId="2484"/>
    <cellStyle name="Comma 23" xfId="20"/>
    <cellStyle name="Comma 23 10" xfId="240"/>
    <cellStyle name="Comma 23 10 10" xfId="5503"/>
    <cellStyle name="Comma 23 10 11" xfId="5504"/>
    <cellStyle name="Comma 23 10 12" xfId="5505"/>
    <cellStyle name="Comma 23 10 13" xfId="5506"/>
    <cellStyle name="Comma 23 10 14" xfId="5507"/>
    <cellStyle name="Comma 23 10 15" xfId="5508"/>
    <cellStyle name="Comma 23 10 16" xfId="5509"/>
    <cellStyle name="Comma 23 10 17" xfId="5510"/>
    <cellStyle name="Comma 23 10 18" xfId="5511"/>
    <cellStyle name="Comma 23 10 19" xfId="5512"/>
    <cellStyle name="Comma 23 10 2" xfId="5513"/>
    <cellStyle name="Comma 23 10 20" xfId="5514"/>
    <cellStyle name="Comma 23 10 21" xfId="5515"/>
    <cellStyle name="Comma 23 10 22" xfId="5516"/>
    <cellStyle name="Comma 23 10 23" xfId="18490"/>
    <cellStyle name="Comma 23 10 24" xfId="18491"/>
    <cellStyle name="Comma 23 10 25" xfId="18492"/>
    <cellStyle name="Comma 23 10 26" xfId="18493"/>
    <cellStyle name="Comma 23 10 27" xfId="18494"/>
    <cellStyle name="Comma 23 10 28" xfId="18495"/>
    <cellStyle name="Comma 23 10 29" xfId="18496"/>
    <cellStyle name="Comma 23 10 3" xfId="5517"/>
    <cellStyle name="Comma 23 10 30" xfId="18497"/>
    <cellStyle name="Comma 23 10 31" xfId="18498"/>
    <cellStyle name="Comma 23 10 32" xfId="18499"/>
    <cellStyle name="Comma 23 10 33" xfId="18500"/>
    <cellStyle name="Comma 23 10 34" xfId="18501"/>
    <cellStyle name="Comma 23 10 35" xfId="18502"/>
    <cellStyle name="Comma 23 10 4" xfId="5518"/>
    <cellStyle name="Comma 23 10 5" xfId="5519"/>
    <cellStyle name="Comma 23 10 6" xfId="5520"/>
    <cellStyle name="Comma 23 10 7" xfId="5521"/>
    <cellStyle name="Comma 23 10 8" xfId="5522"/>
    <cellStyle name="Comma 23 10 9" xfId="5523"/>
    <cellStyle name="Comma 23 11" xfId="241"/>
    <cellStyle name="Comma 23 11 10" xfId="5524"/>
    <cellStyle name="Comma 23 11 11" xfId="5525"/>
    <cellStyle name="Comma 23 11 12" xfId="5526"/>
    <cellStyle name="Comma 23 11 13" xfId="5527"/>
    <cellStyle name="Comma 23 11 14" xfId="5528"/>
    <cellStyle name="Comma 23 11 15" xfId="5529"/>
    <cellStyle name="Comma 23 11 16" xfId="5530"/>
    <cellStyle name="Comma 23 11 17" xfId="5531"/>
    <cellStyle name="Comma 23 11 18" xfId="5532"/>
    <cellStyle name="Comma 23 11 19" xfId="5533"/>
    <cellStyle name="Comma 23 11 2" xfId="5534"/>
    <cellStyle name="Comma 23 11 20" xfId="5535"/>
    <cellStyle name="Comma 23 11 21" xfId="5536"/>
    <cellStyle name="Comma 23 11 22" xfId="5537"/>
    <cellStyle name="Comma 23 11 23" xfId="18503"/>
    <cellStyle name="Comma 23 11 24" xfId="18504"/>
    <cellStyle name="Comma 23 11 25" xfId="18505"/>
    <cellStyle name="Comma 23 11 26" xfId="18506"/>
    <cellStyle name="Comma 23 11 27" xfId="18507"/>
    <cellStyle name="Comma 23 11 28" xfId="18508"/>
    <cellStyle name="Comma 23 11 29" xfId="18509"/>
    <cellStyle name="Comma 23 11 3" xfId="5538"/>
    <cellStyle name="Comma 23 11 30" xfId="18510"/>
    <cellStyle name="Comma 23 11 31" xfId="18511"/>
    <cellStyle name="Comma 23 11 32" xfId="18512"/>
    <cellStyle name="Comma 23 11 33" xfId="18513"/>
    <cellStyle name="Comma 23 11 34" xfId="18514"/>
    <cellStyle name="Comma 23 11 35" xfId="18515"/>
    <cellStyle name="Comma 23 11 4" xfId="5539"/>
    <cellStyle name="Comma 23 11 5" xfId="5540"/>
    <cellStyle name="Comma 23 11 6" xfId="5541"/>
    <cellStyle name="Comma 23 11 7" xfId="5542"/>
    <cellStyle name="Comma 23 11 8" xfId="5543"/>
    <cellStyle name="Comma 23 11 9" xfId="5544"/>
    <cellStyle name="Comma 23 12" xfId="242"/>
    <cellStyle name="Comma 23 12 10" xfId="5545"/>
    <cellStyle name="Comma 23 12 11" xfId="5546"/>
    <cellStyle name="Comma 23 12 12" xfId="5547"/>
    <cellStyle name="Comma 23 12 13" xfId="5548"/>
    <cellStyle name="Comma 23 12 14" xfId="5549"/>
    <cellStyle name="Comma 23 12 15" xfId="5550"/>
    <cellStyle name="Comma 23 12 16" xfId="5551"/>
    <cellStyle name="Comma 23 12 17" xfId="5552"/>
    <cellStyle name="Comma 23 12 18" xfId="5553"/>
    <cellStyle name="Comma 23 12 19" xfId="5554"/>
    <cellStyle name="Comma 23 12 2" xfId="5555"/>
    <cellStyle name="Comma 23 12 20" xfId="5556"/>
    <cellStyle name="Comma 23 12 21" xfId="5557"/>
    <cellStyle name="Comma 23 12 22" xfId="5558"/>
    <cellStyle name="Comma 23 12 23" xfId="18516"/>
    <cellStyle name="Comma 23 12 24" xfId="18517"/>
    <cellStyle name="Comma 23 12 25" xfId="18518"/>
    <cellStyle name="Comma 23 12 26" xfId="18519"/>
    <cellStyle name="Comma 23 12 27" xfId="18520"/>
    <cellStyle name="Comma 23 12 28" xfId="18521"/>
    <cellStyle name="Comma 23 12 29" xfId="18522"/>
    <cellStyle name="Comma 23 12 3" xfId="5559"/>
    <cellStyle name="Comma 23 12 30" xfId="18523"/>
    <cellStyle name="Comma 23 12 31" xfId="18524"/>
    <cellStyle name="Comma 23 12 32" xfId="18525"/>
    <cellStyle name="Comma 23 12 33" xfId="18526"/>
    <cellStyle name="Comma 23 12 34" xfId="18527"/>
    <cellStyle name="Comma 23 12 35" xfId="18528"/>
    <cellStyle name="Comma 23 12 4" xfId="5560"/>
    <cellStyle name="Comma 23 12 5" xfId="5561"/>
    <cellStyle name="Comma 23 12 6" xfId="5562"/>
    <cellStyle name="Comma 23 12 7" xfId="5563"/>
    <cellStyle name="Comma 23 12 8" xfId="5564"/>
    <cellStyle name="Comma 23 12 9" xfId="5565"/>
    <cellStyle name="Comma 23 13" xfId="243"/>
    <cellStyle name="Comma 23 13 10" xfId="5566"/>
    <cellStyle name="Comma 23 13 11" xfId="5567"/>
    <cellStyle name="Comma 23 13 12" xfId="5568"/>
    <cellStyle name="Comma 23 13 13" xfId="5569"/>
    <cellStyle name="Comma 23 13 14" xfId="5570"/>
    <cellStyle name="Comma 23 13 15" xfId="5571"/>
    <cellStyle name="Comma 23 13 16" xfId="5572"/>
    <cellStyle name="Comma 23 13 17" xfId="5573"/>
    <cellStyle name="Comma 23 13 18" xfId="5574"/>
    <cellStyle name="Comma 23 13 19" xfId="5575"/>
    <cellStyle name="Comma 23 13 2" xfId="5576"/>
    <cellStyle name="Comma 23 13 20" xfId="5577"/>
    <cellStyle name="Comma 23 13 21" xfId="5578"/>
    <cellStyle name="Comma 23 13 22" xfId="5579"/>
    <cellStyle name="Comma 23 13 23" xfId="18529"/>
    <cellStyle name="Comma 23 13 24" xfId="18530"/>
    <cellStyle name="Comma 23 13 25" xfId="18531"/>
    <cellStyle name="Comma 23 13 26" xfId="18532"/>
    <cellStyle name="Comma 23 13 27" xfId="18533"/>
    <cellStyle name="Comma 23 13 28" xfId="18534"/>
    <cellStyle name="Comma 23 13 29" xfId="18535"/>
    <cellStyle name="Comma 23 13 3" xfId="5580"/>
    <cellStyle name="Comma 23 13 30" xfId="18536"/>
    <cellStyle name="Comma 23 13 31" xfId="18537"/>
    <cellStyle name="Comma 23 13 32" xfId="18538"/>
    <cellStyle name="Comma 23 13 33" xfId="18539"/>
    <cellStyle name="Comma 23 13 34" xfId="18540"/>
    <cellStyle name="Comma 23 13 35" xfId="18541"/>
    <cellStyle name="Comma 23 13 4" xfId="5581"/>
    <cellStyle name="Comma 23 13 5" xfId="5582"/>
    <cellStyle name="Comma 23 13 6" xfId="5583"/>
    <cellStyle name="Comma 23 13 7" xfId="5584"/>
    <cellStyle name="Comma 23 13 8" xfId="5585"/>
    <cellStyle name="Comma 23 13 9" xfId="5586"/>
    <cellStyle name="Comma 23 14" xfId="244"/>
    <cellStyle name="Comma 23 14 10" xfId="5587"/>
    <cellStyle name="Comma 23 14 11" xfId="5588"/>
    <cellStyle name="Comma 23 14 12" xfId="5589"/>
    <cellStyle name="Comma 23 14 13" xfId="5590"/>
    <cellStyle name="Comma 23 14 14" xfId="5591"/>
    <cellStyle name="Comma 23 14 15" xfId="5592"/>
    <cellStyle name="Comma 23 14 16" xfId="5593"/>
    <cellStyle name="Comma 23 14 17" xfId="5594"/>
    <cellStyle name="Comma 23 14 18" xfId="5595"/>
    <cellStyle name="Comma 23 14 19" xfId="5596"/>
    <cellStyle name="Comma 23 14 2" xfId="5597"/>
    <cellStyle name="Comma 23 14 20" xfId="5598"/>
    <cellStyle name="Comma 23 14 21" xfId="5599"/>
    <cellStyle name="Comma 23 14 22" xfId="5600"/>
    <cellStyle name="Comma 23 14 23" xfId="18542"/>
    <cellStyle name="Comma 23 14 24" xfId="18543"/>
    <cellStyle name="Comma 23 14 25" xfId="18544"/>
    <cellStyle name="Comma 23 14 26" xfId="18545"/>
    <cellStyle name="Comma 23 14 27" xfId="18546"/>
    <cellStyle name="Comma 23 14 28" xfId="18547"/>
    <cellStyle name="Comma 23 14 29" xfId="18548"/>
    <cellStyle name="Comma 23 14 3" xfId="5601"/>
    <cellStyle name="Comma 23 14 30" xfId="18549"/>
    <cellStyle name="Comma 23 14 31" xfId="18550"/>
    <cellStyle name="Comma 23 14 32" xfId="18551"/>
    <cellStyle name="Comma 23 14 33" xfId="18552"/>
    <cellStyle name="Comma 23 14 34" xfId="18553"/>
    <cellStyle name="Comma 23 14 35" xfId="18554"/>
    <cellStyle name="Comma 23 14 4" xfId="5602"/>
    <cellStyle name="Comma 23 14 5" xfId="5603"/>
    <cellStyle name="Comma 23 14 6" xfId="5604"/>
    <cellStyle name="Comma 23 14 7" xfId="5605"/>
    <cellStyle name="Comma 23 14 8" xfId="5606"/>
    <cellStyle name="Comma 23 14 9" xfId="5607"/>
    <cellStyle name="Comma 23 15" xfId="101"/>
    <cellStyle name="Comma 23 15 10" xfId="2558"/>
    <cellStyle name="Comma 23 15 11" xfId="2357"/>
    <cellStyle name="Comma 23 15 12" xfId="2839"/>
    <cellStyle name="Comma 23 15 13" xfId="2209"/>
    <cellStyle name="Comma 23 15 14" xfId="2504"/>
    <cellStyle name="Comma 23 15 15" xfId="2518"/>
    <cellStyle name="Comma 23 15 2" xfId="921"/>
    <cellStyle name="Comma 23 15 3" xfId="1474"/>
    <cellStyle name="Comma 23 15 4" xfId="1507"/>
    <cellStyle name="Comma 23 15 5" xfId="1488"/>
    <cellStyle name="Comma 23 15 6" xfId="1495"/>
    <cellStyle name="Comma 23 15 7" xfId="1769"/>
    <cellStyle name="Comma 23 15 8" xfId="1776"/>
    <cellStyle name="Comma 23 15 9" xfId="2179"/>
    <cellStyle name="Comma 23 16" xfId="1406"/>
    <cellStyle name="Comma 23 17" xfId="1569"/>
    <cellStyle name="Comma 23 18" xfId="1622"/>
    <cellStyle name="Comma 23 19" xfId="1674"/>
    <cellStyle name="Comma 23 2" xfId="245"/>
    <cellStyle name="Comma 23 2 10" xfId="5608"/>
    <cellStyle name="Comma 23 2 11" xfId="5609"/>
    <cellStyle name="Comma 23 2 12" xfId="5610"/>
    <cellStyle name="Comma 23 2 13" xfId="5611"/>
    <cellStyle name="Comma 23 2 14" xfId="5612"/>
    <cellStyle name="Comma 23 2 15" xfId="5613"/>
    <cellStyle name="Comma 23 2 16" xfId="5614"/>
    <cellStyle name="Comma 23 2 17" xfId="5615"/>
    <cellStyle name="Comma 23 2 18" xfId="5616"/>
    <cellStyle name="Comma 23 2 19" xfId="5617"/>
    <cellStyle name="Comma 23 2 2" xfId="5618"/>
    <cellStyle name="Comma 23 2 20" xfId="5619"/>
    <cellStyle name="Comma 23 2 21" xfId="5620"/>
    <cellStyle name="Comma 23 2 22" xfId="5621"/>
    <cellStyle name="Comma 23 2 23" xfId="18555"/>
    <cellStyle name="Comma 23 2 24" xfId="18556"/>
    <cellStyle name="Comma 23 2 25" xfId="18557"/>
    <cellStyle name="Comma 23 2 26" xfId="18558"/>
    <cellStyle name="Comma 23 2 27" xfId="18559"/>
    <cellStyle name="Comma 23 2 28" xfId="18560"/>
    <cellStyle name="Comma 23 2 29" xfId="18561"/>
    <cellStyle name="Comma 23 2 3" xfId="5622"/>
    <cellStyle name="Comma 23 2 30" xfId="18562"/>
    <cellStyle name="Comma 23 2 31" xfId="18563"/>
    <cellStyle name="Comma 23 2 32" xfId="18564"/>
    <cellStyle name="Comma 23 2 33" xfId="18565"/>
    <cellStyle name="Comma 23 2 34" xfId="18566"/>
    <cellStyle name="Comma 23 2 35" xfId="18567"/>
    <cellStyle name="Comma 23 2 4" xfId="5623"/>
    <cellStyle name="Comma 23 2 5" xfId="5624"/>
    <cellStyle name="Comma 23 2 6" xfId="5625"/>
    <cellStyle name="Comma 23 2 7" xfId="5626"/>
    <cellStyle name="Comma 23 2 8" xfId="5627"/>
    <cellStyle name="Comma 23 2 9" xfId="5628"/>
    <cellStyle name="Comma 23 20" xfId="1708"/>
    <cellStyle name="Comma 23 21" xfId="1837"/>
    <cellStyle name="Comma 23 22" xfId="2107"/>
    <cellStyle name="Comma 23 23" xfId="2665"/>
    <cellStyle name="Comma 23 24" xfId="2300"/>
    <cellStyle name="Comma 23 25" xfId="2458"/>
    <cellStyle name="Comma 23 26" xfId="2580"/>
    <cellStyle name="Comma 23 27" xfId="2121"/>
    <cellStyle name="Comma 23 28" xfId="2451"/>
    <cellStyle name="Comma 23 29" xfId="5629"/>
    <cellStyle name="Comma 23 3" xfId="246"/>
    <cellStyle name="Comma 23 3 10" xfId="5630"/>
    <cellStyle name="Comma 23 3 11" xfId="5631"/>
    <cellStyle name="Comma 23 3 12" xfId="5632"/>
    <cellStyle name="Comma 23 3 13" xfId="5633"/>
    <cellStyle name="Comma 23 3 14" xfId="5634"/>
    <cellStyle name="Comma 23 3 15" xfId="5635"/>
    <cellStyle name="Comma 23 3 16" xfId="5636"/>
    <cellStyle name="Comma 23 3 17" xfId="5637"/>
    <cellStyle name="Comma 23 3 18" xfId="5638"/>
    <cellStyle name="Comma 23 3 19" xfId="5639"/>
    <cellStyle name="Comma 23 3 2" xfId="5640"/>
    <cellStyle name="Comma 23 3 20" xfId="5641"/>
    <cellStyle name="Comma 23 3 21" xfId="5642"/>
    <cellStyle name="Comma 23 3 22" xfId="5643"/>
    <cellStyle name="Comma 23 3 23" xfId="18568"/>
    <cellStyle name="Comma 23 3 24" xfId="18569"/>
    <cellStyle name="Comma 23 3 25" xfId="18570"/>
    <cellStyle name="Comma 23 3 26" xfId="18571"/>
    <cellStyle name="Comma 23 3 27" xfId="18572"/>
    <cellStyle name="Comma 23 3 28" xfId="18573"/>
    <cellStyle name="Comma 23 3 29" xfId="18574"/>
    <cellStyle name="Comma 23 3 3" xfId="5644"/>
    <cellStyle name="Comma 23 3 30" xfId="18575"/>
    <cellStyle name="Comma 23 3 31" xfId="18576"/>
    <cellStyle name="Comma 23 3 32" xfId="18577"/>
    <cellStyle name="Comma 23 3 33" xfId="18578"/>
    <cellStyle name="Comma 23 3 34" xfId="18579"/>
    <cellStyle name="Comma 23 3 35" xfId="18580"/>
    <cellStyle name="Comma 23 3 4" xfId="5645"/>
    <cellStyle name="Comma 23 3 5" xfId="5646"/>
    <cellStyle name="Comma 23 3 6" xfId="5647"/>
    <cellStyle name="Comma 23 3 7" xfId="5648"/>
    <cellStyle name="Comma 23 3 8" xfId="5649"/>
    <cellStyle name="Comma 23 3 9" xfId="5650"/>
    <cellStyle name="Comma 23 30" xfId="5651"/>
    <cellStyle name="Comma 23 31" xfId="5652"/>
    <cellStyle name="Comma 23 32" xfId="5653"/>
    <cellStyle name="Comma 23 33" xfId="5654"/>
    <cellStyle name="Comma 23 34" xfId="5655"/>
    <cellStyle name="Comma 23 35" xfId="5656"/>
    <cellStyle name="Comma 23 36" xfId="5657"/>
    <cellStyle name="Comma 23 37" xfId="5658"/>
    <cellStyle name="Comma 23 38" xfId="18581"/>
    <cellStyle name="Comma 23 39" xfId="18582"/>
    <cellStyle name="Comma 23 4" xfId="247"/>
    <cellStyle name="Comma 23 4 10" xfId="5659"/>
    <cellStyle name="Comma 23 4 11" xfId="5660"/>
    <cellStyle name="Comma 23 4 12" xfId="5661"/>
    <cellStyle name="Comma 23 4 13" xfId="5662"/>
    <cellStyle name="Comma 23 4 14" xfId="5663"/>
    <cellStyle name="Comma 23 4 15" xfId="5664"/>
    <cellStyle name="Comma 23 4 16" xfId="5665"/>
    <cellStyle name="Comma 23 4 17" xfId="5666"/>
    <cellStyle name="Comma 23 4 18" xfId="5667"/>
    <cellStyle name="Comma 23 4 19" xfId="5668"/>
    <cellStyle name="Comma 23 4 2" xfId="5669"/>
    <cellStyle name="Comma 23 4 20" xfId="5670"/>
    <cellStyle name="Comma 23 4 21" xfId="5671"/>
    <cellStyle name="Comma 23 4 22" xfId="5672"/>
    <cellStyle name="Comma 23 4 23" xfId="18583"/>
    <cellStyle name="Comma 23 4 24" xfId="18584"/>
    <cellStyle name="Comma 23 4 25" xfId="18585"/>
    <cellStyle name="Comma 23 4 26" xfId="18586"/>
    <cellStyle name="Comma 23 4 27" xfId="18587"/>
    <cellStyle name="Comma 23 4 28" xfId="18588"/>
    <cellStyle name="Comma 23 4 29" xfId="18589"/>
    <cellStyle name="Comma 23 4 3" xfId="5673"/>
    <cellStyle name="Comma 23 4 30" xfId="18590"/>
    <cellStyle name="Comma 23 4 31" xfId="18591"/>
    <cellStyle name="Comma 23 4 32" xfId="18592"/>
    <cellStyle name="Comma 23 4 33" xfId="18593"/>
    <cellStyle name="Comma 23 4 34" xfId="18594"/>
    <cellStyle name="Comma 23 4 35" xfId="18595"/>
    <cellStyle name="Comma 23 4 4" xfId="5674"/>
    <cellStyle name="Comma 23 4 5" xfId="5675"/>
    <cellStyle name="Comma 23 4 6" xfId="5676"/>
    <cellStyle name="Comma 23 4 7" xfId="5677"/>
    <cellStyle name="Comma 23 4 8" xfId="5678"/>
    <cellStyle name="Comma 23 4 9" xfId="5679"/>
    <cellStyle name="Comma 23 40" xfId="18596"/>
    <cellStyle name="Comma 23 41" xfId="18597"/>
    <cellStyle name="Comma 23 42" xfId="18598"/>
    <cellStyle name="Comma 23 43" xfId="18599"/>
    <cellStyle name="Comma 23 44" xfId="18600"/>
    <cellStyle name="Comma 23 45" xfId="18601"/>
    <cellStyle name="Comma 23 46" xfId="18602"/>
    <cellStyle name="Comma 23 47" xfId="18603"/>
    <cellStyle name="Comma 23 48" xfId="18604"/>
    <cellStyle name="Comma 23 49" xfId="18605"/>
    <cellStyle name="Comma 23 5" xfId="248"/>
    <cellStyle name="Comma 23 5 10" xfId="5680"/>
    <cellStyle name="Comma 23 5 11" xfId="5681"/>
    <cellStyle name="Comma 23 5 12" xfId="5682"/>
    <cellStyle name="Comma 23 5 13" xfId="5683"/>
    <cellStyle name="Comma 23 5 14" xfId="5684"/>
    <cellStyle name="Comma 23 5 15" xfId="5685"/>
    <cellStyle name="Comma 23 5 16" xfId="5686"/>
    <cellStyle name="Comma 23 5 17" xfId="5687"/>
    <cellStyle name="Comma 23 5 18" xfId="5688"/>
    <cellStyle name="Comma 23 5 19" xfId="5689"/>
    <cellStyle name="Comma 23 5 2" xfId="5690"/>
    <cellStyle name="Comma 23 5 20" xfId="5691"/>
    <cellStyle name="Comma 23 5 21" xfId="5692"/>
    <cellStyle name="Comma 23 5 22" xfId="5693"/>
    <cellStyle name="Comma 23 5 23" xfId="18606"/>
    <cellStyle name="Comma 23 5 24" xfId="18607"/>
    <cellStyle name="Comma 23 5 25" xfId="18608"/>
    <cellStyle name="Comma 23 5 26" xfId="18609"/>
    <cellStyle name="Comma 23 5 27" xfId="18610"/>
    <cellStyle name="Comma 23 5 28" xfId="18611"/>
    <cellStyle name="Comma 23 5 29" xfId="18612"/>
    <cellStyle name="Comma 23 5 3" xfId="5694"/>
    <cellStyle name="Comma 23 5 30" xfId="18613"/>
    <cellStyle name="Comma 23 5 31" xfId="18614"/>
    <cellStyle name="Comma 23 5 32" xfId="18615"/>
    <cellStyle name="Comma 23 5 33" xfId="18616"/>
    <cellStyle name="Comma 23 5 34" xfId="18617"/>
    <cellStyle name="Comma 23 5 35" xfId="18618"/>
    <cellStyle name="Comma 23 5 4" xfId="5695"/>
    <cellStyle name="Comma 23 5 5" xfId="5696"/>
    <cellStyle name="Comma 23 5 6" xfId="5697"/>
    <cellStyle name="Comma 23 5 7" xfId="5698"/>
    <cellStyle name="Comma 23 5 8" xfId="5699"/>
    <cellStyle name="Comma 23 5 9" xfId="5700"/>
    <cellStyle name="Comma 23 50" xfId="18619"/>
    <cellStyle name="Comma 23 6" xfId="249"/>
    <cellStyle name="Comma 23 6 10" xfId="5701"/>
    <cellStyle name="Comma 23 6 11" xfId="5702"/>
    <cellStyle name="Comma 23 6 12" xfId="5703"/>
    <cellStyle name="Comma 23 6 13" xfId="5704"/>
    <cellStyle name="Comma 23 6 14" xfId="5705"/>
    <cellStyle name="Comma 23 6 15" xfId="5706"/>
    <cellStyle name="Comma 23 6 16" xfId="5707"/>
    <cellStyle name="Comma 23 6 17" xfId="5708"/>
    <cellStyle name="Comma 23 6 18" xfId="5709"/>
    <cellStyle name="Comma 23 6 19" xfId="5710"/>
    <cellStyle name="Comma 23 6 2" xfId="5711"/>
    <cellStyle name="Comma 23 6 20" xfId="5712"/>
    <cellStyle name="Comma 23 6 21" xfId="5713"/>
    <cellStyle name="Comma 23 6 22" xfId="5714"/>
    <cellStyle name="Comma 23 6 23" xfId="18620"/>
    <cellStyle name="Comma 23 6 24" xfId="18621"/>
    <cellStyle name="Comma 23 6 25" xfId="18622"/>
    <cellStyle name="Comma 23 6 26" xfId="18623"/>
    <cellStyle name="Comma 23 6 27" xfId="18624"/>
    <cellStyle name="Comma 23 6 28" xfId="18625"/>
    <cellStyle name="Comma 23 6 29" xfId="18626"/>
    <cellStyle name="Comma 23 6 3" xfId="5715"/>
    <cellStyle name="Comma 23 6 30" xfId="18627"/>
    <cellStyle name="Comma 23 6 31" xfId="18628"/>
    <cellStyle name="Comma 23 6 32" xfId="18629"/>
    <cellStyle name="Comma 23 6 33" xfId="18630"/>
    <cellStyle name="Comma 23 6 34" xfId="18631"/>
    <cellStyle name="Comma 23 6 35" xfId="18632"/>
    <cellStyle name="Comma 23 6 4" xfId="5716"/>
    <cellStyle name="Comma 23 6 5" xfId="5717"/>
    <cellStyle name="Comma 23 6 6" xfId="5718"/>
    <cellStyle name="Comma 23 6 7" xfId="5719"/>
    <cellStyle name="Comma 23 6 8" xfId="5720"/>
    <cellStyle name="Comma 23 6 9" xfId="5721"/>
    <cellStyle name="Comma 23 7" xfId="250"/>
    <cellStyle name="Comma 23 7 10" xfId="5722"/>
    <cellStyle name="Comma 23 7 11" xfId="5723"/>
    <cellStyle name="Comma 23 7 12" xfId="5724"/>
    <cellStyle name="Comma 23 7 13" xfId="5725"/>
    <cellStyle name="Comma 23 7 14" xfId="5726"/>
    <cellStyle name="Comma 23 7 15" xfId="5727"/>
    <cellStyle name="Comma 23 7 16" xfId="5728"/>
    <cellStyle name="Comma 23 7 17" xfId="5729"/>
    <cellStyle name="Comma 23 7 18" xfId="5730"/>
    <cellStyle name="Comma 23 7 19" xfId="5731"/>
    <cellStyle name="Comma 23 7 2" xfId="5732"/>
    <cellStyle name="Comma 23 7 20" xfId="5733"/>
    <cellStyle name="Comma 23 7 21" xfId="5734"/>
    <cellStyle name="Comma 23 7 22" xfId="5735"/>
    <cellStyle name="Comma 23 7 23" xfId="18633"/>
    <cellStyle name="Comma 23 7 24" xfId="18634"/>
    <cellStyle name="Comma 23 7 25" xfId="18635"/>
    <cellStyle name="Comma 23 7 26" xfId="18636"/>
    <cellStyle name="Comma 23 7 27" xfId="18637"/>
    <cellStyle name="Comma 23 7 28" xfId="18638"/>
    <cellStyle name="Comma 23 7 29" xfId="18639"/>
    <cellStyle name="Comma 23 7 3" xfId="5736"/>
    <cellStyle name="Comma 23 7 30" xfId="18640"/>
    <cellStyle name="Comma 23 7 31" xfId="18641"/>
    <cellStyle name="Comma 23 7 32" xfId="18642"/>
    <cellStyle name="Comma 23 7 33" xfId="18643"/>
    <cellStyle name="Comma 23 7 34" xfId="18644"/>
    <cellStyle name="Comma 23 7 35" xfId="18645"/>
    <cellStyle name="Comma 23 7 4" xfId="5737"/>
    <cellStyle name="Comma 23 7 5" xfId="5738"/>
    <cellStyle name="Comma 23 7 6" xfId="5739"/>
    <cellStyle name="Comma 23 7 7" xfId="5740"/>
    <cellStyle name="Comma 23 7 8" xfId="5741"/>
    <cellStyle name="Comma 23 7 9" xfId="5742"/>
    <cellStyle name="Comma 23 8" xfId="251"/>
    <cellStyle name="Comma 23 8 10" xfId="5743"/>
    <cellStyle name="Comma 23 8 11" xfId="5744"/>
    <cellStyle name="Comma 23 8 12" xfId="5745"/>
    <cellStyle name="Comma 23 8 13" xfId="5746"/>
    <cellStyle name="Comma 23 8 14" xfId="5747"/>
    <cellStyle name="Comma 23 8 15" xfId="5748"/>
    <cellStyle name="Comma 23 8 16" xfId="5749"/>
    <cellStyle name="Comma 23 8 17" xfId="5750"/>
    <cellStyle name="Comma 23 8 18" xfId="5751"/>
    <cellStyle name="Comma 23 8 19" xfId="5752"/>
    <cellStyle name="Comma 23 8 2" xfId="5753"/>
    <cellStyle name="Comma 23 8 20" xfId="5754"/>
    <cellStyle name="Comma 23 8 21" xfId="5755"/>
    <cellStyle name="Comma 23 8 22" xfId="5756"/>
    <cellStyle name="Comma 23 8 23" xfId="18646"/>
    <cellStyle name="Comma 23 8 24" xfId="18647"/>
    <cellStyle name="Comma 23 8 25" xfId="18648"/>
    <cellStyle name="Comma 23 8 26" xfId="18649"/>
    <cellStyle name="Comma 23 8 27" xfId="18650"/>
    <cellStyle name="Comma 23 8 28" xfId="18651"/>
    <cellStyle name="Comma 23 8 29" xfId="18652"/>
    <cellStyle name="Comma 23 8 3" xfId="5757"/>
    <cellStyle name="Comma 23 8 30" xfId="18653"/>
    <cellStyle name="Comma 23 8 31" xfId="18654"/>
    <cellStyle name="Comma 23 8 32" xfId="18655"/>
    <cellStyle name="Comma 23 8 33" xfId="18656"/>
    <cellStyle name="Comma 23 8 34" xfId="18657"/>
    <cellStyle name="Comma 23 8 35" xfId="18658"/>
    <cellStyle name="Comma 23 8 4" xfId="5758"/>
    <cellStyle name="Comma 23 8 5" xfId="5759"/>
    <cellStyle name="Comma 23 8 6" xfId="5760"/>
    <cellStyle name="Comma 23 8 7" xfId="5761"/>
    <cellStyle name="Comma 23 8 8" xfId="5762"/>
    <cellStyle name="Comma 23 8 9" xfId="5763"/>
    <cellStyle name="Comma 23 9" xfId="252"/>
    <cellStyle name="Comma 23 9 10" xfId="5764"/>
    <cellStyle name="Comma 23 9 11" xfId="5765"/>
    <cellStyle name="Comma 23 9 12" xfId="5766"/>
    <cellStyle name="Comma 23 9 13" xfId="5767"/>
    <cellStyle name="Comma 23 9 14" xfId="5768"/>
    <cellStyle name="Comma 23 9 15" xfId="5769"/>
    <cellStyle name="Comma 23 9 16" xfId="5770"/>
    <cellStyle name="Comma 23 9 17" xfId="5771"/>
    <cellStyle name="Comma 23 9 18" xfId="5772"/>
    <cellStyle name="Comma 23 9 19" xfId="5773"/>
    <cellStyle name="Comma 23 9 2" xfId="5774"/>
    <cellStyle name="Comma 23 9 20" xfId="5775"/>
    <cellStyle name="Comma 23 9 21" xfId="5776"/>
    <cellStyle name="Comma 23 9 22" xfId="5777"/>
    <cellStyle name="Comma 23 9 23" xfId="18659"/>
    <cellStyle name="Comma 23 9 24" xfId="18660"/>
    <cellStyle name="Comma 23 9 25" xfId="18661"/>
    <cellStyle name="Comma 23 9 26" xfId="18662"/>
    <cellStyle name="Comma 23 9 27" xfId="18663"/>
    <cellStyle name="Comma 23 9 28" xfId="18664"/>
    <cellStyle name="Comma 23 9 29" xfId="18665"/>
    <cellStyle name="Comma 23 9 3" xfId="5778"/>
    <cellStyle name="Comma 23 9 30" xfId="18666"/>
    <cellStyle name="Comma 23 9 31" xfId="18667"/>
    <cellStyle name="Comma 23 9 32" xfId="18668"/>
    <cellStyle name="Comma 23 9 33" xfId="18669"/>
    <cellStyle name="Comma 23 9 34" xfId="18670"/>
    <cellStyle name="Comma 23 9 35" xfId="18671"/>
    <cellStyle name="Comma 23 9 4" xfId="5779"/>
    <cellStyle name="Comma 23 9 5" xfId="5780"/>
    <cellStyle name="Comma 23 9 6" xfId="5781"/>
    <cellStyle name="Comma 23 9 7" xfId="5782"/>
    <cellStyle name="Comma 23 9 8" xfId="5783"/>
    <cellStyle name="Comma 23 9 9" xfId="5784"/>
    <cellStyle name="Comma 24" xfId="1178"/>
    <cellStyle name="Comma 24 2" xfId="2646"/>
    <cellStyle name="Comma 24 3" xfId="2311"/>
    <cellStyle name="Comma 24 4" xfId="2447"/>
    <cellStyle name="Comma 24 5" xfId="2093"/>
    <cellStyle name="Comma 24 6" xfId="2160"/>
    <cellStyle name="Comma 24 7" xfId="2823"/>
    <cellStyle name="Comma 24 8" xfId="2456"/>
    <cellStyle name="Comma 25" xfId="21"/>
    <cellStyle name="Comma 25 10" xfId="253"/>
    <cellStyle name="Comma 25 10 10" xfId="5785"/>
    <cellStyle name="Comma 25 10 11" xfId="5786"/>
    <cellStyle name="Comma 25 10 12" xfId="5787"/>
    <cellStyle name="Comma 25 10 13" xfId="5788"/>
    <cellStyle name="Comma 25 10 14" xfId="5789"/>
    <cellStyle name="Comma 25 10 15" xfId="5790"/>
    <cellStyle name="Comma 25 10 16" xfId="5791"/>
    <cellStyle name="Comma 25 10 17" xfId="5792"/>
    <cellStyle name="Comma 25 10 18" xfId="5793"/>
    <cellStyle name="Comma 25 10 19" xfId="5794"/>
    <cellStyle name="Comma 25 10 2" xfId="5795"/>
    <cellStyle name="Comma 25 10 20" xfId="5796"/>
    <cellStyle name="Comma 25 10 21" xfId="5797"/>
    <cellStyle name="Comma 25 10 22" xfId="5798"/>
    <cellStyle name="Comma 25 10 23" xfId="18672"/>
    <cellStyle name="Comma 25 10 24" xfId="18673"/>
    <cellStyle name="Comma 25 10 25" xfId="18674"/>
    <cellStyle name="Comma 25 10 26" xfId="18675"/>
    <cellStyle name="Comma 25 10 27" xfId="18676"/>
    <cellStyle name="Comma 25 10 28" xfId="18677"/>
    <cellStyle name="Comma 25 10 29" xfId="18678"/>
    <cellStyle name="Comma 25 10 3" xfId="5799"/>
    <cellStyle name="Comma 25 10 30" xfId="18679"/>
    <cellStyle name="Comma 25 10 31" xfId="18680"/>
    <cellStyle name="Comma 25 10 32" xfId="18681"/>
    <cellStyle name="Comma 25 10 33" xfId="18682"/>
    <cellStyle name="Comma 25 10 34" xfId="18683"/>
    <cellStyle name="Comma 25 10 35" xfId="18684"/>
    <cellStyle name="Comma 25 10 4" xfId="5800"/>
    <cellStyle name="Comma 25 10 5" xfId="5801"/>
    <cellStyle name="Comma 25 10 6" xfId="5802"/>
    <cellStyle name="Comma 25 10 7" xfId="5803"/>
    <cellStyle name="Comma 25 10 8" xfId="5804"/>
    <cellStyle name="Comma 25 10 9" xfId="5805"/>
    <cellStyle name="Comma 25 11" xfId="254"/>
    <cellStyle name="Comma 25 11 10" xfId="5806"/>
    <cellStyle name="Comma 25 11 11" xfId="5807"/>
    <cellStyle name="Comma 25 11 12" xfId="5808"/>
    <cellStyle name="Comma 25 11 13" xfId="5809"/>
    <cellStyle name="Comma 25 11 14" xfId="5810"/>
    <cellStyle name="Comma 25 11 15" xfId="5811"/>
    <cellStyle name="Comma 25 11 16" xfId="5812"/>
    <cellStyle name="Comma 25 11 17" xfId="5813"/>
    <cellStyle name="Comma 25 11 18" xfId="5814"/>
    <cellStyle name="Comma 25 11 19" xfId="5815"/>
    <cellStyle name="Comma 25 11 2" xfId="5816"/>
    <cellStyle name="Comma 25 11 20" xfId="5817"/>
    <cellStyle name="Comma 25 11 21" xfId="5818"/>
    <cellStyle name="Comma 25 11 22" xfId="5819"/>
    <cellStyle name="Comma 25 11 23" xfId="18685"/>
    <cellStyle name="Comma 25 11 24" xfId="18686"/>
    <cellStyle name="Comma 25 11 25" xfId="18687"/>
    <cellStyle name="Comma 25 11 26" xfId="18688"/>
    <cellStyle name="Comma 25 11 27" xfId="18689"/>
    <cellStyle name="Comma 25 11 28" xfId="18690"/>
    <cellStyle name="Comma 25 11 29" xfId="18691"/>
    <cellStyle name="Comma 25 11 3" xfId="5820"/>
    <cellStyle name="Comma 25 11 30" xfId="18692"/>
    <cellStyle name="Comma 25 11 31" xfId="18693"/>
    <cellStyle name="Comma 25 11 32" xfId="18694"/>
    <cellStyle name="Comma 25 11 33" xfId="18695"/>
    <cellStyle name="Comma 25 11 34" xfId="18696"/>
    <cellStyle name="Comma 25 11 35" xfId="18697"/>
    <cellStyle name="Comma 25 11 4" xfId="5821"/>
    <cellStyle name="Comma 25 11 5" xfId="5822"/>
    <cellStyle name="Comma 25 11 6" xfId="5823"/>
    <cellStyle name="Comma 25 11 7" xfId="5824"/>
    <cellStyle name="Comma 25 11 8" xfId="5825"/>
    <cellStyle name="Comma 25 11 9" xfId="5826"/>
    <cellStyle name="Comma 25 12" xfId="255"/>
    <cellStyle name="Comma 25 12 10" xfId="5827"/>
    <cellStyle name="Comma 25 12 11" xfId="5828"/>
    <cellStyle name="Comma 25 12 12" xfId="5829"/>
    <cellStyle name="Comma 25 12 13" xfId="5830"/>
    <cellStyle name="Comma 25 12 14" xfId="5831"/>
    <cellStyle name="Comma 25 12 15" xfId="5832"/>
    <cellStyle name="Comma 25 12 16" xfId="5833"/>
    <cellStyle name="Comma 25 12 17" xfId="5834"/>
    <cellStyle name="Comma 25 12 18" xfId="5835"/>
    <cellStyle name="Comma 25 12 19" xfId="5836"/>
    <cellStyle name="Comma 25 12 2" xfId="5837"/>
    <cellStyle name="Comma 25 12 20" xfId="5838"/>
    <cellStyle name="Comma 25 12 21" xfId="5839"/>
    <cellStyle name="Comma 25 12 22" xfId="5840"/>
    <cellStyle name="Comma 25 12 23" xfId="18698"/>
    <cellStyle name="Comma 25 12 24" xfId="18699"/>
    <cellStyle name="Comma 25 12 25" xfId="18700"/>
    <cellStyle name="Comma 25 12 26" xfId="18701"/>
    <cellStyle name="Comma 25 12 27" xfId="18702"/>
    <cellStyle name="Comma 25 12 28" xfId="18703"/>
    <cellStyle name="Comma 25 12 29" xfId="18704"/>
    <cellStyle name="Comma 25 12 3" xfId="5841"/>
    <cellStyle name="Comma 25 12 30" xfId="18705"/>
    <cellStyle name="Comma 25 12 31" xfId="18706"/>
    <cellStyle name="Comma 25 12 32" xfId="18707"/>
    <cellStyle name="Comma 25 12 33" xfId="18708"/>
    <cellStyle name="Comma 25 12 34" xfId="18709"/>
    <cellStyle name="Comma 25 12 35" xfId="18710"/>
    <cellStyle name="Comma 25 12 4" xfId="5842"/>
    <cellStyle name="Comma 25 12 5" xfId="5843"/>
    <cellStyle name="Comma 25 12 6" xfId="5844"/>
    <cellStyle name="Comma 25 12 7" xfId="5845"/>
    <cellStyle name="Comma 25 12 8" xfId="5846"/>
    <cellStyle name="Comma 25 12 9" xfId="5847"/>
    <cellStyle name="Comma 25 13" xfId="256"/>
    <cellStyle name="Comma 25 13 10" xfId="5848"/>
    <cellStyle name="Comma 25 13 11" xfId="5849"/>
    <cellStyle name="Comma 25 13 12" xfId="5850"/>
    <cellStyle name="Comma 25 13 13" xfId="5851"/>
    <cellStyle name="Comma 25 13 14" xfId="5852"/>
    <cellStyle name="Comma 25 13 15" xfId="5853"/>
    <cellStyle name="Comma 25 13 16" xfId="5854"/>
    <cellStyle name="Comma 25 13 17" xfId="5855"/>
    <cellStyle name="Comma 25 13 18" xfId="5856"/>
    <cellStyle name="Comma 25 13 19" xfId="5857"/>
    <cellStyle name="Comma 25 13 2" xfId="5858"/>
    <cellStyle name="Comma 25 13 20" xfId="5859"/>
    <cellStyle name="Comma 25 13 21" xfId="5860"/>
    <cellStyle name="Comma 25 13 22" xfId="5861"/>
    <cellStyle name="Comma 25 13 23" xfId="18711"/>
    <cellStyle name="Comma 25 13 24" xfId="18712"/>
    <cellStyle name="Comma 25 13 25" xfId="18713"/>
    <cellStyle name="Comma 25 13 26" xfId="18714"/>
    <cellStyle name="Comma 25 13 27" xfId="18715"/>
    <cellStyle name="Comma 25 13 28" xfId="18716"/>
    <cellStyle name="Comma 25 13 29" xfId="18717"/>
    <cellStyle name="Comma 25 13 3" xfId="5862"/>
    <cellStyle name="Comma 25 13 30" xfId="18718"/>
    <cellStyle name="Comma 25 13 31" xfId="18719"/>
    <cellStyle name="Comma 25 13 32" xfId="18720"/>
    <cellStyle name="Comma 25 13 33" xfId="18721"/>
    <cellStyle name="Comma 25 13 34" xfId="18722"/>
    <cellStyle name="Comma 25 13 35" xfId="18723"/>
    <cellStyle name="Comma 25 13 4" xfId="5863"/>
    <cellStyle name="Comma 25 13 5" xfId="5864"/>
    <cellStyle name="Comma 25 13 6" xfId="5865"/>
    <cellStyle name="Comma 25 13 7" xfId="5866"/>
    <cellStyle name="Comma 25 13 8" xfId="5867"/>
    <cellStyle name="Comma 25 13 9" xfId="5868"/>
    <cellStyle name="Comma 25 14" xfId="257"/>
    <cellStyle name="Comma 25 14 10" xfId="5869"/>
    <cellStyle name="Comma 25 14 11" xfId="5870"/>
    <cellStyle name="Comma 25 14 12" xfId="5871"/>
    <cellStyle name="Comma 25 14 13" xfId="5872"/>
    <cellStyle name="Comma 25 14 14" xfId="5873"/>
    <cellStyle name="Comma 25 14 15" xfId="5874"/>
    <cellStyle name="Comma 25 14 16" xfId="5875"/>
    <cellStyle name="Comma 25 14 17" xfId="5876"/>
    <cellStyle name="Comma 25 14 18" xfId="5877"/>
    <cellStyle name="Comma 25 14 19" xfId="5878"/>
    <cellStyle name="Comma 25 14 2" xfId="5879"/>
    <cellStyle name="Comma 25 14 20" xfId="5880"/>
    <cellStyle name="Comma 25 14 21" xfId="5881"/>
    <cellStyle name="Comma 25 14 22" xfId="5882"/>
    <cellStyle name="Comma 25 14 23" xfId="18724"/>
    <cellStyle name="Comma 25 14 24" xfId="18725"/>
    <cellStyle name="Comma 25 14 25" xfId="18726"/>
    <cellStyle name="Comma 25 14 26" xfId="18727"/>
    <cellStyle name="Comma 25 14 27" xfId="18728"/>
    <cellStyle name="Comma 25 14 28" xfId="18729"/>
    <cellStyle name="Comma 25 14 29" xfId="18730"/>
    <cellStyle name="Comma 25 14 3" xfId="5883"/>
    <cellStyle name="Comma 25 14 30" xfId="18731"/>
    <cellStyle name="Comma 25 14 31" xfId="18732"/>
    <cellStyle name="Comma 25 14 32" xfId="18733"/>
    <cellStyle name="Comma 25 14 33" xfId="18734"/>
    <cellStyle name="Comma 25 14 34" xfId="18735"/>
    <cellStyle name="Comma 25 14 35" xfId="18736"/>
    <cellStyle name="Comma 25 14 4" xfId="5884"/>
    <cellStyle name="Comma 25 14 5" xfId="5885"/>
    <cellStyle name="Comma 25 14 6" xfId="5886"/>
    <cellStyle name="Comma 25 14 7" xfId="5887"/>
    <cellStyle name="Comma 25 14 8" xfId="5888"/>
    <cellStyle name="Comma 25 14 9" xfId="5889"/>
    <cellStyle name="Comma 25 15" xfId="258"/>
    <cellStyle name="Comma 25 16" xfId="1407"/>
    <cellStyle name="Comma 25 17" xfId="1568"/>
    <cellStyle name="Comma 25 18" xfId="1621"/>
    <cellStyle name="Comma 25 19" xfId="1673"/>
    <cellStyle name="Comma 25 2" xfId="259"/>
    <cellStyle name="Comma 25 2 10" xfId="5890"/>
    <cellStyle name="Comma 25 2 11" xfId="5891"/>
    <cellStyle name="Comma 25 2 12" xfId="5892"/>
    <cellStyle name="Comma 25 2 13" xfId="5893"/>
    <cellStyle name="Comma 25 2 14" xfId="5894"/>
    <cellStyle name="Comma 25 2 15" xfId="5895"/>
    <cellStyle name="Comma 25 2 16" xfId="5896"/>
    <cellStyle name="Comma 25 2 17" xfId="5897"/>
    <cellStyle name="Comma 25 2 18" xfId="5898"/>
    <cellStyle name="Comma 25 2 19" xfId="5899"/>
    <cellStyle name="Comma 25 2 2" xfId="5900"/>
    <cellStyle name="Comma 25 2 20" xfId="5901"/>
    <cellStyle name="Comma 25 2 21" xfId="5902"/>
    <cellStyle name="Comma 25 2 22" xfId="5903"/>
    <cellStyle name="Comma 25 2 23" xfId="18737"/>
    <cellStyle name="Comma 25 2 24" xfId="18738"/>
    <cellStyle name="Comma 25 2 25" xfId="18739"/>
    <cellStyle name="Comma 25 2 26" xfId="18740"/>
    <cellStyle name="Comma 25 2 27" xfId="18741"/>
    <cellStyle name="Comma 25 2 28" xfId="18742"/>
    <cellStyle name="Comma 25 2 29" xfId="18743"/>
    <cellStyle name="Comma 25 2 3" xfId="5904"/>
    <cellStyle name="Comma 25 2 30" xfId="18744"/>
    <cellStyle name="Comma 25 2 31" xfId="18745"/>
    <cellStyle name="Comma 25 2 32" xfId="18746"/>
    <cellStyle name="Comma 25 2 33" xfId="18747"/>
    <cellStyle name="Comma 25 2 34" xfId="18748"/>
    <cellStyle name="Comma 25 2 35" xfId="18749"/>
    <cellStyle name="Comma 25 2 4" xfId="5905"/>
    <cellStyle name="Comma 25 2 5" xfId="5906"/>
    <cellStyle name="Comma 25 2 6" xfId="5907"/>
    <cellStyle name="Comma 25 2 7" xfId="5908"/>
    <cellStyle name="Comma 25 2 8" xfId="5909"/>
    <cellStyle name="Comma 25 2 9" xfId="5910"/>
    <cellStyle name="Comma 25 20" xfId="1709"/>
    <cellStyle name="Comma 25 21" xfId="1836"/>
    <cellStyle name="Comma 25 22" xfId="2108"/>
    <cellStyle name="Comma 25 23" xfId="2645"/>
    <cellStyle name="Comma 25 24" xfId="2312"/>
    <cellStyle name="Comma 25 25" xfId="2885"/>
    <cellStyle name="Comma 25 26" xfId="2970"/>
    <cellStyle name="Comma 25 27" xfId="3045"/>
    <cellStyle name="Comma 25 28" xfId="2877"/>
    <cellStyle name="Comma 25 29" xfId="5911"/>
    <cellStyle name="Comma 25 3" xfId="260"/>
    <cellStyle name="Comma 25 3 10" xfId="5912"/>
    <cellStyle name="Comma 25 3 11" xfId="5913"/>
    <cellStyle name="Comma 25 3 12" xfId="5914"/>
    <cellStyle name="Comma 25 3 13" xfId="5915"/>
    <cellStyle name="Comma 25 3 14" xfId="5916"/>
    <cellStyle name="Comma 25 3 15" xfId="5917"/>
    <cellStyle name="Comma 25 3 16" xfId="5918"/>
    <cellStyle name="Comma 25 3 17" xfId="5919"/>
    <cellStyle name="Comma 25 3 18" xfId="5920"/>
    <cellStyle name="Comma 25 3 19" xfId="5921"/>
    <cellStyle name="Comma 25 3 2" xfId="5922"/>
    <cellStyle name="Comma 25 3 20" xfId="5923"/>
    <cellStyle name="Comma 25 3 21" xfId="5924"/>
    <cellStyle name="Comma 25 3 22" xfId="5925"/>
    <cellStyle name="Comma 25 3 23" xfId="18750"/>
    <cellStyle name="Comma 25 3 24" xfId="18751"/>
    <cellStyle name="Comma 25 3 25" xfId="18752"/>
    <cellStyle name="Comma 25 3 26" xfId="18753"/>
    <cellStyle name="Comma 25 3 27" xfId="18754"/>
    <cellStyle name="Comma 25 3 28" xfId="18755"/>
    <cellStyle name="Comma 25 3 29" xfId="18756"/>
    <cellStyle name="Comma 25 3 3" xfId="5926"/>
    <cellStyle name="Comma 25 3 30" xfId="18757"/>
    <cellStyle name="Comma 25 3 31" xfId="18758"/>
    <cellStyle name="Comma 25 3 32" xfId="18759"/>
    <cellStyle name="Comma 25 3 33" xfId="18760"/>
    <cellStyle name="Comma 25 3 34" xfId="18761"/>
    <cellStyle name="Comma 25 3 35" xfId="18762"/>
    <cellStyle name="Comma 25 3 4" xfId="5927"/>
    <cellStyle name="Comma 25 3 5" xfId="5928"/>
    <cellStyle name="Comma 25 3 6" xfId="5929"/>
    <cellStyle name="Comma 25 3 7" xfId="5930"/>
    <cellStyle name="Comma 25 3 8" xfId="5931"/>
    <cellStyle name="Comma 25 3 9" xfId="5932"/>
    <cellStyle name="Comma 25 30" xfId="5933"/>
    <cellStyle name="Comma 25 31" xfId="5934"/>
    <cellStyle name="Comma 25 32" xfId="5935"/>
    <cellStyle name="Comma 25 33" xfId="5936"/>
    <cellStyle name="Comma 25 34" xfId="5937"/>
    <cellStyle name="Comma 25 35" xfId="5938"/>
    <cellStyle name="Comma 25 36" xfId="5939"/>
    <cellStyle name="Comma 25 37" xfId="5940"/>
    <cellStyle name="Comma 25 38" xfId="18763"/>
    <cellStyle name="Comma 25 39" xfId="18764"/>
    <cellStyle name="Comma 25 4" xfId="261"/>
    <cellStyle name="Comma 25 4 10" xfId="5941"/>
    <cellStyle name="Comma 25 4 11" xfId="5942"/>
    <cellStyle name="Comma 25 4 12" xfId="5943"/>
    <cellStyle name="Comma 25 4 13" xfId="5944"/>
    <cellStyle name="Comma 25 4 14" xfId="5945"/>
    <cellStyle name="Comma 25 4 15" xfId="5946"/>
    <cellStyle name="Comma 25 4 16" xfId="5947"/>
    <cellStyle name="Comma 25 4 17" xfId="5948"/>
    <cellStyle name="Comma 25 4 18" xfId="5949"/>
    <cellStyle name="Comma 25 4 19" xfId="5950"/>
    <cellStyle name="Comma 25 4 2" xfId="5951"/>
    <cellStyle name="Comma 25 4 20" xfId="5952"/>
    <cellStyle name="Comma 25 4 21" xfId="5953"/>
    <cellStyle name="Comma 25 4 22" xfId="5954"/>
    <cellStyle name="Comma 25 4 23" xfId="18765"/>
    <cellStyle name="Comma 25 4 24" xfId="18766"/>
    <cellStyle name="Comma 25 4 25" xfId="18767"/>
    <cellStyle name="Comma 25 4 26" xfId="18768"/>
    <cellStyle name="Comma 25 4 27" xfId="18769"/>
    <cellStyle name="Comma 25 4 28" xfId="18770"/>
    <cellStyle name="Comma 25 4 29" xfId="18771"/>
    <cellStyle name="Comma 25 4 3" xfId="5955"/>
    <cellStyle name="Comma 25 4 30" xfId="18772"/>
    <cellStyle name="Comma 25 4 31" xfId="18773"/>
    <cellStyle name="Comma 25 4 32" xfId="18774"/>
    <cellStyle name="Comma 25 4 33" xfId="18775"/>
    <cellStyle name="Comma 25 4 34" xfId="18776"/>
    <cellStyle name="Comma 25 4 35" xfId="18777"/>
    <cellStyle name="Comma 25 4 4" xfId="5956"/>
    <cellStyle name="Comma 25 4 5" xfId="5957"/>
    <cellStyle name="Comma 25 4 6" xfId="5958"/>
    <cellStyle name="Comma 25 4 7" xfId="5959"/>
    <cellStyle name="Comma 25 4 8" xfId="5960"/>
    <cellStyle name="Comma 25 4 9" xfId="5961"/>
    <cellStyle name="Comma 25 40" xfId="18778"/>
    <cellStyle name="Comma 25 41" xfId="18779"/>
    <cellStyle name="Comma 25 42" xfId="18780"/>
    <cellStyle name="Comma 25 43" xfId="18781"/>
    <cellStyle name="Comma 25 44" xfId="18782"/>
    <cellStyle name="Comma 25 45" xfId="18783"/>
    <cellStyle name="Comma 25 46" xfId="18784"/>
    <cellStyle name="Comma 25 47" xfId="18785"/>
    <cellStyle name="Comma 25 48" xfId="18786"/>
    <cellStyle name="Comma 25 49" xfId="18787"/>
    <cellStyle name="Comma 25 5" xfId="262"/>
    <cellStyle name="Comma 25 5 10" xfId="5962"/>
    <cellStyle name="Comma 25 5 11" xfId="5963"/>
    <cellStyle name="Comma 25 5 12" xfId="5964"/>
    <cellStyle name="Comma 25 5 13" xfId="5965"/>
    <cellStyle name="Comma 25 5 14" xfId="5966"/>
    <cellStyle name="Comma 25 5 15" xfId="5967"/>
    <cellStyle name="Comma 25 5 16" xfId="5968"/>
    <cellStyle name="Comma 25 5 17" xfId="5969"/>
    <cellStyle name="Comma 25 5 18" xfId="5970"/>
    <cellStyle name="Comma 25 5 19" xfId="5971"/>
    <cellStyle name="Comma 25 5 2" xfId="5972"/>
    <cellStyle name="Comma 25 5 20" xfId="5973"/>
    <cellStyle name="Comma 25 5 21" xfId="5974"/>
    <cellStyle name="Comma 25 5 22" xfId="5975"/>
    <cellStyle name="Comma 25 5 23" xfId="18788"/>
    <cellStyle name="Comma 25 5 24" xfId="18789"/>
    <cellStyle name="Comma 25 5 25" xfId="18790"/>
    <cellStyle name="Comma 25 5 26" xfId="18791"/>
    <cellStyle name="Comma 25 5 27" xfId="18792"/>
    <cellStyle name="Comma 25 5 28" xfId="18793"/>
    <cellStyle name="Comma 25 5 29" xfId="18794"/>
    <cellStyle name="Comma 25 5 3" xfId="5976"/>
    <cellStyle name="Comma 25 5 30" xfId="18795"/>
    <cellStyle name="Comma 25 5 31" xfId="18796"/>
    <cellStyle name="Comma 25 5 32" xfId="18797"/>
    <cellStyle name="Comma 25 5 33" xfId="18798"/>
    <cellStyle name="Comma 25 5 34" xfId="18799"/>
    <cellStyle name="Comma 25 5 35" xfId="18800"/>
    <cellStyle name="Comma 25 5 4" xfId="5977"/>
    <cellStyle name="Comma 25 5 5" xfId="5978"/>
    <cellStyle name="Comma 25 5 6" xfId="5979"/>
    <cellStyle name="Comma 25 5 7" xfId="5980"/>
    <cellStyle name="Comma 25 5 8" xfId="5981"/>
    <cellStyle name="Comma 25 5 9" xfId="5982"/>
    <cellStyle name="Comma 25 50" xfId="18801"/>
    <cellStyle name="Comma 25 6" xfId="263"/>
    <cellStyle name="Comma 25 6 10" xfId="5983"/>
    <cellStyle name="Comma 25 6 11" xfId="5984"/>
    <cellStyle name="Comma 25 6 12" xfId="5985"/>
    <cellStyle name="Comma 25 6 13" xfId="5986"/>
    <cellStyle name="Comma 25 6 14" xfId="5987"/>
    <cellStyle name="Comma 25 6 15" xfId="5988"/>
    <cellStyle name="Comma 25 6 16" xfId="5989"/>
    <cellStyle name="Comma 25 6 17" xfId="5990"/>
    <cellStyle name="Comma 25 6 18" xfId="5991"/>
    <cellStyle name="Comma 25 6 19" xfId="5992"/>
    <cellStyle name="Comma 25 6 2" xfId="5993"/>
    <cellStyle name="Comma 25 6 20" xfId="5994"/>
    <cellStyle name="Comma 25 6 21" xfId="5995"/>
    <cellStyle name="Comma 25 6 22" xfId="5996"/>
    <cellStyle name="Comma 25 6 23" xfId="18802"/>
    <cellStyle name="Comma 25 6 24" xfId="18803"/>
    <cellStyle name="Comma 25 6 25" xfId="18804"/>
    <cellStyle name="Comma 25 6 26" xfId="18805"/>
    <cellStyle name="Comma 25 6 27" xfId="18806"/>
    <cellStyle name="Comma 25 6 28" xfId="18807"/>
    <cellStyle name="Comma 25 6 29" xfId="18808"/>
    <cellStyle name="Comma 25 6 3" xfId="5997"/>
    <cellStyle name="Comma 25 6 30" xfId="18809"/>
    <cellStyle name="Comma 25 6 31" xfId="18810"/>
    <cellStyle name="Comma 25 6 32" xfId="18811"/>
    <cellStyle name="Comma 25 6 33" xfId="18812"/>
    <cellStyle name="Comma 25 6 34" xfId="18813"/>
    <cellStyle name="Comma 25 6 35" xfId="18814"/>
    <cellStyle name="Comma 25 6 4" xfId="5998"/>
    <cellStyle name="Comma 25 6 5" xfId="5999"/>
    <cellStyle name="Comma 25 6 6" xfId="6000"/>
    <cellStyle name="Comma 25 6 7" xfId="6001"/>
    <cellStyle name="Comma 25 6 8" xfId="6002"/>
    <cellStyle name="Comma 25 6 9" xfId="6003"/>
    <cellStyle name="Comma 25 7" xfId="264"/>
    <cellStyle name="Comma 25 7 10" xfId="6004"/>
    <cellStyle name="Comma 25 7 11" xfId="6005"/>
    <cellStyle name="Comma 25 7 12" xfId="6006"/>
    <cellStyle name="Comma 25 7 13" xfId="6007"/>
    <cellStyle name="Comma 25 7 14" xfId="6008"/>
    <cellStyle name="Comma 25 7 15" xfId="6009"/>
    <cellStyle name="Comma 25 7 16" xfId="6010"/>
    <cellStyle name="Comma 25 7 17" xfId="6011"/>
    <cellStyle name="Comma 25 7 18" xfId="6012"/>
    <cellStyle name="Comma 25 7 19" xfId="6013"/>
    <cellStyle name="Comma 25 7 2" xfId="6014"/>
    <cellStyle name="Comma 25 7 20" xfId="6015"/>
    <cellStyle name="Comma 25 7 21" xfId="6016"/>
    <cellStyle name="Comma 25 7 22" xfId="6017"/>
    <cellStyle name="Comma 25 7 23" xfId="18815"/>
    <cellStyle name="Comma 25 7 24" xfId="18816"/>
    <cellStyle name="Comma 25 7 25" xfId="18817"/>
    <cellStyle name="Comma 25 7 26" xfId="18818"/>
    <cellStyle name="Comma 25 7 27" xfId="18819"/>
    <cellStyle name="Comma 25 7 28" xfId="18820"/>
    <cellStyle name="Comma 25 7 29" xfId="18821"/>
    <cellStyle name="Comma 25 7 3" xfId="6018"/>
    <cellStyle name="Comma 25 7 30" xfId="18822"/>
    <cellStyle name="Comma 25 7 31" xfId="18823"/>
    <cellStyle name="Comma 25 7 32" xfId="18824"/>
    <cellStyle name="Comma 25 7 33" xfId="18825"/>
    <cellStyle name="Comma 25 7 34" xfId="18826"/>
    <cellStyle name="Comma 25 7 35" xfId="18827"/>
    <cellStyle name="Comma 25 7 4" xfId="6019"/>
    <cellStyle name="Comma 25 7 5" xfId="6020"/>
    <cellStyle name="Comma 25 7 6" xfId="6021"/>
    <cellStyle name="Comma 25 7 7" xfId="6022"/>
    <cellStyle name="Comma 25 7 8" xfId="6023"/>
    <cellStyle name="Comma 25 7 9" xfId="6024"/>
    <cellStyle name="Comma 25 8" xfId="265"/>
    <cellStyle name="Comma 25 8 10" xfId="6025"/>
    <cellStyle name="Comma 25 8 11" xfId="6026"/>
    <cellStyle name="Comma 25 8 12" xfId="6027"/>
    <cellStyle name="Comma 25 8 13" xfId="6028"/>
    <cellStyle name="Comma 25 8 14" xfId="6029"/>
    <cellStyle name="Comma 25 8 15" xfId="6030"/>
    <cellStyle name="Comma 25 8 16" xfId="6031"/>
    <cellStyle name="Comma 25 8 17" xfId="6032"/>
    <cellStyle name="Comma 25 8 18" xfId="6033"/>
    <cellStyle name="Comma 25 8 19" xfId="6034"/>
    <cellStyle name="Comma 25 8 2" xfId="6035"/>
    <cellStyle name="Comma 25 8 20" xfId="6036"/>
    <cellStyle name="Comma 25 8 21" xfId="6037"/>
    <cellStyle name="Comma 25 8 22" xfId="6038"/>
    <cellStyle name="Comma 25 8 23" xfId="18828"/>
    <cellStyle name="Comma 25 8 24" xfId="18829"/>
    <cellStyle name="Comma 25 8 25" xfId="18830"/>
    <cellStyle name="Comma 25 8 26" xfId="18831"/>
    <cellStyle name="Comma 25 8 27" xfId="18832"/>
    <cellStyle name="Comma 25 8 28" xfId="18833"/>
    <cellStyle name="Comma 25 8 29" xfId="18834"/>
    <cellStyle name="Comma 25 8 3" xfId="6039"/>
    <cellStyle name="Comma 25 8 30" xfId="18835"/>
    <cellStyle name="Comma 25 8 31" xfId="18836"/>
    <cellStyle name="Comma 25 8 32" xfId="18837"/>
    <cellStyle name="Comma 25 8 33" xfId="18838"/>
    <cellStyle name="Comma 25 8 34" xfId="18839"/>
    <cellStyle name="Comma 25 8 35" xfId="18840"/>
    <cellStyle name="Comma 25 8 4" xfId="6040"/>
    <cellStyle name="Comma 25 8 5" xfId="6041"/>
    <cellStyle name="Comma 25 8 6" xfId="6042"/>
    <cellStyle name="Comma 25 8 7" xfId="6043"/>
    <cellStyle name="Comma 25 8 8" xfId="6044"/>
    <cellStyle name="Comma 25 8 9" xfId="6045"/>
    <cellStyle name="Comma 25 9" xfId="266"/>
    <cellStyle name="Comma 25 9 10" xfId="6046"/>
    <cellStyle name="Comma 25 9 11" xfId="6047"/>
    <cellStyle name="Comma 25 9 12" xfId="6048"/>
    <cellStyle name="Comma 25 9 13" xfId="6049"/>
    <cellStyle name="Comma 25 9 14" xfId="6050"/>
    <cellStyle name="Comma 25 9 15" xfId="6051"/>
    <cellStyle name="Comma 25 9 16" xfId="6052"/>
    <cellStyle name="Comma 25 9 17" xfId="6053"/>
    <cellStyle name="Comma 25 9 18" xfId="6054"/>
    <cellStyle name="Comma 25 9 19" xfId="6055"/>
    <cellStyle name="Comma 25 9 2" xfId="6056"/>
    <cellStyle name="Comma 25 9 20" xfId="6057"/>
    <cellStyle name="Comma 25 9 21" xfId="6058"/>
    <cellStyle name="Comma 25 9 22" xfId="6059"/>
    <cellStyle name="Comma 25 9 23" xfId="18841"/>
    <cellStyle name="Comma 25 9 24" xfId="18842"/>
    <cellStyle name="Comma 25 9 25" xfId="18843"/>
    <cellStyle name="Comma 25 9 26" xfId="18844"/>
    <cellStyle name="Comma 25 9 27" xfId="18845"/>
    <cellStyle name="Comma 25 9 28" xfId="18846"/>
    <cellStyle name="Comma 25 9 29" xfId="18847"/>
    <cellStyle name="Comma 25 9 3" xfId="6060"/>
    <cellStyle name="Comma 25 9 30" xfId="18848"/>
    <cellStyle name="Comma 25 9 31" xfId="18849"/>
    <cellStyle name="Comma 25 9 32" xfId="18850"/>
    <cellStyle name="Comma 25 9 33" xfId="18851"/>
    <cellStyle name="Comma 25 9 34" xfId="18852"/>
    <cellStyle name="Comma 25 9 35" xfId="18853"/>
    <cellStyle name="Comma 25 9 4" xfId="6061"/>
    <cellStyle name="Comma 25 9 5" xfId="6062"/>
    <cellStyle name="Comma 25 9 6" xfId="6063"/>
    <cellStyle name="Comma 25 9 7" xfId="6064"/>
    <cellStyle name="Comma 25 9 8" xfId="6065"/>
    <cellStyle name="Comma 25 9 9" xfId="6066"/>
    <cellStyle name="Comma 26" xfId="22"/>
    <cellStyle name="Comma 26 10" xfId="267"/>
    <cellStyle name="Comma 26 10 10" xfId="6067"/>
    <cellStyle name="Comma 26 10 11" xfId="6068"/>
    <cellStyle name="Comma 26 10 12" xfId="6069"/>
    <cellStyle name="Comma 26 10 13" xfId="6070"/>
    <cellStyle name="Comma 26 10 14" xfId="6071"/>
    <cellStyle name="Comma 26 10 15" xfId="6072"/>
    <cellStyle name="Comma 26 10 16" xfId="6073"/>
    <cellStyle name="Comma 26 10 17" xfId="6074"/>
    <cellStyle name="Comma 26 10 18" xfId="6075"/>
    <cellStyle name="Comma 26 10 19" xfId="6076"/>
    <cellStyle name="Comma 26 10 2" xfId="6077"/>
    <cellStyle name="Comma 26 10 20" xfId="6078"/>
    <cellStyle name="Comma 26 10 21" xfId="6079"/>
    <cellStyle name="Comma 26 10 22" xfId="6080"/>
    <cellStyle name="Comma 26 10 23" xfId="18854"/>
    <cellStyle name="Comma 26 10 24" xfId="18855"/>
    <cellStyle name="Comma 26 10 25" xfId="18856"/>
    <cellStyle name="Comma 26 10 26" xfId="18857"/>
    <cellStyle name="Comma 26 10 27" xfId="18858"/>
    <cellStyle name="Comma 26 10 28" xfId="18859"/>
    <cellStyle name="Comma 26 10 29" xfId="18860"/>
    <cellStyle name="Comma 26 10 3" xfId="6081"/>
    <cellStyle name="Comma 26 10 30" xfId="18861"/>
    <cellStyle name="Comma 26 10 31" xfId="18862"/>
    <cellStyle name="Comma 26 10 32" xfId="18863"/>
    <cellStyle name="Comma 26 10 33" xfId="18864"/>
    <cellStyle name="Comma 26 10 34" xfId="18865"/>
    <cellStyle name="Comma 26 10 35" xfId="18866"/>
    <cellStyle name="Comma 26 10 4" xfId="6082"/>
    <cellStyle name="Comma 26 10 5" xfId="6083"/>
    <cellStyle name="Comma 26 10 6" xfId="6084"/>
    <cellStyle name="Comma 26 10 7" xfId="6085"/>
    <cellStyle name="Comma 26 10 8" xfId="6086"/>
    <cellStyle name="Comma 26 10 9" xfId="6087"/>
    <cellStyle name="Comma 26 11" xfId="268"/>
    <cellStyle name="Comma 26 11 10" xfId="6088"/>
    <cellStyle name="Comma 26 11 11" xfId="6089"/>
    <cellStyle name="Comma 26 11 12" xfId="6090"/>
    <cellStyle name="Comma 26 11 13" xfId="6091"/>
    <cellStyle name="Comma 26 11 14" xfId="6092"/>
    <cellStyle name="Comma 26 11 15" xfId="6093"/>
    <cellStyle name="Comma 26 11 16" xfId="6094"/>
    <cellStyle name="Comma 26 11 17" xfId="6095"/>
    <cellStyle name="Comma 26 11 18" xfId="6096"/>
    <cellStyle name="Comma 26 11 19" xfId="6097"/>
    <cellStyle name="Comma 26 11 2" xfId="6098"/>
    <cellStyle name="Comma 26 11 20" xfId="6099"/>
    <cellStyle name="Comma 26 11 21" xfId="6100"/>
    <cellStyle name="Comma 26 11 22" xfId="6101"/>
    <cellStyle name="Comma 26 11 23" xfId="18867"/>
    <cellStyle name="Comma 26 11 24" xfId="18868"/>
    <cellStyle name="Comma 26 11 25" xfId="18869"/>
    <cellStyle name="Comma 26 11 26" xfId="18870"/>
    <cellStyle name="Comma 26 11 27" xfId="18871"/>
    <cellStyle name="Comma 26 11 28" xfId="18872"/>
    <cellStyle name="Comma 26 11 29" xfId="18873"/>
    <cellStyle name="Comma 26 11 3" xfId="6102"/>
    <cellStyle name="Comma 26 11 30" xfId="18874"/>
    <cellStyle name="Comma 26 11 31" xfId="18875"/>
    <cellStyle name="Comma 26 11 32" xfId="18876"/>
    <cellStyle name="Comma 26 11 33" xfId="18877"/>
    <cellStyle name="Comma 26 11 34" xfId="18878"/>
    <cellStyle name="Comma 26 11 35" xfId="18879"/>
    <cellStyle name="Comma 26 11 4" xfId="6103"/>
    <cellStyle name="Comma 26 11 5" xfId="6104"/>
    <cellStyle name="Comma 26 11 6" xfId="6105"/>
    <cellStyle name="Comma 26 11 7" xfId="6106"/>
    <cellStyle name="Comma 26 11 8" xfId="6107"/>
    <cellStyle name="Comma 26 11 9" xfId="6108"/>
    <cellStyle name="Comma 26 12" xfId="269"/>
    <cellStyle name="Comma 26 12 10" xfId="6109"/>
    <cellStyle name="Comma 26 12 11" xfId="6110"/>
    <cellStyle name="Comma 26 12 12" xfId="6111"/>
    <cellStyle name="Comma 26 12 13" xfId="6112"/>
    <cellStyle name="Comma 26 12 14" xfId="6113"/>
    <cellStyle name="Comma 26 12 15" xfId="6114"/>
    <cellStyle name="Comma 26 12 16" xfId="6115"/>
    <cellStyle name="Comma 26 12 17" xfId="6116"/>
    <cellStyle name="Comma 26 12 18" xfId="6117"/>
    <cellStyle name="Comma 26 12 19" xfId="6118"/>
    <cellStyle name="Comma 26 12 2" xfId="6119"/>
    <cellStyle name="Comma 26 12 20" xfId="6120"/>
    <cellStyle name="Comma 26 12 21" xfId="6121"/>
    <cellStyle name="Comma 26 12 22" xfId="6122"/>
    <cellStyle name="Comma 26 12 23" xfId="18880"/>
    <cellStyle name="Comma 26 12 24" xfId="18881"/>
    <cellStyle name="Comma 26 12 25" xfId="18882"/>
    <cellStyle name="Comma 26 12 26" xfId="18883"/>
    <cellStyle name="Comma 26 12 27" xfId="18884"/>
    <cellStyle name="Comma 26 12 28" xfId="18885"/>
    <cellStyle name="Comma 26 12 29" xfId="18886"/>
    <cellStyle name="Comma 26 12 3" xfId="6123"/>
    <cellStyle name="Comma 26 12 30" xfId="18887"/>
    <cellStyle name="Comma 26 12 31" xfId="18888"/>
    <cellStyle name="Comma 26 12 32" xfId="18889"/>
    <cellStyle name="Comma 26 12 33" xfId="18890"/>
    <cellStyle name="Comma 26 12 34" xfId="18891"/>
    <cellStyle name="Comma 26 12 35" xfId="18892"/>
    <cellStyle name="Comma 26 12 4" xfId="6124"/>
    <cellStyle name="Comma 26 12 5" xfId="6125"/>
    <cellStyle name="Comma 26 12 6" xfId="6126"/>
    <cellStyle name="Comma 26 12 7" xfId="6127"/>
    <cellStyle name="Comma 26 12 8" xfId="6128"/>
    <cellStyle name="Comma 26 12 9" xfId="6129"/>
    <cellStyle name="Comma 26 13" xfId="270"/>
    <cellStyle name="Comma 26 13 10" xfId="6130"/>
    <cellStyle name="Comma 26 13 11" xfId="6131"/>
    <cellStyle name="Comma 26 13 12" xfId="6132"/>
    <cellStyle name="Comma 26 13 13" xfId="6133"/>
    <cellStyle name="Comma 26 13 14" xfId="6134"/>
    <cellStyle name="Comma 26 13 15" xfId="6135"/>
    <cellStyle name="Comma 26 13 16" xfId="6136"/>
    <cellStyle name="Comma 26 13 17" xfId="6137"/>
    <cellStyle name="Comma 26 13 18" xfId="6138"/>
    <cellStyle name="Comma 26 13 19" xfId="6139"/>
    <cellStyle name="Comma 26 13 2" xfId="6140"/>
    <cellStyle name="Comma 26 13 20" xfId="6141"/>
    <cellStyle name="Comma 26 13 21" xfId="6142"/>
    <cellStyle name="Comma 26 13 22" xfId="6143"/>
    <cellStyle name="Comma 26 13 23" xfId="18893"/>
    <cellStyle name="Comma 26 13 24" xfId="18894"/>
    <cellStyle name="Comma 26 13 25" xfId="18895"/>
    <cellStyle name="Comma 26 13 26" xfId="18896"/>
    <cellStyle name="Comma 26 13 27" xfId="18897"/>
    <cellStyle name="Comma 26 13 28" xfId="18898"/>
    <cellStyle name="Comma 26 13 29" xfId="18899"/>
    <cellStyle name="Comma 26 13 3" xfId="6144"/>
    <cellStyle name="Comma 26 13 30" xfId="18900"/>
    <cellStyle name="Comma 26 13 31" xfId="18901"/>
    <cellStyle name="Comma 26 13 32" xfId="18902"/>
    <cellStyle name="Comma 26 13 33" xfId="18903"/>
    <cellStyle name="Comma 26 13 34" xfId="18904"/>
    <cellStyle name="Comma 26 13 35" xfId="18905"/>
    <cellStyle name="Comma 26 13 4" xfId="6145"/>
    <cellStyle name="Comma 26 13 5" xfId="6146"/>
    <cellStyle name="Comma 26 13 6" xfId="6147"/>
    <cellStyle name="Comma 26 13 7" xfId="6148"/>
    <cellStyle name="Comma 26 13 8" xfId="6149"/>
    <cellStyle name="Comma 26 13 9" xfId="6150"/>
    <cellStyle name="Comma 26 14" xfId="271"/>
    <cellStyle name="Comma 26 14 10" xfId="6151"/>
    <cellStyle name="Comma 26 14 11" xfId="6152"/>
    <cellStyle name="Comma 26 14 12" xfId="6153"/>
    <cellStyle name="Comma 26 14 13" xfId="6154"/>
    <cellStyle name="Comma 26 14 14" xfId="6155"/>
    <cellStyle name="Comma 26 14 15" xfId="6156"/>
    <cellStyle name="Comma 26 14 16" xfId="6157"/>
    <cellStyle name="Comma 26 14 17" xfId="6158"/>
    <cellStyle name="Comma 26 14 18" xfId="6159"/>
    <cellStyle name="Comma 26 14 19" xfId="6160"/>
    <cellStyle name="Comma 26 14 2" xfId="6161"/>
    <cellStyle name="Comma 26 14 20" xfId="6162"/>
    <cellStyle name="Comma 26 14 21" xfId="6163"/>
    <cellStyle name="Comma 26 14 22" xfId="6164"/>
    <cellStyle name="Comma 26 14 23" xfId="18906"/>
    <cellStyle name="Comma 26 14 24" xfId="18907"/>
    <cellStyle name="Comma 26 14 25" xfId="18908"/>
    <cellStyle name="Comma 26 14 26" xfId="18909"/>
    <cellStyle name="Comma 26 14 27" xfId="18910"/>
    <cellStyle name="Comma 26 14 28" xfId="18911"/>
    <cellStyle name="Comma 26 14 29" xfId="18912"/>
    <cellStyle name="Comma 26 14 3" xfId="6165"/>
    <cellStyle name="Comma 26 14 30" xfId="18913"/>
    <cellStyle name="Comma 26 14 31" xfId="18914"/>
    <cellStyle name="Comma 26 14 32" xfId="18915"/>
    <cellStyle name="Comma 26 14 33" xfId="18916"/>
    <cellStyle name="Comma 26 14 34" xfId="18917"/>
    <cellStyle name="Comma 26 14 35" xfId="18918"/>
    <cellStyle name="Comma 26 14 4" xfId="6166"/>
    <cellStyle name="Comma 26 14 5" xfId="6167"/>
    <cellStyle name="Comma 26 14 6" xfId="6168"/>
    <cellStyle name="Comma 26 14 7" xfId="6169"/>
    <cellStyle name="Comma 26 14 8" xfId="6170"/>
    <cellStyle name="Comma 26 14 9" xfId="6171"/>
    <cellStyle name="Comma 26 15" xfId="272"/>
    <cellStyle name="Comma 26 16" xfId="1408"/>
    <cellStyle name="Comma 26 17" xfId="1567"/>
    <cellStyle name="Comma 26 18" xfId="1620"/>
    <cellStyle name="Comma 26 19" xfId="1672"/>
    <cellStyle name="Comma 26 2" xfId="273"/>
    <cellStyle name="Comma 26 2 10" xfId="6172"/>
    <cellStyle name="Comma 26 2 11" xfId="6173"/>
    <cellStyle name="Comma 26 2 12" xfId="6174"/>
    <cellStyle name="Comma 26 2 13" xfId="6175"/>
    <cellStyle name="Comma 26 2 14" xfId="6176"/>
    <cellStyle name="Comma 26 2 15" xfId="6177"/>
    <cellStyle name="Comma 26 2 16" xfId="6178"/>
    <cellStyle name="Comma 26 2 17" xfId="6179"/>
    <cellStyle name="Comma 26 2 18" xfId="6180"/>
    <cellStyle name="Comma 26 2 19" xfId="6181"/>
    <cellStyle name="Comma 26 2 2" xfId="6182"/>
    <cellStyle name="Comma 26 2 20" xfId="6183"/>
    <cellStyle name="Comma 26 2 21" xfId="6184"/>
    <cellStyle name="Comma 26 2 22" xfId="6185"/>
    <cellStyle name="Comma 26 2 23" xfId="18919"/>
    <cellStyle name="Comma 26 2 24" xfId="18920"/>
    <cellStyle name="Comma 26 2 25" xfId="18921"/>
    <cellStyle name="Comma 26 2 26" xfId="18922"/>
    <cellStyle name="Comma 26 2 27" xfId="18923"/>
    <cellStyle name="Comma 26 2 28" xfId="18924"/>
    <cellStyle name="Comma 26 2 29" xfId="18925"/>
    <cellStyle name="Comma 26 2 3" xfId="6186"/>
    <cellStyle name="Comma 26 2 30" xfId="18926"/>
    <cellStyle name="Comma 26 2 31" xfId="18927"/>
    <cellStyle name="Comma 26 2 32" xfId="18928"/>
    <cellStyle name="Comma 26 2 33" xfId="18929"/>
    <cellStyle name="Comma 26 2 34" xfId="18930"/>
    <cellStyle name="Comma 26 2 35" xfId="18931"/>
    <cellStyle name="Comma 26 2 4" xfId="6187"/>
    <cellStyle name="Comma 26 2 5" xfId="6188"/>
    <cellStyle name="Comma 26 2 6" xfId="6189"/>
    <cellStyle name="Comma 26 2 7" xfId="6190"/>
    <cellStyle name="Comma 26 2 8" xfId="6191"/>
    <cellStyle name="Comma 26 2 9" xfId="6192"/>
    <cellStyle name="Comma 26 20" xfId="1710"/>
    <cellStyle name="Comma 26 21" xfId="1835"/>
    <cellStyle name="Comma 26 22" xfId="2109"/>
    <cellStyle name="Comma 26 23" xfId="2619"/>
    <cellStyle name="Comma 26 24" xfId="2846"/>
    <cellStyle name="Comma 26 25" xfId="2546"/>
    <cellStyle name="Comma 26 26" xfId="2576"/>
    <cellStyle name="Comma 26 27" xfId="2348"/>
    <cellStyle name="Comma 26 28" xfId="2998"/>
    <cellStyle name="Comma 26 29" xfId="6193"/>
    <cellStyle name="Comma 26 3" xfId="274"/>
    <cellStyle name="Comma 26 3 10" xfId="6194"/>
    <cellStyle name="Comma 26 3 11" xfId="6195"/>
    <cellStyle name="Comma 26 3 12" xfId="6196"/>
    <cellStyle name="Comma 26 3 13" xfId="6197"/>
    <cellStyle name="Comma 26 3 14" xfId="6198"/>
    <cellStyle name="Comma 26 3 15" xfId="6199"/>
    <cellStyle name="Comma 26 3 16" xfId="6200"/>
    <cellStyle name="Comma 26 3 17" xfId="6201"/>
    <cellStyle name="Comma 26 3 18" xfId="6202"/>
    <cellStyle name="Comma 26 3 19" xfId="6203"/>
    <cellStyle name="Comma 26 3 2" xfId="6204"/>
    <cellStyle name="Comma 26 3 20" xfId="6205"/>
    <cellStyle name="Comma 26 3 21" xfId="6206"/>
    <cellStyle name="Comma 26 3 22" xfId="6207"/>
    <cellStyle name="Comma 26 3 23" xfId="18932"/>
    <cellStyle name="Comma 26 3 24" xfId="18933"/>
    <cellStyle name="Comma 26 3 25" xfId="18934"/>
    <cellStyle name="Comma 26 3 26" xfId="18935"/>
    <cellStyle name="Comma 26 3 27" xfId="18936"/>
    <cellStyle name="Comma 26 3 28" xfId="18937"/>
    <cellStyle name="Comma 26 3 29" xfId="18938"/>
    <cellStyle name="Comma 26 3 3" xfId="6208"/>
    <cellStyle name="Comma 26 3 30" xfId="18939"/>
    <cellStyle name="Comma 26 3 31" xfId="18940"/>
    <cellStyle name="Comma 26 3 32" xfId="18941"/>
    <cellStyle name="Comma 26 3 33" xfId="18942"/>
    <cellStyle name="Comma 26 3 34" xfId="18943"/>
    <cellStyle name="Comma 26 3 35" xfId="18944"/>
    <cellStyle name="Comma 26 3 4" xfId="6209"/>
    <cellStyle name="Comma 26 3 5" xfId="6210"/>
    <cellStyle name="Comma 26 3 6" xfId="6211"/>
    <cellStyle name="Comma 26 3 7" xfId="6212"/>
    <cellStyle name="Comma 26 3 8" xfId="6213"/>
    <cellStyle name="Comma 26 3 9" xfId="6214"/>
    <cellStyle name="Comma 26 30" xfId="6215"/>
    <cellStyle name="Comma 26 31" xfId="6216"/>
    <cellStyle name="Comma 26 32" xfId="6217"/>
    <cellStyle name="Comma 26 33" xfId="6218"/>
    <cellStyle name="Comma 26 34" xfId="6219"/>
    <cellStyle name="Comma 26 35" xfId="6220"/>
    <cellStyle name="Comma 26 36" xfId="6221"/>
    <cellStyle name="Comma 26 37" xfId="6222"/>
    <cellStyle name="Comma 26 38" xfId="18945"/>
    <cellStyle name="Comma 26 39" xfId="18946"/>
    <cellStyle name="Comma 26 4" xfId="275"/>
    <cellStyle name="Comma 26 4 10" xfId="6223"/>
    <cellStyle name="Comma 26 4 11" xfId="6224"/>
    <cellStyle name="Comma 26 4 12" xfId="6225"/>
    <cellStyle name="Comma 26 4 13" xfId="6226"/>
    <cellStyle name="Comma 26 4 14" xfId="6227"/>
    <cellStyle name="Comma 26 4 15" xfId="6228"/>
    <cellStyle name="Comma 26 4 16" xfId="6229"/>
    <cellStyle name="Comma 26 4 17" xfId="6230"/>
    <cellStyle name="Comma 26 4 18" xfId="6231"/>
    <cellStyle name="Comma 26 4 19" xfId="6232"/>
    <cellStyle name="Comma 26 4 2" xfId="6233"/>
    <cellStyle name="Comma 26 4 20" xfId="6234"/>
    <cellStyle name="Comma 26 4 21" xfId="6235"/>
    <cellStyle name="Comma 26 4 22" xfId="6236"/>
    <cellStyle name="Comma 26 4 23" xfId="18947"/>
    <cellStyle name="Comma 26 4 24" xfId="18948"/>
    <cellStyle name="Comma 26 4 25" xfId="18949"/>
    <cellStyle name="Comma 26 4 26" xfId="18950"/>
    <cellStyle name="Comma 26 4 27" xfId="18951"/>
    <cellStyle name="Comma 26 4 28" xfId="18952"/>
    <cellStyle name="Comma 26 4 29" xfId="18953"/>
    <cellStyle name="Comma 26 4 3" xfId="6237"/>
    <cellStyle name="Comma 26 4 30" xfId="18954"/>
    <cellStyle name="Comma 26 4 31" xfId="18955"/>
    <cellStyle name="Comma 26 4 32" xfId="18956"/>
    <cellStyle name="Comma 26 4 33" xfId="18957"/>
    <cellStyle name="Comma 26 4 34" xfId="18958"/>
    <cellStyle name="Comma 26 4 35" xfId="18959"/>
    <cellStyle name="Comma 26 4 4" xfId="6238"/>
    <cellStyle name="Comma 26 4 5" xfId="6239"/>
    <cellStyle name="Comma 26 4 6" xfId="6240"/>
    <cellStyle name="Comma 26 4 7" xfId="6241"/>
    <cellStyle name="Comma 26 4 8" xfId="6242"/>
    <cellStyle name="Comma 26 4 9" xfId="6243"/>
    <cellStyle name="Comma 26 40" xfId="18960"/>
    <cellStyle name="Comma 26 41" xfId="18961"/>
    <cellStyle name="Comma 26 42" xfId="18962"/>
    <cellStyle name="Comma 26 43" xfId="18963"/>
    <cellStyle name="Comma 26 44" xfId="18964"/>
    <cellStyle name="Comma 26 45" xfId="18965"/>
    <cellStyle name="Comma 26 46" xfId="18966"/>
    <cellStyle name="Comma 26 47" xfId="18967"/>
    <cellStyle name="Comma 26 48" xfId="18968"/>
    <cellStyle name="Comma 26 49" xfId="18969"/>
    <cellStyle name="Comma 26 5" xfId="276"/>
    <cellStyle name="Comma 26 5 10" xfId="6244"/>
    <cellStyle name="Comma 26 5 11" xfId="6245"/>
    <cellStyle name="Comma 26 5 12" xfId="6246"/>
    <cellStyle name="Comma 26 5 13" xfId="6247"/>
    <cellStyle name="Comma 26 5 14" xfId="6248"/>
    <cellStyle name="Comma 26 5 15" xfId="6249"/>
    <cellStyle name="Comma 26 5 16" xfId="6250"/>
    <cellStyle name="Comma 26 5 17" xfId="6251"/>
    <cellStyle name="Comma 26 5 18" xfId="6252"/>
    <cellStyle name="Comma 26 5 19" xfId="6253"/>
    <cellStyle name="Comma 26 5 2" xfId="6254"/>
    <cellStyle name="Comma 26 5 20" xfId="6255"/>
    <cellStyle name="Comma 26 5 21" xfId="6256"/>
    <cellStyle name="Comma 26 5 22" xfId="6257"/>
    <cellStyle name="Comma 26 5 23" xfId="18970"/>
    <cellStyle name="Comma 26 5 24" xfId="18971"/>
    <cellStyle name="Comma 26 5 25" xfId="18972"/>
    <cellStyle name="Comma 26 5 26" xfId="18973"/>
    <cellStyle name="Comma 26 5 27" xfId="18974"/>
    <cellStyle name="Comma 26 5 28" xfId="18975"/>
    <cellStyle name="Comma 26 5 29" xfId="18976"/>
    <cellStyle name="Comma 26 5 3" xfId="6258"/>
    <cellStyle name="Comma 26 5 30" xfId="18977"/>
    <cellStyle name="Comma 26 5 31" xfId="18978"/>
    <cellStyle name="Comma 26 5 32" xfId="18979"/>
    <cellStyle name="Comma 26 5 33" xfId="18980"/>
    <cellStyle name="Comma 26 5 34" xfId="18981"/>
    <cellStyle name="Comma 26 5 35" xfId="18982"/>
    <cellStyle name="Comma 26 5 4" xfId="6259"/>
    <cellStyle name="Comma 26 5 5" xfId="6260"/>
    <cellStyle name="Comma 26 5 6" xfId="6261"/>
    <cellStyle name="Comma 26 5 7" xfId="6262"/>
    <cellStyle name="Comma 26 5 8" xfId="6263"/>
    <cellStyle name="Comma 26 5 9" xfId="6264"/>
    <cellStyle name="Comma 26 50" xfId="18983"/>
    <cellStyle name="Comma 26 6" xfId="277"/>
    <cellStyle name="Comma 26 6 10" xfId="6265"/>
    <cellStyle name="Comma 26 6 11" xfId="6266"/>
    <cellStyle name="Comma 26 6 12" xfId="6267"/>
    <cellStyle name="Comma 26 6 13" xfId="6268"/>
    <cellStyle name="Comma 26 6 14" xfId="6269"/>
    <cellStyle name="Comma 26 6 15" xfId="6270"/>
    <cellStyle name="Comma 26 6 16" xfId="6271"/>
    <cellStyle name="Comma 26 6 17" xfId="6272"/>
    <cellStyle name="Comma 26 6 18" xfId="6273"/>
    <cellStyle name="Comma 26 6 19" xfId="6274"/>
    <cellStyle name="Comma 26 6 2" xfId="6275"/>
    <cellStyle name="Comma 26 6 20" xfId="6276"/>
    <cellStyle name="Comma 26 6 21" xfId="6277"/>
    <cellStyle name="Comma 26 6 22" xfId="6278"/>
    <cellStyle name="Comma 26 6 23" xfId="18984"/>
    <cellStyle name="Comma 26 6 24" xfId="18985"/>
    <cellStyle name="Comma 26 6 25" xfId="18986"/>
    <cellStyle name="Comma 26 6 26" xfId="18987"/>
    <cellStyle name="Comma 26 6 27" xfId="18988"/>
    <cellStyle name="Comma 26 6 28" xfId="18989"/>
    <cellStyle name="Comma 26 6 29" xfId="18990"/>
    <cellStyle name="Comma 26 6 3" xfId="6279"/>
    <cellStyle name="Comma 26 6 30" xfId="18991"/>
    <cellStyle name="Comma 26 6 31" xfId="18992"/>
    <cellStyle name="Comma 26 6 32" xfId="18993"/>
    <cellStyle name="Comma 26 6 33" xfId="18994"/>
    <cellStyle name="Comma 26 6 34" xfId="18995"/>
    <cellStyle name="Comma 26 6 35" xfId="18996"/>
    <cellStyle name="Comma 26 6 4" xfId="6280"/>
    <cellStyle name="Comma 26 6 5" xfId="6281"/>
    <cellStyle name="Comma 26 6 6" xfId="6282"/>
    <cellStyle name="Comma 26 6 7" xfId="6283"/>
    <cellStyle name="Comma 26 6 8" xfId="6284"/>
    <cellStyle name="Comma 26 6 9" xfId="6285"/>
    <cellStyle name="Comma 26 7" xfId="278"/>
    <cellStyle name="Comma 26 7 10" xfId="6286"/>
    <cellStyle name="Comma 26 7 11" xfId="6287"/>
    <cellStyle name="Comma 26 7 12" xfId="6288"/>
    <cellStyle name="Comma 26 7 13" xfId="6289"/>
    <cellStyle name="Comma 26 7 14" xfId="6290"/>
    <cellStyle name="Comma 26 7 15" xfId="6291"/>
    <cellStyle name="Comma 26 7 16" xfId="6292"/>
    <cellStyle name="Comma 26 7 17" xfId="6293"/>
    <cellStyle name="Comma 26 7 18" xfId="6294"/>
    <cellStyle name="Comma 26 7 19" xfId="6295"/>
    <cellStyle name="Comma 26 7 2" xfId="6296"/>
    <cellStyle name="Comma 26 7 20" xfId="6297"/>
    <cellStyle name="Comma 26 7 21" xfId="6298"/>
    <cellStyle name="Comma 26 7 22" xfId="6299"/>
    <cellStyle name="Comma 26 7 23" xfId="18997"/>
    <cellStyle name="Comma 26 7 24" xfId="18998"/>
    <cellStyle name="Comma 26 7 25" xfId="18999"/>
    <cellStyle name="Comma 26 7 26" xfId="19000"/>
    <cellStyle name="Comma 26 7 27" xfId="19001"/>
    <cellStyle name="Comma 26 7 28" xfId="19002"/>
    <cellStyle name="Comma 26 7 29" xfId="19003"/>
    <cellStyle name="Comma 26 7 3" xfId="6300"/>
    <cellStyle name="Comma 26 7 30" xfId="19004"/>
    <cellStyle name="Comma 26 7 31" xfId="19005"/>
    <cellStyle name="Comma 26 7 32" xfId="19006"/>
    <cellStyle name="Comma 26 7 33" xfId="19007"/>
    <cellStyle name="Comma 26 7 34" xfId="19008"/>
    <cellStyle name="Comma 26 7 35" xfId="19009"/>
    <cellStyle name="Comma 26 7 4" xfId="6301"/>
    <cellStyle name="Comma 26 7 5" xfId="6302"/>
    <cellStyle name="Comma 26 7 6" xfId="6303"/>
    <cellStyle name="Comma 26 7 7" xfId="6304"/>
    <cellStyle name="Comma 26 7 8" xfId="6305"/>
    <cellStyle name="Comma 26 7 9" xfId="6306"/>
    <cellStyle name="Comma 26 8" xfId="279"/>
    <cellStyle name="Comma 26 8 10" xfId="6307"/>
    <cellStyle name="Comma 26 8 11" xfId="6308"/>
    <cellStyle name="Comma 26 8 12" xfId="6309"/>
    <cellStyle name="Comma 26 8 13" xfId="6310"/>
    <cellStyle name="Comma 26 8 14" xfId="6311"/>
    <cellStyle name="Comma 26 8 15" xfId="6312"/>
    <cellStyle name="Comma 26 8 16" xfId="6313"/>
    <cellStyle name="Comma 26 8 17" xfId="6314"/>
    <cellStyle name="Comma 26 8 18" xfId="6315"/>
    <cellStyle name="Comma 26 8 19" xfId="6316"/>
    <cellStyle name="Comma 26 8 2" xfId="6317"/>
    <cellStyle name="Comma 26 8 20" xfId="6318"/>
    <cellStyle name="Comma 26 8 21" xfId="6319"/>
    <cellStyle name="Comma 26 8 22" xfId="6320"/>
    <cellStyle name="Comma 26 8 23" xfId="19010"/>
    <cellStyle name="Comma 26 8 24" xfId="19011"/>
    <cellStyle name="Comma 26 8 25" xfId="19012"/>
    <cellStyle name="Comma 26 8 26" xfId="19013"/>
    <cellStyle name="Comma 26 8 27" xfId="19014"/>
    <cellStyle name="Comma 26 8 28" xfId="19015"/>
    <cellStyle name="Comma 26 8 29" xfId="19016"/>
    <cellStyle name="Comma 26 8 3" xfId="6321"/>
    <cellStyle name="Comma 26 8 30" xfId="19017"/>
    <cellStyle name="Comma 26 8 31" xfId="19018"/>
    <cellStyle name="Comma 26 8 32" xfId="19019"/>
    <cellStyle name="Comma 26 8 33" xfId="19020"/>
    <cellStyle name="Comma 26 8 34" xfId="19021"/>
    <cellStyle name="Comma 26 8 35" xfId="19022"/>
    <cellStyle name="Comma 26 8 4" xfId="6322"/>
    <cellStyle name="Comma 26 8 5" xfId="6323"/>
    <cellStyle name="Comma 26 8 6" xfId="6324"/>
    <cellStyle name="Comma 26 8 7" xfId="6325"/>
    <cellStyle name="Comma 26 8 8" xfId="6326"/>
    <cellStyle name="Comma 26 8 9" xfId="6327"/>
    <cellStyle name="Comma 26 9" xfId="280"/>
    <cellStyle name="Comma 26 9 10" xfId="6328"/>
    <cellStyle name="Comma 26 9 11" xfId="6329"/>
    <cellStyle name="Comma 26 9 12" xfId="6330"/>
    <cellStyle name="Comma 26 9 13" xfId="6331"/>
    <cellStyle name="Comma 26 9 14" xfId="6332"/>
    <cellStyle name="Comma 26 9 15" xfId="6333"/>
    <cellStyle name="Comma 26 9 16" xfId="6334"/>
    <cellStyle name="Comma 26 9 17" xfId="6335"/>
    <cellStyle name="Comma 26 9 18" xfId="6336"/>
    <cellStyle name="Comma 26 9 19" xfId="6337"/>
    <cellStyle name="Comma 26 9 2" xfId="6338"/>
    <cellStyle name="Comma 26 9 20" xfId="6339"/>
    <cellStyle name="Comma 26 9 21" xfId="6340"/>
    <cellStyle name="Comma 26 9 22" xfId="6341"/>
    <cellStyle name="Comma 26 9 23" xfId="19023"/>
    <cellStyle name="Comma 26 9 24" xfId="19024"/>
    <cellStyle name="Comma 26 9 25" xfId="19025"/>
    <cellStyle name="Comma 26 9 26" xfId="19026"/>
    <cellStyle name="Comma 26 9 27" xfId="19027"/>
    <cellStyle name="Comma 26 9 28" xfId="19028"/>
    <cellStyle name="Comma 26 9 29" xfId="19029"/>
    <cellStyle name="Comma 26 9 3" xfId="6342"/>
    <cellStyle name="Comma 26 9 30" xfId="19030"/>
    <cellStyle name="Comma 26 9 31" xfId="19031"/>
    <cellStyle name="Comma 26 9 32" xfId="19032"/>
    <cellStyle name="Comma 26 9 33" xfId="19033"/>
    <cellStyle name="Comma 26 9 34" xfId="19034"/>
    <cellStyle name="Comma 26 9 35" xfId="19035"/>
    <cellStyle name="Comma 26 9 4" xfId="6343"/>
    <cellStyle name="Comma 26 9 5" xfId="6344"/>
    <cellStyle name="Comma 26 9 6" xfId="6345"/>
    <cellStyle name="Comma 26 9 7" xfId="6346"/>
    <cellStyle name="Comma 26 9 8" xfId="6347"/>
    <cellStyle name="Comma 26 9 9" xfId="6348"/>
    <cellStyle name="Comma 27" xfId="23"/>
    <cellStyle name="Comma 27 10" xfId="281"/>
    <cellStyle name="Comma 27 10 10" xfId="6349"/>
    <cellStyle name="Comma 27 10 11" xfId="6350"/>
    <cellStyle name="Comma 27 10 12" xfId="6351"/>
    <cellStyle name="Comma 27 10 13" xfId="6352"/>
    <cellStyle name="Comma 27 10 14" xfId="6353"/>
    <cellStyle name="Comma 27 10 15" xfId="6354"/>
    <cellStyle name="Comma 27 10 16" xfId="6355"/>
    <cellStyle name="Comma 27 10 17" xfId="6356"/>
    <cellStyle name="Comma 27 10 18" xfId="6357"/>
    <cellStyle name="Comma 27 10 19" xfId="6358"/>
    <cellStyle name="Comma 27 10 2" xfId="6359"/>
    <cellStyle name="Comma 27 10 20" xfId="6360"/>
    <cellStyle name="Comma 27 10 21" xfId="6361"/>
    <cellStyle name="Comma 27 10 22" xfId="6362"/>
    <cellStyle name="Comma 27 10 23" xfId="19036"/>
    <cellStyle name="Comma 27 10 24" xfId="19037"/>
    <cellStyle name="Comma 27 10 25" xfId="19038"/>
    <cellStyle name="Comma 27 10 26" xfId="19039"/>
    <cellStyle name="Comma 27 10 27" xfId="19040"/>
    <cellStyle name="Comma 27 10 28" xfId="19041"/>
    <cellStyle name="Comma 27 10 29" xfId="19042"/>
    <cellStyle name="Comma 27 10 3" xfId="6363"/>
    <cellStyle name="Comma 27 10 30" xfId="19043"/>
    <cellStyle name="Comma 27 10 31" xfId="19044"/>
    <cellStyle name="Comma 27 10 32" xfId="19045"/>
    <cellStyle name="Comma 27 10 33" xfId="19046"/>
    <cellStyle name="Comma 27 10 34" xfId="19047"/>
    <cellStyle name="Comma 27 10 35" xfId="19048"/>
    <cellStyle name="Comma 27 10 4" xfId="6364"/>
    <cellStyle name="Comma 27 10 5" xfId="6365"/>
    <cellStyle name="Comma 27 10 6" xfId="6366"/>
    <cellStyle name="Comma 27 10 7" xfId="6367"/>
    <cellStyle name="Comma 27 10 8" xfId="6368"/>
    <cellStyle name="Comma 27 10 9" xfId="6369"/>
    <cellStyle name="Comma 27 11" xfId="282"/>
    <cellStyle name="Comma 27 11 10" xfId="6370"/>
    <cellStyle name="Comma 27 11 11" xfId="6371"/>
    <cellStyle name="Comma 27 11 12" xfId="6372"/>
    <cellStyle name="Comma 27 11 13" xfId="6373"/>
    <cellStyle name="Comma 27 11 14" xfId="6374"/>
    <cellStyle name="Comma 27 11 15" xfId="6375"/>
    <cellStyle name="Comma 27 11 16" xfId="6376"/>
    <cellStyle name="Comma 27 11 17" xfId="6377"/>
    <cellStyle name="Comma 27 11 18" xfId="6378"/>
    <cellStyle name="Comma 27 11 19" xfId="6379"/>
    <cellStyle name="Comma 27 11 2" xfId="6380"/>
    <cellStyle name="Comma 27 11 20" xfId="6381"/>
    <cellStyle name="Comma 27 11 21" xfId="6382"/>
    <cellStyle name="Comma 27 11 22" xfId="6383"/>
    <cellStyle name="Comma 27 11 23" xfId="19049"/>
    <cellStyle name="Comma 27 11 24" xfId="19050"/>
    <cellStyle name="Comma 27 11 25" xfId="19051"/>
    <cellStyle name="Comma 27 11 26" xfId="19052"/>
    <cellStyle name="Comma 27 11 27" xfId="19053"/>
    <cellStyle name="Comma 27 11 28" xfId="19054"/>
    <cellStyle name="Comma 27 11 29" xfId="19055"/>
    <cellStyle name="Comma 27 11 3" xfId="6384"/>
    <cellStyle name="Comma 27 11 30" xfId="19056"/>
    <cellStyle name="Comma 27 11 31" xfId="19057"/>
    <cellStyle name="Comma 27 11 32" xfId="19058"/>
    <cellStyle name="Comma 27 11 33" xfId="19059"/>
    <cellStyle name="Comma 27 11 34" xfId="19060"/>
    <cellStyle name="Comma 27 11 35" xfId="19061"/>
    <cellStyle name="Comma 27 11 4" xfId="6385"/>
    <cellStyle name="Comma 27 11 5" xfId="6386"/>
    <cellStyle name="Comma 27 11 6" xfId="6387"/>
    <cellStyle name="Comma 27 11 7" xfId="6388"/>
    <cellStyle name="Comma 27 11 8" xfId="6389"/>
    <cellStyle name="Comma 27 11 9" xfId="6390"/>
    <cellStyle name="Comma 27 12" xfId="283"/>
    <cellStyle name="Comma 27 12 10" xfId="6391"/>
    <cellStyle name="Comma 27 12 11" xfId="6392"/>
    <cellStyle name="Comma 27 12 12" xfId="6393"/>
    <cellStyle name="Comma 27 12 13" xfId="6394"/>
    <cellStyle name="Comma 27 12 14" xfId="6395"/>
    <cellStyle name="Comma 27 12 15" xfId="6396"/>
    <cellStyle name="Comma 27 12 16" xfId="6397"/>
    <cellStyle name="Comma 27 12 17" xfId="6398"/>
    <cellStyle name="Comma 27 12 18" xfId="6399"/>
    <cellStyle name="Comma 27 12 19" xfId="6400"/>
    <cellStyle name="Comma 27 12 2" xfId="6401"/>
    <cellStyle name="Comma 27 12 20" xfId="6402"/>
    <cellStyle name="Comma 27 12 21" xfId="6403"/>
    <cellStyle name="Comma 27 12 22" xfId="6404"/>
    <cellStyle name="Comma 27 12 23" xfId="19062"/>
    <cellStyle name="Comma 27 12 24" xfId="19063"/>
    <cellStyle name="Comma 27 12 25" xfId="19064"/>
    <cellStyle name="Comma 27 12 26" xfId="19065"/>
    <cellStyle name="Comma 27 12 27" xfId="19066"/>
    <cellStyle name="Comma 27 12 28" xfId="19067"/>
    <cellStyle name="Comma 27 12 29" xfId="19068"/>
    <cellStyle name="Comma 27 12 3" xfId="6405"/>
    <cellStyle name="Comma 27 12 30" xfId="19069"/>
    <cellStyle name="Comma 27 12 31" xfId="19070"/>
    <cellStyle name="Comma 27 12 32" xfId="19071"/>
    <cellStyle name="Comma 27 12 33" xfId="19072"/>
    <cellStyle name="Comma 27 12 34" xfId="19073"/>
    <cellStyle name="Comma 27 12 35" xfId="19074"/>
    <cellStyle name="Comma 27 12 4" xfId="6406"/>
    <cellStyle name="Comma 27 12 5" xfId="6407"/>
    <cellStyle name="Comma 27 12 6" xfId="6408"/>
    <cellStyle name="Comma 27 12 7" xfId="6409"/>
    <cellStyle name="Comma 27 12 8" xfId="6410"/>
    <cellStyle name="Comma 27 12 9" xfId="6411"/>
    <cellStyle name="Comma 27 13" xfId="284"/>
    <cellStyle name="Comma 27 13 10" xfId="6412"/>
    <cellStyle name="Comma 27 13 11" xfId="6413"/>
    <cellStyle name="Comma 27 13 12" xfId="6414"/>
    <cellStyle name="Comma 27 13 13" xfId="6415"/>
    <cellStyle name="Comma 27 13 14" xfId="6416"/>
    <cellStyle name="Comma 27 13 15" xfId="6417"/>
    <cellStyle name="Comma 27 13 16" xfId="6418"/>
    <cellStyle name="Comma 27 13 17" xfId="6419"/>
    <cellStyle name="Comma 27 13 18" xfId="6420"/>
    <cellStyle name="Comma 27 13 19" xfId="6421"/>
    <cellStyle name="Comma 27 13 2" xfId="6422"/>
    <cellStyle name="Comma 27 13 20" xfId="6423"/>
    <cellStyle name="Comma 27 13 21" xfId="6424"/>
    <cellStyle name="Comma 27 13 22" xfId="6425"/>
    <cellStyle name="Comma 27 13 23" xfId="19075"/>
    <cellStyle name="Comma 27 13 24" xfId="19076"/>
    <cellStyle name="Comma 27 13 25" xfId="19077"/>
    <cellStyle name="Comma 27 13 26" xfId="19078"/>
    <cellStyle name="Comma 27 13 27" xfId="19079"/>
    <cellStyle name="Comma 27 13 28" xfId="19080"/>
    <cellStyle name="Comma 27 13 29" xfId="19081"/>
    <cellStyle name="Comma 27 13 3" xfId="6426"/>
    <cellStyle name="Comma 27 13 30" xfId="19082"/>
    <cellStyle name="Comma 27 13 31" xfId="19083"/>
    <cellStyle name="Comma 27 13 32" xfId="19084"/>
    <cellStyle name="Comma 27 13 33" xfId="19085"/>
    <cellStyle name="Comma 27 13 34" xfId="19086"/>
    <cellStyle name="Comma 27 13 35" xfId="19087"/>
    <cellStyle name="Comma 27 13 4" xfId="6427"/>
    <cellStyle name="Comma 27 13 5" xfId="6428"/>
    <cellStyle name="Comma 27 13 6" xfId="6429"/>
    <cellStyle name="Comma 27 13 7" xfId="6430"/>
    <cellStyle name="Comma 27 13 8" xfId="6431"/>
    <cellStyle name="Comma 27 13 9" xfId="6432"/>
    <cellStyle name="Comma 27 14" xfId="285"/>
    <cellStyle name="Comma 27 14 10" xfId="6433"/>
    <cellStyle name="Comma 27 14 11" xfId="6434"/>
    <cellStyle name="Comma 27 14 12" xfId="6435"/>
    <cellStyle name="Comma 27 14 13" xfId="6436"/>
    <cellStyle name="Comma 27 14 14" xfId="6437"/>
    <cellStyle name="Comma 27 14 15" xfId="6438"/>
    <cellStyle name="Comma 27 14 16" xfId="6439"/>
    <cellStyle name="Comma 27 14 17" xfId="6440"/>
    <cellStyle name="Comma 27 14 18" xfId="6441"/>
    <cellStyle name="Comma 27 14 19" xfId="6442"/>
    <cellStyle name="Comma 27 14 2" xfId="6443"/>
    <cellStyle name="Comma 27 14 20" xfId="6444"/>
    <cellStyle name="Comma 27 14 21" xfId="6445"/>
    <cellStyle name="Comma 27 14 22" xfId="6446"/>
    <cellStyle name="Comma 27 14 23" xfId="19088"/>
    <cellStyle name="Comma 27 14 24" xfId="19089"/>
    <cellStyle name="Comma 27 14 25" xfId="19090"/>
    <cellStyle name="Comma 27 14 26" xfId="19091"/>
    <cellStyle name="Comma 27 14 27" xfId="19092"/>
    <cellStyle name="Comma 27 14 28" xfId="19093"/>
    <cellStyle name="Comma 27 14 29" xfId="19094"/>
    <cellStyle name="Comma 27 14 3" xfId="6447"/>
    <cellStyle name="Comma 27 14 30" xfId="19095"/>
    <cellStyle name="Comma 27 14 31" xfId="19096"/>
    <cellStyle name="Comma 27 14 32" xfId="19097"/>
    <cellStyle name="Comma 27 14 33" xfId="19098"/>
    <cellStyle name="Comma 27 14 34" xfId="19099"/>
    <cellStyle name="Comma 27 14 35" xfId="19100"/>
    <cellStyle name="Comma 27 14 4" xfId="6448"/>
    <cellStyle name="Comma 27 14 5" xfId="6449"/>
    <cellStyle name="Comma 27 14 6" xfId="6450"/>
    <cellStyle name="Comma 27 14 7" xfId="6451"/>
    <cellStyle name="Comma 27 14 8" xfId="6452"/>
    <cellStyle name="Comma 27 14 9" xfId="6453"/>
    <cellStyle name="Comma 27 15" xfId="286"/>
    <cellStyle name="Comma 27 16" xfId="1409"/>
    <cellStyle name="Comma 27 17" xfId="1566"/>
    <cellStyle name="Comma 27 18" xfId="1619"/>
    <cellStyle name="Comma 27 19" xfId="1671"/>
    <cellStyle name="Comma 27 2" xfId="287"/>
    <cellStyle name="Comma 27 2 10" xfId="6454"/>
    <cellStyle name="Comma 27 2 11" xfId="6455"/>
    <cellStyle name="Comma 27 2 12" xfId="6456"/>
    <cellStyle name="Comma 27 2 13" xfId="6457"/>
    <cellStyle name="Comma 27 2 14" xfId="6458"/>
    <cellStyle name="Comma 27 2 15" xfId="6459"/>
    <cellStyle name="Comma 27 2 16" xfId="6460"/>
    <cellStyle name="Comma 27 2 17" xfId="6461"/>
    <cellStyle name="Comma 27 2 18" xfId="6462"/>
    <cellStyle name="Comma 27 2 19" xfId="6463"/>
    <cellStyle name="Comma 27 2 2" xfId="6464"/>
    <cellStyle name="Comma 27 2 20" xfId="6465"/>
    <cellStyle name="Comma 27 2 21" xfId="6466"/>
    <cellStyle name="Comma 27 2 22" xfId="6467"/>
    <cellStyle name="Comma 27 2 23" xfId="19101"/>
    <cellStyle name="Comma 27 2 24" xfId="19102"/>
    <cellStyle name="Comma 27 2 25" xfId="19103"/>
    <cellStyle name="Comma 27 2 26" xfId="19104"/>
    <cellStyle name="Comma 27 2 27" xfId="19105"/>
    <cellStyle name="Comma 27 2 28" xfId="19106"/>
    <cellStyle name="Comma 27 2 29" xfId="19107"/>
    <cellStyle name="Comma 27 2 3" xfId="6468"/>
    <cellStyle name="Comma 27 2 30" xfId="19108"/>
    <cellStyle name="Comma 27 2 31" xfId="19109"/>
    <cellStyle name="Comma 27 2 32" xfId="19110"/>
    <cellStyle name="Comma 27 2 33" xfId="19111"/>
    <cellStyle name="Comma 27 2 34" xfId="19112"/>
    <cellStyle name="Comma 27 2 35" xfId="19113"/>
    <cellStyle name="Comma 27 2 4" xfId="6469"/>
    <cellStyle name="Comma 27 2 5" xfId="6470"/>
    <cellStyle name="Comma 27 2 6" xfId="6471"/>
    <cellStyle name="Comma 27 2 7" xfId="6472"/>
    <cellStyle name="Comma 27 2 8" xfId="6473"/>
    <cellStyle name="Comma 27 2 9" xfId="6474"/>
    <cellStyle name="Comma 27 20" xfId="1711"/>
    <cellStyle name="Comma 27 21" xfId="1834"/>
    <cellStyle name="Comma 27 22" xfId="2110"/>
    <cellStyle name="Comma 27 23" xfId="2608"/>
    <cellStyle name="Comma 27 24" xfId="2189"/>
    <cellStyle name="Comma 27 25" xfId="2954"/>
    <cellStyle name="Comma 27 26" xfId="3032"/>
    <cellStyle name="Comma 27 27" xfId="3095"/>
    <cellStyle name="Comma 27 28" xfId="2925"/>
    <cellStyle name="Comma 27 29" xfId="6475"/>
    <cellStyle name="Comma 27 3" xfId="288"/>
    <cellStyle name="Comma 27 3 10" xfId="6476"/>
    <cellStyle name="Comma 27 3 11" xfId="6477"/>
    <cellStyle name="Comma 27 3 12" xfId="6478"/>
    <cellStyle name="Comma 27 3 13" xfId="6479"/>
    <cellStyle name="Comma 27 3 14" xfId="6480"/>
    <cellStyle name="Comma 27 3 15" xfId="6481"/>
    <cellStyle name="Comma 27 3 16" xfId="6482"/>
    <cellStyle name="Comma 27 3 17" xfId="6483"/>
    <cellStyle name="Comma 27 3 18" xfId="6484"/>
    <cellStyle name="Comma 27 3 19" xfId="6485"/>
    <cellStyle name="Comma 27 3 2" xfId="6486"/>
    <cellStyle name="Comma 27 3 20" xfId="6487"/>
    <cellStyle name="Comma 27 3 21" xfId="6488"/>
    <cellStyle name="Comma 27 3 22" xfId="6489"/>
    <cellStyle name="Comma 27 3 23" xfId="19114"/>
    <cellStyle name="Comma 27 3 24" xfId="19115"/>
    <cellStyle name="Comma 27 3 25" xfId="19116"/>
    <cellStyle name="Comma 27 3 26" xfId="19117"/>
    <cellStyle name="Comma 27 3 27" xfId="19118"/>
    <cellStyle name="Comma 27 3 28" xfId="19119"/>
    <cellStyle name="Comma 27 3 29" xfId="19120"/>
    <cellStyle name="Comma 27 3 3" xfId="6490"/>
    <cellStyle name="Comma 27 3 30" xfId="19121"/>
    <cellStyle name="Comma 27 3 31" xfId="19122"/>
    <cellStyle name="Comma 27 3 32" xfId="19123"/>
    <cellStyle name="Comma 27 3 33" xfId="19124"/>
    <cellStyle name="Comma 27 3 34" xfId="19125"/>
    <cellStyle name="Comma 27 3 35" xfId="19126"/>
    <cellStyle name="Comma 27 3 4" xfId="6491"/>
    <cellStyle name="Comma 27 3 5" xfId="6492"/>
    <cellStyle name="Comma 27 3 6" xfId="6493"/>
    <cellStyle name="Comma 27 3 7" xfId="6494"/>
    <cellStyle name="Comma 27 3 8" xfId="6495"/>
    <cellStyle name="Comma 27 3 9" xfId="6496"/>
    <cellStyle name="Comma 27 30" xfId="6497"/>
    <cellStyle name="Comma 27 31" xfId="6498"/>
    <cellStyle name="Comma 27 32" xfId="6499"/>
    <cellStyle name="Comma 27 33" xfId="6500"/>
    <cellStyle name="Comma 27 34" xfId="6501"/>
    <cellStyle name="Comma 27 35" xfId="6502"/>
    <cellStyle name="Comma 27 36" xfId="6503"/>
    <cellStyle name="Comma 27 37" xfId="6504"/>
    <cellStyle name="Comma 27 38" xfId="19127"/>
    <cellStyle name="Comma 27 39" xfId="19128"/>
    <cellStyle name="Comma 27 4" xfId="289"/>
    <cellStyle name="Comma 27 4 10" xfId="6505"/>
    <cellStyle name="Comma 27 4 11" xfId="6506"/>
    <cellStyle name="Comma 27 4 12" xfId="6507"/>
    <cellStyle name="Comma 27 4 13" xfId="6508"/>
    <cellStyle name="Comma 27 4 14" xfId="6509"/>
    <cellStyle name="Comma 27 4 15" xfId="6510"/>
    <cellStyle name="Comma 27 4 16" xfId="6511"/>
    <cellStyle name="Comma 27 4 17" xfId="6512"/>
    <cellStyle name="Comma 27 4 18" xfId="6513"/>
    <cellStyle name="Comma 27 4 19" xfId="6514"/>
    <cellStyle name="Comma 27 4 2" xfId="6515"/>
    <cellStyle name="Comma 27 4 20" xfId="6516"/>
    <cellStyle name="Comma 27 4 21" xfId="6517"/>
    <cellStyle name="Comma 27 4 22" xfId="6518"/>
    <cellStyle name="Comma 27 4 23" xfId="19129"/>
    <cellStyle name="Comma 27 4 24" xfId="19130"/>
    <cellStyle name="Comma 27 4 25" xfId="19131"/>
    <cellStyle name="Comma 27 4 26" xfId="19132"/>
    <cellStyle name="Comma 27 4 27" xfId="19133"/>
    <cellStyle name="Comma 27 4 28" xfId="19134"/>
    <cellStyle name="Comma 27 4 29" xfId="19135"/>
    <cellStyle name="Comma 27 4 3" xfId="6519"/>
    <cellStyle name="Comma 27 4 30" xfId="19136"/>
    <cellStyle name="Comma 27 4 31" xfId="19137"/>
    <cellStyle name="Comma 27 4 32" xfId="19138"/>
    <cellStyle name="Comma 27 4 33" xfId="19139"/>
    <cellStyle name="Comma 27 4 34" xfId="19140"/>
    <cellStyle name="Comma 27 4 35" xfId="19141"/>
    <cellStyle name="Comma 27 4 4" xfId="6520"/>
    <cellStyle name="Comma 27 4 5" xfId="6521"/>
    <cellStyle name="Comma 27 4 6" xfId="6522"/>
    <cellStyle name="Comma 27 4 7" xfId="6523"/>
    <cellStyle name="Comma 27 4 8" xfId="6524"/>
    <cellStyle name="Comma 27 4 9" xfId="6525"/>
    <cellStyle name="Comma 27 40" xfId="19142"/>
    <cellStyle name="Comma 27 41" xfId="19143"/>
    <cellStyle name="Comma 27 42" xfId="19144"/>
    <cellStyle name="Comma 27 43" xfId="19145"/>
    <cellStyle name="Comma 27 44" xfId="19146"/>
    <cellStyle name="Comma 27 45" xfId="19147"/>
    <cellStyle name="Comma 27 46" xfId="19148"/>
    <cellStyle name="Comma 27 47" xfId="19149"/>
    <cellStyle name="Comma 27 48" xfId="19150"/>
    <cellStyle name="Comma 27 49" xfId="19151"/>
    <cellStyle name="Comma 27 5" xfId="290"/>
    <cellStyle name="Comma 27 5 10" xfId="6526"/>
    <cellStyle name="Comma 27 5 11" xfId="6527"/>
    <cellStyle name="Comma 27 5 12" xfId="6528"/>
    <cellStyle name="Comma 27 5 13" xfId="6529"/>
    <cellStyle name="Comma 27 5 14" xfId="6530"/>
    <cellStyle name="Comma 27 5 15" xfId="6531"/>
    <cellStyle name="Comma 27 5 16" xfId="6532"/>
    <cellStyle name="Comma 27 5 17" xfId="6533"/>
    <cellStyle name="Comma 27 5 18" xfId="6534"/>
    <cellStyle name="Comma 27 5 19" xfId="6535"/>
    <cellStyle name="Comma 27 5 2" xfId="6536"/>
    <cellStyle name="Comma 27 5 20" xfId="6537"/>
    <cellStyle name="Comma 27 5 21" xfId="6538"/>
    <cellStyle name="Comma 27 5 22" xfId="6539"/>
    <cellStyle name="Comma 27 5 23" xfId="19152"/>
    <cellStyle name="Comma 27 5 24" xfId="19153"/>
    <cellStyle name="Comma 27 5 25" xfId="19154"/>
    <cellStyle name="Comma 27 5 26" xfId="19155"/>
    <cellStyle name="Comma 27 5 27" xfId="19156"/>
    <cellStyle name="Comma 27 5 28" xfId="19157"/>
    <cellStyle name="Comma 27 5 29" xfId="19158"/>
    <cellStyle name="Comma 27 5 3" xfId="6540"/>
    <cellStyle name="Comma 27 5 30" xfId="19159"/>
    <cellStyle name="Comma 27 5 31" xfId="19160"/>
    <cellStyle name="Comma 27 5 32" xfId="19161"/>
    <cellStyle name="Comma 27 5 33" xfId="19162"/>
    <cellStyle name="Comma 27 5 34" xfId="19163"/>
    <cellStyle name="Comma 27 5 35" xfId="19164"/>
    <cellStyle name="Comma 27 5 4" xfId="6541"/>
    <cellStyle name="Comma 27 5 5" xfId="6542"/>
    <cellStyle name="Comma 27 5 6" xfId="6543"/>
    <cellStyle name="Comma 27 5 7" xfId="6544"/>
    <cellStyle name="Comma 27 5 8" xfId="6545"/>
    <cellStyle name="Comma 27 5 9" xfId="6546"/>
    <cellStyle name="Comma 27 50" xfId="19165"/>
    <cellStyle name="Comma 27 6" xfId="291"/>
    <cellStyle name="Comma 27 6 10" xfId="6547"/>
    <cellStyle name="Comma 27 6 11" xfId="6548"/>
    <cellStyle name="Comma 27 6 12" xfId="6549"/>
    <cellStyle name="Comma 27 6 13" xfId="6550"/>
    <cellStyle name="Comma 27 6 14" xfId="6551"/>
    <cellStyle name="Comma 27 6 15" xfId="6552"/>
    <cellStyle name="Comma 27 6 16" xfId="6553"/>
    <cellStyle name="Comma 27 6 17" xfId="6554"/>
    <cellStyle name="Comma 27 6 18" xfId="6555"/>
    <cellStyle name="Comma 27 6 19" xfId="6556"/>
    <cellStyle name="Comma 27 6 2" xfId="6557"/>
    <cellStyle name="Comma 27 6 20" xfId="6558"/>
    <cellStyle name="Comma 27 6 21" xfId="6559"/>
    <cellStyle name="Comma 27 6 22" xfId="6560"/>
    <cellStyle name="Comma 27 6 23" xfId="19166"/>
    <cellStyle name="Comma 27 6 24" xfId="19167"/>
    <cellStyle name="Comma 27 6 25" xfId="19168"/>
    <cellStyle name="Comma 27 6 26" xfId="19169"/>
    <cellStyle name="Comma 27 6 27" xfId="19170"/>
    <cellStyle name="Comma 27 6 28" xfId="19171"/>
    <cellStyle name="Comma 27 6 29" xfId="19172"/>
    <cellStyle name="Comma 27 6 3" xfId="6561"/>
    <cellStyle name="Comma 27 6 30" xfId="19173"/>
    <cellStyle name="Comma 27 6 31" xfId="19174"/>
    <cellStyle name="Comma 27 6 32" xfId="19175"/>
    <cellStyle name="Comma 27 6 33" xfId="19176"/>
    <cellStyle name="Comma 27 6 34" xfId="19177"/>
    <cellStyle name="Comma 27 6 35" xfId="19178"/>
    <cellStyle name="Comma 27 6 4" xfId="6562"/>
    <cellStyle name="Comma 27 6 5" xfId="6563"/>
    <cellStyle name="Comma 27 6 6" xfId="6564"/>
    <cellStyle name="Comma 27 6 7" xfId="6565"/>
    <cellStyle name="Comma 27 6 8" xfId="6566"/>
    <cellStyle name="Comma 27 6 9" xfId="6567"/>
    <cellStyle name="Comma 27 7" xfId="292"/>
    <cellStyle name="Comma 27 7 10" xfId="6568"/>
    <cellStyle name="Comma 27 7 11" xfId="6569"/>
    <cellStyle name="Comma 27 7 12" xfId="6570"/>
    <cellStyle name="Comma 27 7 13" xfId="6571"/>
    <cellStyle name="Comma 27 7 14" xfId="6572"/>
    <cellStyle name="Comma 27 7 15" xfId="6573"/>
    <cellStyle name="Comma 27 7 16" xfId="6574"/>
    <cellStyle name="Comma 27 7 17" xfId="6575"/>
    <cellStyle name="Comma 27 7 18" xfId="6576"/>
    <cellStyle name="Comma 27 7 19" xfId="6577"/>
    <cellStyle name="Comma 27 7 2" xfId="6578"/>
    <cellStyle name="Comma 27 7 20" xfId="6579"/>
    <cellStyle name="Comma 27 7 21" xfId="6580"/>
    <cellStyle name="Comma 27 7 22" xfId="6581"/>
    <cellStyle name="Comma 27 7 23" xfId="19179"/>
    <cellStyle name="Comma 27 7 24" xfId="19180"/>
    <cellStyle name="Comma 27 7 25" xfId="19181"/>
    <cellStyle name="Comma 27 7 26" xfId="19182"/>
    <cellStyle name="Comma 27 7 27" xfId="19183"/>
    <cellStyle name="Comma 27 7 28" xfId="19184"/>
    <cellStyle name="Comma 27 7 29" xfId="19185"/>
    <cellStyle name="Comma 27 7 3" xfId="6582"/>
    <cellStyle name="Comma 27 7 30" xfId="19186"/>
    <cellStyle name="Comma 27 7 31" xfId="19187"/>
    <cellStyle name="Comma 27 7 32" xfId="19188"/>
    <cellStyle name="Comma 27 7 33" xfId="19189"/>
    <cellStyle name="Comma 27 7 34" xfId="19190"/>
    <cellStyle name="Comma 27 7 35" xfId="19191"/>
    <cellStyle name="Comma 27 7 4" xfId="6583"/>
    <cellStyle name="Comma 27 7 5" xfId="6584"/>
    <cellStyle name="Comma 27 7 6" xfId="6585"/>
    <cellStyle name="Comma 27 7 7" xfId="6586"/>
    <cellStyle name="Comma 27 7 8" xfId="6587"/>
    <cellStyle name="Comma 27 7 9" xfId="6588"/>
    <cellStyle name="Comma 27 8" xfId="293"/>
    <cellStyle name="Comma 27 8 10" xfId="6589"/>
    <cellStyle name="Comma 27 8 11" xfId="6590"/>
    <cellStyle name="Comma 27 8 12" xfId="6591"/>
    <cellStyle name="Comma 27 8 13" xfId="6592"/>
    <cellStyle name="Comma 27 8 14" xfId="6593"/>
    <cellStyle name="Comma 27 8 15" xfId="6594"/>
    <cellStyle name="Comma 27 8 16" xfId="6595"/>
    <cellStyle name="Comma 27 8 17" xfId="6596"/>
    <cellStyle name="Comma 27 8 18" xfId="6597"/>
    <cellStyle name="Comma 27 8 19" xfId="6598"/>
    <cellStyle name="Comma 27 8 2" xfId="6599"/>
    <cellStyle name="Comma 27 8 20" xfId="6600"/>
    <cellStyle name="Comma 27 8 21" xfId="6601"/>
    <cellStyle name="Comma 27 8 22" xfId="6602"/>
    <cellStyle name="Comma 27 8 23" xfId="19192"/>
    <cellStyle name="Comma 27 8 24" xfId="19193"/>
    <cellStyle name="Comma 27 8 25" xfId="19194"/>
    <cellStyle name="Comma 27 8 26" xfId="19195"/>
    <cellStyle name="Comma 27 8 27" xfId="19196"/>
    <cellStyle name="Comma 27 8 28" xfId="19197"/>
    <cellStyle name="Comma 27 8 29" xfId="19198"/>
    <cellStyle name="Comma 27 8 3" xfId="6603"/>
    <cellStyle name="Comma 27 8 30" xfId="19199"/>
    <cellStyle name="Comma 27 8 31" xfId="19200"/>
    <cellStyle name="Comma 27 8 32" xfId="19201"/>
    <cellStyle name="Comma 27 8 33" xfId="19202"/>
    <cellStyle name="Comma 27 8 34" xfId="19203"/>
    <cellStyle name="Comma 27 8 35" xfId="19204"/>
    <cellStyle name="Comma 27 8 4" xfId="6604"/>
    <cellStyle name="Comma 27 8 5" xfId="6605"/>
    <cellStyle name="Comma 27 8 6" xfId="6606"/>
    <cellStyle name="Comma 27 8 7" xfId="6607"/>
    <cellStyle name="Comma 27 8 8" xfId="6608"/>
    <cellStyle name="Comma 27 8 9" xfId="6609"/>
    <cellStyle name="Comma 27 9" xfId="294"/>
    <cellStyle name="Comma 27 9 10" xfId="6610"/>
    <cellStyle name="Comma 27 9 11" xfId="6611"/>
    <cellStyle name="Comma 27 9 12" xfId="6612"/>
    <cellStyle name="Comma 27 9 13" xfId="6613"/>
    <cellStyle name="Comma 27 9 14" xfId="6614"/>
    <cellStyle name="Comma 27 9 15" xfId="6615"/>
    <cellStyle name="Comma 27 9 16" xfId="6616"/>
    <cellStyle name="Comma 27 9 17" xfId="6617"/>
    <cellStyle name="Comma 27 9 18" xfId="6618"/>
    <cellStyle name="Comma 27 9 19" xfId="6619"/>
    <cellStyle name="Comma 27 9 2" xfId="6620"/>
    <cellStyle name="Comma 27 9 20" xfId="6621"/>
    <cellStyle name="Comma 27 9 21" xfId="6622"/>
    <cellStyle name="Comma 27 9 22" xfId="6623"/>
    <cellStyle name="Comma 27 9 23" xfId="19205"/>
    <cellStyle name="Comma 27 9 24" xfId="19206"/>
    <cellStyle name="Comma 27 9 25" xfId="19207"/>
    <cellStyle name="Comma 27 9 26" xfId="19208"/>
    <cellStyle name="Comma 27 9 27" xfId="19209"/>
    <cellStyle name="Comma 27 9 28" xfId="19210"/>
    <cellStyle name="Comma 27 9 29" xfId="19211"/>
    <cellStyle name="Comma 27 9 3" xfId="6624"/>
    <cellStyle name="Comma 27 9 30" xfId="19212"/>
    <cellStyle name="Comma 27 9 31" xfId="19213"/>
    <cellStyle name="Comma 27 9 32" xfId="19214"/>
    <cellStyle name="Comma 27 9 33" xfId="19215"/>
    <cellStyle name="Comma 27 9 34" xfId="19216"/>
    <cellStyle name="Comma 27 9 35" xfId="19217"/>
    <cellStyle name="Comma 27 9 4" xfId="6625"/>
    <cellStyle name="Comma 27 9 5" xfId="6626"/>
    <cellStyle name="Comma 27 9 6" xfId="6627"/>
    <cellStyle name="Comma 27 9 7" xfId="6628"/>
    <cellStyle name="Comma 27 9 8" xfId="6629"/>
    <cellStyle name="Comma 27 9 9" xfId="6630"/>
    <cellStyle name="Comma 28" xfId="24"/>
    <cellStyle name="Comma 28 10" xfId="295"/>
    <cellStyle name="Comma 28 10 10" xfId="6631"/>
    <cellStyle name="Comma 28 10 11" xfId="6632"/>
    <cellStyle name="Comma 28 10 12" xfId="6633"/>
    <cellStyle name="Comma 28 10 13" xfId="6634"/>
    <cellStyle name="Comma 28 10 14" xfId="6635"/>
    <cellStyle name="Comma 28 10 15" xfId="6636"/>
    <cellStyle name="Comma 28 10 16" xfId="6637"/>
    <cellStyle name="Comma 28 10 17" xfId="6638"/>
    <cellStyle name="Comma 28 10 18" xfId="6639"/>
    <cellStyle name="Comma 28 10 19" xfId="6640"/>
    <cellStyle name="Comma 28 10 2" xfId="6641"/>
    <cellStyle name="Comma 28 10 20" xfId="6642"/>
    <cellStyle name="Comma 28 10 21" xfId="6643"/>
    <cellStyle name="Comma 28 10 22" xfId="6644"/>
    <cellStyle name="Comma 28 10 23" xfId="19218"/>
    <cellStyle name="Comma 28 10 24" xfId="19219"/>
    <cellStyle name="Comma 28 10 25" xfId="19220"/>
    <cellStyle name="Comma 28 10 26" xfId="19221"/>
    <cellStyle name="Comma 28 10 27" xfId="19222"/>
    <cellStyle name="Comma 28 10 28" xfId="19223"/>
    <cellStyle name="Comma 28 10 29" xfId="19224"/>
    <cellStyle name="Comma 28 10 3" xfId="6645"/>
    <cellStyle name="Comma 28 10 30" xfId="19225"/>
    <cellStyle name="Comma 28 10 31" xfId="19226"/>
    <cellStyle name="Comma 28 10 32" xfId="19227"/>
    <cellStyle name="Comma 28 10 33" xfId="19228"/>
    <cellStyle name="Comma 28 10 34" xfId="19229"/>
    <cellStyle name="Comma 28 10 35" xfId="19230"/>
    <cellStyle name="Comma 28 10 4" xfId="6646"/>
    <cellStyle name="Comma 28 10 5" xfId="6647"/>
    <cellStyle name="Comma 28 10 6" xfId="6648"/>
    <cellStyle name="Comma 28 10 7" xfId="6649"/>
    <cellStyle name="Comma 28 10 8" xfId="6650"/>
    <cellStyle name="Comma 28 10 9" xfId="6651"/>
    <cellStyle name="Comma 28 11" xfId="296"/>
    <cellStyle name="Comma 28 11 10" xfId="6652"/>
    <cellStyle name="Comma 28 11 11" xfId="6653"/>
    <cellStyle name="Comma 28 11 12" xfId="6654"/>
    <cellStyle name="Comma 28 11 13" xfId="6655"/>
    <cellStyle name="Comma 28 11 14" xfId="6656"/>
    <cellStyle name="Comma 28 11 15" xfId="6657"/>
    <cellStyle name="Comma 28 11 16" xfId="6658"/>
    <cellStyle name="Comma 28 11 17" xfId="6659"/>
    <cellStyle name="Comma 28 11 18" xfId="6660"/>
    <cellStyle name="Comma 28 11 19" xfId="6661"/>
    <cellStyle name="Comma 28 11 2" xfId="6662"/>
    <cellStyle name="Comma 28 11 20" xfId="6663"/>
    <cellStyle name="Comma 28 11 21" xfId="6664"/>
    <cellStyle name="Comma 28 11 22" xfId="6665"/>
    <cellStyle name="Comma 28 11 23" xfId="19231"/>
    <cellStyle name="Comma 28 11 24" xfId="19232"/>
    <cellStyle name="Comma 28 11 25" xfId="19233"/>
    <cellStyle name="Comma 28 11 26" xfId="19234"/>
    <cellStyle name="Comma 28 11 27" xfId="19235"/>
    <cellStyle name="Comma 28 11 28" xfId="19236"/>
    <cellStyle name="Comma 28 11 29" xfId="19237"/>
    <cellStyle name="Comma 28 11 3" xfId="6666"/>
    <cellStyle name="Comma 28 11 30" xfId="19238"/>
    <cellStyle name="Comma 28 11 31" xfId="19239"/>
    <cellStyle name="Comma 28 11 32" xfId="19240"/>
    <cellStyle name="Comma 28 11 33" xfId="19241"/>
    <cellStyle name="Comma 28 11 34" xfId="19242"/>
    <cellStyle name="Comma 28 11 35" xfId="19243"/>
    <cellStyle name="Comma 28 11 4" xfId="6667"/>
    <cellStyle name="Comma 28 11 5" xfId="6668"/>
    <cellStyle name="Comma 28 11 6" xfId="6669"/>
    <cellStyle name="Comma 28 11 7" xfId="6670"/>
    <cellStyle name="Comma 28 11 8" xfId="6671"/>
    <cellStyle name="Comma 28 11 9" xfId="6672"/>
    <cellStyle name="Comma 28 12" xfId="297"/>
    <cellStyle name="Comma 28 12 10" xfId="6673"/>
    <cellStyle name="Comma 28 12 11" xfId="6674"/>
    <cellStyle name="Comma 28 12 12" xfId="6675"/>
    <cellStyle name="Comma 28 12 13" xfId="6676"/>
    <cellStyle name="Comma 28 12 14" xfId="6677"/>
    <cellStyle name="Comma 28 12 15" xfId="6678"/>
    <cellStyle name="Comma 28 12 16" xfId="6679"/>
    <cellStyle name="Comma 28 12 17" xfId="6680"/>
    <cellStyle name="Comma 28 12 18" xfId="6681"/>
    <cellStyle name="Comma 28 12 19" xfId="6682"/>
    <cellStyle name="Comma 28 12 2" xfId="6683"/>
    <cellStyle name="Comma 28 12 20" xfId="6684"/>
    <cellStyle name="Comma 28 12 21" xfId="6685"/>
    <cellStyle name="Comma 28 12 22" xfId="6686"/>
    <cellStyle name="Comma 28 12 23" xfId="19244"/>
    <cellStyle name="Comma 28 12 24" xfId="19245"/>
    <cellStyle name="Comma 28 12 25" xfId="19246"/>
    <cellStyle name="Comma 28 12 26" xfId="19247"/>
    <cellStyle name="Comma 28 12 27" xfId="19248"/>
    <cellStyle name="Comma 28 12 28" xfId="19249"/>
    <cellStyle name="Comma 28 12 29" xfId="19250"/>
    <cellStyle name="Comma 28 12 3" xfId="6687"/>
    <cellStyle name="Comma 28 12 30" xfId="19251"/>
    <cellStyle name="Comma 28 12 31" xfId="19252"/>
    <cellStyle name="Comma 28 12 32" xfId="19253"/>
    <cellStyle name="Comma 28 12 33" xfId="19254"/>
    <cellStyle name="Comma 28 12 34" xfId="19255"/>
    <cellStyle name="Comma 28 12 35" xfId="19256"/>
    <cellStyle name="Comma 28 12 4" xfId="6688"/>
    <cellStyle name="Comma 28 12 5" xfId="6689"/>
    <cellStyle name="Comma 28 12 6" xfId="6690"/>
    <cellStyle name="Comma 28 12 7" xfId="6691"/>
    <cellStyle name="Comma 28 12 8" xfId="6692"/>
    <cellStyle name="Comma 28 12 9" xfId="6693"/>
    <cellStyle name="Comma 28 13" xfId="298"/>
    <cellStyle name="Comma 28 13 10" xfId="6694"/>
    <cellStyle name="Comma 28 13 11" xfId="6695"/>
    <cellStyle name="Comma 28 13 12" xfId="6696"/>
    <cellStyle name="Comma 28 13 13" xfId="6697"/>
    <cellStyle name="Comma 28 13 14" xfId="6698"/>
    <cellStyle name="Comma 28 13 15" xfId="6699"/>
    <cellStyle name="Comma 28 13 16" xfId="6700"/>
    <cellStyle name="Comma 28 13 17" xfId="6701"/>
    <cellStyle name="Comma 28 13 18" xfId="6702"/>
    <cellStyle name="Comma 28 13 19" xfId="6703"/>
    <cellStyle name="Comma 28 13 2" xfId="6704"/>
    <cellStyle name="Comma 28 13 20" xfId="6705"/>
    <cellStyle name="Comma 28 13 21" xfId="6706"/>
    <cellStyle name="Comma 28 13 22" xfId="6707"/>
    <cellStyle name="Comma 28 13 23" xfId="19257"/>
    <cellStyle name="Comma 28 13 24" xfId="19258"/>
    <cellStyle name="Comma 28 13 25" xfId="19259"/>
    <cellStyle name="Comma 28 13 26" xfId="19260"/>
    <cellStyle name="Comma 28 13 27" xfId="19261"/>
    <cellStyle name="Comma 28 13 28" xfId="19262"/>
    <cellStyle name="Comma 28 13 29" xfId="19263"/>
    <cellStyle name="Comma 28 13 3" xfId="6708"/>
    <cellStyle name="Comma 28 13 30" xfId="19264"/>
    <cellStyle name="Comma 28 13 31" xfId="19265"/>
    <cellStyle name="Comma 28 13 32" xfId="19266"/>
    <cellStyle name="Comma 28 13 33" xfId="19267"/>
    <cellStyle name="Comma 28 13 34" xfId="19268"/>
    <cellStyle name="Comma 28 13 35" xfId="19269"/>
    <cellStyle name="Comma 28 13 4" xfId="6709"/>
    <cellStyle name="Comma 28 13 5" xfId="6710"/>
    <cellStyle name="Comma 28 13 6" xfId="6711"/>
    <cellStyle name="Comma 28 13 7" xfId="6712"/>
    <cellStyle name="Comma 28 13 8" xfId="6713"/>
    <cellStyle name="Comma 28 13 9" xfId="6714"/>
    <cellStyle name="Comma 28 14" xfId="299"/>
    <cellStyle name="Comma 28 14 10" xfId="6715"/>
    <cellStyle name="Comma 28 14 11" xfId="6716"/>
    <cellStyle name="Comma 28 14 12" xfId="6717"/>
    <cellStyle name="Comma 28 14 13" xfId="6718"/>
    <cellStyle name="Comma 28 14 14" xfId="6719"/>
    <cellStyle name="Comma 28 14 15" xfId="6720"/>
    <cellStyle name="Comma 28 14 16" xfId="6721"/>
    <cellStyle name="Comma 28 14 17" xfId="6722"/>
    <cellStyle name="Comma 28 14 18" xfId="6723"/>
    <cellStyle name="Comma 28 14 19" xfId="6724"/>
    <cellStyle name="Comma 28 14 2" xfId="6725"/>
    <cellStyle name="Comma 28 14 20" xfId="6726"/>
    <cellStyle name="Comma 28 14 21" xfId="6727"/>
    <cellStyle name="Comma 28 14 22" xfId="6728"/>
    <cellStyle name="Comma 28 14 23" xfId="19270"/>
    <cellStyle name="Comma 28 14 24" xfId="19271"/>
    <cellStyle name="Comma 28 14 25" xfId="19272"/>
    <cellStyle name="Comma 28 14 26" xfId="19273"/>
    <cellStyle name="Comma 28 14 27" xfId="19274"/>
    <cellStyle name="Comma 28 14 28" xfId="19275"/>
    <cellStyle name="Comma 28 14 29" xfId="19276"/>
    <cellStyle name="Comma 28 14 3" xfId="6729"/>
    <cellStyle name="Comma 28 14 30" xfId="19277"/>
    <cellStyle name="Comma 28 14 31" xfId="19278"/>
    <cellStyle name="Comma 28 14 32" xfId="19279"/>
    <cellStyle name="Comma 28 14 33" xfId="19280"/>
    <cellStyle name="Comma 28 14 34" xfId="19281"/>
    <cellStyle name="Comma 28 14 35" xfId="19282"/>
    <cellStyle name="Comma 28 14 4" xfId="6730"/>
    <cellStyle name="Comma 28 14 5" xfId="6731"/>
    <cellStyle name="Comma 28 14 6" xfId="6732"/>
    <cellStyle name="Comma 28 14 7" xfId="6733"/>
    <cellStyle name="Comma 28 14 8" xfId="6734"/>
    <cellStyle name="Comma 28 14 9" xfId="6735"/>
    <cellStyle name="Comma 28 15" xfId="300"/>
    <cellStyle name="Comma 28 16" xfId="1410"/>
    <cellStyle name="Comma 28 17" xfId="1565"/>
    <cellStyle name="Comma 28 18" xfId="1618"/>
    <cellStyle name="Comma 28 19" xfId="1670"/>
    <cellStyle name="Comma 28 2" xfId="301"/>
    <cellStyle name="Comma 28 2 10" xfId="6736"/>
    <cellStyle name="Comma 28 2 11" xfId="6737"/>
    <cellStyle name="Comma 28 2 12" xfId="6738"/>
    <cellStyle name="Comma 28 2 13" xfId="6739"/>
    <cellStyle name="Comma 28 2 14" xfId="6740"/>
    <cellStyle name="Comma 28 2 15" xfId="6741"/>
    <cellStyle name="Comma 28 2 16" xfId="6742"/>
    <cellStyle name="Comma 28 2 17" xfId="6743"/>
    <cellStyle name="Comma 28 2 18" xfId="6744"/>
    <cellStyle name="Comma 28 2 19" xfId="6745"/>
    <cellStyle name="Comma 28 2 2" xfId="6746"/>
    <cellStyle name="Comma 28 2 20" xfId="6747"/>
    <cellStyle name="Comma 28 2 21" xfId="6748"/>
    <cellStyle name="Comma 28 2 22" xfId="6749"/>
    <cellStyle name="Comma 28 2 23" xfId="19283"/>
    <cellStyle name="Comma 28 2 24" xfId="19284"/>
    <cellStyle name="Comma 28 2 25" xfId="19285"/>
    <cellStyle name="Comma 28 2 26" xfId="19286"/>
    <cellStyle name="Comma 28 2 27" xfId="19287"/>
    <cellStyle name="Comma 28 2 28" xfId="19288"/>
    <cellStyle name="Comma 28 2 29" xfId="19289"/>
    <cellStyle name="Comma 28 2 3" xfId="6750"/>
    <cellStyle name="Comma 28 2 30" xfId="19290"/>
    <cellStyle name="Comma 28 2 31" xfId="19291"/>
    <cellStyle name="Comma 28 2 32" xfId="19292"/>
    <cellStyle name="Comma 28 2 33" xfId="19293"/>
    <cellStyle name="Comma 28 2 34" xfId="19294"/>
    <cellStyle name="Comma 28 2 35" xfId="19295"/>
    <cellStyle name="Comma 28 2 4" xfId="6751"/>
    <cellStyle name="Comma 28 2 5" xfId="6752"/>
    <cellStyle name="Comma 28 2 6" xfId="6753"/>
    <cellStyle name="Comma 28 2 7" xfId="6754"/>
    <cellStyle name="Comma 28 2 8" xfId="6755"/>
    <cellStyle name="Comma 28 2 9" xfId="6756"/>
    <cellStyle name="Comma 28 20" xfId="1712"/>
    <cellStyle name="Comma 28 21" xfId="1833"/>
    <cellStyle name="Comma 28 22" xfId="2111"/>
    <cellStyle name="Comma 28 23" xfId="2155"/>
    <cellStyle name="Comma 28 24" xfId="2606"/>
    <cellStyle name="Comma 28 25" xfId="2814"/>
    <cellStyle name="Comma 28 26" xfId="2655"/>
    <cellStyle name="Comma 28 27" xfId="2307"/>
    <cellStyle name="Comma 28 28" xfId="3187"/>
    <cellStyle name="Comma 28 29" xfId="6757"/>
    <cellStyle name="Comma 28 3" xfId="302"/>
    <cellStyle name="Comma 28 3 10" xfId="6758"/>
    <cellStyle name="Comma 28 3 11" xfId="6759"/>
    <cellStyle name="Comma 28 3 12" xfId="6760"/>
    <cellStyle name="Comma 28 3 13" xfId="6761"/>
    <cellStyle name="Comma 28 3 14" xfId="6762"/>
    <cellStyle name="Comma 28 3 15" xfId="6763"/>
    <cellStyle name="Comma 28 3 16" xfId="6764"/>
    <cellStyle name="Comma 28 3 17" xfId="6765"/>
    <cellStyle name="Comma 28 3 18" xfId="6766"/>
    <cellStyle name="Comma 28 3 19" xfId="6767"/>
    <cellStyle name="Comma 28 3 2" xfId="6768"/>
    <cellStyle name="Comma 28 3 20" xfId="6769"/>
    <cellStyle name="Comma 28 3 21" xfId="6770"/>
    <cellStyle name="Comma 28 3 22" xfId="6771"/>
    <cellStyle name="Comma 28 3 23" xfId="19296"/>
    <cellStyle name="Comma 28 3 24" xfId="19297"/>
    <cellStyle name="Comma 28 3 25" xfId="19298"/>
    <cellStyle name="Comma 28 3 26" xfId="19299"/>
    <cellStyle name="Comma 28 3 27" xfId="19300"/>
    <cellStyle name="Comma 28 3 28" xfId="19301"/>
    <cellStyle name="Comma 28 3 29" xfId="19302"/>
    <cellStyle name="Comma 28 3 3" xfId="6772"/>
    <cellStyle name="Comma 28 3 30" xfId="19303"/>
    <cellStyle name="Comma 28 3 31" xfId="19304"/>
    <cellStyle name="Comma 28 3 32" xfId="19305"/>
    <cellStyle name="Comma 28 3 33" xfId="19306"/>
    <cellStyle name="Comma 28 3 34" xfId="19307"/>
    <cellStyle name="Comma 28 3 35" xfId="19308"/>
    <cellStyle name="Comma 28 3 4" xfId="6773"/>
    <cellStyle name="Comma 28 3 5" xfId="6774"/>
    <cellStyle name="Comma 28 3 6" xfId="6775"/>
    <cellStyle name="Comma 28 3 7" xfId="6776"/>
    <cellStyle name="Comma 28 3 8" xfId="6777"/>
    <cellStyle name="Comma 28 3 9" xfId="6778"/>
    <cellStyle name="Comma 28 30" xfId="6779"/>
    <cellStyle name="Comma 28 31" xfId="6780"/>
    <cellStyle name="Comma 28 32" xfId="6781"/>
    <cellStyle name="Comma 28 33" xfId="6782"/>
    <cellStyle name="Comma 28 34" xfId="6783"/>
    <cellStyle name="Comma 28 35" xfId="6784"/>
    <cellStyle name="Comma 28 36" xfId="6785"/>
    <cellStyle name="Comma 28 37" xfId="6786"/>
    <cellStyle name="Comma 28 38" xfId="19309"/>
    <cellStyle name="Comma 28 39" xfId="19310"/>
    <cellStyle name="Comma 28 4" xfId="303"/>
    <cellStyle name="Comma 28 4 10" xfId="6787"/>
    <cellStyle name="Comma 28 4 11" xfId="6788"/>
    <cellStyle name="Comma 28 4 12" xfId="6789"/>
    <cellStyle name="Comma 28 4 13" xfId="6790"/>
    <cellStyle name="Comma 28 4 14" xfId="6791"/>
    <cellStyle name="Comma 28 4 15" xfId="6792"/>
    <cellStyle name="Comma 28 4 16" xfId="6793"/>
    <cellStyle name="Comma 28 4 17" xfId="6794"/>
    <cellStyle name="Comma 28 4 18" xfId="6795"/>
    <cellStyle name="Comma 28 4 19" xfId="6796"/>
    <cellStyle name="Comma 28 4 2" xfId="6797"/>
    <cellStyle name="Comma 28 4 20" xfId="6798"/>
    <cellStyle name="Comma 28 4 21" xfId="6799"/>
    <cellStyle name="Comma 28 4 22" xfId="6800"/>
    <cellStyle name="Comma 28 4 23" xfId="19311"/>
    <cellStyle name="Comma 28 4 24" xfId="19312"/>
    <cellStyle name="Comma 28 4 25" xfId="19313"/>
    <cellStyle name="Comma 28 4 26" xfId="19314"/>
    <cellStyle name="Comma 28 4 27" xfId="19315"/>
    <cellStyle name="Comma 28 4 28" xfId="19316"/>
    <cellStyle name="Comma 28 4 29" xfId="19317"/>
    <cellStyle name="Comma 28 4 3" xfId="6801"/>
    <cellStyle name="Comma 28 4 30" xfId="19318"/>
    <cellStyle name="Comma 28 4 31" xfId="19319"/>
    <cellStyle name="Comma 28 4 32" xfId="19320"/>
    <cellStyle name="Comma 28 4 33" xfId="19321"/>
    <cellStyle name="Comma 28 4 34" xfId="19322"/>
    <cellStyle name="Comma 28 4 35" xfId="19323"/>
    <cellStyle name="Comma 28 4 4" xfId="6802"/>
    <cellStyle name="Comma 28 4 5" xfId="6803"/>
    <cellStyle name="Comma 28 4 6" xfId="6804"/>
    <cellStyle name="Comma 28 4 7" xfId="6805"/>
    <cellStyle name="Comma 28 4 8" xfId="6806"/>
    <cellStyle name="Comma 28 4 9" xfId="6807"/>
    <cellStyle name="Comma 28 40" xfId="19324"/>
    <cellStyle name="Comma 28 41" xfId="19325"/>
    <cellStyle name="Comma 28 42" xfId="19326"/>
    <cellStyle name="Comma 28 43" xfId="19327"/>
    <cellStyle name="Comma 28 44" xfId="19328"/>
    <cellStyle name="Comma 28 45" xfId="19329"/>
    <cellStyle name="Comma 28 46" xfId="19330"/>
    <cellStyle name="Comma 28 47" xfId="19331"/>
    <cellStyle name="Comma 28 48" xfId="19332"/>
    <cellStyle name="Comma 28 49" xfId="19333"/>
    <cellStyle name="Comma 28 5" xfId="304"/>
    <cellStyle name="Comma 28 5 10" xfId="6808"/>
    <cellStyle name="Comma 28 5 11" xfId="6809"/>
    <cellStyle name="Comma 28 5 12" xfId="6810"/>
    <cellStyle name="Comma 28 5 13" xfId="6811"/>
    <cellStyle name="Comma 28 5 14" xfId="6812"/>
    <cellStyle name="Comma 28 5 15" xfId="6813"/>
    <cellStyle name="Comma 28 5 16" xfId="6814"/>
    <cellStyle name="Comma 28 5 17" xfId="6815"/>
    <cellStyle name="Comma 28 5 18" xfId="6816"/>
    <cellStyle name="Comma 28 5 19" xfId="6817"/>
    <cellStyle name="Comma 28 5 2" xfId="6818"/>
    <cellStyle name="Comma 28 5 20" xfId="6819"/>
    <cellStyle name="Comma 28 5 21" xfId="6820"/>
    <cellStyle name="Comma 28 5 22" xfId="6821"/>
    <cellStyle name="Comma 28 5 23" xfId="19334"/>
    <cellStyle name="Comma 28 5 24" xfId="19335"/>
    <cellStyle name="Comma 28 5 25" xfId="19336"/>
    <cellStyle name="Comma 28 5 26" xfId="19337"/>
    <cellStyle name="Comma 28 5 27" xfId="19338"/>
    <cellStyle name="Comma 28 5 28" xfId="19339"/>
    <cellStyle name="Comma 28 5 29" xfId="19340"/>
    <cellStyle name="Comma 28 5 3" xfId="6822"/>
    <cellStyle name="Comma 28 5 30" xfId="19341"/>
    <cellStyle name="Comma 28 5 31" xfId="19342"/>
    <cellStyle name="Comma 28 5 32" xfId="19343"/>
    <cellStyle name="Comma 28 5 33" xfId="19344"/>
    <cellStyle name="Comma 28 5 34" xfId="19345"/>
    <cellStyle name="Comma 28 5 35" xfId="19346"/>
    <cellStyle name="Comma 28 5 4" xfId="6823"/>
    <cellStyle name="Comma 28 5 5" xfId="6824"/>
    <cellStyle name="Comma 28 5 6" xfId="6825"/>
    <cellStyle name="Comma 28 5 7" xfId="6826"/>
    <cellStyle name="Comma 28 5 8" xfId="6827"/>
    <cellStyle name="Comma 28 5 9" xfId="6828"/>
    <cellStyle name="Comma 28 50" xfId="19347"/>
    <cellStyle name="Comma 28 6" xfId="305"/>
    <cellStyle name="Comma 28 6 10" xfId="6829"/>
    <cellStyle name="Comma 28 6 11" xfId="6830"/>
    <cellStyle name="Comma 28 6 12" xfId="6831"/>
    <cellStyle name="Comma 28 6 13" xfId="6832"/>
    <cellStyle name="Comma 28 6 14" xfId="6833"/>
    <cellStyle name="Comma 28 6 15" xfId="6834"/>
    <cellStyle name="Comma 28 6 16" xfId="6835"/>
    <cellStyle name="Comma 28 6 17" xfId="6836"/>
    <cellStyle name="Comma 28 6 18" xfId="6837"/>
    <cellStyle name="Comma 28 6 19" xfId="6838"/>
    <cellStyle name="Comma 28 6 2" xfId="6839"/>
    <cellStyle name="Comma 28 6 20" xfId="6840"/>
    <cellStyle name="Comma 28 6 21" xfId="6841"/>
    <cellStyle name="Comma 28 6 22" xfId="6842"/>
    <cellStyle name="Comma 28 6 23" xfId="19348"/>
    <cellStyle name="Comma 28 6 24" xfId="19349"/>
    <cellStyle name="Comma 28 6 25" xfId="19350"/>
    <cellStyle name="Comma 28 6 26" xfId="19351"/>
    <cellStyle name="Comma 28 6 27" xfId="19352"/>
    <cellStyle name="Comma 28 6 28" xfId="19353"/>
    <cellStyle name="Comma 28 6 29" xfId="19354"/>
    <cellStyle name="Comma 28 6 3" xfId="6843"/>
    <cellStyle name="Comma 28 6 30" xfId="19355"/>
    <cellStyle name="Comma 28 6 31" xfId="19356"/>
    <cellStyle name="Comma 28 6 32" xfId="19357"/>
    <cellStyle name="Comma 28 6 33" xfId="19358"/>
    <cellStyle name="Comma 28 6 34" xfId="19359"/>
    <cellStyle name="Comma 28 6 35" xfId="19360"/>
    <cellStyle name="Comma 28 6 4" xfId="6844"/>
    <cellStyle name="Comma 28 6 5" xfId="6845"/>
    <cellStyle name="Comma 28 6 6" xfId="6846"/>
    <cellStyle name="Comma 28 6 7" xfId="6847"/>
    <cellStyle name="Comma 28 6 8" xfId="6848"/>
    <cellStyle name="Comma 28 6 9" xfId="6849"/>
    <cellStyle name="Comma 28 7" xfId="306"/>
    <cellStyle name="Comma 28 7 10" xfId="6850"/>
    <cellStyle name="Comma 28 7 11" xfId="6851"/>
    <cellStyle name="Comma 28 7 12" xfId="6852"/>
    <cellStyle name="Comma 28 7 13" xfId="6853"/>
    <cellStyle name="Comma 28 7 14" xfId="6854"/>
    <cellStyle name="Comma 28 7 15" xfId="6855"/>
    <cellStyle name="Comma 28 7 16" xfId="6856"/>
    <cellStyle name="Comma 28 7 17" xfId="6857"/>
    <cellStyle name="Comma 28 7 18" xfId="6858"/>
    <cellStyle name="Comma 28 7 19" xfId="6859"/>
    <cellStyle name="Comma 28 7 2" xfId="6860"/>
    <cellStyle name="Comma 28 7 20" xfId="6861"/>
    <cellStyle name="Comma 28 7 21" xfId="6862"/>
    <cellStyle name="Comma 28 7 22" xfId="6863"/>
    <cellStyle name="Comma 28 7 23" xfId="19361"/>
    <cellStyle name="Comma 28 7 24" xfId="19362"/>
    <cellStyle name="Comma 28 7 25" xfId="19363"/>
    <cellStyle name="Comma 28 7 26" xfId="19364"/>
    <cellStyle name="Comma 28 7 27" xfId="19365"/>
    <cellStyle name="Comma 28 7 28" xfId="19366"/>
    <cellStyle name="Comma 28 7 29" xfId="19367"/>
    <cellStyle name="Comma 28 7 3" xfId="6864"/>
    <cellStyle name="Comma 28 7 30" xfId="19368"/>
    <cellStyle name="Comma 28 7 31" xfId="19369"/>
    <cellStyle name="Comma 28 7 32" xfId="19370"/>
    <cellStyle name="Comma 28 7 33" xfId="19371"/>
    <cellStyle name="Comma 28 7 34" xfId="19372"/>
    <cellStyle name="Comma 28 7 35" xfId="19373"/>
    <cellStyle name="Comma 28 7 4" xfId="6865"/>
    <cellStyle name="Comma 28 7 5" xfId="6866"/>
    <cellStyle name="Comma 28 7 6" xfId="6867"/>
    <cellStyle name="Comma 28 7 7" xfId="6868"/>
    <cellStyle name="Comma 28 7 8" xfId="6869"/>
    <cellStyle name="Comma 28 7 9" xfId="6870"/>
    <cellStyle name="Comma 28 8" xfId="307"/>
    <cellStyle name="Comma 28 8 10" xfId="6871"/>
    <cellStyle name="Comma 28 8 11" xfId="6872"/>
    <cellStyle name="Comma 28 8 12" xfId="6873"/>
    <cellStyle name="Comma 28 8 13" xfId="6874"/>
    <cellStyle name="Comma 28 8 14" xfId="6875"/>
    <cellStyle name="Comma 28 8 15" xfId="6876"/>
    <cellStyle name="Comma 28 8 16" xfId="6877"/>
    <cellStyle name="Comma 28 8 17" xfId="6878"/>
    <cellStyle name="Comma 28 8 18" xfId="6879"/>
    <cellStyle name="Comma 28 8 19" xfId="6880"/>
    <cellStyle name="Comma 28 8 2" xfId="6881"/>
    <cellStyle name="Comma 28 8 20" xfId="6882"/>
    <cellStyle name="Comma 28 8 21" xfId="6883"/>
    <cellStyle name="Comma 28 8 22" xfId="6884"/>
    <cellStyle name="Comma 28 8 23" xfId="19374"/>
    <cellStyle name="Comma 28 8 24" xfId="19375"/>
    <cellStyle name="Comma 28 8 25" xfId="19376"/>
    <cellStyle name="Comma 28 8 26" xfId="19377"/>
    <cellStyle name="Comma 28 8 27" xfId="19378"/>
    <cellStyle name="Comma 28 8 28" xfId="19379"/>
    <cellStyle name="Comma 28 8 29" xfId="19380"/>
    <cellStyle name="Comma 28 8 3" xfId="6885"/>
    <cellStyle name="Comma 28 8 30" xfId="19381"/>
    <cellStyle name="Comma 28 8 31" xfId="19382"/>
    <cellStyle name="Comma 28 8 32" xfId="19383"/>
    <cellStyle name="Comma 28 8 33" xfId="19384"/>
    <cellStyle name="Comma 28 8 34" xfId="19385"/>
    <cellStyle name="Comma 28 8 35" xfId="19386"/>
    <cellStyle name="Comma 28 8 4" xfId="6886"/>
    <cellStyle name="Comma 28 8 5" xfId="6887"/>
    <cellStyle name="Comma 28 8 6" xfId="6888"/>
    <cellStyle name="Comma 28 8 7" xfId="6889"/>
    <cellStyle name="Comma 28 8 8" xfId="6890"/>
    <cellStyle name="Comma 28 8 9" xfId="6891"/>
    <cellStyle name="Comma 28 9" xfId="308"/>
    <cellStyle name="Comma 28 9 10" xfId="6892"/>
    <cellStyle name="Comma 28 9 11" xfId="6893"/>
    <cellStyle name="Comma 28 9 12" xfId="6894"/>
    <cellStyle name="Comma 28 9 13" xfId="6895"/>
    <cellStyle name="Comma 28 9 14" xfId="6896"/>
    <cellStyle name="Comma 28 9 15" xfId="6897"/>
    <cellStyle name="Comma 28 9 16" xfId="6898"/>
    <cellStyle name="Comma 28 9 17" xfId="6899"/>
    <cellStyle name="Comma 28 9 18" xfId="6900"/>
    <cellStyle name="Comma 28 9 19" xfId="6901"/>
    <cellStyle name="Comma 28 9 2" xfId="6902"/>
    <cellStyle name="Comma 28 9 20" xfId="6903"/>
    <cellStyle name="Comma 28 9 21" xfId="6904"/>
    <cellStyle name="Comma 28 9 22" xfId="6905"/>
    <cellStyle name="Comma 28 9 23" xfId="19387"/>
    <cellStyle name="Comma 28 9 24" xfId="19388"/>
    <cellStyle name="Comma 28 9 25" xfId="19389"/>
    <cellStyle name="Comma 28 9 26" xfId="19390"/>
    <cellStyle name="Comma 28 9 27" xfId="19391"/>
    <cellStyle name="Comma 28 9 28" xfId="19392"/>
    <cellStyle name="Comma 28 9 29" xfId="19393"/>
    <cellStyle name="Comma 28 9 3" xfId="6906"/>
    <cellStyle name="Comma 28 9 30" xfId="19394"/>
    <cellStyle name="Comma 28 9 31" xfId="19395"/>
    <cellStyle name="Comma 28 9 32" xfId="19396"/>
    <cellStyle name="Comma 28 9 33" xfId="19397"/>
    <cellStyle name="Comma 28 9 34" xfId="19398"/>
    <cellStyle name="Comma 28 9 35" xfId="19399"/>
    <cellStyle name="Comma 28 9 4" xfId="6907"/>
    <cellStyle name="Comma 28 9 5" xfId="6908"/>
    <cellStyle name="Comma 28 9 6" xfId="6909"/>
    <cellStyle name="Comma 28 9 7" xfId="6910"/>
    <cellStyle name="Comma 28 9 8" xfId="6911"/>
    <cellStyle name="Comma 28 9 9" xfId="6912"/>
    <cellStyle name="Comma 29" xfId="1079"/>
    <cellStyle name="Comma 29 2" xfId="2594"/>
    <cellStyle name="Comma 29 3" xfId="2337"/>
    <cellStyle name="Comma 29 4" xfId="2429"/>
    <cellStyle name="Comma 29 5" xfId="2394"/>
    <cellStyle name="Comma 29 6" xfId="2401"/>
    <cellStyle name="Comma 29 7" xfId="2399"/>
    <cellStyle name="Comma 29 8" xfId="3154"/>
    <cellStyle name="Comma 3" xfId="107"/>
    <cellStyle name="Comma 3 10" xfId="309"/>
    <cellStyle name="Comma 3 10 10" xfId="6913"/>
    <cellStyle name="Comma 3 10 11" xfId="6914"/>
    <cellStyle name="Comma 3 10 12" xfId="6915"/>
    <cellStyle name="Comma 3 10 13" xfId="6916"/>
    <cellStyle name="Comma 3 10 14" xfId="6917"/>
    <cellStyle name="Comma 3 10 15" xfId="6918"/>
    <cellStyle name="Comma 3 10 16" xfId="6919"/>
    <cellStyle name="Comma 3 10 17" xfId="6920"/>
    <cellStyle name="Comma 3 10 18" xfId="6921"/>
    <cellStyle name="Comma 3 10 19" xfId="6922"/>
    <cellStyle name="Comma 3 10 2" xfId="310"/>
    <cellStyle name="Comma 3 10 20" xfId="6923"/>
    <cellStyle name="Comma 3 10 21" xfId="6924"/>
    <cellStyle name="Comma 3 10 22" xfId="6925"/>
    <cellStyle name="Comma 3 10 23" xfId="6926"/>
    <cellStyle name="Comma 3 10 24" xfId="6927"/>
    <cellStyle name="Comma 3 10 25" xfId="19400"/>
    <cellStyle name="Comma 3 10 26" xfId="19401"/>
    <cellStyle name="Comma 3 10 27" xfId="19402"/>
    <cellStyle name="Comma 3 10 28" xfId="19403"/>
    <cellStyle name="Comma 3 10 29" xfId="19404"/>
    <cellStyle name="Comma 3 10 3" xfId="6928"/>
    <cellStyle name="Comma 3 10 30" xfId="19405"/>
    <cellStyle name="Comma 3 10 31" xfId="19406"/>
    <cellStyle name="Comma 3 10 32" xfId="19407"/>
    <cellStyle name="Comma 3 10 33" xfId="19408"/>
    <cellStyle name="Comma 3 10 34" xfId="19409"/>
    <cellStyle name="Comma 3 10 35" xfId="19410"/>
    <cellStyle name="Comma 3 10 36" xfId="19411"/>
    <cellStyle name="Comma 3 10 37" xfId="19412"/>
    <cellStyle name="Comma 3 10 4" xfId="6929"/>
    <cellStyle name="Comma 3 10 5" xfId="6930"/>
    <cellStyle name="Comma 3 10 6" xfId="6931"/>
    <cellStyle name="Comma 3 10 7" xfId="6932"/>
    <cellStyle name="Comma 3 10 8" xfId="6933"/>
    <cellStyle name="Comma 3 10 9" xfId="6934"/>
    <cellStyle name="Comma 3 11" xfId="25"/>
    <cellStyle name="Comma 3 11 10" xfId="2112"/>
    <cellStyle name="Comma 3 11 11" xfId="2593"/>
    <cellStyle name="Comma 3 11 12" xfId="2338"/>
    <cellStyle name="Comma 3 11 13" xfId="2428"/>
    <cellStyle name="Comma 3 11 14" xfId="2395"/>
    <cellStyle name="Comma 3 11 15" xfId="2841"/>
    <cellStyle name="Comma 3 11 16" xfId="2730"/>
    <cellStyle name="Comma 3 11 17" xfId="6935"/>
    <cellStyle name="Comma 3 11 18" xfId="6936"/>
    <cellStyle name="Comma 3 11 19" xfId="6937"/>
    <cellStyle name="Comma 3 11 2" xfId="124"/>
    <cellStyle name="Comma 3 11 20" xfId="6938"/>
    <cellStyle name="Comma 3 11 21" xfId="6939"/>
    <cellStyle name="Comma 3 11 22" xfId="6940"/>
    <cellStyle name="Comma 3 11 23" xfId="6941"/>
    <cellStyle name="Comma 3 11 24" xfId="6942"/>
    <cellStyle name="Comma 3 11 25" xfId="19413"/>
    <cellStyle name="Comma 3 11 26" xfId="19414"/>
    <cellStyle name="Comma 3 11 27" xfId="19415"/>
    <cellStyle name="Comma 3 11 28" xfId="19416"/>
    <cellStyle name="Comma 3 11 29" xfId="19417"/>
    <cellStyle name="Comma 3 11 3" xfId="1411"/>
    <cellStyle name="Comma 3 11 30" xfId="19418"/>
    <cellStyle name="Comma 3 11 31" xfId="19419"/>
    <cellStyle name="Comma 3 11 32" xfId="19420"/>
    <cellStyle name="Comma 3 11 33" xfId="19421"/>
    <cellStyle name="Comma 3 11 34" xfId="19422"/>
    <cellStyle name="Comma 3 11 35" xfId="19423"/>
    <cellStyle name="Comma 3 11 36" xfId="19424"/>
    <cellStyle name="Comma 3 11 37" xfId="19425"/>
    <cellStyle name="Comma 3 11 4" xfId="1564"/>
    <cellStyle name="Comma 3 11 5" xfId="1617"/>
    <cellStyle name="Comma 3 11 6" xfId="1669"/>
    <cellStyle name="Comma 3 11 7" xfId="1713"/>
    <cellStyle name="Comma 3 11 8" xfId="1699"/>
    <cellStyle name="Comma 3 11 9" xfId="1832"/>
    <cellStyle name="Comma 3 12" xfId="311"/>
    <cellStyle name="Comma 3 12 10" xfId="6943"/>
    <cellStyle name="Comma 3 12 11" xfId="6944"/>
    <cellStyle name="Comma 3 12 12" xfId="6945"/>
    <cellStyle name="Comma 3 12 13" xfId="6946"/>
    <cellStyle name="Comma 3 12 14" xfId="6947"/>
    <cellStyle name="Comma 3 12 15" xfId="6948"/>
    <cellStyle name="Comma 3 12 16" xfId="6949"/>
    <cellStyle name="Comma 3 12 17" xfId="6950"/>
    <cellStyle name="Comma 3 12 18" xfId="6951"/>
    <cellStyle name="Comma 3 12 19" xfId="6952"/>
    <cellStyle name="Comma 3 12 2" xfId="312"/>
    <cellStyle name="Comma 3 12 20" xfId="6953"/>
    <cellStyle name="Comma 3 12 21" xfId="6954"/>
    <cellStyle name="Comma 3 12 22" xfId="6955"/>
    <cellStyle name="Comma 3 12 23" xfId="6956"/>
    <cellStyle name="Comma 3 12 24" xfId="6957"/>
    <cellStyle name="Comma 3 12 25" xfId="19426"/>
    <cellStyle name="Comma 3 12 26" xfId="19427"/>
    <cellStyle name="Comma 3 12 27" xfId="19428"/>
    <cellStyle name="Comma 3 12 28" xfId="19429"/>
    <cellStyle name="Comma 3 12 29" xfId="19430"/>
    <cellStyle name="Comma 3 12 3" xfId="6958"/>
    <cellStyle name="Comma 3 12 30" xfId="19431"/>
    <cellStyle name="Comma 3 12 31" xfId="19432"/>
    <cellStyle name="Comma 3 12 32" xfId="19433"/>
    <cellStyle name="Comma 3 12 33" xfId="19434"/>
    <cellStyle name="Comma 3 12 34" xfId="19435"/>
    <cellStyle name="Comma 3 12 35" xfId="19436"/>
    <cellStyle name="Comma 3 12 36" xfId="19437"/>
    <cellStyle name="Comma 3 12 37" xfId="19438"/>
    <cellStyle name="Comma 3 12 4" xfId="6959"/>
    <cellStyle name="Comma 3 12 5" xfId="6960"/>
    <cellStyle name="Comma 3 12 6" xfId="6961"/>
    <cellStyle name="Comma 3 12 7" xfId="6962"/>
    <cellStyle name="Comma 3 12 8" xfId="6963"/>
    <cellStyle name="Comma 3 12 9" xfId="6964"/>
    <cellStyle name="Comma 3 13" xfId="26"/>
    <cellStyle name="Comma 3 13 10" xfId="2113"/>
    <cellStyle name="Comma 3 13 11" xfId="2575"/>
    <cellStyle name="Comma 3 13 12" xfId="2349"/>
    <cellStyle name="Comma 3 13 13" xfId="2421"/>
    <cellStyle name="Comma 3 13 14" xfId="2669"/>
    <cellStyle name="Comma 3 13 15" xfId="2916"/>
    <cellStyle name="Comma 3 13 16" xfId="3012"/>
    <cellStyle name="Comma 3 13 17" xfId="6965"/>
    <cellStyle name="Comma 3 13 18" xfId="6966"/>
    <cellStyle name="Comma 3 13 19" xfId="6967"/>
    <cellStyle name="Comma 3 13 2" xfId="125"/>
    <cellStyle name="Comma 3 13 20" xfId="6968"/>
    <cellStyle name="Comma 3 13 21" xfId="6969"/>
    <cellStyle name="Comma 3 13 22" xfId="6970"/>
    <cellStyle name="Comma 3 13 23" xfId="6971"/>
    <cellStyle name="Comma 3 13 24" xfId="6972"/>
    <cellStyle name="Comma 3 13 25" xfId="19439"/>
    <cellStyle name="Comma 3 13 26" xfId="19440"/>
    <cellStyle name="Comma 3 13 27" xfId="19441"/>
    <cellStyle name="Comma 3 13 28" xfId="19442"/>
    <cellStyle name="Comma 3 13 29" xfId="19443"/>
    <cellStyle name="Comma 3 13 3" xfId="1412"/>
    <cellStyle name="Comma 3 13 30" xfId="19444"/>
    <cellStyle name="Comma 3 13 31" xfId="19445"/>
    <cellStyle name="Comma 3 13 32" xfId="19446"/>
    <cellStyle name="Comma 3 13 33" xfId="19447"/>
    <cellStyle name="Comma 3 13 34" xfId="19448"/>
    <cellStyle name="Comma 3 13 35" xfId="19449"/>
    <cellStyle name="Comma 3 13 36" xfId="19450"/>
    <cellStyle name="Comma 3 13 37" xfId="19451"/>
    <cellStyle name="Comma 3 13 4" xfId="1563"/>
    <cellStyle name="Comma 3 13 5" xfId="1616"/>
    <cellStyle name="Comma 3 13 6" xfId="1668"/>
    <cellStyle name="Comma 3 13 7" xfId="1714"/>
    <cellStyle name="Comma 3 13 8" xfId="1700"/>
    <cellStyle name="Comma 3 13 9" xfId="1831"/>
    <cellStyle name="Comma 3 14" xfId="313"/>
    <cellStyle name="Comma 3 14 10" xfId="6973"/>
    <cellStyle name="Comma 3 14 11" xfId="6974"/>
    <cellStyle name="Comma 3 14 12" xfId="6975"/>
    <cellStyle name="Comma 3 14 13" xfId="6976"/>
    <cellStyle name="Comma 3 14 14" xfId="6977"/>
    <cellStyle name="Comma 3 14 15" xfId="6978"/>
    <cellStyle name="Comma 3 14 16" xfId="6979"/>
    <cellStyle name="Comma 3 14 17" xfId="6980"/>
    <cellStyle name="Comma 3 14 18" xfId="6981"/>
    <cellStyle name="Comma 3 14 19" xfId="6982"/>
    <cellStyle name="Comma 3 14 2" xfId="314"/>
    <cellStyle name="Comma 3 14 20" xfId="6983"/>
    <cellStyle name="Comma 3 14 21" xfId="6984"/>
    <cellStyle name="Comma 3 14 22" xfId="6985"/>
    <cellStyle name="Comma 3 14 23" xfId="6986"/>
    <cellStyle name="Comma 3 14 24" xfId="6987"/>
    <cellStyle name="Comma 3 14 25" xfId="19452"/>
    <cellStyle name="Comma 3 14 26" xfId="19453"/>
    <cellStyle name="Comma 3 14 27" xfId="19454"/>
    <cellStyle name="Comma 3 14 28" xfId="19455"/>
    <cellStyle name="Comma 3 14 29" xfId="19456"/>
    <cellStyle name="Comma 3 14 3" xfId="6988"/>
    <cellStyle name="Comma 3 14 30" xfId="19457"/>
    <cellStyle name="Comma 3 14 31" xfId="19458"/>
    <cellStyle name="Comma 3 14 32" xfId="19459"/>
    <cellStyle name="Comma 3 14 33" xfId="19460"/>
    <cellStyle name="Comma 3 14 34" xfId="19461"/>
    <cellStyle name="Comma 3 14 35" xfId="19462"/>
    <cellStyle name="Comma 3 14 36" xfId="19463"/>
    <cellStyle name="Comma 3 14 37" xfId="19464"/>
    <cellStyle name="Comma 3 14 4" xfId="6989"/>
    <cellStyle name="Comma 3 14 5" xfId="6990"/>
    <cellStyle name="Comma 3 14 6" xfId="6991"/>
    <cellStyle name="Comma 3 14 7" xfId="6992"/>
    <cellStyle name="Comma 3 14 8" xfId="6993"/>
    <cellStyle name="Comma 3 14 9" xfId="6994"/>
    <cellStyle name="Comma 3 15" xfId="315"/>
    <cellStyle name="Comma 3 15 10" xfId="6995"/>
    <cellStyle name="Comma 3 15 11" xfId="6996"/>
    <cellStyle name="Comma 3 15 12" xfId="6997"/>
    <cellStyle name="Comma 3 15 13" xfId="6998"/>
    <cellStyle name="Comma 3 15 14" xfId="6999"/>
    <cellStyle name="Comma 3 15 15" xfId="7000"/>
    <cellStyle name="Comma 3 15 16" xfId="7001"/>
    <cellStyle name="Comma 3 15 17" xfId="7002"/>
    <cellStyle name="Comma 3 15 18" xfId="7003"/>
    <cellStyle name="Comma 3 15 19" xfId="7004"/>
    <cellStyle name="Comma 3 15 2" xfId="316"/>
    <cellStyle name="Comma 3 15 20" xfId="7005"/>
    <cellStyle name="Comma 3 15 21" xfId="7006"/>
    <cellStyle name="Comma 3 15 22" xfId="7007"/>
    <cellStyle name="Comma 3 15 23" xfId="7008"/>
    <cellStyle name="Comma 3 15 24" xfId="7009"/>
    <cellStyle name="Comma 3 15 25" xfId="19465"/>
    <cellStyle name="Comma 3 15 26" xfId="19466"/>
    <cellStyle name="Comma 3 15 27" xfId="19467"/>
    <cellStyle name="Comma 3 15 28" xfId="19468"/>
    <cellStyle name="Comma 3 15 29" xfId="19469"/>
    <cellStyle name="Comma 3 15 3" xfId="7010"/>
    <cellStyle name="Comma 3 15 30" xfId="19470"/>
    <cellStyle name="Comma 3 15 31" xfId="19471"/>
    <cellStyle name="Comma 3 15 32" xfId="19472"/>
    <cellStyle name="Comma 3 15 33" xfId="19473"/>
    <cellStyle name="Comma 3 15 34" xfId="19474"/>
    <cellStyle name="Comma 3 15 35" xfId="19475"/>
    <cellStyle name="Comma 3 15 36" xfId="19476"/>
    <cellStyle name="Comma 3 15 37" xfId="19477"/>
    <cellStyle name="Comma 3 15 4" xfId="7011"/>
    <cellStyle name="Comma 3 15 5" xfId="7012"/>
    <cellStyle name="Comma 3 15 6" xfId="7013"/>
    <cellStyle name="Comma 3 15 7" xfId="7014"/>
    <cellStyle name="Comma 3 15 8" xfId="7015"/>
    <cellStyle name="Comma 3 15 9" xfId="7016"/>
    <cellStyle name="Comma 3 16" xfId="317"/>
    <cellStyle name="Comma 3 16 10" xfId="7017"/>
    <cellStyle name="Comma 3 16 11" xfId="7018"/>
    <cellStyle name="Comma 3 16 12" xfId="7019"/>
    <cellStyle name="Comma 3 16 13" xfId="7020"/>
    <cellStyle name="Comma 3 16 14" xfId="7021"/>
    <cellStyle name="Comma 3 16 15" xfId="7022"/>
    <cellStyle name="Comma 3 16 16" xfId="7023"/>
    <cellStyle name="Comma 3 16 17" xfId="7024"/>
    <cellStyle name="Comma 3 16 18" xfId="7025"/>
    <cellStyle name="Comma 3 16 19" xfId="7026"/>
    <cellStyle name="Comma 3 16 2" xfId="318"/>
    <cellStyle name="Comma 3 16 20" xfId="7027"/>
    <cellStyle name="Comma 3 16 21" xfId="7028"/>
    <cellStyle name="Comma 3 16 22" xfId="7029"/>
    <cellStyle name="Comma 3 16 23" xfId="7030"/>
    <cellStyle name="Comma 3 16 24" xfId="7031"/>
    <cellStyle name="Comma 3 16 25" xfId="19478"/>
    <cellStyle name="Comma 3 16 26" xfId="19479"/>
    <cellStyle name="Comma 3 16 27" xfId="19480"/>
    <cellStyle name="Comma 3 16 28" xfId="19481"/>
    <cellStyle name="Comma 3 16 29" xfId="19482"/>
    <cellStyle name="Comma 3 16 3" xfId="7032"/>
    <cellStyle name="Comma 3 16 30" xfId="19483"/>
    <cellStyle name="Comma 3 16 31" xfId="19484"/>
    <cellStyle name="Comma 3 16 32" xfId="19485"/>
    <cellStyle name="Comma 3 16 33" xfId="19486"/>
    <cellStyle name="Comma 3 16 34" xfId="19487"/>
    <cellStyle name="Comma 3 16 35" xfId="19488"/>
    <cellStyle name="Comma 3 16 36" xfId="19489"/>
    <cellStyle name="Comma 3 16 37" xfId="19490"/>
    <cellStyle name="Comma 3 16 4" xfId="7033"/>
    <cellStyle name="Comma 3 16 5" xfId="7034"/>
    <cellStyle name="Comma 3 16 6" xfId="7035"/>
    <cellStyle name="Comma 3 16 7" xfId="7036"/>
    <cellStyle name="Comma 3 16 8" xfId="7037"/>
    <cellStyle name="Comma 3 16 9" xfId="7038"/>
    <cellStyle name="Comma 3 17" xfId="319"/>
    <cellStyle name="Comma 3 17 10" xfId="7039"/>
    <cellStyle name="Comma 3 17 11" xfId="7040"/>
    <cellStyle name="Comma 3 17 12" xfId="7041"/>
    <cellStyle name="Comma 3 17 13" xfId="7042"/>
    <cellStyle name="Comma 3 17 14" xfId="7043"/>
    <cellStyle name="Comma 3 17 15" xfId="7044"/>
    <cellStyle name="Comma 3 17 16" xfId="7045"/>
    <cellStyle name="Comma 3 17 17" xfId="7046"/>
    <cellStyle name="Comma 3 17 18" xfId="7047"/>
    <cellStyle name="Comma 3 17 19" xfId="7048"/>
    <cellStyle name="Comma 3 17 2" xfId="320"/>
    <cellStyle name="Comma 3 17 20" xfId="7049"/>
    <cellStyle name="Comma 3 17 21" xfId="7050"/>
    <cellStyle name="Comma 3 17 22" xfId="7051"/>
    <cellStyle name="Comma 3 17 23" xfId="7052"/>
    <cellStyle name="Comma 3 17 24" xfId="7053"/>
    <cellStyle name="Comma 3 17 25" xfId="19491"/>
    <cellStyle name="Comma 3 17 26" xfId="19492"/>
    <cellStyle name="Comma 3 17 27" xfId="19493"/>
    <cellStyle name="Comma 3 17 28" xfId="19494"/>
    <cellStyle name="Comma 3 17 29" xfId="19495"/>
    <cellStyle name="Comma 3 17 3" xfId="7054"/>
    <cellStyle name="Comma 3 17 30" xfId="19496"/>
    <cellStyle name="Comma 3 17 31" xfId="19497"/>
    <cellStyle name="Comma 3 17 32" xfId="19498"/>
    <cellStyle name="Comma 3 17 33" xfId="19499"/>
    <cellStyle name="Comma 3 17 34" xfId="19500"/>
    <cellStyle name="Comma 3 17 35" xfId="19501"/>
    <cellStyle name="Comma 3 17 36" xfId="19502"/>
    <cellStyle name="Comma 3 17 37" xfId="19503"/>
    <cellStyle name="Comma 3 17 4" xfId="7055"/>
    <cellStyle name="Comma 3 17 5" xfId="7056"/>
    <cellStyle name="Comma 3 17 6" xfId="7057"/>
    <cellStyle name="Comma 3 17 7" xfId="7058"/>
    <cellStyle name="Comma 3 17 8" xfId="7059"/>
    <cellStyle name="Comma 3 17 9" xfId="7060"/>
    <cellStyle name="Comma 3 18" xfId="321"/>
    <cellStyle name="Comma 3 18 10" xfId="7061"/>
    <cellStyle name="Comma 3 18 11" xfId="7062"/>
    <cellStyle name="Comma 3 18 12" xfId="7063"/>
    <cellStyle name="Comma 3 18 13" xfId="7064"/>
    <cellStyle name="Comma 3 18 14" xfId="7065"/>
    <cellStyle name="Comma 3 18 15" xfId="7066"/>
    <cellStyle name="Comma 3 18 16" xfId="7067"/>
    <cellStyle name="Comma 3 18 17" xfId="7068"/>
    <cellStyle name="Comma 3 18 18" xfId="7069"/>
    <cellStyle name="Comma 3 18 19" xfId="7070"/>
    <cellStyle name="Comma 3 18 2" xfId="322"/>
    <cellStyle name="Comma 3 18 20" xfId="7071"/>
    <cellStyle name="Comma 3 18 21" xfId="7072"/>
    <cellStyle name="Comma 3 18 22" xfId="7073"/>
    <cellStyle name="Comma 3 18 23" xfId="7074"/>
    <cellStyle name="Comma 3 18 24" xfId="7075"/>
    <cellStyle name="Comma 3 18 25" xfId="19504"/>
    <cellStyle name="Comma 3 18 26" xfId="19505"/>
    <cellStyle name="Comma 3 18 27" xfId="19506"/>
    <cellStyle name="Comma 3 18 28" xfId="19507"/>
    <cellStyle name="Comma 3 18 29" xfId="19508"/>
    <cellStyle name="Comma 3 18 3" xfId="7076"/>
    <cellStyle name="Comma 3 18 30" xfId="19509"/>
    <cellStyle name="Comma 3 18 31" xfId="19510"/>
    <cellStyle name="Comma 3 18 32" xfId="19511"/>
    <cellStyle name="Comma 3 18 33" xfId="19512"/>
    <cellStyle name="Comma 3 18 34" xfId="19513"/>
    <cellStyle name="Comma 3 18 35" xfId="19514"/>
    <cellStyle name="Comma 3 18 36" xfId="19515"/>
    <cellStyle name="Comma 3 18 37" xfId="19516"/>
    <cellStyle name="Comma 3 18 4" xfId="7077"/>
    <cellStyle name="Comma 3 18 5" xfId="7078"/>
    <cellStyle name="Comma 3 18 6" xfId="7079"/>
    <cellStyle name="Comma 3 18 7" xfId="7080"/>
    <cellStyle name="Comma 3 18 8" xfId="7081"/>
    <cellStyle name="Comma 3 18 9" xfId="7082"/>
    <cellStyle name="Comma 3 19" xfId="323"/>
    <cellStyle name="Comma 3 19 10" xfId="7083"/>
    <cellStyle name="Comma 3 19 11" xfId="7084"/>
    <cellStyle name="Comma 3 19 12" xfId="7085"/>
    <cellStyle name="Comma 3 19 13" xfId="7086"/>
    <cellStyle name="Comma 3 19 14" xfId="7087"/>
    <cellStyle name="Comma 3 19 15" xfId="7088"/>
    <cellStyle name="Comma 3 19 16" xfId="7089"/>
    <cellStyle name="Comma 3 19 17" xfId="7090"/>
    <cellStyle name="Comma 3 19 18" xfId="7091"/>
    <cellStyle name="Comma 3 19 19" xfId="7092"/>
    <cellStyle name="Comma 3 19 2" xfId="7093"/>
    <cellStyle name="Comma 3 19 20" xfId="7094"/>
    <cellStyle name="Comma 3 19 21" xfId="7095"/>
    <cellStyle name="Comma 3 19 22" xfId="7096"/>
    <cellStyle name="Comma 3 19 23" xfId="19517"/>
    <cellStyle name="Comma 3 19 24" xfId="19518"/>
    <cellStyle name="Comma 3 19 25" xfId="19519"/>
    <cellStyle name="Comma 3 19 26" xfId="19520"/>
    <cellStyle name="Comma 3 19 27" xfId="19521"/>
    <cellStyle name="Comma 3 19 28" xfId="19522"/>
    <cellStyle name="Comma 3 19 29" xfId="19523"/>
    <cellStyle name="Comma 3 19 3" xfId="7097"/>
    <cellStyle name="Comma 3 19 30" xfId="19524"/>
    <cellStyle name="Comma 3 19 31" xfId="19525"/>
    <cellStyle name="Comma 3 19 32" xfId="19526"/>
    <cellStyle name="Comma 3 19 33" xfId="19527"/>
    <cellStyle name="Comma 3 19 34" xfId="19528"/>
    <cellStyle name="Comma 3 19 35" xfId="19529"/>
    <cellStyle name="Comma 3 19 4" xfId="7098"/>
    <cellStyle name="Comma 3 19 5" xfId="7099"/>
    <cellStyle name="Comma 3 19 6" xfId="7100"/>
    <cellStyle name="Comma 3 19 7" xfId="7101"/>
    <cellStyle name="Comma 3 19 8" xfId="7102"/>
    <cellStyle name="Comma 3 19 9" xfId="7103"/>
    <cellStyle name="Comma 3 2" xfId="324"/>
    <cellStyle name="Comma 3 2 10" xfId="7104"/>
    <cellStyle name="Comma 3 2 11" xfId="7105"/>
    <cellStyle name="Comma 3 2 12" xfId="7106"/>
    <cellStyle name="Comma 3 2 13" xfId="7107"/>
    <cellStyle name="Comma 3 2 14" xfId="7108"/>
    <cellStyle name="Comma 3 2 15" xfId="7109"/>
    <cellStyle name="Comma 3 2 16" xfId="7110"/>
    <cellStyle name="Comma 3 2 17" xfId="7111"/>
    <cellStyle name="Comma 3 2 18" xfId="7112"/>
    <cellStyle name="Comma 3 2 19" xfId="7113"/>
    <cellStyle name="Comma 3 2 2" xfId="325"/>
    <cellStyle name="Comma 3 2 20" xfId="7114"/>
    <cellStyle name="Comma 3 2 21" xfId="7115"/>
    <cellStyle name="Comma 3 2 22" xfId="7116"/>
    <cellStyle name="Comma 3 2 23" xfId="7117"/>
    <cellStyle name="Comma 3 2 24" xfId="7118"/>
    <cellStyle name="Comma 3 2 25" xfId="19530"/>
    <cellStyle name="Comma 3 2 26" xfId="19531"/>
    <cellStyle name="Comma 3 2 27" xfId="19532"/>
    <cellStyle name="Comma 3 2 28" xfId="19533"/>
    <cellStyle name="Comma 3 2 29" xfId="19534"/>
    <cellStyle name="Comma 3 2 3" xfId="7119"/>
    <cellStyle name="Comma 3 2 30" xfId="19535"/>
    <cellStyle name="Comma 3 2 31" xfId="19536"/>
    <cellStyle name="Comma 3 2 32" xfId="19537"/>
    <cellStyle name="Comma 3 2 33" xfId="19538"/>
    <cellStyle name="Comma 3 2 34" xfId="19539"/>
    <cellStyle name="Comma 3 2 35" xfId="19540"/>
    <cellStyle name="Comma 3 2 36" xfId="19541"/>
    <cellStyle name="Comma 3 2 37" xfId="19542"/>
    <cellStyle name="Comma 3 2 4" xfId="7120"/>
    <cellStyle name="Comma 3 2 5" xfId="7121"/>
    <cellStyle name="Comma 3 2 6" xfId="7122"/>
    <cellStyle name="Comma 3 2 7" xfId="7123"/>
    <cellStyle name="Comma 3 2 8" xfId="7124"/>
    <cellStyle name="Comma 3 2 9" xfId="7125"/>
    <cellStyle name="Comma 3 20" xfId="326"/>
    <cellStyle name="Comma 3 20 10" xfId="7126"/>
    <cellStyle name="Comma 3 20 11" xfId="7127"/>
    <cellStyle name="Comma 3 20 12" xfId="7128"/>
    <cellStyle name="Comma 3 20 13" xfId="7129"/>
    <cellStyle name="Comma 3 20 14" xfId="7130"/>
    <cellStyle name="Comma 3 20 15" xfId="7131"/>
    <cellStyle name="Comma 3 20 16" xfId="7132"/>
    <cellStyle name="Comma 3 20 17" xfId="7133"/>
    <cellStyle name="Comma 3 20 18" xfId="7134"/>
    <cellStyle name="Comma 3 20 19" xfId="7135"/>
    <cellStyle name="Comma 3 20 2" xfId="7136"/>
    <cellStyle name="Comma 3 20 20" xfId="7137"/>
    <cellStyle name="Comma 3 20 21" xfId="7138"/>
    <cellStyle name="Comma 3 20 22" xfId="7139"/>
    <cellStyle name="Comma 3 20 23" xfId="19543"/>
    <cellStyle name="Comma 3 20 24" xfId="19544"/>
    <cellStyle name="Comma 3 20 25" xfId="19545"/>
    <cellStyle name="Comma 3 20 26" xfId="19546"/>
    <cellStyle name="Comma 3 20 27" xfId="19547"/>
    <cellStyle name="Comma 3 20 28" xfId="19548"/>
    <cellStyle name="Comma 3 20 29" xfId="19549"/>
    <cellStyle name="Comma 3 20 3" xfId="7140"/>
    <cellStyle name="Comma 3 20 30" xfId="19550"/>
    <cellStyle name="Comma 3 20 31" xfId="19551"/>
    <cellStyle name="Comma 3 20 32" xfId="19552"/>
    <cellStyle name="Comma 3 20 33" xfId="19553"/>
    <cellStyle name="Comma 3 20 34" xfId="19554"/>
    <cellStyle name="Comma 3 20 35" xfId="19555"/>
    <cellStyle name="Comma 3 20 4" xfId="7141"/>
    <cellStyle name="Comma 3 20 5" xfId="7142"/>
    <cellStyle name="Comma 3 20 6" xfId="7143"/>
    <cellStyle name="Comma 3 20 7" xfId="7144"/>
    <cellStyle name="Comma 3 20 8" xfId="7145"/>
    <cellStyle name="Comma 3 20 9" xfId="7146"/>
    <cellStyle name="Comma 3 21" xfId="327"/>
    <cellStyle name="Comma 3 21 10" xfId="7147"/>
    <cellStyle name="Comma 3 21 11" xfId="7148"/>
    <cellStyle name="Comma 3 21 12" xfId="7149"/>
    <cellStyle name="Comma 3 21 13" xfId="7150"/>
    <cellStyle name="Comma 3 21 14" xfId="7151"/>
    <cellStyle name="Comma 3 21 15" xfId="7152"/>
    <cellStyle name="Comma 3 21 16" xfId="7153"/>
    <cellStyle name="Comma 3 21 17" xfId="7154"/>
    <cellStyle name="Comma 3 21 18" xfId="7155"/>
    <cellStyle name="Comma 3 21 19" xfId="7156"/>
    <cellStyle name="Comma 3 21 2" xfId="7157"/>
    <cellStyle name="Comma 3 21 20" xfId="7158"/>
    <cellStyle name="Comma 3 21 21" xfId="7159"/>
    <cellStyle name="Comma 3 21 22" xfId="7160"/>
    <cellStyle name="Comma 3 21 23" xfId="19556"/>
    <cellStyle name="Comma 3 21 24" xfId="19557"/>
    <cellStyle name="Comma 3 21 25" xfId="19558"/>
    <cellStyle name="Comma 3 21 26" xfId="19559"/>
    <cellStyle name="Comma 3 21 27" xfId="19560"/>
    <cellStyle name="Comma 3 21 28" xfId="19561"/>
    <cellStyle name="Comma 3 21 29" xfId="19562"/>
    <cellStyle name="Comma 3 21 3" xfId="7161"/>
    <cellStyle name="Comma 3 21 30" xfId="19563"/>
    <cellStyle name="Comma 3 21 31" xfId="19564"/>
    <cellStyle name="Comma 3 21 32" xfId="19565"/>
    <cellStyle name="Comma 3 21 33" xfId="19566"/>
    <cellStyle name="Comma 3 21 34" xfId="19567"/>
    <cellStyle name="Comma 3 21 35" xfId="19568"/>
    <cellStyle name="Comma 3 21 4" xfId="7162"/>
    <cellStyle name="Comma 3 21 5" xfId="7163"/>
    <cellStyle name="Comma 3 21 6" xfId="7164"/>
    <cellStyle name="Comma 3 21 7" xfId="7165"/>
    <cellStyle name="Comma 3 21 8" xfId="7166"/>
    <cellStyle name="Comma 3 21 9" xfId="7167"/>
    <cellStyle name="Comma 3 22" xfId="328"/>
    <cellStyle name="Comma 3 22 10" xfId="7168"/>
    <cellStyle name="Comma 3 22 11" xfId="7169"/>
    <cellStyle name="Comma 3 22 12" xfId="7170"/>
    <cellStyle name="Comma 3 22 13" xfId="7171"/>
    <cellStyle name="Comma 3 22 14" xfId="7172"/>
    <cellStyle name="Comma 3 22 15" xfId="7173"/>
    <cellStyle name="Comma 3 22 16" xfId="7174"/>
    <cellStyle name="Comma 3 22 17" xfId="7175"/>
    <cellStyle name="Comma 3 22 18" xfId="7176"/>
    <cellStyle name="Comma 3 22 19" xfId="7177"/>
    <cellStyle name="Comma 3 22 2" xfId="7178"/>
    <cellStyle name="Comma 3 22 20" xfId="7179"/>
    <cellStyle name="Comma 3 22 21" xfId="7180"/>
    <cellStyle name="Comma 3 22 22" xfId="7181"/>
    <cellStyle name="Comma 3 22 23" xfId="19569"/>
    <cellStyle name="Comma 3 22 24" xfId="19570"/>
    <cellStyle name="Comma 3 22 25" xfId="19571"/>
    <cellStyle name="Comma 3 22 26" xfId="19572"/>
    <cellStyle name="Comma 3 22 27" xfId="19573"/>
    <cellStyle name="Comma 3 22 28" xfId="19574"/>
    <cellStyle name="Comma 3 22 29" xfId="19575"/>
    <cellStyle name="Comma 3 22 3" xfId="7182"/>
    <cellStyle name="Comma 3 22 30" xfId="19576"/>
    <cellStyle name="Comma 3 22 31" xfId="19577"/>
    <cellStyle name="Comma 3 22 32" xfId="19578"/>
    <cellStyle name="Comma 3 22 33" xfId="19579"/>
    <cellStyle name="Comma 3 22 34" xfId="19580"/>
    <cellStyle name="Comma 3 22 35" xfId="19581"/>
    <cellStyle name="Comma 3 22 4" xfId="7183"/>
    <cellStyle name="Comma 3 22 5" xfId="7184"/>
    <cellStyle name="Comma 3 22 6" xfId="7185"/>
    <cellStyle name="Comma 3 22 7" xfId="7186"/>
    <cellStyle name="Comma 3 22 8" xfId="7187"/>
    <cellStyle name="Comma 3 22 9" xfId="7188"/>
    <cellStyle name="Comma 3 23" xfId="329"/>
    <cellStyle name="Comma 3 23 10" xfId="7189"/>
    <cellStyle name="Comma 3 23 11" xfId="7190"/>
    <cellStyle name="Comma 3 23 12" xfId="7191"/>
    <cellStyle name="Comma 3 23 13" xfId="7192"/>
    <cellStyle name="Comma 3 23 14" xfId="7193"/>
    <cellStyle name="Comma 3 23 15" xfId="7194"/>
    <cellStyle name="Comma 3 23 16" xfId="7195"/>
    <cellStyle name="Comma 3 23 17" xfId="7196"/>
    <cellStyle name="Comma 3 23 18" xfId="7197"/>
    <cellStyle name="Comma 3 23 19" xfId="7198"/>
    <cellStyle name="Comma 3 23 2" xfId="7199"/>
    <cellStyle name="Comma 3 23 20" xfId="7200"/>
    <cellStyle name="Comma 3 23 21" xfId="7201"/>
    <cellStyle name="Comma 3 23 22" xfId="7202"/>
    <cellStyle name="Comma 3 23 23" xfId="19582"/>
    <cellStyle name="Comma 3 23 24" xfId="19583"/>
    <cellStyle name="Comma 3 23 25" xfId="19584"/>
    <cellStyle name="Comma 3 23 26" xfId="19585"/>
    <cellStyle name="Comma 3 23 27" xfId="19586"/>
    <cellStyle name="Comma 3 23 28" xfId="19587"/>
    <cellStyle name="Comma 3 23 29" xfId="19588"/>
    <cellStyle name="Comma 3 23 3" xfId="7203"/>
    <cellStyle name="Comma 3 23 30" xfId="19589"/>
    <cellStyle name="Comma 3 23 31" xfId="19590"/>
    <cellStyle name="Comma 3 23 32" xfId="19591"/>
    <cellStyle name="Comma 3 23 33" xfId="19592"/>
    <cellStyle name="Comma 3 23 34" xfId="19593"/>
    <cellStyle name="Comma 3 23 35" xfId="19594"/>
    <cellStyle name="Comma 3 23 4" xfId="7204"/>
    <cellStyle name="Comma 3 23 5" xfId="7205"/>
    <cellStyle name="Comma 3 23 6" xfId="7206"/>
    <cellStyle name="Comma 3 23 7" xfId="7207"/>
    <cellStyle name="Comma 3 23 8" xfId="7208"/>
    <cellStyle name="Comma 3 23 9" xfId="7209"/>
    <cellStyle name="Comma 3 24" xfId="98"/>
    <cellStyle name="Comma 3 24 10" xfId="2176"/>
    <cellStyle name="Comma 3 24 11" xfId="2605"/>
    <cellStyle name="Comma 3 24 12" xfId="2821"/>
    <cellStyle name="Comma 3 24 13" xfId="2214"/>
    <cellStyle name="Comma 3 24 14" xfId="2498"/>
    <cellStyle name="Comma 3 24 15" xfId="2649"/>
    <cellStyle name="Comma 3 24 16" xfId="2796"/>
    <cellStyle name="Comma 3 24 17" xfId="7210"/>
    <cellStyle name="Comma 3 24 18" xfId="7211"/>
    <cellStyle name="Comma 3 24 19" xfId="7212"/>
    <cellStyle name="Comma 3 24 2" xfId="123"/>
    <cellStyle name="Comma 3 24 20" xfId="7213"/>
    <cellStyle name="Comma 3 24 21" xfId="7214"/>
    <cellStyle name="Comma 3 24 22" xfId="7215"/>
    <cellStyle name="Comma 3 24 23" xfId="19595"/>
    <cellStyle name="Comma 3 24 24" xfId="19596"/>
    <cellStyle name="Comma 3 24 25" xfId="19597"/>
    <cellStyle name="Comma 3 24 26" xfId="19598"/>
    <cellStyle name="Comma 3 24 27" xfId="19599"/>
    <cellStyle name="Comma 3 24 28" xfId="19600"/>
    <cellStyle name="Comma 3 24 29" xfId="19601"/>
    <cellStyle name="Comma 3 24 3" xfId="1471"/>
    <cellStyle name="Comma 3 24 30" xfId="19602"/>
    <cellStyle name="Comma 3 24 31" xfId="19603"/>
    <cellStyle name="Comma 3 24 32" xfId="19604"/>
    <cellStyle name="Comma 3 24 33" xfId="19605"/>
    <cellStyle name="Comma 3 24 34" xfId="19606"/>
    <cellStyle name="Comma 3 24 35" xfId="19607"/>
    <cellStyle name="Comma 3 24 4" xfId="1510"/>
    <cellStyle name="Comma 3 24 5" xfId="1485"/>
    <cellStyle name="Comma 3 24 6" xfId="1497"/>
    <cellStyle name="Comma 3 24 7" xfId="1698"/>
    <cellStyle name="Comma 3 24 8" xfId="1766"/>
    <cellStyle name="Comma 3 24 9" xfId="1779"/>
    <cellStyle name="Comma 3 25" xfId="330"/>
    <cellStyle name="Comma 3 25 10" xfId="7216"/>
    <cellStyle name="Comma 3 25 11" xfId="7217"/>
    <cellStyle name="Comma 3 25 12" xfId="7218"/>
    <cellStyle name="Comma 3 25 13" xfId="7219"/>
    <cellStyle name="Comma 3 25 14" xfId="7220"/>
    <cellStyle name="Comma 3 25 15" xfId="7221"/>
    <cellStyle name="Comma 3 25 16" xfId="7222"/>
    <cellStyle name="Comma 3 25 17" xfId="7223"/>
    <cellStyle name="Comma 3 25 18" xfId="7224"/>
    <cellStyle name="Comma 3 25 19" xfId="7225"/>
    <cellStyle name="Comma 3 25 2" xfId="7226"/>
    <cellStyle name="Comma 3 25 20" xfId="7227"/>
    <cellStyle name="Comma 3 25 21" xfId="7228"/>
    <cellStyle name="Comma 3 25 22" xfId="7229"/>
    <cellStyle name="Comma 3 25 23" xfId="19608"/>
    <cellStyle name="Comma 3 25 24" xfId="19609"/>
    <cellStyle name="Comma 3 25 25" xfId="19610"/>
    <cellStyle name="Comma 3 25 26" xfId="19611"/>
    <cellStyle name="Comma 3 25 27" xfId="19612"/>
    <cellStyle name="Comma 3 25 28" xfId="19613"/>
    <cellStyle name="Comma 3 25 29" xfId="19614"/>
    <cellStyle name="Comma 3 25 3" xfId="7230"/>
    <cellStyle name="Comma 3 25 30" xfId="19615"/>
    <cellStyle name="Comma 3 25 31" xfId="19616"/>
    <cellStyle name="Comma 3 25 32" xfId="19617"/>
    <cellStyle name="Comma 3 25 33" xfId="19618"/>
    <cellStyle name="Comma 3 25 34" xfId="19619"/>
    <cellStyle name="Comma 3 25 35" xfId="19620"/>
    <cellStyle name="Comma 3 25 4" xfId="7231"/>
    <cellStyle name="Comma 3 25 5" xfId="7232"/>
    <cellStyle name="Comma 3 25 6" xfId="7233"/>
    <cellStyle name="Comma 3 25 7" xfId="7234"/>
    <cellStyle name="Comma 3 25 8" xfId="7235"/>
    <cellStyle name="Comma 3 25 9" xfId="7236"/>
    <cellStyle name="Comma 3 26" xfId="331"/>
    <cellStyle name="Comma 3 26 10" xfId="7237"/>
    <cellStyle name="Comma 3 26 11" xfId="7238"/>
    <cellStyle name="Comma 3 26 12" xfId="7239"/>
    <cellStyle name="Comma 3 26 13" xfId="7240"/>
    <cellStyle name="Comma 3 26 14" xfId="7241"/>
    <cellStyle name="Comma 3 26 15" xfId="7242"/>
    <cellStyle name="Comma 3 26 16" xfId="7243"/>
    <cellStyle name="Comma 3 26 17" xfId="7244"/>
    <cellStyle name="Comma 3 26 18" xfId="7245"/>
    <cellStyle name="Comma 3 26 19" xfId="7246"/>
    <cellStyle name="Comma 3 26 2" xfId="7247"/>
    <cellStyle name="Comma 3 26 20" xfId="7248"/>
    <cellStyle name="Comma 3 26 21" xfId="7249"/>
    <cellStyle name="Comma 3 26 22" xfId="7250"/>
    <cellStyle name="Comma 3 26 23" xfId="19621"/>
    <cellStyle name="Comma 3 26 24" xfId="19622"/>
    <cellStyle name="Comma 3 26 25" xfId="19623"/>
    <cellStyle name="Comma 3 26 26" xfId="19624"/>
    <cellStyle name="Comma 3 26 27" xfId="19625"/>
    <cellStyle name="Comma 3 26 28" xfId="19626"/>
    <cellStyle name="Comma 3 26 29" xfId="19627"/>
    <cellStyle name="Comma 3 26 3" xfId="7251"/>
    <cellStyle name="Comma 3 26 30" xfId="19628"/>
    <cellStyle name="Comma 3 26 31" xfId="19629"/>
    <cellStyle name="Comma 3 26 32" xfId="19630"/>
    <cellStyle name="Comma 3 26 33" xfId="19631"/>
    <cellStyle name="Comma 3 26 34" xfId="19632"/>
    <cellStyle name="Comma 3 26 35" xfId="19633"/>
    <cellStyle name="Comma 3 26 4" xfId="7252"/>
    <cellStyle name="Comma 3 26 5" xfId="7253"/>
    <cellStyle name="Comma 3 26 6" xfId="7254"/>
    <cellStyle name="Comma 3 26 7" xfId="7255"/>
    <cellStyle name="Comma 3 26 8" xfId="7256"/>
    <cellStyle name="Comma 3 26 9" xfId="7257"/>
    <cellStyle name="Comma 3 27" xfId="332"/>
    <cellStyle name="Comma 3 27 10" xfId="7258"/>
    <cellStyle name="Comma 3 27 11" xfId="7259"/>
    <cellStyle name="Comma 3 27 12" xfId="7260"/>
    <cellStyle name="Comma 3 27 13" xfId="7261"/>
    <cellStyle name="Comma 3 27 14" xfId="7262"/>
    <cellStyle name="Comma 3 27 15" xfId="7263"/>
    <cellStyle name="Comma 3 27 16" xfId="7264"/>
    <cellStyle name="Comma 3 27 17" xfId="7265"/>
    <cellStyle name="Comma 3 27 18" xfId="7266"/>
    <cellStyle name="Comma 3 27 19" xfId="7267"/>
    <cellStyle name="Comma 3 27 2" xfId="7268"/>
    <cellStyle name="Comma 3 27 20" xfId="7269"/>
    <cellStyle name="Comma 3 27 21" xfId="7270"/>
    <cellStyle name="Comma 3 27 22" xfId="7271"/>
    <cellStyle name="Comma 3 27 23" xfId="19634"/>
    <cellStyle name="Comma 3 27 24" xfId="19635"/>
    <cellStyle name="Comma 3 27 25" xfId="19636"/>
    <cellStyle name="Comma 3 27 26" xfId="19637"/>
    <cellStyle name="Comma 3 27 27" xfId="19638"/>
    <cellStyle name="Comma 3 27 28" xfId="19639"/>
    <cellStyle name="Comma 3 27 29" xfId="19640"/>
    <cellStyle name="Comma 3 27 3" xfId="7272"/>
    <cellStyle name="Comma 3 27 30" xfId="19641"/>
    <cellStyle name="Comma 3 27 31" xfId="19642"/>
    <cellStyle name="Comma 3 27 32" xfId="19643"/>
    <cellStyle name="Comma 3 27 33" xfId="19644"/>
    <cellStyle name="Comma 3 27 34" xfId="19645"/>
    <cellStyle name="Comma 3 27 35" xfId="19646"/>
    <cellStyle name="Comma 3 27 4" xfId="7273"/>
    <cellStyle name="Comma 3 27 5" xfId="7274"/>
    <cellStyle name="Comma 3 27 6" xfId="7275"/>
    <cellStyle name="Comma 3 27 7" xfId="7276"/>
    <cellStyle name="Comma 3 27 8" xfId="7277"/>
    <cellStyle name="Comma 3 27 9" xfId="7278"/>
    <cellStyle name="Comma 3 28" xfId="333"/>
    <cellStyle name="Comma 3 28 10" xfId="7279"/>
    <cellStyle name="Comma 3 28 11" xfId="7280"/>
    <cellStyle name="Comma 3 28 12" xfId="7281"/>
    <cellStyle name="Comma 3 28 13" xfId="7282"/>
    <cellStyle name="Comma 3 28 14" xfId="7283"/>
    <cellStyle name="Comma 3 28 15" xfId="7284"/>
    <cellStyle name="Comma 3 28 16" xfId="7285"/>
    <cellStyle name="Comma 3 28 17" xfId="7286"/>
    <cellStyle name="Comma 3 28 18" xfId="7287"/>
    <cellStyle name="Comma 3 28 19" xfId="7288"/>
    <cellStyle name="Comma 3 28 2" xfId="7289"/>
    <cellStyle name="Comma 3 28 20" xfId="7290"/>
    <cellStyle name="Comma 3 28 21" xfId="7291"/>
    <cellStyle name="Comma 3 28 22" xfId="7292"/>
    <cellStyle name="Comma 3 28 23" xfId="19647"/>
    <cellStyle name="Comma 3 28 24" xfId="19648"/>
    <cellStyle name="Comma 3 28 25" xfId="19649"/>
    <cellStyle name="Comma 3 28 26" xfId="19650"/>
    <cellStyle name="Comma 3 28 27" xfId="19651"/>
    <cellStyle name="Comma 3 28 28" xfId="19652"/>
    <cellStyle name="Comma 3 28 29" xfId="19653"/>
    <cellStyle name="Comma 3 28 3" xfId="7293"/>
    <cellStyle name="Comma 3 28 30" xfId="19654"/>
    <cellStyle name="Comma 3 28 31" xfId="19655"/>
    <cellStyle name="Comma 3 28 32" xfId="19656"/>
    <cellStyle name="Comma 3 28 33" xfId="19657"/>
    <cellStyle name="Comma 3 28 34" xfId="19658"/>
    <cellStyle name="Comma 3 28 35" xfId="19659"/>
    <cellStyle name="Comma 3 28 4" xfId="7294"/>
    <cellStyle name="Comma 3 28 5" xfId="7295"/>
    <cellStyle name="Comma 3 28 6" xfId="7296"/>
    <cellStyle name="Comma 3 28 7" xfId="7297"/>
    <cellStyle name="Comma 3 28 8" xfId="7298"/>
    <cellStyle name="Comma 3 28 9" xfId="7299"/>
    <cellStyle name="Comma 3 29" xfId="334"/>
    <cellStyle name="Comma 3 29 10" xfId="7300"/>
    <cellStyle name="Comma 3 29 11" xfId="7301"/>
    <cellStyle name="Comma 3 29 12" xfId="7302"/>
    <cellStyle name="Comma 3 29 13" xfId="7303"/>
    <cellStyle name="Comma 3 29 14" xfId="7304"/>
    <cellStyle name="Comma 3 29 15" xfId="7305"/>
    <cellStyle name="Comma 3 29 16" xfId="7306"/>
    <cellStyle name="Comma 3 29 17" xfId="7307"/>
    <cellStyle name="Comma 3 29 18" xfId="7308"/>
    <cellStyle name="Comma 3 29 19" xfId="7309"/>
    <cellStyle name="Comma 3 29 2" xfId="7310"/>
    <cellStyle name="Comma 3 29 20" xfId="7311"/>
    <cellStyle name="Comma 3 29 21" xfId="7312"/>
    <cellStyle name="Comma 3 29 22" xfId="7313"/>
    <cellStyle name="Comma 3 29 23" xfId="19660"/>
    <cellStyle name="Comma 3 29 24" xfId="19661"/>
    <cellStyle name="Comma 3 29 25" xfId="19662"/>
    <cellStyle name="Comma 3 29 26" xfId="19663"/>
    <cellStyle name="Comma 3 29 27" xfId="19664"/>
    <cellStyle name="Comma 3 29 28" xfId="19665"/>
    <cellStyle name="Comma 3 29 29" xfId="19666"/>
    <cellStyle name="Comma 3 29 3" xfId="7314"/>
    <cellStyle name="Comma 3 29 30" xfId="19667"/>
    <cellStyle name="Comma 3 29 31" xfId="19668"/>
    <cellStyle name="Comma 3 29 32" xfId="19669"/>
    <cellStyle name="Comma 3 29 33" xfId="19670"/>
    <cellStyle name="Comma 3 29 34" xfId="19671"/>
    <cellStyle name="Comma 3 29 35" xfId="19672"/>
    <cellStyle name="Comma 3 29 4" xfId="7315"/>
    <cellStyle name="Comma 3 29 5" xfId="7316"/>
    <cellStyle name="Comma 3 29 6" xfId="7317"/>
    <cellStyle name="Comma 3 29 7" xfId="7318"/>
    <cellStyle name="Comma 3 29 8" xfId="7319"/>
    <cellStyle name="Comma 3 29 9" xfId="7320"/>
    <cellStyle name="Comma 3 3" xfId="27"/>
    <cellStyle name="Comma 3 3 10" xfId="1134"/>
    <cellStyle name="Comma 3 3 11" xfId="1125"/>
    <cellStyle name="Comma 3 3 12" xfId="1193"/>
    <cellStyle name="Comma 3 3 13" xfId="1225"/>
    <cellStyle name="Comma 3 3 14" xfId="1258"/>
    <cellStyle name="Comma 3 3 15" xfId="1291"/>
    <cellStyle name="Comma 3 3 16" xfId="1324"/>
    <cellStyle name="Comma 3 3 17" xfId="1413"/>
    <cellStyle name="Comma 3 3 18" xfId="1562"/>
    <cellStyle name="Comma 3 3 19" xfId="1615"/>
    <cellStyle name="Comma 3 3 2" xfId="122"/>
    <cellStyle name="Comma 3 3 20" xfId="1667"/>
    <cellStyle name="Comma 3 3 21" xfId="1715"/>
    <cellStyle name="Comma 3 3 22" xfId="1830"/>
    <cellStyle name="Comma 3 3 23" xfId="2114"/>
    <cellStyle name="Comma 3 3 24" xfId="2560"/>
    <cellStyle name="Comma 3 3 25" xfId="2355"/>
    <cellStyle name="Comma 3 3 26" xfId="2415"/>
    <cellStyle name="Comma 3 3 27" xfId="2550"/>
    <cellStyle name="Comma 3 3 28" xfId="2773"/>
    <cellStyle name="Comma 3 3 29" xfId="2531"/>
    <cellStyle name="Comma 3 3 3" xfId="943"/>
    <cellStyle name="Comma 3 3 30" xfId="19673"/>
    <cellStyle name="Comma 3 3 31" xfId="19674"/>
    <cellStyle name="Comma 3 3 32" xfId="19675"/>
    <cellStyle name="Comma 3 3 33" xfId="19676"/>
    <cellStyle name="Comma 3 3 34" xfId="19677"/>
    <cellStyle name="Comma 3 3 35" xfId="19678"/>
    <cellStyle name="Comma 3 3 36" xfId="19679"/>
    <cellStyle name="Comma 3 3 37" xfId="19680"/>
    <cellStyle name="Comma 3 3 4" xfId="936"/>
    <cellStyle name="Comma 3 3 5" xfId="927"/>
    <cellStyle name="Comma 3 3 6" xfId="994"/>
    <cellStyle name="Comma 3 3 7" xfId="1027"/>
    <cellStyle name="Comma 3 3 8" xfId="1059"/>
    <cellStyle name="Comma 3 3 9" xfId="1141"/>
    <cellStyle name="Comma 3 30" xfId="335"/>
    <cellStyle name="Comma 3 30 10" xfId="7321"/>
    <cellStyle name="Comma 3 30 11" xfId="7322"/>
    <cellStyle name="Comma 3 30 12" xfId="7323"/>
    <cellStyle name="Comma 3 30 13" xfId="7324"/>
    <cellStyle name="Comma 3 30 14" xfId="7325"/>
    <cellStyle name="Comma 3 30 15" xfId="7326"/>
    <cellStyle name="Comma 3 30 16" xfId="7327"/>
    <cellStyle name="Comma 3 30 17" xfId="7328"/>
    <cellStyle name="Comma 3 30 18" xfId="7329"/>
    <cellStyle name="Comma 3 30 19" xfId="7330"/>
    <cellStyle name="Comma 3 30 2" xfId="7331"/>
    <cellStyle name="Comma 3 30 20" xfId="7332"/>
    <cellStyle name="Comma 3 30 21" xfId="7333"/>
    <cellStyle name="Comma 3 30 22" xfId="7334"/>
    <cellStyle name="Comma 3 30 23" xfId="19681"/>
    <cellStyle name="Comma 3 30 24" xfId="19682"/>
    <cellStyle name="Comma 3 30 25" xfId="19683"/>
    <cellStyle name="Comma 3 30 26" xfId="19684"/>
    <cellStyle name="Comma 3 30 27" xfId="19685"/>
    <cellStyle name="Comma 3 30 28" xfId="19686"/>
    <cellStyle name="Comma 3 30 29" xfId="19687"/>
    <cellStyle name="Comma 3 30 3" xfId="7335"/>
    <cellStyle name="Comma 3 30 30" xfId="19688"/>
    <cellStyle name="Comma 3 30 31" xfId="19689"/>
    <cellStyle name="Comma 3 30 32" xfId="19690"/>
    <cellStyle name="Comma 3 30 33" xfId="19691"/>
    <cellStyle name="Comma 3 30 34" xfId="19692"/>
    <cellStyle name="Comma 3 30 35" xfId="19693"/>
    <cellStyle name="Comma 3 30 4" xfId="7336"/>
    <cellStyle name="Comma 3 30 5" xfId="7337"/>
    <cellStyle name="Comma 3 30 6" xfId="7338"/>
    <cellStyle name="Comma 3 30 7" xfId="7339"/>
    <cellStyle name="Comma 3 30 8" xfId="7340"/>
    <cellStyle name="Comma 3 30 9" xfId="7341"/>
    <cellStyle name="Comma 3 31" xfId="336"/>
    <cellStyle name="Comma 3 31 10" xfId="7342"/>
    <cellStyle name="Comma 3 31 11" xfId="7343"/>
    <cellStyle name="Comma 3 31 12" xfId="7344"/>
    <cellStyle name="Comma 3 31 13" xfId="7345"/>
    <cellStyle name="Comma 3 31 14" xfId="7346"/>
    <cellStyle name="Comma 3 31 15" xfId="7347"/>
    <cellStyle name="Comma 3 31 16" xfId="7348"/>
    <cellStyle name="Comma 3 31 17" xfId="7349"/>
    <cellStyle name="Comma 3 31 18" xfId="7350"/>
    <cellStyle name="Comma 3 31 19" xfId="7351"/>
    <cellStyle name="Comma 3 31 2" xfId="7352"/>
    <cellStyle name="Comma 3 31 20" xfId="7353"/>
    <cellStyle name="Comma 3 31 21" xfId="7354"/>
    <cellStyle name="Comma 3 31 22" xfId="7355"/>
    <cellStyle name="Comma 3 31 23" xfId="19694"/>
    <cellStyle name="Comma 3 31 24" xfId="19695"/>
    <cellStyle name="Comma 3 31 25" xfId="19696"/>
    <cellStyle name="Comma 3 31 26" xfId="19697"/>
    <cellStyle name="Comma 3 31 27" xfId="19698"/>
    <cellStyle name="Comma 3 31 28" xfId="19699"/>
    <cellStyle name="Comma 3 31 29" xfId="19700"/>
    <cellStyle name="Comma 3 31 3" xfId="7356"/>
    <cellStyle name="Comma 3 31 30" xfId="19701"/>
    <cellStyle name="Comma 3 31 31" xfId="19702"/>
    <cellStyle name="Comma 3 31 32" xfId="19703"/>
    <cellStyle name="Comma 3 31 33" xfId="19704"/>
    <cellStyle name="Comma 3 31 34" xfId="19705"/>
    <cellStyle name="Comma 3 31 35" xfId="19706"/>
    <cellStyle name="Comma 3 31 4" xfId="7357"/>
    <cellStyle name="Comma 3 31 5" xfId="7358"/>
    <cellStyle name="Comma 3 31 6" xfId="7359"/>
    <cellStyle name="Comma 3 31 7" xfId="7360"/>
    <cellStyle name="Comma 3 31 8" xfId="7361"/>
    <cellStyle name="Comma 3 31 9" xfId="7362"/>
    <cellStyle name="Comma 3 32" xfId="337"/>
    <cellStyle name="Comma 3 33" xfId="338"/>
    <cellStyle name="Comma 3 34" xfId="339"/>
    <cellStyle name="Comma 3 35" xfId="340"/>
    <cellStyle name="Comma 3 36" xfId="341"/>
    <cellStyle name="Comma 3 37" xfId="925"/>
    <cellStyle name="Comma 3 38" xfId="1851"/>
    <cellStyle name="Comma 3 39" xfId="7363"/>
    <cellStyle name="Comma 3 4" xfId="342"/>
    <cellStyle name="Comma 3 4 10" xfId="7364"/>
    <cellStyle name="Comma 3 4 11" xfId="7365"/>
    <cellStyle name="Comma 3 4 12" xfId="7366"/>
    <cellStyle name="Comma 3 4 13" xfId="7367"/>
    <cellStyle name="Comma 3 4 14" xfId="7368"/>
    <cellStyle name="Comma 3 4 15" xfId="7369"/>
    <cellStyle name="Comma 3 4 16" xfId="7370"/>
    <cellStyle name="Comma 3 4 17" xfId="7371"/>
    <cellStyle name="Comma 3 4 18" xfId="7372"/>
    <cellStyle name="Comma 3 4 19" xfId="7373"/>
    <cellStyle name="Comma 3 4 2" xfId="343"/>
    <cellStyle name="Comma 3 4 20" xfId="7374"/>
    <cellStyle name="Comma 3 4 21" xfId="7375"/>
    <cellStyle name="Comma 3 4 22" xfId="7376"/>
    <cellStyle name="Comma 3 4 23" xfId="7377"/>
    <cellStyle name="Comma 3 4 24" xfId="7378"/>
    <cellStyle name="Comma 3 4 25" xfId="19707"/>
    <cellStyle name="Comma 3 4 26" xfId="19708"/>
    <cellStyle name="Comma 3 4 27" xfId="19709"/>
    <cellStyle name="Comma 3 4 28" xfId="19710"/>
    <cellStyle name="Comma 3 4 29" xfId="19711"/>
    <cellStyle name="Comma 3 4 3" xfId="7379"/>
    <cellStyle name="Comma 3 4 30" xfId="19712"/>
    <cellStyle name="Comma 3 4 31" xfId="19713"/>
    <cellStyle name="Comma 3 4 32" xfId="19714"/>
    <cellStyle name="Comma 3 4 33" xfId="19715"/>
    <cellStyle name="Comma 3 4 34" xfId="19716"/>
    <cellStyle name="Comma 3 4 35" xfId="19717"/>
    <cellStyle name="Comma 3 4 36" xfId="19718"/>
    <cellStyle name="Comma 3 4 37" xfId="19719"/>
    <cellStyle name="Comma 3 4 4" xfId="7380"/>
    <cellStyle name="Comma 3 4 5" xfId="7381"/>
    <cellStyle name="Comma 3 4 6" xfId="7382"/>
    <cellStyle name="Comma 3 4 7" xfId="7383"/>
    <cellStyle name="Comma 3 4 8" xfId="7384"/>
    <cellStyle name="Comma 3 4 9" xfId="7385"/>
    <cellStyle name="Comma 3 40" xfId="7386"/>
    <cellStyle name="Comma 3 41" xfId="7387"/>
    <cellStyle name="Comma 3 42" xfId="7388"/>
    <cellStyle name="Comma 3 43" xfId="1697"/>
    <cellStyle name="Comma 3 44" xfId="7389"/>
    <cellStyle name="Comma 3 45" xfId="7390"/>
    <cellStyle name="Comma 3 46" xfId="7391"/>
    <cellStyle name="Comma 3 47" xfId="7392"/>
    <cellStyle name="Comma 3 48" xfId="7393"/>
    <cellStyle name="Comma 3 49" xfId="7394"/>
    <cellStyle name="Comma 3 5" xfId="344"/>
    <cellStyle name="Comma 3 5 10" xfId="7395"/>
    <cellStyle name="Comma 3 5 11" xfId="7396"/>
    <cellStyle name="Comma 3 5 12" xfId="7397"/>
    <cellStyle name="Comma 3 5 13" xfId="7398"/>
    <cellStyle name="Comma 3 5 14" xfId="7399"/>
    <cellStyle name="Comma 3 5 15" xfId="7400"/>
    <cellStyle name="Comma 3 5 16" xfId="7401"/>
    <cellStyle name="Comma 3 5 17" xfId="7402"/>
    <cellStyle name="Comma 3 5 18" xfId="7403"/>
    <cellStyle name="Comma 3 5 19" xfId="7404"/>
    <cellStyle name="Comma 3 5 2" xfId="345"/>
    <cellStyle name="Comma 3 5 20" xfId="7405"/>
    <cellStyle name="Comma 3 5 21" xfId="7406"/>
    <cellStyle name="Comma 3 5 22" xfId="7407"/>
    <cellStyle name="Comma 3 5 23" xfId="7408"/>
    <cellStyle name="Comma 3 5 24" xfId="7409"/>
    <cellStyle name="Comma 3 5 25" xfId="19720"/>
    <cellStyle name="Comma 3 5 26" xfId="19721"/>
    <cellStyle name="Comma 3 5 27" xfId="19722"/>
    <cellStyle name="Comma 3 5 28" xfId="19723"/>
    <cellStyle name="Comma 3 5 29" xfId="19724"/>
    <cellStyle name="Comma 3 5 3" xfId="7410"/>
    <cellStyle name="Comma 3 5 30" xfId="19725"/>
    <cellStyle name="Comma 3 5 31" xfId="19726"/>
    <cellStyle name="Comma 3 5 32" xfId="19727"/>
    <cellStyle name="Comma 3 5 33" xfId="19728"/>
    <cellStyle name="Comma 3 5 34" xfId="19729"/>
    <cellStyle name="Comma 3 5 35" xfId="19730"/>
    <cellStyle name="Comma 3 5 36" xfId="19731"/>
    <cellStyle name="Comma 3 5 37" xfId="19732"/>
    <cellStyle name="Comma 3 5 4" xfId="7411"/>
    <cellStyle name="Comma 3 5 5" xfId="7412"/>
    <cellStyle name="Comma 3 5 6" xfId="7413"/>
    <cellStyle name="Comma 3 5 7" xfId="7414"/>
    <cellStyle name="Comma 3 5 8" xfId="7415"/>
    <cellStyle name="Comma 3 5 9" xfId="7416"/>
    <cellStyle name="Comma 3 50" xfId="7417"/>
    <cellStyle name="Comma 3 51" xfId="7418"/>
    <cellStyle name="Comma 3 52" xfId="7419"/>
    <cellStyle name="Comma 3 53" xfId="7420"/>
    <cellStyle name="Comma 3 54" xfId="7421"/>
    <cellStyle name="Comma 3 55" xfId="7422"/>
    <cellStyle name="Comma 3 56" xfId="7423"/>
    <cellStyle name="Comma 3 57" xfId="7424"/>
    <cellStyle name="Comma 3 58" xfId="7425"/>
    <cellStyle name="Comma 3 59" xfId="7426"/>
    <cellStyle name="Comma 3 6" xfId="346"/>
    <cellStyle name="Comma 3 6 10" xfId="7427"/>
    <cellStyle name="Comma 3 6 11" xfId="7428"/>
    <cellStyle name="Comma 3 6 12" xfId="7429"/>
    <cellStyle name="Comma 3 6 13" xfId="7430"/>
    <cellStyle name="Comma 3 6 14" xfId="7431"/>
    <cellStyle name="Comma 3 6 15" xfId="7432"/>
    <cellStyle name="Comma 3 6 16" xfId="7433"/>
    <cellStyle name="Comma 3 6 17" xfId="7434"/>
    <cellStyle name="Comma 3 6 18" xfId="7435"/>
    <cellStyle name="Comma 3 6 19" xfId="7436"/>
    <cellStyle name="Comma 3 6 2" xfId="347"/>
    <cellStyle name="Comma 3 6 20" xfId="7437"/>
    <cellStyle name="Comma 3 6 21" xfId="7438"/>
    <cellStyle name="Comma 3 6 22" xfId="7439"/>
    <cellStyle name="Comma 3 6 23" xfId="7440"/>
    <cellStyle name="Comma 3 6 24" xfId="7441"/>
    <cellStyle name="Comma 3 6 25" xfId="19733"/>
    <cellStyle name="Comma 3 6 26" xfId="19734"/>
    <cellStyle name="Comma 3 6 27" xfId="19735"/>
    <cellStyle name="Comma 3 6 28" xfId="19736"/>
    <cellStyle name="Comma 3 6 29" xfId="19737"/>
    <cellStyle name="Comma 3 6 3" xfId="7442"/>
    <cellStyle name="Comma 3 6 30" xfId="19738"/>
    <cellStyle name="Comma 3 6 31" xfId="19739"/>
    <cellStyle name="Comma 3 6 32" xfId="19740"/>
    <cellStyle name="Comma 3 6 33" xfId="19741"/>
    <cellStyle name="Comma 3 6 34" xfId="19742"/>
    <cellStyle name="Comma 3 6 35" xfId="19743"/>
    <cellStyle name="Comma 3 6 36" xfId="19744"/>
    <cellStyle name="Comma 3 6 37" xfId="19745"/>
    <cellStyle name="Comma 3 6 4" xfId="7443"/>
    <cellStyle name="Comma 3 6 5" xfId="7444"/>
    <cellStyle name="Comma 3 6 6" xfId="7445"/>
    <cellStyle name="Comma 3 6 7" xfId="7446"/>
    <cellStyle name="Comma 3 6 8" xfId="7447"/>
    <cellStyle name="Comma 3 6 9" xfId="7448"/>
    <cellStyle name="Comma 3 60" xfId="7449"/>
    <cellStyle name="Comma 3 61" xfId="19746"/>
    <cellStyle name="Comma 3 62" xfId="19747"/>
    <cellStyle name="Comma 3 63" xfId="19748"/>
    <cellStyle name="Comma 3 64" xfId="19749"/>
    <cellStyle name="Comma 3 65" xfId="19750"/>
    <cellStyle name="Comma 3 66" xfId="19751"/>
    <cellStyle name="Comma 3 67" xfId="19752"/>
    <cellStyle name="Comma 3 68" xfId="19753"/>
    <cellStyle name="Comma 3 69" xfId="19754"/>
    <cellStyle name="Comma 3 7" xfId="348"/>
    <cellStyle name="Comma 3 7 10" xfId="7450"/>
    <cellStyle name="Comma 3 7 11" xfId="7451"/>
    <cellStyle name="Comma 3 7 12" xfId="7452"/>
    <cellStyle name="Comma 3 7 13" xfId="7453"/>
    <cellStyle name="Comma 3 7 14" xfId="7454"/>
    <cellStyle name="Comma 3 7 15" xfId="7455"/>
    <cellStyle name="Comma 3 7 16" xfId="7456"/>
    <cellStyle name="Comma 3 7 17" xfId="7457"/>
    <cellStyle name="Comma 3 7 18" xfId="7458"/>
    <cellStyle name="Comma 3 7 19" xfId="7459"/>
    <cellStyle name="Comma 3 7 2" xfId="349"/>
    <cellStyle name="Comma 3 7 20" xfId="7460"/>
    <cellStyle name="Comma 3 7 21" xfId="7461"/>
    <cellStyle name="Comma 3 7 22" xfId="7462"/>
    <cellStyle name="Comma 3 7 23" xfId="7463"/>
    <cellStyle name="Comma 3 7 24" xfId="7464"/>
    <cellStyle name="Comma 3 7 25" xfId="19755"/>
    <cellStyle name="Comma 3 7 26" xfId="19756"/>
    <cellStyle name="Comma 3 7 27" xfId="19757"/>
    <cellStyle name="Comma 3 7 28" xfId="19758"/>
    <cellStyle name="Comma 3 7 29" xfId="19759"/>
    <cellStyle name="Comma 3 7 3" xfId="7465"/>
    <cellStyle name="Comma 3 7 30" xfId="19760"/>
    <cellStyle name="Comma 3 7 31" xfId="19761"/>
    <cellStyle name="Comma 3 7 32" xfId="19762"/>
    <cellStyle name="Comma 3 7 33" xfId="19763"/>
    <cellStyle name="Comma 3 7 34" xfId="19764"/>
    <cellStyle name="Comma 3 7 35" xfId="19765"/>
    <cellStyle name="Comma 3 7 36" xfId="19766"/>
    <cellStyle name="Comma 3 7 37" xfId="19767"/>
    <cellStyle name="Comma 3 7 4" xfId="7466"/>
    <cellStyle name="Comma 3 7 5" xfId="7467"/>
    <cellStyle name="Comma 3 7 6" xfId="7468"/>
    <cellStyle name="Comma 3 7 7" xfId="7469"/>
    <cellStyle name="Comma 3 7 8" xfId="7470"/>
    <cellStyle name="Comma 3 7 9" xfId="7471"/>
    <cellStyle name="Comma 3 70" xfId="19768"/>
    <cellStyle name="Comma 3 71" xfId="19769"/>
    <cellStyle name="Comma 3 72" xfId="19770"/>
    <cellStyle name="Comma 3 73" xfId="17014"/>
    <cellStyle name="Comma 3 8" xfId="350"/>
    <cellStyle name="Comma 3 8 10" xfId="7472"/>
    <cellStyle name="Comma 3 8 11" xfId="7473"/>
    <cellStyle name="Comma 3 8 12" xfId="7474"/>
    <cellStyle name="Comma 3 8 13" xfId="7475"/>
    <cellStyle name="Comma 3 8 14" xfId="7476"/>
    <cellStyle name="Comma 3 8 15" xfId="7477"/>
    <cellStyle name="Comma 3 8 16" xfId="7478"/>
    <cellStyle name="Comma 3 8 17" xfId="7479"/>
    <cellStyle name="Comma 3 8 18" xfId="7480"/>
    <cellStyle name="Comma 3 8 19" xfId="7481"/>
    <cellStyle name="Comma 3 8 2" xfId="351"/>
    <cellStyle name="Comma 3 8 20" xfId="7482"/>
    <cellStyle name="Comma 3 8 21" xfId="7483"/>
    <cellStyle name="Comma 3 8 22" xfId="7484"/>
    <cellStyle name="Comma 3 8 23" xfId="7485"/>
    <cellStyle name="Comma 3 8 24" xfId="7486"/>
    <cellStyle name="Comma 3 8 25" xfId="19771"/>
    <cellStyle name="Comma 3 8 26" xfId="19772"/>
    <cellStyle name="Comma 3 8 27" xfId="19773"/>
    <cellStyle name="Comma 3 8 28" xfId="19774"/>
    <cellStyle name="Comma 3 8 29" xfId="19775"/>
    <cellStyle name="Comma 3 8 3" xfId="7487"/>
    <cellStyle name="Comma 3 8 30" xfId="19776"/>
    <cellStyle name="Comma 3 8 31" xfId="19777"/>
    <cellStyle name="Comma 3 8 32" xfId="19778"/>
    <cellStyle name="Comma 3 8 33" xfId="19779"/>
    <cellStyle name="Comma 3 8 34" xfId="19780"/>
    <cellStyle name="Comma 3 8 35" xfId="19781"/>
    <cellStyle name="Comma 3 8 36" xfId="19782"/>
    <cellStyle name="Comma 3 8 37" xfId="19783"/>
    <cellStyle name="Comma 3 8 4" xfId="7488"/>
    <cellStyle name="Comma 3 8 5" xfId="7489"/>
    <cellStyle name="Comma 3 8 6" xfId="7490"/>
    <cellStyle name="Comma 3 8 7" xfId="7491"/>
    <cellStyle name="Comma 3 8 8" xfId="7492"/>
    <cellStyle name="Comma 3 8 9" xfId="7493"/>
    <cellStyle name="Comma 3 9" xfId="352"/>
    <cellStyle name="Comma 3 9 10" xfId="7494"/>
    <cellStyle name="Comma 3 9 11" xfId="7495"/>
    <cellStyle name="Comma 3 9 12" xfId="7496"/>
    <cellStyle name="Comma 3 9 13" xfId="7497"/>
    <cellStyle name="Comma 3 9 14" xfId="7498"/>
    <cellStyle name="Comma 3 9 15" xfId="7499"/>
    <cellStyle name="Comma 3 9 16" xfId="7500"/>
    <cellStyle name="Comma 3 9 17" xfId="7501"/>
    <cellStyle name="Comma 3 9 18" xfId="7502"/>
    <cellStyle name="Comma 3 9 19" xfId="7503"/>
    <cellStyle name="Comma 3 9 2" xfId="353"/>
    <cellStyle name="Comma 3 9 20" xfId="7504"/>
    <cellStyle name="Comma 3 9 21" xfId="7505"/>
    <cellStyle name="Comma 3 9 22" xfId="7506"/>
    <cellStyle name="Comma 3 9 23" xfId="7507"/>
    <cellStyle name="Comma 3 9 24" xfId="7508"/>
    <cellStyle name="Comma 3 9 25" xfId="19784"/>
    <cellStyle name="Comma 3 9 26" xfId="19785"/>
    <cellStyle name="Comma 3 9 27" xfId="19786"/>
    <cellStyle name="Comma 3 9 28" xfId="19787"/>
    <cellStyle name="Comma 3 9 29" xfId="19788"/>
    <cellStyle name="Comma 3 9 3" xfId="7509"/>
    <cellStyle name="Comma 3 9 30" xfId="19789"/>
    <cellStyle name="Comma 3 9 31" xfId="19790"/>
    <cellStyle name="Comma 3 9 32" xfId="19791"/>
    <cellStyle name="Comma 3 9 33" xfId="19792"/>
    <cellStyle name="Comma 3 9 34" xfId="19793"/>
    <cellStyle name="Comma 3 9 35" xfId="19794"/>
    <cellStyle name="Comma 3 9 36" xfId="19795"/>
    <cellStyle name="Comma 3 9 37" xfId="19796"/>
    <cellStyle name="Comma 3 9 4" xfId="7510"/>
    <cellStyle name="Comma 3 9 5" xfId="7511"/>
    <cellStyle name="Comma 3 9 6" xfId="7512"/>
    <cellStyle name="Comma 3 9 7" xfId="7513"/>
    <cellStyle name="Comma 3 9 8" xfId="7514"/>
    <cellStyle name="Comma 3 9 9" xfId="7515"/>
    <cellStyle name="Comma 30" xfId="28"/>
    <cellStyle name="Comma 30 10" xfId="354"/>
    <cellStyle name="Comma 30 10 10" xfId="7516"/>
    <cellStyle name="Comma 30 10 11" xfId="7517"/>
    <cellStyle name="Comma 30 10 12" xfId="7518"/>
    <cellStyle name="Comma 30 10 13" xfId="7519"/>
    <cellStyle name="Comma 30 10 14" xfId="7520"/>
    <cellStyle name="Comma 30 10 15" xfId="7521"/>
    <cellStyle name="Comma 30 10 16" xfId="7522"/>
    <cellStyle name="Comma 30 10 17" xfId="7523"/>
    <cellStyle name="Comma 30 10 18" xfId="7524"/>
    <cellStyle name="Comma 30 10 19" xfId="7525"/>
    <cellStyle name="Comma 30 10 2" xfId="7526"/>
    <cellStyle name="Comma 30 10 20" xfId="7527"/>
    <cellStyle name="Comma 30 10 21" xfId="7528"/>
    <cellStyle name="Comma 30 10 22" xfId="7529"/>
    <cellStyle name="Comma 30 10 23" xfId="19797"/>
    <cellStyle name="Comma 30 10 24" xfId="19798"/>
    <cellStyle name="Comma 30 10 25" xfId="19799"/>
    <cellStyle name="Comma 30 10 26" xfId="19800"/>
    <cellStyle name="Comma 30 10 27" xfId="19801"/>
    <cellStyle name="Comma 30 10 28" xfId="19802"/>
    <cellStyle name="Comma 30 10 29" xfId="19803"/>
    <cellStyle name="Comma 30 10 3" xfId="7530"/>
    <cellStyle name="Comma 30 10 30" xfId="19804"/>
    <cellStyle name="Comma 30 10 31" xfId="19805"/>
    <cellStyle name="Comma 30 10 32" xfId="19806"/>
    <cellStyle name="Comma 30 10 33" xfId="19807"/>
    <cellStyle name="Comma 30 10 34" xfId="19808"/>
    <cellStyle name="Comma 30 10 35" xfId="19809"/>
    <cellStyle name="Comma 30 10 4" xfId="7531"/>
    <cellStyle name="Comma 30 10 5" xfId="7532"/>
    <cellStyle name="Comma 30 10 6" xfId="7533"/>
    <cellStyle name="Comma 30 10 7" xfId="7534"/>
    <cellStyle name="Comma 30 10 8" xfId="7535"/>
    <cellStyle name="Comma 30 10 9" xfId="7536"/>
    <cellStyle name="Comma 30 11" xfId="355"/>
    <cellStyle name="Comma 30 11 10" xfId="7537"/>
    <cellStyle name="Comma 30 11 11" xfId="7538"/>
    <cellStyle name="Comma 30 11 12" xfId="7539"/>
    <cellStyle name="Comma 30 11 13" xfId="7540"/>
    <cellStyle name="Comma 30 11 14" xfId="7541"/>
    <cellStyle name="Comma 30 11 15" xfId="7542"/>
    <cellStyle name="Comma 30 11 16" xfId="7543"/>
    <cellStyle name="Comma 30 11 17" xfId="7544"/>
    <cellStyle name="Comma 30 11 18" xfId="7545"/>
    <cellStyle name="Comma 30 11 19" xfId="7546"/>
    <cellStyle name="Comma 30 11 2" xfId="7547"/>
    <cellStyle name="Comma 30 11 20" xfId="7548"/>
    <cellStyle name="Comma 30 11 21" xfId="7549"/>
    <cellStyle name="Comma 30 11 22" xfId="7550"/>
    <cellStyle name="Comma 30 11 23" xfId="19810"/>
    <cellStyle name="Comma 30 11 24" xfId="19811"/>
    <cellStyle name="Comma 30 11 25" xfId="19812"/>
    <cellStyle name="Comma 30 11 26" xfId="19813"/>
    <cellStyle name="Comma 30 11 27" xfId="19814"/>
    <cellStyle name="Comma 30 11 28" xfId="19815"/>
    <cellStyle name="Comma 30 11 29" xfId="19816"/>
    <cellStyle name="Comma 30 11 3" xfId="7551"/>
    <cellStyle name="Comma 30 11 30" xfId="19817"/>
    <cellStyle name="Comma 30 11 31" xfId="19818"/>
    <cellStyle name="Comma 30 11 32" xfId="19819"/>
    <cellStyle name="Comma 30 11 33" xfId="19820"/>
    <cellStyle name="Comma 30 11 34" xfId="19821"/>
    <cellStyle name="Comma 30 11 35" xfId="19822"/>
    <cellStyle name="Comma 30 11 4" xfId="7552"/>
    <cellStyle name="Comma 30 11 5" xfId="7553"/>
    <cellStyle name="Comma 30 11 6" xfId="7554"/>
    <cellStyle name="Comma 30 11 7" xfId="7555"/>
    <cellStyle name="Comma 30 11 8" xfId="7556"/>
    <cellStyle name="Comma 30 11 9" xfId="7557"/>
    <cellStyle name="Comma 30 12" xfId="356"/>
    <cellStyle name="Comma 30 12 10" xfId="7558"/>
    <cellStyle name="Comma 30 12 11" xfId="7559"/>
    <cellStyle name="Comma 30 12 12" xfId="7560"/>
    <cellStyle name="Comma 30 12 13" xfId="7561"/>
    <cellStyle name="Comma 30 12 14" xfId="7562"/>
    <cellStyle name="Comma 30 12 15" xfId="7563"/>
    <cellStyle name="Comma 30 12 16" xfId="7564"/>
    <cellStyle name="Comma 30 12 17" xfId="7565"/>
    <cellStyle name="Comma 30 12 18" xfId="7566"/>
    <cellStyle name="Comma 30 12 19" xfId="7567"/>
    <cellStyle name="Comma 30 12 2" xfId="7568"/>
    <cellStyle name="Comma 30 12 20" xfId="7569"/>
    <cellStyle name="Comma 30 12 21" xfId="7570"/>
    <cellStyle name="Comma 30 12 22" xfId="7571"/>
    <cellStyle name="Comma 30 12 23" xfId="19823"/>
    <cellStyle name="Comma 30 12 24" xfId="19824"/>
    <cellStyle name="Comma 30 12 25" xfId="19825"/>
    <cellStyle name="Comma 30 12 26" xfId="19826"/>
    <cellStyle name="Comma 30 12 27" xfId="19827"/>
    <cellStyle name="Comma 30 12 28" xfId="19828"/>
    <cellStyle name="Comma 30 12 29" xfId="19829"/>
    <cellStyle name="Comma 30 12 3" xfId="7572"/>
    <cellStyle name="Comma 30 12 30" xfId="19830"/>
    <cellStyle name="Comma 30 12 31" xfId="19831"/>
    <cellStyle name="Comma 30 12 32" xfId="19832"/>
    <cellStyle name="Comma 30 12 33" xfId="19833"/>
    <cellStyle name="Comma 30 12 34" xfId="19834"/>
    <cellStyle name="Comma 30 12 35" xfId="19835"/>
    <cellStyle name="Comma 30 12 4" xfId="7573"/>
    <cellStyle name="Comma 30 12 5" xfId="7574"/>
    <cellStyle name="Comma 30 12 6" xfId="7575"/>
    <cellStyle name="Comma 30 12 7" xfId="7576"/>
    <cellStyle name="Comma 30 12 8" xfId="7577"/>
    <cellStyle name="Comma 30 12 9" xfId="7578"/>
    <cellStyle name="Comma 30 13" xfId="357"/>
    <cellStyle name="Comma 30 13 10" xfId="7579"/>
    <cellStyle name="Comma 30 13 11" xfId="7580"/>
    <cellStyle name="Comma 30 13 12" xfId="7581"/>
    <cellStyle name="Comma 30 13 13" xfId="7582"/>
    <cellStyle name="Comma 30 13 14" xfId="7583"/>
    <cellStyle name="Comma 30 13 15" xfId="7584"/>
    <cellStyle name="Comma 30 13 16" xfId="7585"/>
    <cellStyle name="Comma 30 13 17" xfId="7586"/>
    <cellStyle name="Comma 30 13 18" xfId="7587"/>
    <cellStyle name="Comma 30 13 19" xfId="7588"/>
    <cellStyle name="Comma 30 13 2" xfId="7589"/>
    <cellStyle name="Comma 30 13 20" xfId="7590"/>
    <cellStyle name="Comma 30 13 21" xfId="7591"/>
    <cellStyle name="Comma 30 13 22" xfId="7592"/>
    <cellStyle name="Comma 30 13 23" xfId="19836"/>
    <cellStyle name="Comma 30 13 24" xfId="19837"/>
    <cellStyle name="Comma 30 13 25" xfId="19838"/>
    <cellStyle name="Comma 30 13 26" xfId="19839"/>
    <cellStyle name="Comma 30 13 27" xfId="19840"/>
    <cellStyle name="Comma 30 13 28" xfId="19841"/>
    <cellStyle name="Comma 30 13 29" xfId="19842"/>
    <cellStyle name="Comma 30 13 3" xfId="7593"/>
    <cellStyle name="Comma 30 13 30" xfId="19843"/>
    <cellStyle name="Comma 30 13 31" xfId="19844"/>
    <cellStyle name="Comma 30 13 32" xfId="19845"/>
    <cellStyle name="Comma 30 13 33" xfId="19846"/>
    <cellStyle name="Comma 30 13 34" xfId="19847"/>
    <cellStyle name="Comma 30 13 35" xfId="19848"/>
    <cellStyle name="Comma 30 13 4" xfId="7594"/>
    <cellStyle name="Comma 30 13 5" xfId="7595"/>
    <cellStyle name="Comma 30 13 6" xfId="7596"/>
    <cellStyle name="Comma 30 13 7" xfId="7597"/>
    <cellStyle name="Comma 30 13 8" xfId="7598"/>
    <cellStyle name="Comma 30 13 9" xfId="7599"/>
    <cellStyle name="Comma 30 14" xfId="358"/>
    <cellStyle name="Comma 30 14 10" xfId="7600"/>
    <cellStyle name="Comma 30 14 11" xfId="7601"/>
    <cellStyle name="Comma 30 14 12" xfId="7602"/>
    <cellStyle name="Comma 30 14 13" xfId="7603"/>
    <cellStyle name="Comma 30 14 14" xfId="7604"/>
    <cellStyle name="Comma 30 14 15" xfId="7605"/>
    <cellStyle name="Comma 30 14 16" xfId="7606"/>
    <cellStyle name="Comma 30 14 17" xfId="7607"/>
    <cellStyle name="Comma 30 14 18" xfId="7608"/>
    <cellStyle name="Comma 30 14 19" xfId="7609"/>
    <cellStyle name="Comma 30 14 2" xfId="7610"/>
    <cellStyle name="Comma 30 14 20" xfId="7611"/>
    <cellStyle name="Comma 30 14 21" xfId="7612"/>
    <cellStyle name="Comma 30 14 22" xfId="7613"/>
    <cellStyle name="Comma 30 14 23" xfId="19849"/>
    <cellStyle name="Comma 30 14 24" xfId="19850"/>
    <cellStyle name="Comma 30 14 25" xfId="19851"/>
    <cellStyle name="Comma 30 14 26" xfId="19852"/>
    <cellStyle name="Comma 30 14 27" xfId="19853"/>
    <cellStyle name="Comma 30 14 28" xfId="19854"/>
    <cellStyle name="Comma 30 14 29" xfId="19855"/>
    <cellStyle name="Comma 30 14 3" xfId="7614"/>
    <cellStyle name="Comma 30 14 30" xfId="19856"/>
    <cellStyle name="Comma 30 14 31" xfId="19857"/>
    <cellStyle name="Comma 30 14 32" xfId="19858"/>
    <cellStyle name="Comma 30 14 33" xfId="19859"/>
    <cellStyle name="Comma 30 14 34" xfId="19860"/>
    <cellStyle name="Comma 30 14 35" xfId="19861"/>
    <cellStyle name="Comma 30 14 4" xfId="7615"/>
    <cellStyle name="Comma 30 14 5" xfId="7616"/>
    <cellStyle name="Comma 30 14 6" xfId="7617"/>
    <cellStyle name="Comma 30 14 7" xfId="7618"/>
    <cellStyle name="Comma 30 14 8" xfId="7619"/>
    <cellStyle name="Comma 30 14 9" xfId="7620"/>
    <cellStyle name="Comma 30 15" xfId="359"/>
    <cellStyle name="Comma 30 16" xfId="1414"/>
    <cellStyle name="Comma 30 17" xfId="1561"/>
    <cellStyle name="Comma 30 18" xfId="1614"/>
    <cellStyle name="Comma 30 19" xfId="1666"/>
    <cellStyle name="Comma 30 2" xfId="360"/>
    <cellStyle name="Comma 30 2 10" xfId="7621"/>
    <cellStyle name="Comma 30 2 11" xfId="7622"/>
    <cellStyle name="Comma 30 2 12" xfId="7623"/>
    <cellStyle name="Comma 30 2 13" xfId="7624"/>
    <cellStyle name="Comma 30 2 14" xfId="7625"/>
    <cellStyle name="Comma 30 2 15" xfId="7626"/>
    <cellStyle name="Comma 30 2 16" xfId="7627"/>
    <cellStyle name="Comma 30 2 17" xfId="7628"/>
    <cellStyle name="Comma 30 2 18" xfId="7629"/>
    <cellStyle name="Comma 30 2 19" xfId="7630"/>
    <cellStyle name="Comma 30 2 2" xfId="7631"/>
    <cellStyle name="Comma 30 2 20" xfId="7632"/>
    <cellStyle name="Comma 30 2 21" xfId="7633"/>
    <cellStyle name="Comma 30 2 22" xfId="7634"/>
    <cellStyle name="Comma 30 2 23" xfId="19862"/>
    <cellStyle name="Comma 30 2 24" xfId="19863"/>
    <cellStyle name="Comma 30 2 25" xfId="19864"/>
    <cellStyle name="Comma 30 2 26" xfId="19865"/>
    <cellStyle name="Comma 30 2 27" xfId="19866"/>
    <cellStyle name="Comma 30 2 28" xfId="19867"/>
    <cellStyle name="Comma 30 2 29" xfId="19868"/>
    <cellStyle name="Comma 30 2 3" xfId="7635"/>
    <cellStyle name="Comma 30 2 30" xfId="19869"/>
    <cellStyle name="Comma 30 2 31" xfId="19870"/>
    <cellStyle name="Comma 30 2 32" xfId="19871"/>
    <cellStyle name="Comma 30 2 33" xfId="19872"/>
    <cellStyle name="Comma 30 2 34" xfId="19873"/>
    <cellStyle name="Comma 30 2 35" xfId="19874"/>
    <cellStyle name="Comma 30 2 4" xfId="7636"/>
    <cellStyle name="Comma 30 2 5" xfId="7637"/>
    <cellStyle name="Comma 30 2 6" xfId="7638"/>
    <cellStyle name="Comma 30 2 7" xfId="7639"/>
    <cellStyle name="Comma 30 2 8" xfId="7640"/>
    <cellStyle name="Comma 30 2 9" xfId="7641"/>
    <cellStyle name="Comma 30 20" xfId="1716"/>
    <cellStyle name="Comma 30 21" xfId="1829"/>
    <cellStyle name="Comma 30 22" xfId="2115"/>
    <cellStyle name="Comma 30 23" xfId="2542"/>
    <cellStyle name="Comma 30 24" xfId="2943"/>
    <cellStyle name="Comma 30 25" xfId="3023"/>
    <cellStyle name="Comma 30 26" xfId="3086"/>
    <cellStyle name="Comma 30 27" xfId="3139"/>
    <cellStyle name="Comma 30 28" xfId="3193"/>
    <cellStyle name="Comma 30 29" xfId="7642"/>
    <cellStyle name="Comma 30 3" xfId="361"/>
    <cellStyle name="Comma 30 3 10" xfId="7643"/>
    <cellStyle name="Comma 30 3 11" xfId="7644"/>
    <cellStyle name="Comma 30 3 12" xfId="7645"/>
    <cellStyle name="Comma 30 3 13" xfId="7646"/>
    <cellStyle name="Comma 30 3 14" xfId="7647"/>
    <cellStyle name="Comma 30 3 15" xfId="7648"/>
    <cellStyle name="Comma 30 3 16" xfId="7649"/>
    <cellStyle name="Comma 30 3 17" xfId="7650"/>
    <cellStyle name="Comma 30 3 18" xfId="7651"/>
    <cellStyle name="Comma 30 3 19" xfId="7652"/>
    <cellStyle name="Comma 30 3 2" xfId="7653"/>
    <cellStyle name="Comma 30 3 20" xfId="7654"/>
    <cellStyle name="Comma 30 3 21" xfId="7655"/>
    <cellStyle name="Comma 30 3 22" xfId="7656"/>
    <cellStyle name="Comma 30 3 23" xfId="19875"/>
    <cellStyle name="Comma 30 3 24" xfId="19876"/>
    <cellStyle name="Comma 30 3 25" xfId="19877"/>
    <cellStyle name="Comma 30 3 26" xfId="19878"/>
    <cellStyle name="Comma 30 3 27" xfId="19879"/>
    <cellStyle name="Comma 30 3 28" xfId="19880"/>
    <cellStyle name="Comma 30 3 29" xfId="19881"/>
    <cellStyle name="Comma 30 3 3" xfId="7657"/>
    <cellStyle name="Comma 30 3 30" xfId="19882"/>
    <cellStyle name="Comma 30 3 31" xfId="19883"/>
    <cellStyle name="Comma 30 3 32" xfId="19884"/>
    <cellStyle name="Comma 30 3 33" xfId="19885"/>
    <cellStyle name="Comma 30 3 34" xfId="19886"/>
    <cellStyle name="Comma 30 3 35" xfId="19887"/>
    <cellStyle name="Comma 30 3 4" xfId="7658"/>
    <cellStyle name="Comma 30 3 5" xfId="7659"/>
    <cellStyle name="Comma 30 3 6" xfId="7660"/>
    <cellStyle name="Comma 30 3 7" xfId="7661"/>
    <cellStyle name="Comma 30 3 8" xfId="7662"/>
    <cellStyle name="Comma 30 3 9" xfId="7663"/>
    <cellStyle name="Comma 30 30" xfId="7664"/>
    <cellStyle name="Comma 30 31" xfId="7665"/>
    <cellStyle name="Comma 30 32" xfId="7666"/>
    <cellStyle name="Comma 30 33" xfId="7667"/>
    <cellStyle name="Comma 30 34" xfId="7668"/>
    <cellStyle name="Comma 30 35" xfId="7669"/>
    <cellStyle name="Comma 30 36" xfId="7670"/>
    <cellStyle name="Comma 30 37" xfId="7671"/>
    <cellStyle name="Comma 30 38" xfId="19888"/>
    <cellStyle name="Comma 30 39" xfId="19889"/>
    <cellStyle name="Comma 30 4" xfId="362"/>
    <cellStyle name="Comma 30 4 10" xfId="7672"/>
    <cellStyle name="Comma 30 4 11" xfId="7673"/>
    <cellStyle name="Comma 30 4 12" xfId="7674"/>
    <cellStyle name="Comma 30 4 13" xfId="7675"/>
    <cellStyle name="Comma 30 4 14" xfId="7676"/>
    <cellStyle name="Comma 30 4 15" xfId="7677"/>
    <cellStyle name="Comma 30 4 16" xfId="7678"/>
    <cellStyle name="Comma 30 4 17" xfId="7679"/>
    <cellStyle name="Comma 30 4 18" xfId="7680"/>
    <cellStyle name="Comma 30 4 19" xfId="7681"/>
    <cellStyle name="Comma 30 4 2" xfId="7682"/>
    <cellStyle name="Comma 30 4 20" xfId="7683"/>
    <cellStyle name="Comma 30 4 21" xfId="7684"/>
    <cellStyle name="Comma 30 4 22" xfId="7685"/>
    <cellStyle name="Comma 30 4 23" xfId="19890"/>
    <cellStyle name="Comma 30 4 24" xfId="19891"/>
    <cellStyle name="Comma 30 4 25" xfId="19892"/>
    <cellStyle name="Comma 30 4 26" xfId="19893"/>
    <cellStyle name="Comma 30 4 27" xfId="19894"/>
    <cellStyle name="Comma 30 4 28" xfId="19895"/>
    <cellStyle name="Comma 30 4 29" xfId="19896"/>
    <cellStyle name="Comma 30 4 3" xfId="7686"/>
    <cellStyle name="Comma 30 4 30" xfId="19897"/>
    <cellStyle name="Comma 30 4 31" xfId="19898"/>
    <cellStyle name="Comma 30 4 32" xfId="19899"/>
    <cellStyle name="Comma 30 4 33" xfId="19900"/>
    <cellStyle name="Comma 30 4 34" xfId="19901"/>
    <cellStyle name="Comma 30 4 35" xfId="19902"/>
    <cellStyle name="Comma 30 4 4" xfId="7687"/>
    <cellStyle name="Comma 30 4 5" xfId="7688"/>
    <cellStyle name="Comma 30 4 6" xfId="7689"/>
    <cellStyle name="Comma 30 4 7" xfId="7690"/>
    <cellStyle name="Comma 30 4 8" xfId="7691"/>
    <cellStyle name="Comma 30 4 9" xfId="7692"/>
    <cellStyle name="Comma 30 40" xfId="19903"/>
    <cellStyle name="Comma 30 41" xfId="19904"/>
    <cellStyle name="Comma 30 42" xfId="19905"/>
    <cellStyle name="Comma 30 43" xfId="19906"/>
    <cellStyle name="Comma 30 44" xfId="19907"/>
    <cellStyle name="Comma 30 45" xfId="19908"/>
    <cellStyle name="Comma 30 46" xfId="19909"/>
    <cellStyle name="Comma 30 47" xfId="19910"/>
    <cellStyle name="Comma 30 48" xfId="19911"/>
    <cellStyle name="Comma 30 49" xfId="19912"/>
    <cellStyle name="Comma 30 5" xfId="363"/>
    <cellStyle name="Comma 30 5 10" xfId="7693"/>
    <cellStyle name="Comma 30 5 11" xfId="7694"/>
    <cellStyle name="Comma 30 5 12" xfId="7695"/>
    <cellStyle name="Comma 30 5 13" xfId="7696"/>
    <cellStyle name="Comma 30 5 14" xfId="7697"/>
    <cellStyle name="Comma 30 5 15" xfId="7698"/>
    <cellStyle name="Comma 30 5 16" xfId="7699"/>
    <cellStyle name="Comma 30 5 17" xfId="7700"/>
    <cellStyle name="Comma 30 5 18" xfId="7701"/>
    <cellStyle name="Comma 30 5 19" xfId="7702"/>
    <cellStyle name="Comma 30 5 2" xfId="7703"/>
    <cellStyle name="Comma 30 5 20" xfId="7704"/>
    <cellStyle name="Comma 30 5 21" xfId="7705"/>
    <cellStyle name="Comma 30 5 22" xfId="7706"/>
    <cellStyle name="Comma 30 5 23" xfId="19913"/>
    <cellStyle name="Comma 30 5 24" xfId="19914"/>
    <cellStyle name="Comma 30 5 25" xfId="19915"/>
    <cellStyle name="Comma 30 5 26" xfId="19916"/>
    <cellStyle name="Comma 30 5 27" xfId="19917"/>
    <cellStyle name="Comma 30 5 28" xfId="19918"/>
    <cellStyle name="Comma 30 5 29" xfId="19919"/>
    <cellStyle name="Comma 30 5 3" xfId="7707"/>
    <cellStyle name="Comma 30 5 30" xfId="19920"/>
    <cellStyle name="Comma 30 5 31" xfId="19921"/>
    <cellStyle name="Comma 30 5 32" xfId="19922"/>
    <cellStyle name="Comma 30 5 33" xfId="19923"/>
    <cellStyle name="Comma 30 5 34" xfId="19924"/>
    <cellStyle name="Comma 30 5 35" xfId="19925"/>
    <cellStyle name="Comma 30 5 4" xfId="7708"/>
    <cellStyle name="Comma 30 5 5" xfId="7709"/>
    <cellStyle name="Comma 30 5 6" xfId="7710"/>
    <cellStyle name="Comma 30 5 7" xfId="7711"/>
    <cellStyle name="Comma 30 5 8" xfId="7712"/>
    <cellStyle name="Comma 30 5 9" xfId="7713"/>
    <cellStyle name="Comma 30 50" xfId="19926"/>
    <cellStyle name="Comma 30 6" xfId="364"/>
    <cellStyle name="Comma 30 6 10" xfId="7714"/>
    <cellStyle name="Comma 30 6 11" xfId="7715"/>
    <cellStyle name="Comma 30 6 12" xfId="7716"/>
    <cellStyle name="Comma 30 6 13" xfId="7717"/>
    <cellStyle name="Comma 30 6 14" xfId="7718"/>
    <cellStyle name="Comma 30 6 15" xfId="7719"/>
    <cellStyle name="Comma 30 6 16" xfId="7720"/>
    <cellStyle name="Comma 30 6 17" xfId="7721"/>
    <cellStyle name="Comma 30 6 18" xfId="7722"/>
    <cellStyle name="Comma 30 6 19" xfId="7723"/>
    <cellStyle name="Comma 30 6 2" xfId="7724"/>
    <cellStyle name="Comma 30 6 20" xfId="7725"/>
    <cellStyle name="Comma 30 6 21" xfId="7726"/>
    <cellStyle name="Comma 30 6 22" xfId="7727"/>
    <cellStyle name="Comma 30 6 23" xfId="19927"/>
    <cellStyle name="Comma 30 6 24" xfId="19928"/>
    <cellStyle name="Comma 30 6 25" xfId="19929"/>
    <cellStyle name="Comma 30 6 26" xfId="19930"/>
    <cellStyle name="Comma 30 6 27" xfId="19931"/>
    <cellStyle name="Comma 30 6 28" xfId="19932"/>
    <cellStyle name="Comma 30 6 29" xfId="19933"/>
    <cellStyle name="Comma 30 6 3" xfId="7728"/>
    <cellStyle name="Comma 30 6 30" xfId="19934"/>
    <cellStyle name="Comma 30 6 31" xfId="19935"/>
    <cellStyle name="Comma 30 6 32" xfId="19936"/>
    <cellStyle name="Comma 30 6 33" xfId="19937"/>
    <cellStyle name="Comma 30 6 34" xfId="19938"/>
    <cellStyle name="Comma 30 6 35" xfId="19939"/>
    <cellStyle name="Comma 30 6 4" xfId="7729"/>
    <cellStyle name="Comma 30 6 5" xfId="7730"/>
    <cellStyle name="Comma 30 6 6" xfId="7731"/>
    <cellStyle name="Comma 30 6 7" xfId="7732"/>
    <cellStyle name="Comma 30 6 8" xfId="7733"/>
    <cellStyle name="Comma 30 6 9" xfId="7734"/>
    <cellStyle name="Comma 30 7" xfId="365"/>
    <cellStyle name="Comma 30 7 10" xfId="7735"/>
    <cellStyle name="Comma 30 7 11" xfId="7736"/>
    <cellStyle name="Comma 30 7 12" xfId="7737"/>
    <cellStyle name="Comma 30 7 13" xfId="7738"/>
    <cellStyle name="Comma 30 7 14" xfId="7739"/>
    <cellStyle name="Comma 30 7 15" xfId="7740"/>
    <cellStyle name="Comma 30 7 16" xfId="7741"/>
    <cellStyle name="Comma 30 7 17" xfId="7742"/>
    <cellStyle name="Comma 30 7 18" xfId="7743"/>
    <cellStyle name="Comma 30 7 19" xfId="7744"/>
    <cellStyle name="Comma 30 7 2" xfId="7745"/>
    <cellStyle name="Comma 30 7 20" xfId="7746"/>
    <cellStyle name="Comma 30 7 21" xfId="7747"/>
    <cellStyle name="Comma 30 7 22" xfId="7748"/>
    <cellStyle name="Comma 30 7 23" xfId="19940"/>
    <cellStyle name="Comma 30 7 24" xfId="19941"/>
    <cellStyle name="Comma 30 7 25" xfId="19942"/>
    <cellStyle name="Comma 30 7 26" xfId="19943"/>
    <cellStyle name="Comma 30 7 27" xfId="19944"/>
    <cellStyle name="Comma 30 7 28" xfId="19945"/>
    <cellStyle name="Comma 30 7 29" xfId="19946"/>
    <cellStyle name="Comma 30 7 3" xfId="7749"/>
    <cellStyle name="Comma 30 7 30" xfId="19947"/>
    <cellStyle name="Comma 30 7 31" xfId="19948"/>
    <cellStyle name="Comma 30 7 32" xfId="19949"/>
    <cellStyle name="Comma 30 7 33" xfId="19950"/>
    <cellStyle name="Comma 30 7 34" xfId="19951"/>
    <cellStyle name="Comma 30 7 35" xfId="19952"/>
    <cellStyle name="Comma 30 7 4" xfId="7750"/>
    <cellStyle name="Comma 30 7 5" xfId="7751"/>
    <cellStyle name="Comma 30 7 6" xfId="7752"/>
    <cellStyle name="Comma 30 7 7" xfId="7753"/>
    <cellStyle name="Comma 30 7 8" xfId="7754"/>
    <cellStyle name="Comma 30 7 9" xfId="7755"/>
    <cellStyle name="Comma 30 8" xfId="366"/>
    <cellStyle name="Comma 30 8 10" xfId="7756"/>
    <cellStyle name="Comma 30 8 11" xfId="7757"/>
    <cellStyle name="Comma 30 8 12" xfId="7758"/>
    <cellStyle name="Comma 30 8 13" xfId="7759"/>
    <cellStyle name="Comma 30 8 14" xfId="7760"/>
    <cellStyle name="Comma 30 8 15" xfId="7761"/>
    <cellStyle name="Comma 30 8 16" xfId="7762"/>
    <cellStyle name="Comma 30 8 17" xfId="7763"/>
    <cellStyle name="Comma 30 8 18" xfId="7764"/>
    <cellStyle name="Comma 30 8 19" xfId="7765"/>
    <cellStyle name="Comma 30 8 2" xfId="7766"/>
    <cellStyle name="Comma 30 8 20" xfId="7767"/>
    <cellStyle name="Comma 30 8 21" xfId="7768"/>
    <cellStyle name="Comma 30 8 22" xfId="7769"/>
    <cellStyle name="Comma 30 8 23" xfId="19953"/>
    <cellStyle name="Comma 30 8 24" xfId="19954"/>
    <cellStyle name="Comma 30 8 25" xfId="19955"/>
    <cellStyle name="Comma 30 8 26" xfId="19956"/>
    <cellStyle name="Comma 30 8 27" xfId="19957"/>
    <cellStyle name="Comma 30 8 28" xfId="19958"/>
    <cellStyle name="Comma 30 8 29" xfId="19959"/>
    <cellStyle name="Comma 30 8 3" xfId="7770"/>
    <cellStyle name="Comma 30 8 30" xfId="19960"/>
    <cellStyle name="Comma 30 8 31" xfId="19961"/>
    <cellStyle name="Comma 30 8 32" xfId="19962"/>
    <cellStyle name="Comma 30 8 33" xfId="19963"/>
    <cellStyle name="Comma 30 8 34" xfId="19964"/>
    <cellStyle name="Comma 30 8 35" xfId="19965"/>
    <cellStyle name="Comma 30 8 4" xfId="7771"/>
    <cellStyle name="Comma 30 8 5" xfId="7772"/>
    <cellStyle name="Comma 30 8 6" xfId="7773"/>
    <cellStyle name="Comma 30 8 7" xfId="7774"/>
    <cellStyle name="Comma 30 8 8" xfId="7775"/>
    <cellStyle name="Comma 30 8 9" xfId="7776"/>
    <cellStyle name="Comma 30 9" xfId="367"/>
    <cellStyle name="Comma 30 9 10" xfId="7777"/>
    <cellStyle name="Comma 30 9 11" xfId="7778"/>
    <cellStyle name="Comma 30 9 12" xfId="7779"/>
    <cellStyle name="Comma 30 9 13" xfId="7780"/>
    <cellStyle name="Comma 30 9 14" xfId="7781"/>
    <cellStyle name="Comma 30 9 15" xfId="7782"/>
    <cellStyle name="Comma 30 9 16" xfId="7783"/>
    <cellStyle name="Comma 30 9 17" xfId="7784"/>
    <cellStyle name="Comma 30 9 18" xfId="7785"/>
    <cellStyle name="Comma 30 9 19" xfId="7786"/>
    <cellStyle name="Comma 30 9 2" xfId="7787"/>
    <cellStyle name="Comma 30 9 20" xfId="7788"/>
    <cellStyle name="Comma 30 9 21" xfId="7789"/>
    <cellStyle name="Comma 30 9 22" xfId="7790"/>
    <cellStyle name="Comma 30 9 23" xfId="19966"/>
    <cellStyle name="Comma 30 9 24" xfId="19967"/>
    <cellStyle name="Comma 30 9 25" xfId="19968"/>
    <cellStyle name="Comma 30 9 26" xfId="19969"/>
    <cellStyle name="Comma 30 9 27" xfId="19970"/>
    <cellStyle name="Comma 30 9 28" xfId="19971"/>
    <cellStyle name="Comma 30 9 29" xfId="19972"/>
    <cellStyle name="Comma 30 9 3" xfId="7791"/>
    <cellStyle name="Comma 30 9 30" xfId="19973"/>
    <cellStyle name="Comma 30 9 31" xfId="19974"/>
    <cellStyle name="Comma 30 9 32" xfId="19975"/>
    <cellStyle name="Comma 30 9 33" xfId="19976"/>
    <cellStyle name="Comma 30 9 34" xfId="19977"/>
    <cellStyle name="Comma 30 9 35" xfId="19978"/>
    <cellStyle name="Comma 30 9 4" xfId="7792"/>
    <cellStyle name="Comma 30 9 5" xfId="7793"/>
    <cellStyle name="Comma 30 9 6" xfId="7794"/>
    <cellStyle name="Comma 30 9 7" xfId="7795"/>
    <cellStyle name="Comma 30 9 8" xfId="7796"/>
    <cellStyle name="Comma 30 9 9" xfId="7797"/>
    <cellStyle name="Comma 31" xfId="29"/>
    <cellStyle name="Comma 31 10" xfId="368"/>
    <cellStyle name="Comma 31 10 10" xfId="7798"/>
    <cellStyle name="Comma 31 10 11" xfId="7799"/>
    <cellStyle name="Comma 31 10 12" xfId="7800"/>
    <cellStyle name="Comma 31 10 13" xfId="7801"/>
    <cellStyle name="Comma 31 10 14" xfId="7802"/>
    <cellStyle name="Comma 31 10 15" xfId="7803"/>
    <cellStyle name="Comma 31 10 16" xfId="7804"/>
    <cellStyle name="Comma 31 10 17" xfId="7805"/>
    <cellStyle name="Comma 31 10 18" xfId="7806"/>
    <cellStyle name="Comma 31 10 19" xfId="7807"/>
    <cellStyle name="Comma 31 10 2" xfId="7808"/>
    <cellStyle name="Comma 31 10 20" xfId="7809"/>
    <cellStyle name="Comma 31 10 21" xfId="7810"/>
    <cellStyle name="Comma 31 10 22" xfId="7811"/>
    <cellStyle name="Comma 31 10 23" xfId="19979"/>
    <cellStyle name="Comma 31 10 24" xfId="19980"/>
    <cellStyle name="Comma 31 10 25" xfId="19981"/>
    <cellStyle name="Comma 31 10 26" xfId="19982"/>
    <cellStyle name="Comma 31 10 27" xfId="19983"/>
    <cellStyle name="Comma 31 10 28" xfId="19984"/>
    <cellStyle name="Comma 31 10 29" xfId="19985"/>
    <cellStyle name="Comma 31 10 3" xfId="7812"/>
    <cellStyle name="Comma 31 10 30" xfId="19986"/>
    <cellStyle name="Comma 31 10 31" xfId="19987"/>
    <cellStyle name="Comma 31 10 32" xfId="19988"/>
    <cellStyle name="Comma 31 10 33" xfId="19989"/>
    <cellStyle name="Comma 31 10 34" xfId="19990"/>
    <cellStyle name="Comma 31 10 35" xfId="19991"/>
    <cellStyle name="Comma 31 10 4" xfId="7813"/>
    <cellStyle name="Comma 31 10 5" xfId="7814"/>
    <cellStyle name="Comma 31 10 6" xfId="7815"/>
    <cellStyle name="Comma 31 10 7" xfId="7816"/>
    <cellStyle name="Comma 31 10 8" xfId="7817"/>
    <cellStyle name="Comma 31 10 9" xfId="7818"/>
    <cellStyle name="Comma 31 11" xfId="369"/>
    <cellStyle name="Comma 31 11 10" xfId="7819"/>
    <cellStyle name="Comma 31 11 11" xfId="7820"/>
    <cellStyle name="Comma 31 11 12" xfId="7821"/>
    <cellStyle name="Comma 31 11 13" xfId="7822"/>
    <cellStyle name="Comma 31 11 14" xfId="7823"/>
    <cellStyle name="Comma 31 11 15" xfId="7824"/>
    <cellStyle name="Comma 31 11 16" xfId="7825"/>
    <cellStyle name="Comma 31 11 17" xfId="7826"/>
    <cellStyle name="Comma 31 11 18" xfId="7827"/>
    <cellStyle name="Comma 31 11 19" xfId="7828"/>
    <cellStyle name="Comma 31 11 2" xfId="7829"/>
    <cellStyle name="Comma 31 11 20" xfId="7830"/>
    <cellStyle name="Comma 31 11 21" xfId="7831"/>
    <cellStyle name="Comma 31 11 22" xfId="7832"/>
    <cellStyle name="Comma 31 11 23" xfId="19992"/>
    <cellStyle name="Comma 31 11 24" xfId="19993"/>
    <cellStyle name="Comma 31 11 25" xfId="19994"/>
    <cellStyle name="Comma 31 11 26" xfId="19995"/>
    <cellStyle name="Comma 31 11 27" xfId="19996"/>
    <cellStyle name="Comma 31 11 28" xfId="19997"/>
    <cellStyle name="Comma 31 11 29" xfId="19998"/>
    <cellStyle name="Comma 31 11 3" xfId="7833"/>
    <cellStyle name="Comma 31 11 30" xfId="19999"/>
    <cellStyle name="Comma 31 11 31" xfId="20000"/>
    <cellStyle name="Comma 31 11 32" xfId="20001"/>
    <cellStyle name="Comma 31 11 33" xfId="20002"/>
    <cellStyle name="Comma 31 11 34" xfId="20003"/>
    <cellStyle name="Comma 31 11 35" xfId="20004"/>
    <cellStyle name="Comma 31 11 4" xfId="7834"/>
    <cellStyle name="Comma 31 11 5" xfId="7835"/>
    <cellStyle name="Comma 31 11 6" xfId="7836"/>
    <cellStyle name="Comma 31 11 7" xfId="7837"/>
    <cellStyle name="Comma 31 11 8" xfId="7838"/>
    <cellStyle name="Comma 31 11 9" xfId="7839"/>
    <cellStyle name="Comma 31 12" xfId="370"/>
    <cellStyle name="Comma 31 12 10" xfId="7840"/>
    <cellStyle name="Comma 31 12 11" xfId="7841"/>
    <cellStyle name="Comma 31 12 12" xfId="7842"/>
    <cellStyle name="Comma 31 12 13" xfId="7843"/>
    <cellStyle name="Comma 31 12 14" xfId="7844"/>
    <cellStyle name="Comma 31 12 15" xfId="7845"/>
    <cellStyle name="Comma 31 12 16" xfId="7846"/>
    <cellStyle name="Comma 31 12 17" xfId="7847"/>
    <cellStyle name="Comma 31 12 18" xfId="7848"/>
    <cellStyle name="Comma 31 12 19" xfId="7849"/>
    <cellStyle name="Comma 31 12 2" xfId="7850"/>
    <cellStyle name="Comma 31 12 20" xfId="7851"/>
    <cellStyle name="Comma 31 12 21" xfId="7852"/>
    <cellStyle name="Comma 31 12 22" xfId="7853"/>
    <cellStyle name="Comma 31 12 23" xfId="20005"/>
    <cellStyle name="Comma 31 12 24" xfId="20006"/>
    <cellStyle name="Comma 31 12 25" xfId="20007"/>
    <cellStyle name="Comma 31 12 26" xfId="20008"/>
    <cellStyle name="Comma 31 12 27" xfId="20009"/>
    <cellStyle name="Comma 31 12 28" xfId="20010"/>
    <cellStyle name="Comma 31 12 29" xfId="20011"/>
    <cellStyle name="Comma 31 12 3" xfId="7854"/>
    <cellStyle name="Comma 31 12 30" xfId="20012"/>
    <cellStyle name="Comma 31 12 31" xfId="20013"/>
    <cellStyle name="Comma 31 12 32" xfId="20014"/>
    <cellStyle name="Comma 31 12 33" xfId="20015"/>
    <cellStyle name="Comma 31 12 34" xfId="20016"/>
    <cellStyle name="Comma 31 12 35" xfId="20017"/>
    <cellStyle name="Comma 31 12 4" xfId="7855"/>
    <cellStyle name="Comma 31 12 5" xfId="7856"/>
    <cellStyle name="Comma 31 12 6" xfId="7857"/>
    <cellStyle name="Comma 31 12 7" xfId="7858"/>
    <cellStyle name="Comma 31 12 8" xfId="7859"/>
    <cellStyle name="Comma 31 12 9" xfId="7860"/>
    <cellStyle name="Comma 31 13" xfId="371"/>
    <cellStyle name="Comma 31 13 10" xfId="7861"/>
    <cellStyle name="Comma 31 13 11" xfId="7862"/>
    <cellStyle name="Comma 31 13 12" xfId="7863"/>
    <cellStyle name="Comma 31 13 13" xfId="7864"/>
    <cellStyle name="Comma 31 13 14" xfId="7865"/>
    <cellStyle name="Comma 31 13 15" xfId="7866"/>
    <cellStyle name="Comma 31 13 16" xfId="7867"/>
    <cellStyle name="Comma 31 13 17" xfId="7868"/>
    <cellStyle name="Comma 31 13 18" xfId="7869"/>
    <cellStyle name="Comma 31 13 19" xfId="7870"/>
    <cellStyle name="Comma 31 13 2" xfId="7871"/>
    <cellStyle name="Comma 31 13 20" xfId="7872"/>
    <cellStyle name="Comma 31 13 21" xfId="7873"/>
    <cellStyle name="Comma 31 13 22" xfId="7874"/>
    <cellStyle name="Comma 31 13 23" xfId="20018"/>
    <cellStyle name="Comma 31 13 24" xfId="20019"/>
    <cellStyle name="Comma 31 13 25" xfId="20020"/>
    <cellStyle name="Comma 31 13 26" xfId="20021"/>
    <cellStyle name="Comma 31 13 27" xfId="20022"/>
    <cellStyle name="Comma 31 13 28" xfId="20023"/>
    <cellStyle name="Comma 31 13 29" xfId="20024"/>
    <cellStyle name="Comma 31 13 3" xfId="7875"/>
    <cellStyle name="Comma 31 13 30" xfId="20025"/>
    <cellStyle name="Comma 31 13 31" xfId="20026"/>
    <cellStyle name="Comma 31 13 32" xfId="20027"/>
    <cellStyle name="Comma 31 13 33" xfId="20028"/>
    <cellStyle name="Comma 31 13 34" xfId="20029"/>
    <cellStyle name="Comma 31 13 35" xfId="20030"/>
    <cellStyle name="Comma 31 13 4" xfId="7876"/>
    <cellStyle name="Comma 31 13 5" xfId="7877"/>
    <cellStyle name="Comma 31 13 6" xfId="7878"/>
    <cellStyle name="Comma 31 13 7" xfId="7879"/>
    <cellStyle name="Comma 31 13 8" xfId="7880"/>
    <cellStyle name="Comma 31 13 9" xfId="7881"/>
    <cellStyle name="Comma 31 14" xfId="372"/>
    <cellStyle name="Comma 31 14 10" xfId="7882"/>
    <cellStyle name="Comma 31 14 11" xfId="7883"/>
    <cellStyle name="Comma 31 14 12" xfId="7884"/>
    <cellStyle name="Comma 31 14 13" xfId="7885"/>
    <cellStyle name="Comma 31 14 14" xfId="7886"/>
    <cellStyle name="Comma 31 14 15" xfId="7887"/>
    <cellStyle name="Comma 31 14 16" xfId="7888"/>
    <cellStyle name="Comma 31 14 17" xfId="7889"/>
    <cellStyle name="Comma 31 14 18" xfId="7890"/>
    <cellStyle name="Comma 31 14 19" xfId="7891"/>
    <cellStyle name="Comma 31 14 2" xfId="7892"/>
    <cellStyle name="Comma 31 14 20" xfId="7893"/>
    <cellStyle name="Comma 31 14 21" xfId="7894"/>
    <cellStyle name="Comma 31 14 22" xfId="7895"/>
    <cellStyle name="Comma 31 14 23" xfId="20031"/>
    <cellStyle name="Comma 31 14 24" xfId="20032"/>
    <cellStyle name="Comma 31 14 25" xfId="20033"/>
    <cellStyle name="Comma 31 14 26" xfId="20034"/>
    <cellStyle name="Comma 31 14 27" xfId="20035"/>
    <cellStyle name="Comma 31 14 28" xfId="20036"/>
    <cellStyle name="Comma 31 14 29" xfId="20037"/>
    <cellStyle name="Comma 31 14 3" xfId="7896"/>
    <cellStyle name="Comma 31 14 30" xfId="20038"/>
    <cellStyle name="Comma 31 14 31" xfId="20039"/>
    <cellStyle name="Comma 31 14 32" xfId="20040"/>
    <cellStyle name="Comma 31 14 33" xfId="20041"/>
    <cellStyle name="Comma 31 14 34" xfId="20042"/>
    <cellStyle name="Comma 31 14 35" xfId="20043"/>
    <cellStyle name="Comma 31 14 4" xfId="7897"/>
    <cellStyle name="Comma 31 14 5" xfId="7898"/>
    <cellStyle name="Comma 31 14 6" xfId="7899"/>
    <cellStyle name="Comma 31 14 7" xfId="7900"/>
    <cellStyle name="Comma 31 14 8" xfId="7901"/>
    <cellStyle name="Comma 31 14 9" xfId="7902"/>
    <cellStyle name="Comma 31 15" xfId="373"/>
    <cellStyle name="Comma 31 16" xfId="1415"/>
    <cellStyle name="Comma 31 17" xfId="1560"/>
    <cellStyle name="Comma 31 18" xfId="1613"/>
    <cellStyle name="Comma 31 19" xfId="1665"/>
    <cellStyle name="Comma 31 2" xfId="374"/>
    <cellStyle name="Comma 31 2 10" xfId="7903"/>
    <cellStyle name="Comma 31 2 11" xfId="7904"/>
    <cellStyle name="Comma 31 2 12" xfId="7905"/>
    <cellStyle name="Comma 31 2 13" xfId="7906"/>
    <cellStyle name="Comma 31 2 14" xfId="7907"/>
    <cellStyle name="Comma 31 2 15" xfId="7908"/>
    <cellStyle name="Comma 31 2 16" xfId="7909"/>
    <cellStyle name="Comma 31 2 17" xfId="7910"/>
    <cellStyle name="Comma 31 2 18" xfId="7911"/>
    <cellStyle name="Comma 31 2 19" xfId="7912"/>
    <cellStyle name="Comma 31 2 2" xfId="7913"/>
    <cellStyle name="Comma 31 2 20" xfId="7914"/>
    <cellStyle name="Comma 31 2 21" xfId="7915"/>
    <cellStyle name="Comma 31 2 22" xfId="7916"/>
    <cellStyle name="Comma 31 2 23" xfId="20044"/>
    <cellStyle name="Comma 31 2 24" xfId="20045"/>
    <cellStyle name="Comma 31 2 25" xfId="20046"/>
    <cellStyle name="Comma 31 2 26" xfId="20047"/>
    <cellStyle name="Comma 31 2 27" xfId="20048"/>
    <cellStyle name="Comma 31 2 28" xfId="20049"/>
    <cellStyle name="Comma 31 2 29" xfId="20050"/>
    <cellStyle name="Comma 31 2 3" xfId="7917"/>
    <cellStyle name="Comma 31 2 30" xfId="20051"/>
    <cellStyle name="Comma 31 2 31" xfId="20052"/>
    <cellStyle name="Comma 31 2 32" xfId="20053"/>
    <cellStyle name="Comma 31 2 33" xfId="20054"/>
    <cellStyle name="Comma 31 2 34" xfId="20055"/>
    <cellStyle name="Comma 31 2 35" xfId="20056"/>
    <cellStyle name="Comma 31 2 4" xfId="7918"/>
    <cellStyle name="Comma 31 2 5" xfId="7919"/>
    <cellStyle name="Comma 31 2 6" xfId="7920"/>
    <cellStyle name="Comma 31 2 7" xfId="7921"/>
    <cellStyle name="Comma 31 2 8" xfId="7922"/>
    <cellStyle name="Comma 31 2 9" xfId="7923"/>
    <cellStyle name="Comma 31 20" xfId="1717"/>
    <cellStyle name="Comma 31 21" xfId="1828"/>
    <cellStyle name="Comma 31 22" xfId="2116"/>
    <cellStyle name="Comma 31 23" xfId="2172"/>
    <cellStyle name="Comma 31 24" xfId="2676"/>
    <cellStyle name="Comma 31 25" xfId="2521"/>
    <cellStyle name="Comma 31 26" xfId="2362"/>
    <cellStyle name="Comma 31 27" xfId="2410"/>
    <cellStyle name="Comma 31 28" xfId="3088"/>
    <cellStyle name="Comma 31 29" xfId="7924"/>
    <cellStyle name="Comma 31 3" xfId="375"/>
    <cellStyle name="Comma 31 3 10" xfId="7925"/>
    <cellStyle name="Comma 31 3 11" xfId="7926"/>
    <cellStyle name="Comma 31 3 12" xfId="7927"/>
    <cellStyle name="Comma 31 3 13" xfId="7928"/>
    <cellStyle name="Comma 31 3 14" xfId="7929"/>
    <cellStyle name="Comma 31 3 15" xfId="7930"/>
    <cellStyle name="Comma 31 3 16" xfId="7931"/>
    <cellStyle name="Comma 31 3 17" xfId="7932"/>
    <cellStyle name="Comma 31 3 18" xfId="7933"/>
    <cellStyle name="Comma 31 3 19" xfId="7934"/>
    <cellStyle name="Comma 31 3 2" xfId="7935"/>
    <cellStyle name="Comma 31 3 20" xfId="7936"/>
    <cellStyle name="Comma 31 3 21" xfId="7937"/>
    <cellStyle name="Comma 31 3 22" xfId="7938"/>
    <cellStyle name="Comma 31 3 23" xfId="20057"/>
    <cellStyle name="Comma 31 3 24" xfId="20058"/>
    <cellStyle name="Comma 31 3 25" xfId="20059"/>
    <cellStyle name="Comma 31 3 26" xfId="20060"/>
    <cellStyle name="Comma 31 3 27" xfId="20061"/>
    <cellStyle name="Comma 31 3 28" xfId="20062"/>
    <cellStyle name="Comma 31 3 29" xfId="20063"/>
    <cellStyle name="Comma 31 3 3" xfId="7939"/>
    <cellStyle name="Comma 31 3 30" xfId="20064"/>
    <cellStyle name="Comma 31 3 31" xfId="20065"/>
    <cellStyle name="Comma 31 3 32" xfId="20066"/>
    <cellStyle name="Comma 31 3 33" xfId="20067"/>
    <cellStyle name="Comma 31 3 34" xfId="20068"/>
    <cellStyle name="Comma 31 3 35" xfId="20069"/>
    <cellStyle name="Comma 31 3 4" xfId="7940"/>
    <cellStyle name="Comma 31 3 5" xfId="7941"/>
    <cellStyle name="Comma 31 3 6" xfId="7942"/>
    <cellStyle name="Comma 31 3 7" xfId="7943"/>
    <cellStyle name="Comma 31 3 8" xfId="7944"/>
    <cellStyle name="Comma 31 3 9" xfId="7945"/>
    <cellStyle name="Comma 31 30" xfId="7946"/>
    <cellStyle name="Comma 31 31" xfId="7947"/>
    <cellStyle name="Comma 31 32" xfId="7948"/>
    <cellStyle name="Comma 31 33" xfId="7949"/>
    <cellStyle name="Comma 31 34" xfId="7950"/>
    <cellStyle name="Comma 31 35" xfId="7951"/>
    <cellStyle name="Comma 31 36" xfId="7952"/>
    <cellStyle name="Comma 31 37" xfId="7953"/>
    <cellStyle name="Comma 31 38" xfId="20070"/>
    <cellStyle name="Comma 31 39" xfId="20071"/>
    <cellStyle name="Comma 31 4" xfId="376"/>
    <cellStyle name="Comma 31 4 10" xfId="7954"/>
    <cellStyle name="Comma 31 4 11" xfId="7955"/>
    <cellStyle name="Comma 31 4 12" xfId="7956"/>
    <cellStyle name="Comma 31 4 13" xfId="7957"/>
    <cellStyle name="Comma 31 4 14" xfId="7958"/>
    <cellStyle name="Comma 31 4 15" xfId="7959"/>
    <cellStyle name="Comma 31 4 16" xfId="7960"/>
    <cellStyle name="Comma 31 4 17" xfId="7961"/>
    <cellStyle name="Comma 31 4 18" xfId="7962"/>
    <cellStyle name="Comma 31 4 19" xfId="7963"/>
    <cellStyle name="Comma 31 4 2" xfId="7964"/>
    <cellStyle name="Comma 31 4 20" xfId="7965"/>
    <cellStyle name="Comma 31 4 21" xfId="7966"/>
    <cellStyle name="Comma 31 4 22" xfId="7967"/>
    <cellStyle name="Comma 31 4 23" xfId="20072"/>
    <cellStyle name="Comma 31 4 24" xfId="20073"/>
    <cellStyle name="Comma 31 4 25" xfId="20074"/>
    <cellStyle name="Comma 31 4 26" xfId="20075"/>
    <cellStyle name="Comma 31 4 27" xfId="20076"/>
    <cellStyle name="Comma 31 4 28" xfId="20077"/>
    <cellStyle name="Comma 31 4 29" xfId="20078"/>
    <cellStyle name="Comma 31 4 3" xfId="7968"/>
    <cellStyle name="Comma 31 4 30" xfId="20079"/>
    <cellStyle name="Comma 31 4 31" xfId="20080"/>
    <cellStyle name="Comma 31 4 32" xfId="20081"/>
    <cellStyle name="Comma 31 4 33" xfId="20082"/>
    <cellStyle name="Comma 31 4 34" xfId="20083"/>
    <cellStyle name="Comma 31 4 35" xfId="20084"/>
    <cellStyle name="Comma 31 4 4" xfId="7969"/>
    <cellStyle name="Comma 31 4 5" xfId="7970"/>
    <cellStyle name="Comma 31 4 6" xfId="7971"/>
    <cellStyle name="Comma 31 4 7" xfId="7972"/>
    <cellStyle name="Comma 31 4 8" xfId="7973"/>
    <cellStyle name="Comma 31 4 9" xfId="7974"/>
    <cellStyle name="Comma 31 40" xfId="20085"/>
    <cellStyle name="Comma 31 41" xfId="20086"/>
    <cellStyle name="Comma 31 42" xfId="20087"/>
    <cellStyle name="Comma 31 43" xfId="20088"/>
    <cellStyle name="Comma 31 44" xfId="20089"/>
    <cellStyle name="Comma 31 45" xfId="20090"/>
    <cellStyle name="Comma 31 46" xfId="20091"/>
    <cellStyle name="Comma 31 47" xfId="20092"/>
    <cellStyle name="Comma 31 48" xfId="20093"/>
    <cellStyle name="Comma 31 49" xfId="20094"/>
    <cellStyle name="Comma 31 5" xfId="377"/>
    <cellStyle name="Comma 31 5 10" xfId="7975"/>
    <cellStyle name="Comma 31 5 11" xfId="7976"/>
    <cellStyle name="Comma 31 5 12" xfId="7977"/>
    <cellStyle name="Comma 31 5 13" xfId="7978"/>
    <cellStyle name="Comma 31 5 14" xfId="7979"/>
    <cellStyle name="Comma 31 5 15" xfId="7980"/>
    <cellStyle name="Comma 31 5 16" xfId="7981"/>
    <cellStyle name="Comma 31 5 17" xfId="7982"/>
    <cellStyle name="Comma 31 5 18" xfId="7983"/>
    <cellStyle name="Comma 31 5 19" xfId="7984"/>
    <cellStyle name="Comma 31 5 2" xfId="7985"/>
    <cellStyle name="Comma 31 5 20" xfId="7986"/>
    <cellStyle name="Comma 31 5 21" xfId="7987"/>
    <cellStyle name="Comma 31 5 22" xfId="7988"/>
    <cellStyle name="Comma 31 5 23" xfId="20095"/>
    <cellStyle name="Comma 31 5 24" xfId="20096"/>
    <cellStyle name="Comma 31 5 25" xfId="20097"/>
    <cellStyle name="Comma 31 5 26" xfId="20098"/>
    <cellStyle name="Comma 31 5 27" xfId="20099"/>
    <cellStyle name="Comma 31 5 28" xfId="20100"/>
    <cellStyle name="Comma 31 5 29" xfId="20101"/>
    <cellStyle name="Comma 31 5 3" xfId="7989"/>
    <cellStyle name="Comma 31 5 30" xfId="20102"/>
    <cellStyle name="Comma 31 5 31" xfId="20103"/>
    <cellStyle name="Comma 31 5 32" xfId="20104"/>
    <cellStyle name="Comma 31 5 33" xfId="20105"/>
    <cellStyle name="Comma 31 5 34" xfId="20106"/>
    <cellStyle name="Comma 31 5 35" xfId="20107"/>
    <cellStyle name="Comma 31 5 4" xfId="7990"/>
    <cellStyle name="Comma 31 5 5" xfId="7991"/>
    <cellStyle name="Comma 31 5 6" xfId="7992"/>
    <cellStyle name="Comma 31 5 7" xfId="7993"/>
    <cellStyle name="Comma 31 5 8" xfId="7994"/>
    <cellStyle name="Comma 31 5 9" xfId="7995"/>
    <cellStyle name="Comma 31 50" xfId="20108"/>
    <cellStyle name="Comma 31 6" xfId="378"/>
    <cellStyle name="Comma 31 6 10" xfId="7996"/>
    <cellStyle name="Comma 31 6 11" xfId="7997"/>
    <cellStyle name="Comma 31 6 12" xfId="7998"/>
    <cellStyle name="Comma 31 6 13" xfId="7999"/>
    <cellStyle name="Comma 31 6 14" xfId="8000"/>
    <cellStyle name="Comma 31 6 15" xfId="8001"/>
    <cellStyle name="Comma 31 6 16" xfId="8002"/>
    <cellStyle name="Comma 31 6 17" xfId="8003"/>
    <cellStyle name="Comma 31 6 18" xfId="8004"/>
    <cellStyle name="Comma 31 6 19" xfId="8005"/>
    <cellStyle name="Comma 31 6 2" xfId="8006"/>
    <cellStyle name="Comma 31 6 20" xfId="8007"/>
    <cellStyle name="Comma 31 6 21" xfId="8008"/>
    <cellStyle name="Comma 31 6 22" xfId="8009"/>
    <cellStyle name="Comma 31 6 23" xfId="20109"/>
    <cellStyle name="Comma 31 6 24" xfId="20110"/>
    <cellStyle name="Comma 31 6 25" xfId="20111"/>
    <cellStyle name="Comma 31 6 26" xfId="20112"/>
    <cellStyle name="Comma 31 6 27" xfId="20113"/>
    <cellStyle name="Comma 31 6 28" xfId="20114"/>
    <cellStyle name="Comma 31 6 29" xfId="20115"/>
    <cellStyle name="Comma 31 6 3" xfId="8010"/>
    <cellStyle name="Comma 31 6 30" xfId="20116"/>
    <cellStyle name="Comma 31 6 31" xfId="20117"/>
    <cellStyle name="Comma 31 6 32" xfId="20118"/>
    <cellStyle name="Comma 31 6 33" xfId="20119"/>
    <cellStyle name="Comma 31 6 34" xfId="20120"/>
    <cellStyle name="Comma 31 6 35" xfId="20121"/>
    <cellStyle name="Comma 31 6 4" xfId="8011"/>
    <cellStyle name="Comma 31 6 5" xfId="8012"/>
    <cellStyle name="Comma 31 6 6" xfId="8013"/>
    <cellStyle name="Comma 31 6 7" xfId="8014"/>
    <cellStyle name="Comma 31 6 8" xfId="8015"/>
    <cellStyle name="Comma 31 6 9" xfId="8016"/>
    <cellStyle name="Comma 31 7" xfId="379"/>
    <cellStyle name="Comma 31 7 10" xfId="8017"/>
    <cellStyle name="Comma 31 7 11" xfId="8018"/>
    <cellStyle name="Comma 31 7 12" xfId="8019"/>
    <cellStyle name="Comma 31 7 13" xfId="8020"/>
    <cellStyle name="Comma 31 7 14" xfId="8021"/>
    <cellStyle name="Comma 31 7 15" xfId="8022"/>
    <cellStyle name="Comma 31 7 16" xfId="8023"/>
    <cellStyle name="Comma 31 7 17" xfId="8024"/>
    <cellStyle name="Comma 31 7 18" xfId="8025"/>
    <cellStyle name="Comma 31 7 19" xfId="8026"/>
    <cellStyle name="Comma 31 7 2" xfId="8027"/>
    <cellStyle name="Comma 31 7 20" xfId="8028"/>
    <cellStyle name="Comma 31 7 21" xfId="8029"/>
    <cellStyle name="Comma 31 7 22" xfId="8030"/>
    <cellStyle name="Comma 31 7 23" xfId="20122"/>
    <cellStyle name="Comma 31 7 24" xfId="20123"/>
    <cellStyle name="Comma 31 7 25" xfId="20124"/>
    <cellStyle name="Comma 31 7 26" xfId="20125"/>
    <cellStyle name="Comma 31 7 27" xfId="20126"/>
    <cellStyle name="Comma 31 7 28" xfId="20127"/>
    <cellStyle name="Comma 31 7 29" xfId="20128"/>
    <cellStyle name="Comma 31 7 3" xfId="8031"/>
    <cellStyle name="Comma 31 7 30" xfId="20129"/>
    <cellStyle name="Comma 31 7 31" xfId="20130"/>
    <cellStyle name="Comma 31 7 32" xfId="20131"/>
    <cellStyle name="Comma 31 7 33" xfId="20132"/>
    <cellStyle name="Comma 31 7 34" xfId="20133"/>
    <cellStyle name="Comma 31 7 35" xfId="20134"/>
    <cellStyle name="Comma 31 7 4" xfId="8032"/>
    <cellStyle name="Comma 31 7 5" xfId="8033"/>
    <cellStyle name="Comma 31 7 6" xfId="8034"/>
    <cellStyle name="Comma 31 7 7" xfId="8035"/>
    <cellStyle name="Comma 31 7 8" xfId="8036"/>
    <cellStyle name="Comma 31 7 9" xfId="8037"/>
    <cellStyle name="Comma 31 8" xfId="380"/>
    <cellStyle name="Comma 31 8 10" xfId="8038"/>
    <cellStyle name="Comma 31 8 11" xfId="8039"/>
    <cellStyle name="Comma 31 8 12" xfId="8040"/>
    <cellStyle name="Comma 31 8 13" xfId="8041"/>
    <cellStyle name="Comma 31 8 14" xfId="8042"/>
    <cellStyle name="Comma 31 8 15" xfId="8043"/>
    <cellStyle name="Comma 31 8 16" xfId="8044"/>
    <cellStyle name="Comma 31 8 17" xfId="8045"/>
    <cellStyle name="Comma 31 8 18" xfId="8046"/>
    <cellStyle name="Comma 31 8 19" xfId="8047"/>
    <cellStyle name="Comma 31 8 2" xfId="8048"/>
    <cellStyle name="Comma 31 8 20" xfId="8049"/>
    <cellStyle name="Comma 31 8 21" xfId="8050"/>
    <cellStyle name="Comma 31 8 22" xfId="8051"/>
    <cellStyle name="Comma 31 8 23" xfId="20135"/>
    <cellStyle name="Comma 31 8 24" xfId="20136"/>
    <cellStyle name="Comma 31 8 25" xfId="20137"/>
    <cellStyle name="Comma 31 8 26" xfId="20138"/>
    <cellStyle name="Comma 31 8 27" xfId="20139"/>
    <cellStyle name="Comma 31 8 28" xfId="20140"/>
    <cellStyle name="Comma 31 8 29" xfId="20141"/>
    <cellStyle name="Comma 31 8 3" xfId="8052"/>
    <cellStyle name="Comma 31 8 30" xfId="20142"/>
    <cellStyle name="Comma 31 8 31" xfId="20143"/>
    <cellStyle name="Comma 31 8 32" xfId="20144"/>
    <cellStyle name="Comma 31 8 33" xfId="20145"/>
    <cellStyle name="Comma 31 8 34" xfId="20146"/>
    <cellStyle name="Comma 31 8 35" xfId="20147"/>
    <cellStyle name="Comma 31 8 4" xfId="8053"/>
    <cellStyle name="Comma 31 8 5" xfId="8054"/>
    <cellStyle name="Comma 31 8 6" xfId="8055"/>
    <cellStyle name="Comma 31 8 7" xfId="8056"/>
    <cellStyle name="Comma 31 8 8" xfId="8057"/>
    <cellStyle name="Comma 31 8 9" xfId="8058"/>
    <cellStyle name="Comma 31 9" xfId="381"/>
    <cellStyle name="Comma 31 9 10" xfId="8059"/>
    <cellStyle name="Comma 31 9 11" xfId="8060"/>
    <cellStyle name="Comma 31 9 12" xfId="8061"/>
    <cellStyle name="Comma 31 9 13" xfId="8062"/>
    <cellStyle name="Comma 31 9 14" xfId="8063"/>
    <cellStyle name="Comma 31 9 15" xfId="8064"/>
    <cellStyle name="Comma 31 9 16" xfId="8065"/>
    <cellStyle name="Comma 31 9 17" xfId="8066"/>
    <cellStyle name="Comma 31 9 18" xfId="8067"/>
    <cellStyle name="Comma 31 9 19" xfId="8068"/>
    <cellStyle name="Comma 31 9 2" xfId="8069"/>
    <cellStyle name="Comma 31 9 20" xfId="8070"/>
    <cellStyle name="Comma 31 9 21" xfId="8071"/>
    <cellStyle name="Comma 31 9 22" xfId="8072"/>
    <cellStyle name="Comma 31 9 23" xfId="20148"/>
    <cellStyle name="Comma 31 9 24" xfId="20149"/>
    <cellStyle name="Comma 31 9 25" xfId="20150"/>
    <cellStyle name="Comma 31 9 26" xfId="20151"/>
    <cellStyle name="Comma 31 9 27" xfId="20152"/>
    <cellStyle name="Comma 31 9 28" xfId="20153"/>
    <cellStyle name="Comma 31 9 29" xfId="20154"/>
    <cellStyle name="Comma 31 9 3" xfId="8073"/>
    <cellStyle name="Comma 31 9 30" xfId="20155"/>
    <cellStyle name="Comma 31 9 31" xfId="20156"/>
    <cellStyle name="Comma 31 9 32" xfId="20157"/>
    <cellStyle name="Comma 31 9 33" xfId="20158"/>
    <cellStyle name="Comma 31 9 34" xfId="20159"/>
    <cellStyle name="Comma 31 9 35" xfId="20160"/>
    <cellStyle name="Comma 31 9 4" xfId="8074"/>
    <cellStyle name="Comma 31 9 5" xfId="8075"/>
    <cellStyle name="Comma 31 9 6" xfId="8076"/>
    <cellStyle name="Comma 31 9 7" xfId="8077"/>
    <cellStyle name="Comma 31 9 8" xfId="8078"/>
    <cellStyle name="Comma 31 9 9" xfId="8079"/>
    <cellStyle name="Comma 32" xfId="30"/>
    <cellStyle name="Comma 32 10" xfId="382"/>
    <cellStyle name="Comma 32 10 10" xfId="8080"/>
    <cellStyle name="Comma 32 10 11" xfId="8081"/>
    <cellStyle name="Comma 32 10 12" xfId="8082"/>
    <cellStyle name="Comma 32 10 13" xfId="8083"/>
    <cellStyle name="Comma 32 10 14" xfId="8084"/>
    <cellStyle name="Comma 32 10 15" xfId="8085"/>
    <cellStyle name="Comma 32 10 16" xfId="8086"/>
    <cellStyle name="Comma 32 10 17" xfId="8087"/>
    <cellStyle name="Comma 32 10 18" xfId="8088"/>
    <cellStyle name="Comma 32 10 19" xfId="8089"/>
    <cellStyle name="Comma 32 10 2" xfId="8090"/>
    <cellStyle name="Comma 32 10 20" xfId="8091"/>
    <cellStyle name="Comma 32 10 21" xfId="8092"/>
    <cellStyle name="Comma 32 10 22" xfId="8093"/>
    <cellStyle name="Comma 32 10 23" xfId="20161"/>
    <cellStyle name="Comma 32 10 24" xfId="20162"/>
    <cellStyle name="Comma 32 10 25" xfId="20163"/>
    <cellStyle name="Comma 32 10 26" xfId="20164"/>
    <cellStyle name="Comma 32 10 27" xfId="20165"/>
    <cellStyle name="Comma 32 10 28" xfId="20166"/>
    <cellStyle name="Comma 32 10 29" xfId="20167"/>
    <cellStyle name="Comma 32 10 3" xfId="8094"/>
    <cellStyle name="Comma 32 10 30" xfId="20168"/>
    <cellStyle name="Comma 32 10 31" xfId="20169"/>
    <cellStyle name="Comma 32 10 32" xfId="20170"/>
    <cellStyle name="Comma 32 10 33" xfId="20171"/>
    <cellStyle name="Comma 32 10 34" xfId="20172"/>
    <cellStyle name="Comma 32 10 35" xfId="20173"/>
    <cellStyle name="Comma 32 10 4" xfId="8095"/>
    <cellStyle name="Comma 32 10 5" xfId="8096"/>
    <cellStyle name="Comma 32 10 6" xfId="8097"/>
    <cellStyle name="Comma 32 10 7" xfId="8098"/>
    <cellStyle name="Comma 32 10 8" xfId="8099"/>
    <cellStyle name="Comma 32 10 9" xfId="8100"/>
    <cellStyle name="Comma 32 11" xfId="383"/>
    <cellStyle name="Comma 32 11 10" xfId="8101"/>
    <cellStyle name="Comma 32 11 11" xfId="8102"/>
    <cellStyle name="Comma 32 11 12" xfId="8103"/>
    <cellStyle name="Comma 32 11 13" xfId="8104"/>
    <cellStyle name="Comma 32 11 14" xfId="8105"/>
    <cellStyle name="Comma 32 11 15" xfId="8106"/>
    <cellStyle name="Comma 32 11 16" xfId="8107"/>
    <cellStyle name="Comma 32 11 17" xfId="8108"/>
    <cellStyle name="Comma 32 11 18" xfId="8109"/>
    <cellStyle name="Comma 32 11 19" xfId="8110"/>
    <cellStyle name="Comma 32 11 2" xfId="8111"/>
    <cellStyle name="Comma 32 11 20" xfId="8112"/>
    <cellStyle name="Comma 32 11 21" xfId="8113"/>
    <cellStyle name="Comma 32 11 22" xfId="8114"/>
    <cellStyle name="Comma 32 11 23" xfId="20174"/>
    <cellStyle name="Comma 32 11 24" xfId="20175"/>
    <cellStyle name="Comma 32 11 25" xfId="20176"/>
    <cellStyle name="Comma 32 11 26" xfId="20177"/>
    <cellStyle name="Comma 32 11 27" xfId="20178"/>
    <cellStyle name="Comma 32 11 28" xfId="20179"/>
    <cellStyle name="Comma 32 11 29" xfId="20180"/>
    <cellStyle name="Comma 32 11 3" xfId="8115"/>
    <cellStyle name="Comma 32 11 30" xfId="20181"/>
    <cellStyle name="Comma 32 11 31" xfId="20182"/>
    <cellStyle name="Comma 32 11 32" xfId="20183"/>
    <cellStyle name="Comma 32 11 33" xfId="20184"/>
    <cellStyle name="Comma 32 11 34" xfId="20185"/>
    <cellStyle name="Comma 32 11 35" xfId="20186"/>
    <cellStyle name="Comma 32 11 4" xfId="8116"/>
    <cellStyle name="Comma 32 11 5" xfId="8117"/>
    <cellStyle name="Comma 32 11 6" xfId="8118"/>
    <cellStyle name="Comma 32 11 7" xfId="8119"/>
    <cellStyle name="Comma 32 11 8" xfId="8120"/>
    <cellStyle name="Comma 32 11 9" xfId="8121"/>
    <cellStyle name="Comma 32 12" xfId="384"/>
    <cellStyle name="Comma 32 12 10" xfId="8122"/>
    <cellStyle name="Comma 32 12 11" xfId="8123"/>
    <cellStyle name="Comma 32 12 12" xfId="8124"/>
    <cellStyle name="Comma 32 12 13" xfId="8125"/>
    <cellStyle name="Comma 32 12 14" xfId="8126"/>
    <cellStyle name="Comma 32 12 15" xfId="8127"/>
    <cellStyle name="Comma 32 12 16" xfId="8128"/>
    <cellStyle name="Comma 32 12 17" xfId="8129"/>
    <cellStyle name="Comma 32 12 18" xfId="8130"/>
    <cellStyle name="Comma 32 12 19" xfId="8131"/>
    <cellStyle name="Comma 32 12 2" xfId="8132"/>
    <cellStyle name="Comma 32 12 20" xfId="8133"/>
    <cellStyle name="Comma 32 12 21" xfId="8134"/>
    <cellStyle name="Comma 32 12 22" xfId="8135"/>
    <cellStyle name="Comma 32 12 23" xfId="20187"/>
    <cellStyle name="Comma 32 12 24" xfId="20188"/>
    <cellStyle name="Comma 32 12 25" xfId="20189"/>
    <cellStyle name="Comma 32 12 26" xfId="20190"/>
    <cellStyle name="Comma 32 12 27" xfId="20191"/>
    <cellStyle name="Comma 32 12 28" xfId="20192"/>
    <cellStyle name="Comma 32 12 29" xfId="20193"/>
    <cellStyle name="Comma 32 12 3" xfId="8136"/>
    <cellStyle name="Comma 32 12 30" xfId="20194"/>
    <cellStyle name="Comma 32 12 31" xfId="20195"/>
    <cellStyle name="Comma 32 12 32" xfId="20196"/>
    <cellStyle name="Comma 32 12 33" xfId="20197"/>
    <cellStyle name="Comma 32 12 34" xfId="20198"/>
    <cellStyle name="Comma 32 12 35" xfId="20199"/>
    <cellStyle name="Comma 32 12 4" xfId="8137"/>
    <cellStyle name="Comma 32 12 5" xfId="8138"/>
    <cellStyle name="Comma 32 12 6" xfId="8139"/>
    <cellStyle name="Comma 32 12 7" xfId="8140"/>
    <cellStyle name="Comma 32 12 8" xfId="8141"/>
    <cellStyle name="Comma 32 12 9" xfId="8142"/>
    <cellStyle name="Comma 32 13" xfId="385"/>
    <cellStyle name="Comma 32 13 10" xfId="8143"/>
    <cellStyle name="Comma 32 13 11" xfId="8144"/>
    <cellStyle name="Comma 32 13 12" xfId="8145"/>
    <cellStyle name="Comma 32 13 13" xfId="8146"/>
    <cellStyle name="Comma 32 13 14" xfId="8147"/>
    <cellStyle name="Comma 32 13 15" xfId="8148"/>
    <cellStyle name="Comma 32 13 16" xfId="8149"/>
    <cellStyle name="Comma 32 13 17" xfId="8150"/>
    <cellStyle name="Comma 32 13 18" xfId="8151"/>
    <cellStyle name="Comma 32 13 19" xfId="8152"/>
    <cellStyle name="Comma 32 13 2" xfId="8153"/>
    <cellStyle name="Comma 32 13 20" xfId="8154"/>
    <cellStyle name="Comma 32 13 21" xfId="8155"/>
    <cellStyle name="Comma 32 13 22" xfId="8156"/>
    <cellStyle name="Comma 32 13 23" xfId="20200"/>
    <cellStyle name="Comma 32 13 24" xfId="20201"/>
    <cellStyle name="Comma 32 13 25" xfId="20202"/>
    <cellStyle name="Comma 32 13 26" xfId="20203"/>
    <cellStyle name="Comma 32 13 27" xfId="20204"/>
    <cellStyle name="Comma 32 13 28" xfId="20205"/>
    <cellStyle name="Comma 32 13 29" xfId="20206"/>
    <cellStyle name="Comma 32 13 3" xfId="8157"/>
    <cellStyle name="Comma 32 13 30" xfId="20207"/>
    <cellStyle name="Comma 32 13 31" xfId="20208"/>
    <cellStyle name="Comma 32 13 32" xfId="20209"/>
    <cellStyle name="Comma 32 13 33" xfId="20210"/>
    <cellStyle name="Comma 32 13 34" xfId="20211"/>
    <cellStyle name="Comma 32 13 35" xfId="20212"/>
    <cellStyle name="Comma 32 13 4" xfId="8158"/>
    <cellStyle name="Comma 32 13 5" xfId="8159"/>
    <cellStyle name="Comma 32 13 6" xfId="8160"/>
    <cellStyle name="Comma 32 13 7" xfId="8161"/>
    <cellStyle name="Comma 32 13 8" xfId="8162"/>
    <cellStyle name="Comma 32 13 9" xfId="8163"/>
    <cellStyle name="Comma 32 14" xfId="386"/>
    <cellStyle name="Comma 32 14 10" xfId="8164"/>
    <cellStyle name="Comma 32 14 11" xfId="8165"/>
    <cellStyle name="Comma 32 14 12" xfId="8166"/>
    <cellStyle name="Comma 32 14 13" xfId="8167"/>
    <cellStyle name="Comma 32 14 14" xfId="8168"/>
    <cellStyle name="Comma 32 14 15" xfId="8169"/>
    <cellStyle name="Comma 32 14 16" xfId="8170"/>
    <cellStyle name="Comma 32 14 17" xfId="8171"/>
    <cellStyle name="Comma 32 14 18" xfId="8172"/>
    <cellStyle name="Comma 32 14 19" xfId="8173"/>
    <cellStyle name="Comma 32 14 2" xfId="8174"/>
    <cellStyle name="Comma 32 14 20" xfId="8175"/>
    <cellStyle name="Comma 32 14 21" xfId="8176"/>
    <cellStyle name="Comma 32 14 22" xfId="8177"/>
    <cellStyle name="Comma 32 14 23" xfId="20213"/>
    <cellStyle name="Comma 32 14 24" xfId="20214"/>
    <cellStyle name="Comma 32 14 25" xfId="20215"/>
    <cellStyle name="Comma 32 14 26" xfId="20216"/>
    <cellStyle name="Comma 32 14 27" xfId="20217"/>
    <cellStyle name="Comma 32 14 28" xfId="20218"/>
    <cellStyle name="Comma 32 14 29" xfId="20219"/>
    <cellStyle name="Comma 32 14 3" xfId="8178"/>
    <cellStyle name="Comma 32 14 30" xfId="20220"/>
    <cellStyle name="Comma 32 14 31" xfId="20221"/>
    <cellStyle name="Comma 32 14 32" xfId="20222"/>
    <cellStyle name="Comma 32 14 33" xfId="20223"/>
    <cellStyle name="Comma 32 14 34" xfId="20224"/>
    <cellStyle name="Comma 32 14 35" xfId="20225"/>
    <cellStyle name="Comma 32 14 4" xfId="8179"/>
    <cellStyle name="Comma 32 14 5" xfId="8180"/>
    <cellStyle name="Comma 32 14 6" xfId="8181"/>
    <cellStyle name="Comma 32 14 7" xfId="8182"/>
    <cellStyle name="Comma 32 14 8" xfId="8183"/>
    <cellStyle name="Comma 32 14 9" xfId="8184"/>
    <cellStyle name="Comma 32 15" xfId="102"/>
    <cellStyle name="Comma 32 15 10" xfId="2539"/>
    <cellStyle name="Comma 32 15 11" xfId="2622"/>
    <cellStyle name="Comma 32 15 12" xfId="2325"/>
    <cellStyle name="Comma 32 15 13" xfId="2439"/>
    <cellStyle name="Comma 32 15 14" xfId="2565"/>
    <cellStyle name="Comma 32 15 15" xfId="3033"/>
    <cellStyle name="Comma 32 15 2" xfId="922"/>
    <cellStyle name="Comma 32 15 3" xfId="1475"/>
    <cellStyle name="Comma 32 15 4" xfId="1506"/>
    <cellStyle name="Comma 32 15 5" xfId="1489"/>
    <cellStyle name="Comma 32 15 6" xfId="1494"/>
    <cellStyle name="Comma 32 15 7" xfId="1770"/>
    <cellStyle name="Comma 32 15 8" xfId="1775"/>
    <cellStyle name="Comma 32 15 9" xfId="2180"/>
    <cellStyle name="Comma 32 16" xfId="1416"/>
    <cellStyle name="Comma 32 17" xfId="1559"/>
    <cellStyle name="Comma 32 18" xfId="1612"/>
    <cellStyle name="Comma 32 19" xfId="1664"/>
    <cellStyle name="Comma 32 2" xfId="387"/>
    <cellStyle name="Comma 32 2 10" xfId="8185"/>
    <cellStyle name="Comma 32 2 11" xfId="8186"/>
    <cellStyle name="Comma 32 2 12" xfId="8187"/>
    <cellStyle name="Comma 32 2 13" xfId="8188"/>
    <cellStyle name="Comma 32 2 14" xfId="8189"/>
    <cellStyle name="Comma 32 2 15" xfId="8190"/>
    <cellStyle name="Comma 32 2 16" xfId="8191"/>
    <cellStyle name="Comma 32 2 17" xfId="8192"/>
    <cellStyle name="Comma 32 2 18" xfId="8193"/>
    <cellStyle name="Comma 32 2 19" xfId="8194"/>
    <cellStyle name="Comma 32 2 2" xfId="8195"/>
    <cellStyle name="Comma 32 2 20" xfId="8196"/>
    <cellStyle name="Comma 32 2 21" xfId="8197"/>
    <cellStyle name="Comma 32 2 22" xfId="8198"/>
    <cellStyle name="Comma 32 2 23" xfId="20226"/>
    <cellStyle name="Comma 32 2 24" xfId="20227"/>
    <cellStyle name="Comma 32 2 25" xfId="20228"/>
    <cellStyle name="Comma 32 2 26" xfId="20229"/>
    <cellStyle name="Comma 32 2 27" xfId="20230"/>
    <cellStyle name="Comma 32 2 28" xfId="20231"/>
    <cellStyle name="Comma 32 2 29" xfId="20232"/>
    <cellStyle name="Comma 32 2 3" xfId="8199"/>
    <cellStyle name="Comma 32 2 30" xfId="20233"/>
    <cellStyle name="Comma 32 2 31" xfId="20234"/>
    <cellStyle name="Comma 32 2 32" xfId="20235"/>
    <cellStyle name="Comma 32 2 33" xfId="20236"/>
    <cellStyle name="Comma 32 2 34" xfId="20237"/>
    <cellStyle name="Comma 32 2 35" xfId="20238"/>
    <cellStyle name="Comma 32 2 4" xfId="8200"/>
    <cellStyle name="Comma 32 2 5" xfId="8201"/>
    <cellStyle name="Comma 32 2 6" xfId="8202"/>
    <cellStyle name="Comma 32 2 7" xfId="8203"/>
    <cellStyle name="Comma 32 2 8" xfId="8204"/>
    <cellStyle name="Comma 32 2 9" xfId="8205"/>
    <cellStyle name="Comma 32 20" xfId="1718"/>
    <cellStyle name="Comma 32 21" xfId="1827"/>
    <cellStyle name="Comma 32 22" xfId="2117"/>
    <cellStyle name="Comma 32 23" xfId="2154"/>
    <cellStyle name="Comma 32 24" xfId="2618"/>
    <cellStyle name="Comma 32 25" xfId="2327"/>
    <cellStyle name="Comma 32 26" xfId="2437"/>
    <cellStyle name="Comma 32 27" xfId="2932"/>
    <cellStyle name="Comma 32 28" xfId="2290"/>
    <cellStyle name="Comma 32 29" xfId="8206"/>
    <cellStyle name="Comma 32 3" xfId="388"/>
    <cellStyle name="Comma 32 3 10" xfId="8207"/>
    <cellStyle name="Comma 32 3 11" xfId="8208"/>
    <cellStyle name="Comma 32 3 12" xfId="8209"/>
    <cellStyle name="Comma 32 3 13" xfId="8210"/>
    <cellStyle name="Comma 32 3 14" xfId="8211"/>
    <cellStyle name="Comma 32 3 15" xfId="8212"/>
    <cellStyle name="Comma 32 3 16" xfId="8213"/>
    <cellStyle name="Comma 32 3 17" xfId="8214"/>
    <cellStyle name="Comma 32 3 18" xfId="8215"/>
    <cellStyle name="Comma 32 3 19" xfId="8216"/>
    <cellStyle name="Comma 32 3 2" xfId="8217"/>
    <cellStyle name="Comma 32 3 20" xfId="8218"/>
    <cellStyle name="Comma 32 3 21" xfId="8219"/>
    <cellStyle name="Comma 32 3 22" xfId="8220"/>
    <cellStyle name="Comma 32 3 23" xfId="20239"/>
    <cellStyle name="Comma 32 3 24" xfId="20240"/>
    <cellStyle name="Comma 32 3 25" xfId="20241"/>
    <cellStyle name="Comma 32 3 26" xfId="20242"/>
    <cellStyle name="Comma 32 3 27" xfId="20243"/>
    <cellStyle name="Comma 32 3 28" xfId="20244"/>
    <cellStyle name="Comma 32 3 29" xfId="20245"/>
    <cellStyle name="Comma 32 3 3" xfId="8221"/>
    <cellStyle name="Comma 32 3 30" xfId="20246"/>
    <cellStyle name="Comma 32 3 31" xfId="20247"/>
    <cellStyle name="Comma 32 3 32" xfId="20248"/>
    <cellStyle name="Comma 32 3 33" xfId="20249"/>
    <cellStyle name="Comma 32 3 34" xfId="20250"/>
    <cellStyle name="Comma 32 3 35" xfId="20251"/>
    <cellStyle name="Comma 32 3 4" xfId="8222"/>
    <cellStyle name="Comma 32 3 5" xfId="8223"/>
    <cellStyle name="Comma 32 3 6" xfId="8224"/>
    <cellStyle name="Comma 32 3 7" xfId="8225"/>
    <cellStyle name="Comma 32 3 8" xfId="8226"/>
    <cellStyle name="Comma 32 3 9" xfId="8227"/>
    <cellStyle name="Comma 32 30" xfId="8228"/>
    <cellStyle name="Comma 32 31" xfId="8229"/>
    <cellStyle name="Comma 32 32" xfId="8230"/>
    <cellStyle name="Comma 32 33" xfId="8231"/>
    <cellStyle name="Comma 32 34" xfId="8232"/>
    <cellStyle name="Comma 32 35" xfId="8233"/>
    <cellStyle name="Comma 32 36" xfId="8234"/>
    <cellStyle name="Comma 32 37" xfId="8235"/>
    <cellStyle name="Comma 32 38" xfId="20252"/>
    <cellStyle name="Comma 32 39" xfId="20253"/>
    <cellStyle name="Comma 32 4" xfId="389"/>
    <cellStyle name="Comma 32 4 10" xfId="8236"/>
    <cellStyle name="Comma 32 4 11" xfId="8237"/>
    <cellStyle name="Comma 32 4 12" xfId="8238"/>
    <cellStyle name="Comma 32 4 13" xfId="8239"/>
    <cellStyle name="Comma 32 4 14" xfId="8240"/>
    <cellStyle name="Comma 32 4 15" xfId="8241"/>
    <cellStyle name="Comma 32 4 16" xfId="8242"/>
    <cellStyle name="Comma 32 4 17" xfId="8243"/>
    <cellStyle name="Comma 32 4 18" xfId="8244"/>
    <cellStyle name="Comma 32 4 19" xfId="8245"/>
    <cellStyle name="Comma 32 4 2" xfId="8246"/>
    <cellStyle name="Comma 32 4 20" xfId="8247"/>
    <cellStyle name="Comma 32 4 21" xfId="8248"/>
    <cellStyle name="Comma 32 4 22" xfId="8249"/>
    <cellStyle name="Comma 32 4 23" xfId="20254"/>
    <cellStyle name="Comma 32 4 24" xfId="20255"/>
    <cellStyle name="Comma 32 4 25" xfId="20256"/>
    <cellStyle name="Comma 32 4 26" xfId="20257"/>
    <cellStyle name="Comma 32 4 27" xfId="20258"/>
    <cellStyle name="Comma 32 4 28" xfId="20259"/>
    <cellStyle name="Comma 32 4 29" xfId="20260"/>
    <cellStyle name="Comma 32 4 3" xfId="8250"/>
    <cellStyle name="Comma 32 4 30" xfId="20261"/>
    <cellStyle name="Comma 32 4 31" xfId="20262"/>
    <cellStyle name="Comma 32 4 32" xfId="20263"/>
    <cellStyle name="Comma 32 4 33" xfId="20264"/>
    <cellStyle name="Comma 32 4 34" xfId="20265"/>
    <cellStyle name="Comma 32 4 35" xfId="20266"/>
    <cellStyle name="Comma 32 4 4" xfId="8251"/>
    <cellStyle name="Comma 32 4 5" xfId="8252"/>
    <cellStyle name="Comma 32 4 6" xfId="8253"/>
    <cellStyle name="Comma 32 4 7" xfId="8254"/>
    <cellStyle name="Comma 32 4 8" xfId="8255"/>
    <cellStyle name="Comma 32 4 9" xfId="8256"/>
    <cellStyle name="Comma 32 40" xfId="20267"/>
    <cellStyle name="Comma 32 41" xfId="20268"/>
    <cellStyle name="Comma 32 42" xfId="20269"/>
    <cellStyle name="Comma 32 43" xfId="20270"/>
    <cellStyle name="Comma 32 44" xfId="20271"/>
    <cellStyle name="Comma 32 45" xfId="20272"/>
    <cellStyle name="Comma 32 46" xfId="20273"/>
    <cellStyle name="Comma 32 47" xfId="20274"/>
    <cellStyle name="Comma 32 48" xfId="20275"/>
    <cellStyle name="Comma 32 49" xfId="20276"/>
    <cellStyle name="Comma 32 5" xfId="390"/>
    <cellStyle name="Comma 32 5 10" xfId="8257"/>
    <cellStyle name="Comma 32 5 11" xfId="8258"/>
    <cellStyle name="Comma 32 5 12" xfId="8259"/>
    <cellStyle name="Comma 32 5 13" xfId="8260"/>
    <cellStyle name="Comma 32 5 14" xfId="8261"/>
    <cellStyle name="Comma 32 5 15" xfId="8262"/>
    <cellStyle name="Comma 32 5 16" xfId="8263"/>
    <cellStyle name="Comma 32 5 17" xfId="8264"/>
    <cellStyle name="Comma 32 5 18" xfId="8265"/>
    <cellStyle name="Comma 32 5 19" xfId="8266"/>
    <cellStyle name="Comma 32 5 2" xfId="8267"/>
    <cellStyle name="Comma 32 5 20" xfId="8268"/>
    <cellStyle name="Comma 32 5 21" xfId="8269"/>
    <cellStyle name="Comma 32 5 22" xfId="8270"/>
    <cellStyle name="Comma 32 5 23" xfId="20277"/>
    <cellStyle name="Comma 32 5 24" xfId="20278"/>
    <cellStyle name="Comma 32 5 25" xfId="20279"/>
    <cellStyle name="Comma 32 5 26" xfId="20280"/>
    <cellStyle name="Comma 32 5 27" xfId="20281"/>
    <cellStyle name="Comma 32 5 28" xfId="20282"/>
    <cellStyle name="Comma 32 5 29" xfId="20283"/>
    <cellStyle name="Comma 32 5 3" xfId="8271"/>
    <cellStyle name="Comma 32 5 30" xfId="20284"/>
    <cellStyle name="Comma 32 5 31" xfId="20285"/>
    <cellStyle name="Comma 32 5 32" xfId="20286"/>
    <cellStyle name="Comma 32 5 33" xfId="20287"/>
    <cellStyle name="Comma 32 5 34" xfId="20288"/>
    <cellStyle name="Comma 32 5 35" xfId="20289"/>
    <cellStyle name="Comma 32 5 4" xfId="8272"/>
    <cellStyle name="Comma 32 5 5" xfId="8273"/>
    <cellStyle name="Comma 32 5 6" xfId="8274"/>
    <cellStyle name="Comma 32 5 7" xfId="8275"/>
    <cellStyle name="Comma 32 5 8" xfId="8276"/>
    <cellStyle name="Comma 32 5 9" xfId="8277"/>
    <cellStyle name="Comma 32 50" xfId="20290"/>
    <cellStyle name="Comma 32 6" xfId="391"/>
    <cellStyle name="Comma 32 6 10" xfId="8278"/>
    <cellStyle name="Comma 32 6 11" xfId="8279"/>
    <cellStyle name="Comma 32 6 12" xfId="8280"/>
    <cellStyle name="Comma 32 6 13" xfId="8281"/>
    <cellStyle name="Comma 32 6 14" xfId="8282"/>
    <cellStyle name="Comma 32 6 15" xfId="8283"/>
    <cellStyle name="Comma 32 6 16" xfId="8284"/>
    <cellStyle name="Comma 32 6 17" xfId="8285"/>
    <cellStyle name="Comma 32 6 18" xfId="8286"/>
    <cellStyle name="Comma 32 6 19" xfId="8287"/>
    <cellStyle name="Comma 32 6 2" xfId="8288"/>
    <cellStyle name="Comma 32 6 20" xfId="8289"/>
    <cellStyle name="Comma 32 6 21" xfId="8290"/>
    <cellStyle name="Comma 32 6 22" xfId="8291"/>
    <cellStyle name="Comma 32 6 23" xfId="20291"/>
    <cellStyle name="Comma 32 6 24" xfId="20292"/>
    <cellStyle name="Comma 32 6 25" xfId="20293"/>
    <cellStyle name="Comma 32 6 26" xfId="20294"/>
    <cellStyle name="Comma 32 6 27" xfId="20295"/>
    <cellStyle name="Comma 32 6 28" xfId="20296"/>
    <cellStyle name="Comma 32 6 29" xfId="20297"/>
    <cellStyle name="Comma 32 6 3" xfId="8292"/>
    <cellStyle name="Comma 32 6 30" xfId="20298"/>
    <cellStyle name="Comma 32 6 31" xfId="20299"/>
    <cellStyle name="Comma 32 6 32" xfId="20300"/>
    <cellStyle name="Comma 32 6 33" xfId="20301"/>
    <cellStyle name="Comma 32 6 34" xfId="20302"/>
    <cellStyle name="Comma 32 6 35" xfId="20303"/>
    <cellStyle name="Comma 32 6 4" xfId="8293"/>
    <cellStyle name="Comma 32 6 5" xfId="8294"/>
    <cellStyle name="Comma 32 6 6" xfId="8295"/>
    <cellStyle name="Comma 32 6 7" xfId="8296"/>
    <cellStyle name="Comma 32 6 8" xfId="8297"/>
    <cellStyle name="Comma 32 6 9" xfId="8298"/>
    <cellStyle name="Comma 32 7" xfId="392"/>
    <cellStyle name="Comma 32 7 10" xfId="8299"/>
    <cellStyle name="Comma 32 7 11" xfId="8300"/>
    <cellStyle name="Comma 32 7 12" xfId="8301"/>
    <cellStyle name="Comma 32 7 13" xfId="8302"/>
    <cellStyle name="Comma 32 7 14" xfId="8303"/>
    <cellStyle name="Comma 32 7 15" xfId="8304"/>
    <cellStyle name="Comma 32 7 16" xfId="8305"/>
    <cellStyle name="Comma 32 7 17" xfId="8306"/>
    <cellStyle name="Comma 32 7 18" xfId="8307"/>
    <cellStyle name="Comma 32 7 19" xfId="8308"/>
    <cellStyle name="Comma 32 7 2" xfId="8309"/>
    <cellStyle name="Comma 32 7 20" xfId="8310"/>
    <cellStyle name="Comma 32 7 21" xfId="8311"/>
    <cellStyle name="Comma 32 7 22" xfId="8312"/>
    <cellStyle name="Comma 32 7 23" xfId="20304"/>
    <cellStyle name="Comma 32 7 24" xfId="20305"/>
    <cellStyle name="Comma 32 7 25" xfId="20306"/>
    <cellStyle name="Comma 32 7 26" xfId="20307"/>
    <cellStyle name="Comma 32 7 27" xfId="20308"/>
    <cellStyle name="Comma 32 7 28" xfId="20309"/>
    <cellStyle name="Comma 32 7 29" xfId="20310"/>
    <cellStyle name="Comma 32 7 3" xfId="8313"/>
    <cellStyle name="Comma 32 7 30" xfId="20311"/>
    <cellStyle name="Comma 32 7 31" xfId="20312"/>
    <cellStyle name="Comma 32 7 32" xfId="20313"/>
    <cellStyle name="Comma 32 7 33" xfId="20314"/>
    <cellStyle name="Comma 32 7 34" xfId="20315"/>
    <cellStyle name="Comma 32 7 35" xfId="20316"/>
    <cellStyle name="Comma 32 7 4" xfId="8314"/>
    <cellStyle name="Comma 32 7 5" xfId="8315"/>
    <cellStyle name="Comma 32 7 6" xfId="8316"/>
    <cellStyle name="Comma 32 7 7" xfId="8317"/>
    <cellStyle name="Comma 32 7 8" xfId="8318"/>
    <cellStyle name="Comma 32 7 9" xfId="8319"/>
    <cellStyle name="Comma 32 8" xfId="393"/>
    <cellStyle name="Comma 32 8 10" xfId="8320"/>
    <cellStyle name="Comma 32 8 11" xfId="8321"/>
    <cellStyle name="Comma 32 8 12" xfId="8322"/>
    <cellStyle name="Comma 32 8 13" xfId="8323"/>
    <cellStyle name="Comma 32 8 14" xfId="8324"/>
    <cellStyle name="Comma 32 8 15" xfId="8325"/>
    <cellStyle name="Comma 32 8 16" xfId="8326"/>
    <cellStyle name="Comma 32 8 17" xfId="8327"/>
    <cellStyle name="Comma 32 8 18" xfId="8328"/>
    <cellStyle name="Comma 32 8 19" xfId="8329"/>
    <cellStyle name="Comma 32 8 2" xfId="8330"/>
    <cellStyle name="Comma 32 8 20" xfId="8331"/>
    <cellStyle name="Comma 32 8 21" xfId="8332"/>
    <cellStyle name="Comma 32 8 22" xfId="8333"/>
    <cellStyle name="Comma 32 8 23" xfId="20317"/>
    <cellStyle name="Comma 32 8 24" xfId="20318"/>
    <cellStyle name="Comma 32 8 25" xfId="20319"/>
    <cellStyle name="Comma 32 8 26" xfId="20320"/>
    <cellStyle name="Comma 32 8 27" xfId="20321"/>
    <cellStyle name="Comma 32 8 28" xfId="20322"/>
    <cellStyle name="Comma 32 8 29" xfId="20323"/>
    <cellStyle name="Comma 32 8 3" xfId="8334"/>
    <cellStyle name="Comma 32 8 30" xfId="20324"/>
    <cellStyle name="Comma 32 8 31" xfId="20325"/>
    <cellStyle name="Comma 32 8 32" xfId="20326"/>
    <cellStyle name="Comma 32 8 33" xfId="20327"/>
    <cellStyle name="Comma 32 8 34" xfId="20328"/>
    <cellStyle name="Comma 32 8 35" xfId="20329"/>
    <cellStyle name="Comma 32 8 4" xfId="8335"/>
    <cellStyle name="Comma 32 8 5" xfId="8336"/>
    <cellStyle name="Comma 32 8 6" xfId="8337"/>
    <cellStyle name="Comma 32 8 7" xfId="8338"/>
    <cellStyle name="Comma 32 8 8" xfId="8339"/>
    <cellStyle name="Comma 32 8 9" xfId="8340"/>
    <cellStyle name="Comma 32 9" xfId="394"/>
    <cellStyle name="Comma 32 9 10" xfId="8341"/>
    <cellStyle name="Comma 32 9 11" xfId="8342"/>
    <cellStyle name="Comma 32 9 12" xfId="8343"/>
    <cellStyle name="Comma 32 9 13" xfId="8344"/>
    <cellStyle name="Comma 32 9 14" xfId="8345"/>
    <cellStyle name="Comma 32 9 15" xfId="8346"/>
    <cellStyle name="Comma 32 9 16" xfId="8347"/>
    <cellStyle name="Comma 32 9 17" xfId="8348"/>
    <cellStyle name="Comma 32 9 18" xfId="8349"/>
    <cellStyle name="Comma 32 9 19" xfId="8350"/>
    <cellStyle name="Comma 32 9 2" xfId="8351"/>
    <cellStyle name="Comma 32 9 20" xfId="8352"/>
    <cellStyle name="Comma 32 9 21" xfId="8353"/>
    <cellStyle name="Comma 32 9 22" xfId="8354"/>
    <cellStyle name="Comma 32 9 23" xfId="20330"/>
    <cellStyle name="Comma 32 9 24" xfId="20331"/>
    <cellStyle name="Comma 32 9 25" xfId="20332"/>
    <cellStyle name="Comma 32 9 26" xfId="20333"/>
    <cellStyle name="Comma 32 9 27" xfId="20334"/>
    <cellStyle name="Comma 32 9 28" xfId="20335"/>
    <cellStyle name="Comma 32 9 29" xfId="20336"/>
    <cellStyle name="Comma 32 9 3" xfId="8355"/>
    <cellStyle name="Comma 32 9 30" xfId="20337"/>
    <cellStyle name="Comma 32 9 31" xfId="20338"/>
    <cellStyle name="Comma 32 9 32" xfId="20339"/>
    <cellStyle name="Comma 32 9 33" xfId="20340"/>
    <cellStyle name="Comma 32 9 34" xfId="20341"/>
    <cellStyle name="Comma 32 9 35" xfId="20342"/>
    <cellStyle name="Comma 32 9 4" xfId="8356"/>
    <cellStyle name="Comma 32 9 5" xfId="8357"/>
    <cellStyle name="Comma 32 9 6" xfId="8358"/>
    <cellStyle name="Comma 32 9 7" xfId="8359"/>
    <cellStyle name="Comma 32 9 8" xfId="8360"/>
    <cellStyle name="Comma 32 9 9" xfId="8361"/>
    <cellStyle name="Comma 33" xfId="31"/>
    <cellStyle name="Comma 33 10" xfId="395"/>
    <cellStyle name="Comma 33 10 10" xfId="8362"/>
    <cellStyle name="Comma 33 10 11" xfId="8363"/>
    <cellStyle name="Comma 33 10 12" xfId="8364"/>
    <cellStyle name="Comma 33 10 13" xfId="8365"/>
    <cellStyle name="Comma 33 10 14" xfId="8366"/>
    <cellStyle name="Comma 33 10 15" xfId="8367"/>
    <cellStyle name="Comma 33 10 16" xfId="8368"/>
    <cellStyle name="Comma 33 10 17" xfId="8369"/>
    <cellStyle name="Comma 33 10 18" xfId="8370"/>
    <cellStyle name="Comma 33 10 19" xfId="8371"/>
    <cellStyle name="Comma 33 10 2" xfId="8372"/>
    <cellStyle name="Comma 33 10 20" xfId="8373"/>
    <cellStyle name="Comma 33 10 21" xfId="8374"/>
    <cellStyle name="Comma 33 10 22" xfId="8375"/>
    <cellStyle name="Comma 33 10 23" xfId="20343"/>
    <cellStyle name="Comma 33 10 24" xfId="20344"/>
    <cellStyle name="Comma 33 10 25" xfId="20345"/>
    <cellStyle name="Comma 33 10 26" xfId="20346"/>
    <cellStyle name="Comma 33 10 27" xfId="20347"/>
    <cellStyle name="Comma 33 10 28" xfId="20348"/>
    <cellStyle name="Comma 33 10 29" xfId="20349"/>
    <cellStyle name="Comma 33 10 3" xfId="8376"/>
    <cellStyle name="Comma 33 10 30" xfId="20350"/>
    <cellStyle name="Comma 33 10 31" xfId="20351"/>
    <cellStyle name="Comma 33 10 32" xfId="20352"/>
    <cellStyle name="Comma 33 10 33" xfId="20353"/>
    <cellStyle name="Comma 33 10 34" xfId="20354"/>
    <cellStyle name="Comma 33 10 35" xfId="20355"/>
    <cellStyle name="Comma 33 10 4" xfId="8377"/>
    <cellStyle name="Comma 33 10 5" xfId="8378"/>
    <cellStyle name="Comma 33 10 6" xfId="8379"/>
    <cellStyle name="Comma 33 10 7" xfId="8380"/>
    <cellStyle name="Comma 33 10 8" xfId="8381"/>
    <cellStyle name="Comma 33 10 9" xfId="8382"/>
    <cellStyle name="Comma 33 11" xfId="396"/>
    <cellStyle name="Comma 33 11 10" xfId="8383"/>
    <cellStyle name="Comma 33 11 11" xfId="8384"/>
    <cellStyle name="Comma 33 11 12" xfId="8385"/>
    <cellStyle name="Comma 33 11 13" xfId="8386"/>
    <cellStyle name="Comma 33 11 14" xfId="8387"/>
    <cellStyle name="Comma 33 11 15" xfId="8388"/>
    <cellStyle name="Comma 33 11 16" xfId="8389"/>
    <cellStyle name="Comma 33 11 17" xfId="8390"/>
    <cellStyle name="Comma 33 11 18" xfId="8391"/>
    <cellStyle name="Comma 33 11 19" xfId="8392"/>
    <cellStyle name="Comma 33 11 2" xfId="8393"/>
    <cellStyle name="Comma 33 11 20" xfId="8394"/>
    <cellStyle name="Comma 33 11 21" xfId="8395"/>
    <cellStyle name="Comma 33 11 22" xfId="8396"/>
    <cellStyle name="Comma 33 11 23" xfId="20356"/>
    <cellStyle name="Comma 33 11 24" xfId="20357"/>
    <cellStyle name="Comma 33 11 25" xfId="20358"/>
    <cellStyle name="Comma 33 11 26" xfId="20359"/>
    <cellStyle name="Comma 33 11 27" xfId="20360"/>
    <cellStyle name="Comma 33 11 28" xfId="20361"/>
    <cellStyle name="Comma 33 11 29" xfId="20362"/>
    <cellStyle name="Comma 33 11 3" xfId="8397"/>
    <cellStyle name="Comma 33 11 30" xfId="20363"/>
    <cellStyle name="Comma 33 11 31" xfId="20364"/>
    <cellStyle name="Comma 33 11 32" xfId="20365"/>
    <cellStyle name="Comma 33 11 33" xfId="20366"/>
    <cellStyle name="Comma 33 11 34" xfId="20367"/>
    <cellStyle name="Comma 33 11 35" xfId="20368"/>
    <cellStyle name="Comma 33 11 4" xfId="8398"/>
    <cellStyle name="Comma 33 11 5" xfId="8399"/>
    <cellStyle name="Comma 33 11 6" xfId="8400"/>
    <cellStyle name="Comma 33 11 7" xfId="8401"/>
    <cellStyle name="Comma 33 11 8" xfId="8402"/>
    <cellStyle name="Comma 33 11 9" xfId="8403"/>
    <cellStyle name="Comma 33 12" xfId="397"/>
    <cellStyle name="Comma 33 12 10" xfId="8404"/>
    <cellStyle name="Comma 33 12 11" xfId="8405"/>
    <cellStyle name="Comma 33 12 12" xfId="8406"/>
    <cellStyle name="Comma 33 12 13" xfId="8407"/>
    <cellStyle name="Comma 33 12 14" xfId="8408"/>
    <cellStyle name="Comma 33 12 15" xfId="8409"/>
    <cellStyle name="Comma 33 12 16" xfId="8410"/>
    <cellStyle name="Comma 33 12 17" xfId="8411"/>
    <cellStyle name="Comma 33 12 18" xfId="8412"/>
    <cellStyle name="Comma 33 12 19" xfId="8413"/>
    <cellStyle name="Comma 33 12 2" xfId="8414"/>
    <cellStyle name="Comma 33 12 20" xfId="8415"/>
    <cellStyle name="Comma 33 12 21" xfId="8416"/>
    <cellStyle name="Comma 33 12 22" xfId="8417"/>
    <cellStyle name="Comma 33 12 23" xfId="20369"/>
    <cellStyle name="Comma 33 12 24" xfId="20370"/>
    <cellStyle name="Comma 33 12 25" xfId="20371"/>
    <cellStyle name="Comma 33 12 26" xfId="20372"/>
    <cellStyle name="Comma 33 12 27" xfId="20373"/>
    <cellStyle name="Comma 33 12 28" xfId="20374"/>
    <cellStyle name="Comma 33 12 29" xfId="20375"/>
    <cellStyle name="Comma 33 12 3" xfId="8418"/>
    <cellStyle name="Comma 33 12 30" xfId="20376"/>
    <cellStyle name="Comma 33 12 31" xfId="20377"/>
    <cellStyle name="Comma 33 12 32" xfId="20378"/>
    <cellStyle name="Comma 33 12 33" xfId="20379"/>
    <cellStyle name="Comma 33 12 34" xfId="20380"/>
    <cellStyle name="Comma 33 12 35" xfId="20381"/>
    <cellStyle name="Comma 33 12 4" xfId="8419"/>
    <cellStyle name="Comma 33 12 5" xfId="8420"/>
    <cellStyle name="Comma 33 12 6" xfId="8421"/>
    <cellStyle name="Comma 33 12 7" xfId="8422"/>
    <cellStyle name="Comma 33 12 8" xfId="8423"/>
    <cellStyle name="Comma 33 12 9" xfId="8424"/>
    <cellStyle name="Comma 33 13" xfId="398"/>
    <cellStyle name="Comma 33 13 10" xfId="8425"/>
    <cellStyle name="Comma 33 13 11" xfId="8426"/>
    <cellStyle name="Comma 33 13 12" xfId="8427"/>
    <cellStyle name="Comma 33 13 13" xfId="8428"/>
    <cellStyle name="Comma 33 13 14" xfId="8429"/>
    <cellStyle name="Comma 33 13 15" xfId="8430"/>
    <cellStyle name="Comma 33 13 16" xfId="8431"/>
    <cellStyle name="Comma 33 13 17" xfId="8432"/>
    <cellStyle name="Comma 33 13 18" xfId="8433"/>
    <cellStyle name="Comma 33 13 19" xfId="8434"/>
    <cellStyle name="Comma 33 13 2" xfId="8435"/>
    <cellStyle name="Comma 33 13 20" xfId="8436"/>
    <cellStyle name="Comma 33 13 21" xfId="8437"/>
    <cellStyle name="Comma 33 13 22" xfId="8438"/>
    <cellStyle name="Comma 33 13 23" xfId="20382"/>
    <cellStyle name="Comma 33 13 24" xfId="20383"/>
    <cellStyle name="Comma 33 13 25" xfId="20384"/>
    <cellStyle name="Comma 33 13 26" xfId="20385"/>
    <cellStyle name="Comma 33 13 27" xfId="20386"/>
    <cellStyle name="Comma 33 13 28" xfId="20387"/>
    <cellStyle name="Comma 33 13 29" xfId="20388"/>
    <cellStyle name="Comma 33 13 3" xfId="8439"/>
    <cellStyle name="Comma 33 13 30" xfId="20389"/>
    <cellStyle name="Comma 33 13 31" xfId="20390"/>
    <cellStyle name="Comma 33 13 32" xfId="20391"/>
    <cellStyle name="Comma 33 13 33" xfId="20392"/>
    <cellStyle name="Comma 33 13 34" xfId="20393"/>
    <cellStyle name="Comma 33 13 35" xfId="20394"/>
    <cellStyle name="Comma 33 13 4" xfId="8440"/>
    <cellStyle name="Comma 33 13 5" xfId="8441"/>
    <cellStyle name="Comma 33 13 6" xfId="8442"/>
    <cellStyle name="Comma 33 13 7" xfId="8443"/>
    <cellStyle name="Comma 33 13 8" xfId="8444"/>
    <cellStyle name="Comma 33 13 9" xfId="8445"/>
    <cellStyle name="Comma 33 14" xfId="399"/>
    <cellStyle name="Comma 33 14 10" xfId="8446"/>
    <cellStyle name="Comma 33 14 11" xfId="8447"/>
    <cellStyle name="Comma 33 14 12" xfId="8448"/>
    <cellStyle name="Comma 33 14 13" xfId="8449"/>
    <cellStyle name="Comma 33 14 14" xfId="8450"/>
    <cellStyle name="Comma 33 14 15" xfId="8451"/>
    <cellStyle name="Comma 33 14 16" xfId="8452"/>
    <cellStyle name="Comma 33 14 17" xfId="8453"/>
    <cellStyle name="Comma 33 14 18" xfId="8454"/>
    <cellStyle name="Comma 33 14 19" xfId="8455"/>
    <cellStyle name="Comma 33 14 2" xfId="8456"/>
    <cellStyle name="Comma 33 14 20" xfId="8457"/>
    <cellStyle name="Comma 33 14 21" xfId="8458"/>
    <cellStyle name="Comma 33 14 22" xfId="8459"/>
    <cellStyle name="Comma 33 14 23" xfId="20395"/>
    <cellStyle name="Comma 33 14 24" xfId="20396"/>
    <cellStyle name="Comma 33 14 25" xfId="20397"/>
    <cellStyle name="Comma 33 14 26" xfId="20398"/>
    <cellStyle name="Comma 33 14 27" xfId="20399"/>
    <cellStyle name="Comma 33 14 28" xfId="20400"/>
    <cellStyle name="Comma 33 14 29" xfId="20401"/>
    <cellStyle name="Comma 33 14 3" xfId="8460"/>
    <cellStyle name="Comma 33 14 30" xfId="20402"/>
    <cellStyle name="Comma 33 14 31" xfId="20403"/>
    <cellStyle name="Comma 33 14 32" xfId="20404"/>
    <cellStyle name="Comma 33 14 33" xfId="20405"/>
    <cellStyle name="Comma 33 14 34" xfId="20406"/>
    <cellStyle name="Comma 33 14 35" xfId="20407"/>
    <cellStyle name="Comma 33 14 4" xfId="8461"/>
    <cellStyle name="Comma 33 14 5" xfId="8462"/>
    <cellStyle name="Comma 33 14 6" xfId="8463"/>
    <cellStyle name="Comma 33 14 7" xfId="8464"/>
    <cellStyle name="Comma 33 14 8" xfId="8465"/>
    <cellStyle name="Comma 33 14 9" xfId="8466"/>
    <cellStyle name="Comma 33 15" xfId="103"/>
    <cellStyle name="Comma 33 15 10" xfId="2882"/>
    <cellStyle name="Comma 33 15 11" xfId="2968"/>
    <cellStyle name="Comma 33 15 12" xfId="3042"/>
    <cellStyle name="Comma 33 15 13" xfId="3104"/>
    <cellStyle name="Comma 33 15 14" xfId="3158"/>
    <cellStyle name="Comma 33 15 15" xfId="2818"/>
    <cellStyle name="Comma 33 15 2" xfId="923"/>
    <cellStyle name="Comma 33 15 3" xfId="1476"/>
    <cellStyle name="Comma 33 15 4" xfId="1505"/>
    <cellStyle name="Comma 33 15 5" xfId="1490"/>
    <cellStyle name="Comma 33 15 6" xfId="1493"/>
    <cellStyle name="Comma 33 15 7" xfId="1771"/>
    <cellStyle name="Comma 33 15 8" xfId="1774"/>
    <cellStyle name="Comma 33 15 9" xfId="2181"/>
    <cellStyle name="Comma 33 16" xfId="1417"/>
    <cellStyle name="Comma 33 17" xfId="1558"/>
    <cellStyle name="Comma 33 18" xfId="1611"/>
    <cellStyle name="Comma 33 19" xfId="1663"/>
    <cellStyle name="Comma 33 2" xfId="400"/>
    <cellStyle name="Comma 33 2 10" xfId="8467"/>
    <cellStyle name="Comma 33 2 11" xfId="8468"/>
    <cellStyle name="Comma 33 2 12" xfId="8469"/>
    <cellStyle name="Comma 33 2 13" xfId="8470"/>
    <cellStyle name="Comma 33 2 14" xfId="8471"/>
    <cellStyle name="Comma 33 2 15" xfId="8472"/>
    <cellStyle name="Comma 33 2 16" xfId="8473"/>
    <cellStyle name="Comma 33 2 17" xfId="8474"/>
    <cellStyle name="Comma 33 2 18" xfId="8475"/>
    <cellStyle name="Comma 33 2 19" xfId="8476"/>
    <cellStyle name="Comma 33 2 2" xfId="8477"/>
    <cellStyle name="Comma 33 2 20" xfId="8478"/>
    <cellStyle name="Comma 33 2 21" xfId="8479"/>
    <cellStyle name="Comma 33 2 22" xfId="8480"/>
    <cellStyle name="Comma 33 2 23" xfId="20408"/>
    <cellStyle name="Comma 33 2 24" xfId="20409"/>
    <cellStyle name="Comma 33 2 25" xfId="20410"/>
    <cellStyle name="Comma 33 2 26" xfId="20411"/>
    <cellStyle name="Comma 33 2 27" xfId="20412"/>
    <cellStyle name="Comma 33 2 28" xfId="20413"/>
    <cellStyle name="Comma 33 2 29" xfId="20414"/>
    <cellStyle name="Comma 33 2 3" xfId="8481"/>
    <cellStyle name="Comma 33 2 30" xfId="20415"/>
    <cellStyle name="Comma 33 2 31" xfId="20416"/>
    <cellStyle name="Comma 33 2 32" xfId="20417"/>
    <cellStyle name="Comma 33 2 33" xfId="20418"/>
    <cellStyle name="Comma 33 2 34" xfId="20419"/>
    <cellStyle name="Comma 33 2 35" xfId="20420"/>
    <cellStyle name="Comma 33 2 4" xfId="8482"/>
    <cellStyle name="Comma 33 2 5" xfId="8483"/>
    <cellStyle name="Comma 33 2 6" xfId="8484"/>
    <cellStyle name="Comma 33 2 7" xfId="8485"/>
    <cellStyle name="Comma 33 2 8" xfId="8486"/>
    <cellStyle name="Comma 33 2 9" xfId="8487"/>
    <cellStyle name="Comma 33 20" xfId="1719"/>
    <cellStyle name="Comma 33 21" xfId="1826"/>
    <cellStyle name="Comma 33 22" xfId="2118"/>
    <cellStyle name="Comma 33 23" xfId="2153"/>
    <cellStyle name="Comma 33 24" xfId="2642"/>
    <cellStyle name="Comma 33 25" xfId="2517"/>
    <cellStyle name="Comma 33 26" xfId="2365"/>
    <cellStyle name="Comma 33 27" xfId="2408"/>
    <cellStyle name="Comma 33 28" xfId="2514"/>
    <cellStyle name="Comma 33 29" xfId="8488"/>
    <cellStyle name="Comma 33 3" xfId="401"/>
    <cellStyle name="Comma 33 3 10" xfId="8489"/>
    <cellStyle name="Comma 33 3 11" xfId="8490"/>
    <cellStyle name="Comma 33 3 12" xfId="8491"/>
    <cellStyle name="Comma 33 3 13" xfId="8492"/>
    <cellStyle name="Comma 33 3 14" xfId="8493"/>
    <cellStyle name="Comma 33 3 15" xfId="8494"/>
    <cellStyle name="Comma 33 3 16" xfId="8495"/>
    <cellStyle name="Comma 33 3 17" xfId="8496"/>
    <cellStyle name="Comma 33 3 18" xfId="8497"/>
    <cellStyle name="Comma 33 3 19" xfId="8498"/>
    <cellStyle name="Comma 33 3 2" xfId="8499"/>
    <cellStyle name="Comma 33 3 20" xfId="8500"/>
    <cellStyle name="Comma 33 3 21" xfId="8501"/>
    <cellStyle name="Comma 33 3 22" xfId="8502"/>
    <cellStyle name="Comma 33 3 23" xfId="20421"/>
    <cellStyle name="Comma 33 3 24" xfId="20422"/>
    <cellStyle name="Comma 33 3 25" xfId="20423"/>
    <cellStyle name="Comma 33 3 26" xfId="20424"/>
    <cellStyle name="Comma 33 3 27" xfId="20425"/>
    <cellStyle name="Comma 33 3 28" xfId="20426"/>
    <cellStyle name="Comma 33 3 29" xfId="20427"/>
    <cellStyle name="Comma 33 3 3" xfId="8503"/>
    <cellStyle name="Comma 33 3 30" xfId="20428"/>
    <cellStyle name="Comma 33 3 31" xfId="20429"/>
    <cellStyle name="Comma 33 3 32" xfId="20430"/>
    <cellStyle name="Comma 33 3 33" xfId="20431"/>
    <cellStyle name="Comma 33 3 34" xfId="20432"/>
    <cellStyle name="Comma 33 3 35" xfId="20433"/>
    <cellStyle name="Comma 33 3 4" xfId="8504"/>
    <cellStyle name="Comma 33 3 5" xfId="8505"/>
    <cellStyle name="Comma 33 3 6" xfId="8506"/>
    <cellStyle name="Comma 33 3 7" xfId="8507"/>
    <cellStyle name="Comma 33 3 8" xfId="8508"/>
    <cellStyle name="Comma 33 3 9" xfId="8509"/>
    <cellStyle name="Comma 33 30" xfId="8510"/>
    <cellStyle name="Comma 33 31" xfId="8511"/>
    <cellStyle name="Comma 33 32" xfId="8512"/>
    <cellStyle name="Comma 33 33" xfId="8513"/>
    <cellStyle name="Comma 33 34" xfId="8514"/>
    <cellStyle name="Comma 33 35" xfId="8515"/>
    <cellStyle name="Comma 33 36" xfId="8516"/>
    <cellStyle name="Comma 33 37" xfId="8517"/>
    <cellStyle name="Comma 33 38" xfId="20434"/>
    <cellStyle name="Comma 33 39" xfId="20435"/>
    <cellStyle name="Comma 33 4" xfId="402"/>
    <cellStyle name="Comma 33 4 10" xfId="8518"/>
    <cellStyle name="Comma 33 4 11" xfId="8519"/>
    <cellStyle name="Comma 33 4 12" xfId="8520"/>
    <cellStyle name="Comma 33 4 13" xfId="8521"/>
    <cellStyle name="Comma 33 4 14" xfId="8522"/>
    <cellStyle name="Comma 33 4 15" xfId="8523"/>
    <cellStyle name="Comma 33 4 16" xfId="8524"/>
    <cellStyle name="Comma 33 4 17" xfId="8525"/>
    <cellStyle name="Comma 33 4 18" xfId="8526"/>
    <cellStyle name="Comma 33 4 19" xfId="8527"/>
    <cellStyle name="Comma 33 4 2" xfId="8528"/>
    <cellStyle name="Comma 33 4 20" xfId="8529"/>
    <cellStyle name="Comma 33 4 21" xfId="8530"/>
    <cellStyle name="Comma 33 4 22" xfId="8531"/>
    <cellStyle name="Comma 33 4 23" xfId="20436"/>
    <cellStyle name="Comma 33 4 24" xfId="20437"/>
    <cellStyle name="Comma 33 4 25" xfId="20438"/>
    <cellStyle name="Comma 33 4 26" xfId="20439"/>
    <cellStyle name="Comma 33 4 27" xfId="20440"/>
    <cellStyle name="Comma 33 4 28" xfId="20441"/>
    <cellStyle name="Comma 33 4 29" xfId="20442"/>
    <cellStyle name="Comma 33 4 3" xfId="8532"/>
    <cellStyle name="Comma 33 4 30" xfId="20443"/>
    <cellStyle name="Comma 33 4 31" xfId="20444"/>
    <cellStyle name="Comma 33 4 32" xfId="20445"/>
    <cellStyle name="Comma 33 4 33" xfId="20446"/>
    <cellStyle name="Comma 33 4 34" xfId="20447"/>
    <cellStyle name="Comma 33 4 35" xfId="20448"/>
    <cellStyle name="Comma 33 4 4" xfId="8533"/>
    <cellStyle name="Comma 33 4 5" xfId="8534"/>
    <cellStyle name="Comma 33 4 6" xfId="8535"/>
    <cellStyle name="Comma 33 4 7" xfId="8536"/>
    <cellStyle name="Comma 33 4 8" xfId="8537"/>
    <cellStyle name="Comma 33 4 9" xfId="8538"/>
    <cellStyle name="Comma 33 40" xfId="20449"/>
    <cellStyle name="Comma 33 41" xfId="20450"/>
    <cellStyle name="Comma 33 42" xfId="20451"/>
    <cellStyle name="Comma 33 43" xfId="20452"/>
    <cellStyle name="Comma 33 44" xfId="20453"/>
    <cellStyle name="Comma 33 45" xfId="20454"/>
    <cellStyle name="Comma 33 46" xfId="20455"/>
    <cellStyle name="Comma 33 47" xfId="20456"/>
    <cellStyle name="Comma 33 48" xfId="20457"/>
    <cellStyle name="Comma 33 49" xfId="20458"/>
    <cellStyle name="Comma 33 5" xfId="403"/>
    <cellStyle name="Comma 33 5 10" xfId="8539"/>
    <cellStyle name="Comma 33 5 11" xfId="8540"/>
    <cellStyle name="Comma 33 5 12" xfId="8541"/>
    <cellStyle name="Comma 33 5 13" xfId="8542"/>
    <cellStyle name="Comma 33 5 14" xfId="8543"/>
    <cellStyle name="Comma 33 5 15" xfId="8544"/>
    <cellStyle name="Comma 33 5 16" xfId="8545"/>
    <cellStyle name="Comma 33 5 17" xfId="8546"/>
    <cellStyle name="Comma 33 5 18" xfId="8547"/>
    <cellStyle name="Comma 33 5 19" xfId="8548"/>
    <cellStyle name="Comma 33 5 2" xfId="8549"/>
    <cellStyle name="Comma 33 5 20" xfId="8550"/>
    <cellStyle name="Comma 33 5 21" xfId="8551"/>
    <cellStyle name="Comma 33 5 22" xfId="8552"/>
    <cellStyle name="Comma 33 5 23" xfId="20459"/>
    <cellStyle name="Comma 33 5 24" xfId="20460"/>
    <cellStyle name="Comma 33 5 25" xfId="20461"/>
    <cellStyle name="Comma 33 5 26" xfId="20462"/>
    <cellStyle name="Comma 33 5 27" xfId="20463"/>
    <cellStyle name="Comma 33 5 28" xfId="20464"/>
    <cellStyle name="Comma 33 5 29" xfId="20465"/>
    <cellStyle name="Comma 33 5 3" xfId="8553"/>
    <cellStyle name="Comma 33 5 30" xfId="20466"/>
    <cellStyle name="Comma 33 5 31" xfId="20467"/>
    <cellStyle name="Comma 33 5 32" xfId="20468"/>
    <cellStyle name="Comma 33 5 33" xfId="20469"/>
    <cellStyle name="Comma 33 5 34" xfId="20470"/>
    <cellStyle name="Comma 33 5 35" xfId="20471"/>
    <cellStyle name="Comma 33 5 4" xfId="8554"/>
    <cellStyle name="Comma 33 5 5" xfId="8555"/>
    <cellStyle name="Comma 33 5 6" xfId="8556"/>
    <cellStyle name="Comma 33 5 7" xfId="8557"/>
    <cellStyle name="Comma 33 5 8" xfId="8558"/>
    <cellStyle name="Comma 33 5 9" xfId="8559"/>
    <cellStyle name="Comma 33 50" xfId="20472"/>
    <cellStyle name="Comma 33 6" xfId="404"/>
    <cellStyle name="Comma 33 6 10" xfId="8560"/>
    <cellStyle name="Comma 33 6 11" xfId="8561"/>
    <cellStyle name="Comma 33 6 12" xfId="8562"/>
    <cellStyle name="Comma 33 6 13" xfId="8563"/>
    <cellStyle name="Comma 33 6 14" xfId="8564"/>
    <cellStyle name="Comma 33 6 15" xfId="8565"/>
    <cellStyle name="Comma 33 6 16" xfId="8566"/>
    <cellStyle name="Comma 33 6 17" xfId="8567"/>
    <cellStyle name="Comma 33 6 18" xfId="8568"/>
    <cellStyle name="Comma 33 6 19" xfId="8569"/>
    <cellStyle name="Comma 33 6 2" xfId="8570"/>
    <cellStyle name="Comma 33 6 20" xfId="8571"/>
    <cellStyle name="Comma 33 6 21" xfId="8572"/>
    <cellStyle name="Comma 33 6 22" xfId="8573"/>
    <cellStyle name="Comma 33 6 23" xfId="20473"/>
    <cellStyle name="Comma 33 6 24" xfId="20474"/>
    <cellStyle name="Comma 33 6 25" xfId="20475"/>
    <cellStyle name="Comma 33 6 26" xfId="20476"/>
    <cellStyle name="Comma 33 6 27" xfId="20477"/>
    <cellStyle name="Comma 33 6 28" xfId="20478"/>
    <cellStyle name="Comma 33 6 29" xfId="20479"/>
    <cellStyle name="Comma 33 6 3" xfId="8574"/>
    <cellStyle name="Comma 33 6 30" xfId="20480"/>
    <cellStyle name="Comma 33 6 31" xfId="20481"/>
    <cellStyle name="Comma 33 6 32" xfId="20482"/>
    <cellStyle name="Comma 33 6 33" xfId="20483"/>
    <cellStyle name="Comma 33 6 34" xfId="20484"/>
    <cellStyle name="Comma 33 6 35" xfId="20485"/>
    <cellStyle name="Comma 33 6 4" xfId="8575"/>
    <cellStyle name="Comma 33 6 5" xfId="8576"/>
    <cellStyle name="Comma 33 6 6" xfId="8577"/>
    <cellStyle name="Comma 33 6 7" xfId="8578"/>
    <cellStyle name="Comma 33 6 8" xfId="8579"/>
    <cellStyle name="Comma 33 6 9" xfId="8580"/>
    <cellStyle name="Comma 33 7" xfId="405"/>
    <cellStyle name="Comma 33 7 10" xfId="8581"/>
    <cellStyle name="Comma 33 7 11" xfId="8582"/>
    <cellStyle name="Comma 33 7 12" xfId="8583"/>
    <cellStyle name="Comma 33 7 13" xfId="8584"/>
    <cellStyle name="Comma 33 7 14" xfId="8585"/>
    <cellStyle name="Comma 33 7 15" xfId="8586"/>
    <cellStyle name="Comma 33 7 16" xfId="8587"/>
    <cellStyle name="Comma 33 7 17" xfId="8588"/>
    <cellStyle name="Comma 33 7 18" xfId="8589"/>
    <cellStyle name="Comma 33 7 19" xfId="8590"/>
    <cellStyle name="Comma 33 7 2" xfId="8591"/>
    <cellStyle name="Comma 33 7 20" xfId="8592"/>
    <cellStyle name="Comma 33 7 21" xfId="8593"/>
    <cellStyle name="Comma 33 7 22" xfId="8594"/>
    <cellStyle name="Comma 33 7 23" xfId="20486"/>
    <cellStyle name="Comma 33 7 24" xfId="20487"/>
    <cellStyle name="Comma 33 7 25" xfId="20488"/>
    <cellStyle name="Comma 33 7 26" xfId="20489"/>
    <cellStyle name="Comma 33 7 27" xfId="20490"/>
    <cellStyle name="Comma 33 7 28" xfId="20491"/>
    <cellStyle name="Comma 33 7 29" xfId="20492"/>
    <cellStyle name="Comma 33 7 3" xfId="8595"/>
    <cellStyle name="Comma 33 7 30" xfId="20493"/>
    <cellStyle name="Comma 33 7 31" xfId="20494"/>
    <cellStyle name="Comma 33 7 32" xfId="20495"/>
    <cellStyle name="Comma 33 7 33" xfId="20496"/>
    <cellStyle name="Comma 33 7 34" xfId="20497"/>
    <cellStyle name="Comma 33 7 35" xfId="20498"/>
    <cellStyle name="Comma 33 7 4" xfId="8596"/>
    <cellStyle name="Comma 33 7 5" xfId="8597"/>
    <cellStyle name="Comma 33 7 6" xfId="8598"/>
    <cellStyle name="Comma 33 7 7" xfId="8599"/>
    <cellStyle name="Comma 33 7 8" xfId="8600"/>
    <cellStyle name="Comma 33 7 9" xfId="8601"/>
    <cellStyle name="Comma 33 8" xfId="406"/>
    <cellStyle name="Comma 33 8 10" xfId="8602"/>
    <cellStyle name="Comma 33 8 11" xfId="8603"/>
    <cellStyle name="Comma 33 8 12" xfId="8604"/>
    <cellStyle name="Comma 33 8 13" xfId="8605"/>
    <cellStyle name="Comma 33 8 14" xfId="8606"/>
    <cellStyle name="Comma 33 8 15" xfId="8607"/>
    <cellStyle name="Comma 33 8 16" xfId="8608"/>
    <cellStyle name="Comma 33 8 17" xfId="8609"/>
    <cellStyle name="Comma 33 8 18" xfId="8610"/>
    <cellStyle name="Comma 33 8 19" xfId="8611"/>
    <cellStyle name="Comma 33 8 2" xfId="8612"/>
    <cellStyle name="Comma 33 8 20" xfId="8613"/>
    <cellStyle name="Comma 33 8 21" xfId="8614"/>
    <cellStyle name="Comma 33 8 22" xfId="8615"/>
    <cellStyle name="Comma 33 8 23" xfId="20499"/>
    <cellStyle name="Comma 33 8 24" xfId="20500"/>
    <cellStyle name="Comma 33 8 25" xfId="20501"/>
    <cellStyle name="Comma 33 8 26" xfId="20502"/>
    <cellStyle name="Comma 33 8 27" xfId="20503"/>
    <cellStyle name="Comma 33 8 28" xfId="20504"/>
    <cellStyle name="Comma 33 8 29" xfId="20505"/>
    <cellStyle name="Comma 33 8 3" xfId="8616"/>
    <cellStyle name="Comma 33 8 30" xfId="20506"/>
    <cellStyle name="Comma 33 8 31" xfId="20507"/>
    <cellStyle name="Comma 33 8 32" xfId="20508"/>
    <cellStyle name="Comma 33 8 33" xfId="20509"/>
    <cellStyle name="Comma 33 8 34" xfId="20510"/>
    <cellStyle name="Comma 33 8 35" xfId="20511"/>
    <cellStyle name="Comma 33 8 4" xfId="8617"/>
    <cellStyle name="Comma 33 8 5" xfId="8618"/>
    <cellStyle name="Comma 33 8 6" xfId="8619"/>
    <cellStyle name="Comma 33 8 7" xfId="8620"/>
    <cellStyle name="Comma 33 8 8" xfId="8621"/>
    <cellStyle name="Comma 33 8 9" xfId="8622"/>
    <cellStyle name="Comma 33 9" xfId="407"/>
    <cellStyle name="Comma 33 9 10" xfId="8623"/>
    <cellStyle name="Comma 33 9 11" xfId="8624"/>
    <cellStyle name="Comma 33 9 12" xfId="8625"/>
    <cellStyle name="Comma 33 9 13" xfId="8626"/>
    <cellStyle name="Comma 33 9 14" xfId="8627"/>
    <cellStyle name="Comma 33 9 15" xfId="8628"/>
    <cellStyle name="Comma 33 9 16" xfId="8629"/>
    <cellStyle name="Comma 33 9 17" xfId="8630"/>
    <cellStyle name="Comma 33 9 18" xfId="8631"/>
    <cellStyle name="Comma 33 9 19" xfId="8632"/>
    <cellStyle name="Comma 33 9 2" xfId="8633"/>
    <cellStyle name="Comma 33 9 20" xfId="8634"/>
    <cellStyle name="Comma 33 9 21" xfId="8635"/>
    <cellStyle name="Comma 33 9 22" xfId="8636"/>
    <cellStyle name="Comma 33 9 23" xfId="20512"/>
    <cellStyle name="Comma 33 9 24" xfId="20513"/>
    <cellStyle name="Comma 33 9 25" xfId="20514"/>
    <cellStyle name="Comma 33 9 26" xfId="20515"/>
    <cellStyle name="Comma 33 9 27" xfId="20516"/>
    <cellStyle name="Comma 33 9 28" xfId="20517"/>
    <cellStyle name="Comma 33 9 29" xfId="20518"/>
    <cellStyle name="Comma 33 9 3" xfId="8637"/>
    <cellStyle name="Comma 33 9 30" xfId="20519"/>
    <cellStyle name="Comma 33 9 31" xfId="20520"/>
    <cellStyle name="Comma 33 9 32" xfId="20521"/>
    <cellStyle name="Comma 33 9 33" xfId="20522"/>
    <cellStyle name="Comma 33 9 34" xfId="20523"/>
    <cellStyle name="Comma 33 9 35" xfId="20524"/>
    <cellStyle name="Comma 33 9 4" xfId="8638"/>
    <cellStyle name="Comma 33 9 5" xfId="8639"/>
    <cellStyle name="Comma 33 9 6" xfId="8640"/>
    <cellStyle name="Comma 33 9 7" xfId="8641"/>
    <cellStyle name="Comma 33 9 8" xfId="8642"/>
    <cellStyle name="Comma 33 9 9" xfId="8643"/>
    <cellStyle name="Comma 34" xfId="32"/>
    <cellStyle name="Comma 34 10" xfId="408"/>
    <cellStyle name="Comma 34 10 10" xfId="8644"/>
    <cellStyle name="Comma 34 10 11" xfId="8645"/>
    <cellStyle name="Comma 34 10 12" xfId="8646"/>
    <cellStyle name="Comma 34 10 13" xfId="8647"/>
    <cellStyle name="Comma 34 10 14" xfId="8648"/>
    <cellStyle name="Comma 34 10 15" xfId="8649"/>
    <cellStyle name="Comma 34 10 16" xfId="8650"/>
    <cellStyle name="Comma 34 10 17" xfId="8651"/>
    <cellStyle name="Comma 34 10 18" xfId="8652"/>
    <cellStyle name="Comma 34 10 19" xfId="8653"/>
    <cellStyle name="Comma 34 10 2" xfId="8654"/>
    <cellStyle name="Comma 34 10 20" xfId="8655"/>
    <cellStyle name="Comma 34 10 21" xfId="8656"/>
    <cellStyle name="Comma 34 10 22" xfId="8657"/>
    <cellStyle name="Comma 34 10 23" xfId="20525"/>
    <cellStyle name="Comma 34 10 24" xfId="20526"/>
    <cellStyle name="Comma 34 10 25" xfId="20527"/>
    <cellStyle name="Comma 34 10 26" xfId="20528"/>
    <cellStyle name="Comma 34 10 27" xfId="20529"/>
    <cellStyle name="Comma 34 10 28" xfId="20530"/>
    <cellStyle name="Comma 34 10 29" xfId="20531"/>
    <cellStyle name="Comma 34 10 3" xfId="8658"/>
    <cellStyle name="Comma 34 10 30" xfId="20532"/>
    <cellStyle name="Comma 34 10 31" xfId="20533"/>
    <cellStyle name="Comma 34 10 32" xfId="20534"/>
    <cellStyle name="Comma 34 10 33" xfId="20535"/>
    <cellStyle name="Comma 34 10 34" xfId="20536"/>
    <cellStyle name="Comma 34 10 35" xfId="20537"/>
    <cellStyle name="Comma 34 10 4" xfId="8659"/>
    <cellStyle name="Comma 34 10 5" xfId="8660"/>
    <cellStyle name="Comma 34 10 6" xfId="8661"/>
    <cellStyle name="Comma 34 10 7" xfId="8662"/>
    <cellStyle name="Comma 34 10 8" xfId="8663"/>
    <cellStyle name="Comma 34 10 9" xfId="8664"/>
    <cellStyle name="Comma 34 11" xfId="409"/>
    <cellStyle name="Comma 34 11 10" xfId="8665"/>
    <cellStyle name="Comma 34 11 11" xfId="8666"/>
    <cellStyle name="Comma 34 11 12" xfId="8667"/>
    <cellStyle name="Comma 34 11 13" xfId="8668"/>
    <cellStyle name="Comma 34 11 14" xfId="8669"/>
    <cellStyle name="Comma 34 11 15" xfId="8670"/>
    <cellStyle name="Comma 34 11 16" xfId="8671"/>
    <cellStyle name="Comma 34 11 17" xfId="8672"/>
    <cellStyle name="Comma 34 11 18" xfId="8673"/>
    <cellStyle name="Comma 34 11 19" xfId="8674"/>
    <cellStyle name="Comma 34 11 2" xfId="8675"/>
    <cellStyle name="Comma 34 11 20" xfId="8676"/>
    <cellStyle name="Comma 34 11 21" xfId="8677"/>
    <cellStyle name="Comma 34 11 22" xfId="8678"/>
    <cellStyle name="Comma 34 11 23" xfId="20538"/>
    <cellStyle name="Comma 34 11 24" xfId="20539"/>
    <cellStyle name="Comma 34 11 25" xfId="20540"/>
    <cellStyle name="Comma 34 11 26" xfId="20541"/>
    <cellStyle name="Comma 34 11 27" xfId="20542"/>
    <cellStyle name="Comma 34 11 28" xfId="20543"/>
    <cellStyle name="Comma 34 11 29" xfId="20544"/>
    <cellStyle name="Comma 34 11 3" xfId="8679"/>
    <cellStyle name="Comma 34 11 30" xfId="20545"/>
    <cellStyle name="Comma 34 11 31" xfId="20546"/>
    <cellStyle name="Comma 34 11 32" xfId="20547"/>
    <cellStyle name="Comma 34 11 33" xfId="20548"/>
    <cellStyle name="Comma 34 11 34" xfId="20549"/>
    <cellStyle name="Comma 34 11 35" xfId="20550"/>
    <cellStyle name="Comma 34 11 4" xfId="8680"/>
    <cellStyle name="Comma 34 11 5" xfId="8681"/>
    <cellStyle name="Comma 34 11 6" xfId="8682"/>
    <cellStyle name="Comma 34 11 7" xfId="8683"/>
    <cellStyle name="Comma 34 11 8" xfId="8684"/>
    <cellStyle name="Comma 34 11 9" xfId="8685"/>
    <cellStyle name="Comma 34 12" xfId="410"/>
    <cellStyle name="Comma 34 12 10" xfId="8686"/>
    <cellStyle name="Comma 34 12 11" xfId="8687"/>
    <cellStyle name="Comma 34 12 12" xfId="8688"/>
    <cellStyle name="Comma 34 12 13" xfId="8689"/>
    <cellStyle name="Comma 34 12 14" xfId="8690"/>
    <cellStyle name="Comma 34 12 15" xfId="8691"/>
    <cellStyle name="Comma 34 12 16" xfId="8692"/>
    <cellStyle name="Comma 34 12 17" xfId="8693"/>
    <cellStyle name="Comma 34 12 18" xfId="8694"/>
    <cellStyle name="Comma 34 12 19" xfId="8695"/>
    <cellStyle name="Comma 34 12 2" xfId="8696"/>
    <cellStyle name="Comma 34 12 20" xfId="8697"/>
    <cellStyle name="Comma 34 12 21" xfId="8698"/>
    <cellStyle name="Comma 34 12 22" xfId="8699"/>
    <cellStyle name="Comma 34 12 23" xfId="20551"/>
    <cellStyle name="Comma 34 12 24" xfId="20552"/>
    <cellStyle name="Comma 34 12 25" xfId="20553"/>
    <cellStyle name="Comma 34 12 26" xfId="20554"/>
    <cellStyle name="Comma 34 12 27" xfId="20555"/>
    <cellStyle name="Comma 34 12 28" xfId="20556"/>
    <cellStyle name="Comma 34 12 29" xfId="20557"/>
    <cellStyle name="Comma 34 12 3" xfId="8700"/>
    <cellStyle name="Comma 34 12 30" xfId="20558"/>
    <cellStyle name="Comma 34 12 31" xfId="20559"/>
    <cellStyle name="Comma 34 12 32" xfId="20560"/>
    <cellStyle name="Comma 34 12 33" xfId="20561"/>
    <cellStyle name="Comma 34 12 34" xfId="20562"/>
    <cellStyle name="Comma 34 12 35" xfId="20563"/>
    <cellStyle name="Comma 34 12 4" xfId="8701"/>
    <cellStyle name="Comma 34 12 5" xfId="8702"/>
    <cellStyle name="Comma 34 12 6" xfId="8703"/>
    <cellStyle name="Comma 34 12 7" xfId="8704"/>
    <cellStyle name="Comma 34 12 8" xfId="8705"/>
    <cellStyle name="Comma 34 12 9" xfId="8706"/>
    <cellStyle name="Comma 34 13" xfId="411"/>
    <cellStyle name="Comma 34 13 10" xfId="8707"/>
    <cellStyle name="Comma 34 13 11" xfId="8708"/>
    <cellStyle name="Comma 34 13 12" xfId="8709"/>
    <cellStyle name="Comma 34 13 13" xfId="8710"/>
    <cellStyle name="Comma 34 13 14" xfId="8711"/>
    <cellStyle name="Comma 34 13 15" xfId="8712"/>
    <cellStyle name="Comma 34 13 16" xfId="8713"/>
    <cellStyle name="Comma 34 13 17" xfId="8714"/>
    <cellStyle name="Comma 34 13 18" xfId="8715"/>
    <cellStyle name="Comma 34 13 19" xfId="8716"/>
    <cellStyle name="Comma 34 13 2" xfId="8717"/>
    <cellStyle name="Comma 34 13 20" xfId="8718"/>
    <cellStyle name="Comma 34 13 21" xfId="8719"/>
    <cellStyle name="Comma 34 13 22" xfId="8720"/>
    <cellStyle name="Comma 34 13 23" xfId="20564"/>
    <cellStyle name="Comma 34 13 24" xfId="20565"/>
    <cellStyle name="Comma 34 13 25" xfId="20566"/>
    <cellStyle name="Comma 34 13 26" xfId="20567"/>
    <cellStyle name="Comma 34 13 27" xfId="20568"/>
    <cellStyle name="Comma 34 13 28" xfId="20569"/>
    <cellStyle name="Comma 34 13 29" xfId="20570"/>
    <cellStyle name="Comma 34 13 3" xfId="8721"/>
    <cellStyle name="Comma 34 13 30" xfId="20571"/>
    <cellStyle name="Comma 34 13 31" xfId="20572"/>
    <cellStyle name="Comma 34 13 32" xfId="20573"/>
    <cellStyle name="Comma 34 13 33" xfId="20574"/>
    <cellStyle name="Comma 34 13 34" xfId="20575"/>
    <cellStyle name="Comma 34 13 35" xfId="20576"/>
    <cellStyle name="Comma 34 13 4" xfId="8722"/>
    <cellStyle name="Comma 34 13 5" xfId="8723"/>
    <cellStyle name="Comma 34 13 6" xfId="8724"/>
    <cellStyle name="Comma 34 13 7" xfId="8725"/>
    <cellStyle name="Comma 34 13 8" xfId="8726"/>
    <cellStyle name="Comma 34 13 9" xfId="8727"/>
    <cellStyle name="Comma 34 14" xfId="412"/>
    <cellStyle name="Comma 34 14 10" xfId="8728"/>
    <cellStyle name="Comma 34 14 11" xfId="8729"/>
    <cellStyle name="Comma 34 14 12" xfId="8730"/>
    <cellStyle name="Comma 34 14 13" xfId="8731"/>
    <cellStyle name="Comma 34 14 14" xfId="8732"/>
    <cellStyle name="Comma 34 14 15" xfId="8733"/>
    <cellStyle name="Comma 34 14 16" xfId="8734"/>
    <cellStyle name="Comma 34 14 17" xfId="8735"/>
    <cellStyle name="Comma 34 14 18" xfId="8736"/>
    <cellStyle name="Comma 34 14 19" xfId="8737"/>
    <cellStyle name="Comma 34 14 2" xfId="8738"/>
    <cellStyle name="Comma 34 14 20" xfId="8739"/>
    <cellStyle name="Comma 34 14 21" xfId="8740"/>
    <cellStyle name="Comma 34 14 22" xfId="8741"/>
    <cellStyle name="Comma 34 14 23" xfId="20577"/>
    <cellStyle name="Comma 34 14 24" xfId="20578"/>
    <cellStyle name="Comma 34 14 25" xfId="20579"/>
    <cellStyle name="Comma 34 14 26" xfId="20580"/>
    <cellStyle name="Comma 34 14 27" xfId="20581"/>
    <cellStyle name="Comma 34 14 28" xfId="20582"/>
    <cellStyle name="Comma 34 14 29" xfId="20583"/>
    <cellStyle name="Comma 34 14 3" xfId="8742"/>
    <cellStyle name="Comma 34 14 30" xfId="20584"/>
    <cellStyle name="Comma 34 14 31" xfId="20585"/>
    <cellStyle name="Comma 34 14 32" xfId="20586"/>
    <cellStyle name="Comma 34 14 33" xfId="20587"/>
    <cellStyle name="Comma 34 14 34" xfId="20588"/>
    <cellStyle name="Comma 34 14 35" xfId="20589"/>
    <cellStyle name="Comma 34 14 4" xfId="8743"/>
    <cellStyle name="Comma 34 14 5" xfId="8744"/>
    <cellStyle name="Comma 34 14 6" xfId="8745"/>
    <cellStyle name="Comma 34 14 7" xfId="8746"/>
    <cellStyle name="Comma 34 14 8" xfId="8747"/>
    <cellStyle name="Comma 34 14 9" xfId="8748"/>
    <cellStyle name="Comma 34 15" xfId="413"/>
    <cellStyle name="Comma 34 16" xfId="1418"/>
    <cellStyle name="Comma 34 17" xfId="1557"/>
    <cellStyle name="Comma 34 18" xfId="1610"/>
    <cellStyle name="Comma 34 19" xfId="1662"/>
    <cellStyle name="Comma 34 2" xfId="414"/>
    <cellStyle name="Comma 34 2 10" xfId="8749"/>
    <cellStyle name="Comma 34 2 11" xfId="8750"/>
    <cellStyle name="Comma 34 2 12" xfId="8751"/>
    <cellStyle name="Comma 34 2 13" xfId="8752"/>
    <cellStyle name="Comma 34 2 14" xfId="8753"/>
    <cellStyle name="Comma 34 2 15" xfId="8754"/>
    <cellStyle name="Comma 34 2 16" xfId="8755"/>
    <cellStyle name="Comma 34 2 17" xfId="8756"/>
    <cellStyle name="Comma 34 2 18" xfId="8757"/>
    <cellStyle name="Comma 34 2 19" xfId="8758"/>
    <cellStyle name="Comma 34 2 2" xfId="8759"/>
    <cellStyle name="Comma 34 2 20" xfId="8760"/>
    <cellStyle name="Comma 34 2 21" xfId="8761"/>
    <cellStyle name="Comma 34 2 22" xfId="8762"/>
    <cellStyle name="Comma 34 2 23" xfId="20590"/>
    <cellStyle name="Comma 34 2 24" xfId="20591"/>
    <cellStyle name="Comma 34 2 25" xfId="20592"/>
    <cellStyle name="Comma 34 2 26" xfId="20593"/>
    <cellStyle name="Comma 34 2 27" xfId="20594"/>
    <cellStyle name="Comma 34 2 28" xfId="20595"/>
    <cellStyle name="Comma 34 2 29" xfId="20596"/>
    <cellStyle name="Comma 34 2 3" xfId="8763"/>
    <cellStyle name="Comma 34 2 30" xfId="20597"/>
    <cellStyle name="Comma 34 2 31" xfId="20598"/>
    <cellStyle name="Comma 34 2 32" xfId="20599"/>
    <cellStyle name="Comma 34 2 33" xfId="20600"/>
    <cellStyle name="Comma 34 2 34" xfId="20601"/>
    <cellStyle name="Comma 34 2 35" xfId="20602"/>
    <cellStyle name="Comma 34 2 4" xfId="8764"/>
    <cellStyle name="Comma 34 2 5" xfId="8765"/>
    <cellStyle name="Comma 34 2 6" xfId="8766"/>
    <cellStyle name="Comma 34 2 7" xfId="8767"/>
    <cellStyle name="Comma 34 2 8" xfId="8768"/>
    <cellStyle name="Comma 34 2 9" xfId="8769"/>
    <cellStyle name="Comma 34 20" xfId="1720"/>
    <cellStyle name="Comma 34 21" xfId="1825"/>
    <cellStyle name="Comma 34 22" xfId="2119"/>
    <cellStyle name="Comma 34 23" xfId="2879"/>
    <cellStyle name="Comma 34 24" xfId="2965"/>
    <cellStyle name="Comma 34 25" xfId="3040"/>
    <cellStyle name="Comma 34 26" xfId="3102"/>
    <cellStyle name="Comma 34 27" xfId="3156"/>
    <cellStyle name="Comma 34 28" xfId="2654"/>
    <cellStyle name="Comma 34 29" xfId="8770"/>
    <cellStyle name="Comma 34 3" xfId="415"/>
    <cellStyle name="Comma 34 3 10" xfId="8771"/>
    <cellStyle name="Comma 34 3 11" xfId="8772"/>
    <cellStyle name="Comma 34 3 12" xfId="8773"/>
    <cellStyle name="Comma 34 3 13" xfId="8774"/>
    <cellStyle name="Comma 34 3 14" xfId="8775"/>
    <cellStyle name="Comma 34 3 15" xfId="8776"/>
    <cellStyle name="Comma 34 3 16" xfId="8777"/>
    <cellStyle name="Comma 34 3 17" xfId="8778"/>
    <cellStyle name="Comma 34 3 18" xfId="8779"/>
    <cellStyle name="Comma 34 3 19" xfId="8780"/>
    <cellStyle name="Comma 34 3 2" xfId="8781"/>
    <cellStyle name="Comma 34 3 20" xfId="8782"/>
    <cellStyle name="Comma 34 3 21" xfId="8783"/>
    <cellStyle name="Comma 34 3 22" xfId="8784"/>
    <cellStyle name="Comma 34 3 23" xfId="20603"/>
    <cellStyle name="Comma 34 3 24" xfId="20604"/>
    <cellStyle name="Comma 34 3 25" xfId="20605"/>
    <cellStyle name="Comma 34 3 26" xfId="20606"/>
    <cellStyle name="Comma 34 3 27" xfId="20607"/>
    <cellStyle name="Comma 34 3 28" xfId="20608"/>
    <cellStyle name="Comma 34 3 29" xfId="20609"/>
    <cellStyle name="Comma 34 3 3" xfId="8785"/>
    <cellStyle name="Comma 34 3 30" xfId="20610"/>
    <cellStyle name="Comma 34 3 31" xfId="20611"/>
    <cellStyle name="Comma 34 3 32" xfId="20612"/>
    <cellStyle name="Comma 34 3 33" xfId="20613"/>
    <cellStyle name="Comma 34 3 34" xfId="20614"/>
    <cellStyle name="Comma 34 3 35" xfId="20615"/>
    <cellStyle name="Comma 34 3 4" xfId="8786"/>
    <cellStyle name="Comma 34 3 5" xfId="8787"/>
    <cellStyle name="Comma 34 3 6" xfId="8788"/>
    <cellStyle name="Comma 34 3 7" xfId="8789"/>
    <cellStyle name="Comma 34 3 8" xfId="8790"/>
    <cellStyle name="Comma 34 3 9" xfId="8791"/>
    <cellStyle name="Comma 34 30" xfId="8792"/>
    <cellStyle name="Comma 34 31" xfId="8793"/>
    <cellStyle name="Comma 34 32" xfId="8794"/>
    <cellStyle name="Comma 34 33" xfId="8795"/>
    <cellStyle name="Comma 34 34" xfId="8796"/>
    <cellStyle name="Comma 34 35" xfId="8797"/>
    <cellStyle name="Comma 34 36" xfId="8798"/>
    <cellStyle name="Comma 34 37" xfId="8799"/>
    <cellStyle name="Comma 34 38" xfId="20616"/>
    <cellStyle name="Comma 34 39" xfId="20617"/>
    <cellStyle name="Comma 34 4" xfId="416"/>
    <cellStyle name="Comma 34 4 10" xfId="8800"/>
    <cellStyle name="Comma 34 4 11" xfId="8801"/>
    <cellStyle name="Comma 34 4 12" xfId="8802"/>
    <cellStyle name="Comma 34 4 13" xfId="8803"/>
    <cellStyle name="Comma 34 4 14" xfId="8804"/>
    <cellStyle name="Comma 34 4 15" xfId="8805"/>
    <cellStyle name="Comma 34 4 16" xfId="8806"/>
    <cellStyle name="Comma 34 4 17" xfId="8807"/>
    <cellStyle name="Comma 34 4 18" xfId="8808"/>
    <cellStyle name="Comma 34 4 19" xfId="8809"/>
    <cellStyle name="Comma 34 4 2" xfId="8810"/>
    <cellStyle name="Comma 34 4 20" xfId="8811"/>
    <cellStyle name="Comma 34 4 21" xfId="8812"/>
    <cellStyle name="Comma 34 4 22" xfId="8813"/>
    <cellStyle name="Comma 34 4 23" xfId="20618"/>
    <cellStyle name="Comma 34 4 24" xfId="20619"/>
    <cellStyle name="Comma 34 4 25" xfId="20620"/>
    <cellStyle name="Comma 34 4 26" xfId="20621"/>
    <cellStyle name="Comma 34 4 27" xfId="20622"/>
    <cellStyle name="Comma 34 4 28" xfId="20623"/>
    <cellStyle name="Comma 34 4 29" xfId="20624"/>
    <cellStyle name="Comma 34 4 3" xfId="8814"/>
    <cellStyle name="Comma 34 4 30" xfId="20625"/>
    <cellStyle name="Comma 34 4 31" xfId="20626"/>
    <cellStyle name="Comma 34 4 32" xfId="20627"/>
    <cellStyle name="Comma 34 4 33" xfId="20628"/>
    <cellStyle name="Comma 34 4 34" xfId="20629"/>
    <cellStyle name="Comma 34 4 35" xfId="20630"/>
    <cellStyle name="Comma 34 4 4" xfId="8815"/>
    <cellStyle name="Comma 34 4 5" xfId="8816"/>
    <cellStyle name="Comma 34 4 6" xfId="8817"/>
    <cellStyle name="Comma 34 4 7" xfId="8818"/>
    <cellStyle name="Comma 34 4 8" xfId="8819"/>
    <cellStyle name="Comma 34 4 9" xfId="8820"/>
    <cellStyle name="Comma 34 40" xfId="20631"/>
    <cellStyle name="Comma 34 41" xfId="20632"/>
    <cellStyle name="Comma 34 42" xfId="20633"/>
    <cellStyle name="Comma 34 43" xfId="20634"/>
    <cellStyle name="Comma 34 44" xfId="20635"/>
    <cellStyle name="Comma 34 45" xfId="20636"/>
    <cellStyle name="Comma 34 46" xfId="20637"/>
    <cellStyle name="Comma 34 47" xfId="20638"/>
    <cellStyle name="Comma 34 48" xfId="20639"/>
    <cellStyle name="Comma 34 49" xfId="20640"/>
    <cellStyle name="Comma 34 5" xfId="417"/>
    <cellStyle name="Comma 34 5 10" xfId="8821"/>
    <cellStyle name="Comma 34 5 11" xfId="8822"/>
    <cellStyle name="Comma 34 5 12" xfId="8823"/>
    <cellStyle name="Comma 34 5 13" xfId="8824"/>
    <cellStyle name="Comma 34 5 14" xfId="8825"/>
    <cellStyle name="Comma 34 5 15" xfId="8826"/>
    <cellStyle name="Comma 34 5 16" xfId="8827"/>
    <cellStyle name="Comma 34 5 17" xfId="8828"/>
    <cellStyle name="Comma 34 5 18" xfId="8829"/>
    <cellStyle name="Comma 34 5 19" xfId="8830"/>
    <cellStyle name="Comma 34 5 2" xfId="8831"/>
    <cellStyle name="Comma 34 5 20" xfId="8832"/>
    <cellStyle name="Comma 34 5 21" xfId="8833"/>
    <cellStyle name="Comma 34 5 22" xfId="8834"/>
    <cellStyle name="Comma 34 5 23" xfId="20641"/>
    <cellStyle name="Comma 34 5 24" xfId="20642"/>
    <cellStyle name="Comma 34 5 25" xfId="20643"/>
    <cellStyle name="Comma 34 5 26" xfId="20644"/>
    <cellStyle name="Comma 34 5 27" xfId="20645"/>
    <cellStyle name="Comma 34 5 28" xfId="20646"/>
    <cellStyle name="Comma 34 5 29" xfId="20647"/>
    <cellStyle name="Comma 34 5 3" xfId="8835"/>
    <cellStyle name="Comma 34 5 30" xfId="20648"/>
    <cellStyle name="Comma 34 5 31" xfId="20649"/>
    <cellStyle name="Comma 34 5 32" xfId="20650"/>
    <cellStyle name="Comma 34 5 33" xfId="20651"/>
    <cellStyle name="Comma 34 5 34" xfId="20652"/>
    <cellStyle name="Comma 34 5 35" xfId="20653"/>
    <cellStyle name="Comma 34 5 4" xfId="8836"/>
    <cellStyle name="Comma 34 5 5" xfId="8837"/>
    <cellStyle name="Comma 34 5 6" xfId="8838"/>
    <cellStyle name="Comma 34 5 7" xfId="8839"/>
    <cellStyle name="Comma 34 5 8" xfId="8840"/>
    <cellStyle name="Comma 34 5 9" xfId="8841"/>
    <cellStyle name="Comma 34 50" xfId="20654"/>
    <cellStyle name="Comma 34 6" xfId="418"/>
    <cellStyle name="Comma 34 6 10" xfId="8842"/>
    <cellStyle name="Comma 34 6 11" xfId="8843"/>
    <cellStyle name="Comma 34 6 12" xfId="8844"/>
    <cellStyle name="Comma 34 6 13" xfId="8845"/>
    <cellStyle name="Comma 34 6 14" xfId="8846"/>
    <cellStyle name="Comma 34 6 15" xfId="8847"/>
    <cellStyle name="Comma 34 6 16" xfId="8848"/>
    <cellStyle name="Comma 34 6 17" xfId="8849"/>
    <cellStyle name="Comma 34 6 18" xfId="8850"/>
    <cellStyle name="Comma 34 6 19" xfId="8851"/>
    <cellStyle name="Comma 34 6 2" xfId="8852"/>
    <cellStyle name="Comma 34 6 20" xfId="8853"/>
    <cellStyle name="Comma 34 6 21" xfId="8854"/>
    <cellStyle name="Comma 34 6 22" xfId="8855"/>
    <cellStyle name="Comma 34 6 23" xfId="20655"/>
    <cellStyle name="Comma 34 6 24" xfId="20656"/>
    <cellStyle name="Comma 34 6 25" xfId="20657"/>
    <cellStyle name="Comma 34 6 26" xfId="20658"/>
    <cellStyle name="Comma 34 6 27" xfId="20659"/>
    <cellStyle name="Comma 34 6 28" xfId="20660"/>
    <cellStyle name="Comma 34 6 29" xfId="20661"/>
    <cellStyle name="Comma 34 6 3" xfId="8856"/>
    <cellStyle name="Comma 34 6 30" xfId="20662"/>
    <cellStyle name="Comma 34 6 31" xfId="20663"/>
    <cellStyle name="Comma 34 6 32" xfId="20664"/>
    <cellStyle name="Comma 34 6 33" xfId="20665"/>
    <cellStyle name="Comma 34 6 34" xfId="20666"/>
    <cellStyle name="Comma 34 6 35" xfId="20667"/>
    <cellStyle name="Comma 34 6 4" xfId="8857"/>
    <cellStyle name="Comma 34 6 5" xfId="8858"/>
    <cellStyle name="Comma 34 6 6" xfId="8859"/>
    <cellStyle name="Comma 34 6 7" xfId="8860"/>
    <cellStyle name="Comma 34 6 8" xfId="8861"/>
    <cellStyle name="Comma 34 6 9" xfId="8862"/>
    <cellStyle name="Comma 34 7" xfId="419"/>
    <cellStyle name="Comma 34 7 10" xfId="8863"/>
    <cellStyle name="Comma 34 7 11" xfId="8864"/>
    <cellStyle name="Comma 34 7 12" xfId="8865"/>
    <cellStyle name="Comma 34 7 13" xfId="8866"/>
    <cellStyle name="Comma 34 7 14" xfId="8867"/>
    <cellStyle name="Comma 34 7 15" xfId="8868"/>
    <cellStyle name="Comma 34 7 16" xfId="8869"/>
    <cellStyle name="Comma 34 7 17" xfId="8870"/>
    <cellStyle name="Comma 34 7 18" xfId="8871"/>
    <cellStyle name="Comma 34 7 19" xfId="8872"/>
    <cellStyle name="Comma 34 7 2" xfId="8873"/>
    <cellStyle name="Comma 34 7 20" xfId="8874"/>
    <cellStyle name="Comma 34 7 21" xfId="8875"/>
    <cellStyle name="Comma 34 7 22" xfId="8876"/>
    <cellStyle name="Comma 34 7 23" xfId="20668"/>
    <cellStyle name="Comma 34 7 24" xfId="20669"/>
    <cellStyle name="Comma 34 7 25" xfId="20670"/>
    <cellStyle name="Comma 34 7 26" xfId="20671"/>
    <cellStyle name="Comma 34 7 27" xfId="20672"/>
    <cellStyle name="Comma 34 7 28" xfId="20673"/>
    <cellStyle name="Comma 34 7 29" xfId="20674"/>
    <cellStyle name="Comma 34 7 3" xfId="8877"/>
    <cellStyle name="Comma 34 7 30" xfId="20675"/>
    <cellStyle name="Comma 34 7 31" xfId="20676"/>
    <cellStyle name="Comma 34 7 32" xfId="20677"/>
    <cellStyle name="Comma 34 7 33" xfId="20678"/>
    <cellStyle name="Comma 34 7 34" xfId="20679"/>
    <cellStyle name="Comma 34 7 35" xfId="20680"/>
    <cellStyle name="Comma 34 7 4" xfId="8878"/>
    <cellStyle name="Comma 34 7 5" xfId="8879"/>
    <cellStyle name="Comma 34 7 6" xfId="8880"/>
    <cellStyle name="Comma 34 7 7" xfId="8881"/>
    <cellStyle name="Comma 34 7 8" xfId="8882"/>
    <cellStyle name="Comma 34 7 9" xfId="8883"/>
    <cellStyle name="Comma 34 8" xfId="420"/>
    <cellStyle name="Comma 34 8 10" xfId="8884"/>
    <cellStyle name="Comma 34 8 11" xfId="8885"/>
    <cellStyle name="Comma 34 8 12" xfId="8886"/>
    <cellStyle name="Comma 34 8 13" xfId="8887"/>
    <cellStyle name="Comma 34 8 14" xfId="8888"/>
    <cellStyle name="Comma 34 8 15" xfId="8889"/>
    <cellStyle name="Comma 34 8 16" xfId="8890"/>
    <cellStyle name="Comma 34 8 17" xfId="8891"/>
    <cellStyle name="Comma 34 8 18" xfId="8892"/>
    <cellStyle name="Comma 34 8 19" xfId="8893"/>
    <cellStyle name="Comma 34 8 2" xfId="8894"/>
    <cellStyle name="Comma 34 8 20" xfId="8895"/>
    <cellStyle name="Comma 34 8 21" xfId="8896"/>
    <cellStyle name="Comma 34 8 22" xfId="8897"/>
    <cellStyle name="Comma 34 8 23" xfId="20681"/>
    <cellStyle name="Comma 34 8 24" xfId="20682"/>
    <cellStyle name="Comma 34 8 25" xfId="20683"/>
    <cellStyle name="Comma 34 8 26" xfId="20684"/>
    <cellStyle name="Comma 34 8 27" xfId="20685"/>
    <cellStyle name="Comma 34 8 28" xfId="20686"/>
    <cellStyle name="Comma 34 8 29" xfId="20687"/>
    <cellStyle name="Comma 34 8 3" xfId="8898"/>
    <cellStyle name="Comma 34 8 30" xfId="20688"/>
    <cellStyle name="Comma 34 8 31" xfId="20689"/>
    <cellStyle name="Comma 34 8 32" xfId="20690"/>
    <cellStyle name="Comma 34 8 33" xfId="20691"/>
    <cellStyle name="Comma 34 8 34" xfId="20692"/>
    <cellStyle name="Comma 34 8 35" xfId="20693"/>
    <cellStyle name="Comma 34 8 4" xfId="8899"/>
    <cellStyle name="Comma 34 8 5" xfId="8900"/>
    <cellStyle name="Comma 34 8 6" xfId="8901"/>
    <cellStyle name="Comma 34 8 7" xfId="8902"/>
    <cellStyle name="Comma 34 8 8" xfId="8903"/>
    <cellStyle name="Comma 34 8 9" xfId="8904"/>
    <cellStyle name="Comma 34 9" xfId="421"/>
    <cellStyle name="Comma 34 9 10" xfId="8905"/>
    <cellStyle name="Comma 34 9 11" xfId="8906"/>
    <cellStyle name="Comma 34 9 12" xfId="8907"/>
    <cellStyle name="Comma 34 9 13" xfId="8908"/>
    <cellStyle name="Comma 34 9 14" xfId="8909"/>
    <cellStyle name="Comma 34 9 15" xfId="8910"/>
    <cellStyle name="Comma 34 9 16" xfId="8911"/>
    <cellStyle name="Comma 34 9 17" xfId="8912"/>
    <cellStyle name="Comma 34 9 18" xfId="8913"/>
    <cellStyle name="Comma 34 9 19" xfId="8914"/>
    <cellStyle name="Comma 34 9 2" xfId="8915"/>
    <cellStyle name="Comma 34 9 20" xfId="8916"/>
    <cellStyle name="Comma 34 9 21" xfId="8917"/>
    <cellStyle name="Comma 34 9 22" xfId="8918"/>
    <cellStyle name="Comma 34 9 23" xfId="20694"/>
    <cellStyle name="Comma 34 9 24" xfId="20695"/>
    <cellStyle name="Comma 34 9 25" xfId="20696"/>
    <cellStyle name="Comma 34 9 26" xfId="20697"/>
    <cellStyle name="Comma 34 9 27" xfId="20698"/>
    <cellStyle name="Comma 34 9 28" xfId="20699"/>
    <cellStyle name="Comma 34 9 29" xfId="20700"/>
    <cellStyle name="Comma 34 9 3" xfId="8919"/>
    <cellStyle name="Comma 34 9 30" xfId="20701"/>
    <cellStyle name="Comma 34 9 31" xfId="20702"/>
    <cellStyle name="Comma 34 9 32" xfId="20703"/>
    <cellStyle name="Comma 34 9 33" xfId="20704"/>
    <cellStyle name="Comma 34 9 34" xfId="20705"/>
    <cellStyle name="Comma 34 9 35" xfId="20706"/>
    <cellStyle name="Comma 34 9 4" xfId="8920"/>
    <cellStyle name="Comma 34 9 5" xfId="8921"/>
    <cellStyle name="Comma 34 9 6" xfId="8922"/>
    <cellStyle name="Comma 34 9 7" xfId="8923"/>
    <cellStyle name="Comma 34 9 8" xfId="8924"/>
    <cellStyle name="Comma 34 9 9" xfId="8925"/>
    <cellStyle name="Comma 35" xfId="1104"/>
    <cellStyle name="Comma 35 2" xfId="2609"/>
    <cellStyle name="Comma 35 3" xfId="2960"/>
    <cellStyle name="Comma 35 4" xfId="3037"/>
    <cellStyle name="Comma 35 5" xfId="3098"/>
    <cellStyle name="Comma 35 6" xfId="3152"/>
    <cellStyle name="Comma 35 7" xfId="3190"/>
    <cellStyle name="Comma 35 8" xfId="3017"/>
    <cellStyle name="Comma 36" xfId="1846"/>
    <cellStyle name="Comma 36 2" xfId="16749"/>
    <cellStyle name="Comma 36 2 2" xfId="26007"/>
    <cellStyle name="Comma 36 2 2 2" xfId="27130"/>
    <cellStyle name="Comma 36 2 3" xfId="26569"/>
    <cellStyle name="Comma 36 3" xfId="25786"/>
    <cellStyle name="Comma 36 3 2" xfId="26909"/>
    <cellStyle name="Comma 36 4" xfId="26348"/>
    <cellStyle name="Comma 37" xfId="1246"/>
    <cellStyle name="Comma 37 2" xfId="2682"/>
    <cellStyle name="Comma 37 3" xfId="2709"/>
    <cellStyle name="Comma 37 4" xfId="2851"/>
    <cellStyle name="Comma 37 5" xfId="2204"/>
    <cellStyle name="Comma 37 6" xfId="2507"/>
    <cellStyle name="Comma 37 7" xfId="2647"/>
    <cellStyle name="Comma 37 8" xfId="3101"/>
    <cellStyle name="Comma 38" xfId="1279"/>
    <cellStyle name="Comma 38 2" xfId="2702"/>
    <cellStyle name="Comma 38 3" xfId="2278"/>
    <cellStyle name="Comma 38 4" xfId="2658"/>
    <cellStyle name="Comma 38 5" xfId="2304"/>
    <cellStyle name="Comma 38 6" xfId="2454"/>
    <cellStyle name="Comma 38 7" xfId="2705"/>
    <cellStyle name="Comma 38 8" xfId="2459"/>
    <cellStyle name="Comma 39" xfId="96"/>
    <cellStyle name="Comma 39 10" xfId="2174"/>
    <cellStyle name="Comma 39 11" xfId="2641"/>
    <cellStyle name="Comma 39 12" xfId="2808"/>
    <cellStyle name="Comma 39 13" xfId="2216"/>
    <cellStyle name="Comma 39 14" xfId="2496"/>
    <cellStyle name="Comma 39 15" xfId="2704"/>
    <cellStyle name="Comma 39 16" xfId="2477"/>
    <cellStyle name="Comma 39 17" xfId="8926"/>
    <cellStyle name="Comma 39 18" xfId="8927"/>
    <cellStyle name="Comma 39 19" xfId="8928"/>
    <cellStyle name="Comma 39 2" xfId="120"/>
    <cellStyle name="Comma 39 20" xfId="8929"/>
    <cellStyle name="Comma 39 21" xfId="8930"/>
    <cellStyle name="Comma 39 22" xfId="8931"/>
    <cellStyle name="Comma 39 23" xfId="20707"/>
    <cellStyle name="Comma 39 24" xfId="20708"/>
    <cellStyle name="Comma 39 25" xfId="20709"/>
    <cellStyle name="Comma 39 26" xfId="20710"/>
    <cellStyle name="Comma 39 27" xfId="20711"/>
    <cellStyle name="Comma 39 28" xfId="20712"/>
    <cellStyle name="Comma 39 29" xfId="20713"/>
    <cellStyle name="Comma 39 3" xfId="1469"/>
    <cellStyle name="Comma 39 30" xfId="20714"/>
    <cellStyle name="Comma 39 31" xfId="20715"/>
    <cellStyle name="Comma 39 32" xfId="20716"/>
    <cellStyle name="Comma 39 33" xfId="20717"/>
    <cellStyle name="Comma 39 34" xfId="20718"/>
    <cellStyle name="Comma 39 35" xfId="20719"/>
    <cellStyle name="Comma 39 4" xfId="1512"/>
    <cellStyle name="Comma 39 5" xfId="1483"/>
    <cellStyle name="Comma 39 6" xfId="1499"/>
    <cellStyle name="Comma 39 7" xfId="1695"/>
    <cellStyle name="Comma 39 8" xfId="1764"/>
    <cellStyle name="Comma 39 9" xfId="1781"/>
    <cellStyle name="Comma 4" xfId="1682"/>
    <cellStyle name="Comma 4 10" xfId="20720"/>
    <cellStyle name="Comma 4 10 2" xfId="26268"/>
    <cellStyle name="Comma 4 10 2 2" xfId="27391"/>
    <cellStyle name="Comma 4 10 3" xfId="26830"/>
    <cellStyle name="Comma 4 11" xfId="20721"/>
    <cellStyle name="Comma 4 11 2" xfId="26269"/>
    <cellStyle name="Comma 4 11 2 2" xfId="27392"/>
    <cellStyle name="Comma 4 11 3" xfId="26831"/>
    <cellStyle name="Comma 4 12" xfId="20722"/>
    <cellStyle name="Comma 4 12 2" xfId="26270"/>
    <cellStyle name="Comma 4 12 2 2" xfId="27393"/>
    <cellStyle name="Comma 4 12 3" xfId="26832"/>
    <cellStyle name="Comma 4 13" xfId="20723"/>
    <cellStyle name="Comma 4 13 2" xfId="26271"/>
    <cellStyle name="Comma 4 13 2 2" xfId="27394"/>
    <cellStyle name="Comma 4 13 3" xfId="26833"/>
    <cellStyle name="Comma 4 14" xfId="20724"/>
    <cellStyle name="Comma 4 14 2" xfId="26272"/>
    <cellStyle name="Comma 4 14 2 2" xfId="27395"/>
    <cellStyle name="Comma 4 14 3" xfId="26834"/>
    <cellStyle name="Comma 4 15" xfId="20725"/>
    <cellStyle name="Comma 4 15 2" xfId="26273"/>
    <cellStyle name="Comma 4 15 2 2" xfId="27396"/>
    <cellStyle name="Comma 4 15 3" xfId="26835"/>
    <cellStyle name="Comma 4 2" xfId="1858"/>
    <cellStyle name="Comma 4 2 2" xfId="27518"/>
    <cellStyle name="Comma 4 2 3" xfId="27519"/>
    <cellStyle name="Comma 4 2 4" xfId="27520"/>
    <cellStyle name="Comma 4 2 5" xfId="27521"/>
    <cellStyle name="Comma 4 3" xfId="2906"/>
    <cellStyle name="Comma 4 3 2" xfId="27522"/>
    <cellStyle name="Comma 4 3 3" xfId="27523"/>
    <cellStyle name="Comma 4 3 4" xfId="27524"/>
    <cellStyle name="Comma 4 3 5" xfId="27525"/>
    <cellStyle name="Comma 4 4" xfId="2988"/>
    <cellStyle name="Comma 4 4 2" xfId="27526"/>
    <cellStyle name="Comma 4 4 3" xfId="27527"/>
    <cellStyle name="Comma 4 4 4" xfId="27528"/>
    <cellStyle name="Comma 4 4 5" xfId="27529"/>
    <cellStyle name="Comma 4 5" xfId="3056"/>
    <cellStyle name="Comma 4 5 2" xfId="27530"/>
    <cellStyle name="Comma 4 5 3" xfId="27531"/>
    <cellStyle name="Comma 4 5 4" xfId="27532"/>
    <cellStyle name="Comma 4 5 5" xfId="27533"/>
    <cellStyle name="Comma 4 6" xfId="3114"/>
    <cellStyle name="Comma 4 7" xfId="3165"/>
    <cellStyle name="Comma 4 8" xfId="3201"/>
    <cellStyle name="Comma 4 9" xfId="3222"/>
    <cellStyle name="Comma 40" xfId="97"/>
    <cellStyle name="Comma 40 10" xfId="2175"/>
    <cellStyle name="Comma 40 11" xfId="2617"/>
    <cellStyle name="Comma 40 12" xfId="2328"/>
    <cellStyle name="Comma 40 13" xfId="2436"/>
    <cellStyle name="Comma 40 14" xfId="2935"/>
    <cellStyle name="Comma 40 15" xfId="3015"/>
    <cellStyle name="Comma 40 16" xfId="2367"/>
    <cellStyle name="Comma 40 17" xfId="8932"/>
    <cellStyle name="Comma 40 18" xfId="8933"/>
    <cellStyle name="Comma 40 19" xfId="8934"/>
    <cellStyle name="Comma 40 2" xfId="121"/>
    <cellStyle name="Comma 40 20" xfId="8935"/>
    <cellStyle name="Comma 40 21" xfId="8936"/>
    <cellStyle name="Comma 40 22" xfId="8937"/>
    <cellStyle name="Comma 40 23" xfId="20726"/>
    <cellStyle name="Comma 40 24" xfId="20727"/>
    <cellStyle name="Comma 40 25" xfId="20728"/>
    <cellStyle name="Comma 40 26" xfId="20729"/>
    <cellStyle name="Comma 40 27" xfId="20730"/>
    <cellStyle name="Comma 40 28" xfId="20731"/>
    <cellStyle name="Comma 40 29" xfId="20732"/>
    <cellStyle name="Comma 40 3" xfId="1470"/>
    <cellStyle name="Comma 40 30" xfId="20733"/>
    <cellStyle name="Comma 40 31" xfId="20734"/>
    <cellStyle name="Comma 40 32" xfId="20735"/>
    <cellStyle name="Comma 40 33" xfId="20736"/>
    <cellStyle name="Comma 40 34" xfId="20737"/>
    <cellStyle name="Comma 40 35" xfId="20738"/>
    <cellStyle name="Comma 40 4" xfId="1511"/>
    <cellStyle name="Comma 40 5" xfId="1484"/>
    <cellStyle name="Comma 40 6" xfId="1498"/>
    <cellStyle name="Comma 40 7" xfId="1696"/>
    <cellStyle name="Comma 40 8" xfId="1765"/>
    <cellStyle name="Comma 40 9" xfId="1780"/>
    <cellStyle name="Comma 41" xfId="1312"/>
    <cellStyle name="Comma 41 2" xfId="2723"/>
    <cellStyle name="Comma 41 3" xfId="2269"/>
    <cellStyle name="Comma 41 4" xfId="2535"/>
    <cellStyle name="Comma 41 5" xfId="2700"/>
    <cellStyle name="Comma 41 6" xfId="2280"/>
    <cellStyle name="Comma 41 7" xfId="2474"/>
    <cellStyle name="Comma 41 8" xfId="3149"/>
    <cellStyle name="Comma 42" xfId="1344"/>
    <cellStyle name="Comma 42 2" xfId="2743"/>
    <cellStyle name="Comma 42 3" xfId="2853"/>
    <cellStyle name="Comma 42 4" xfId="2202"/>
    <cellStyle name="Comma 42 5" xfId="2509"/>
    <cellStyle name="Comma 42 6" xfId="2528"/>
    <cellStyle name="Comma 42 7" xfId="2952"/>
    <cellStyle name="Comma 42 8" xfId="2388"/>
    <cellStyle name="Comma 43" xfId="1369"/>
    <cellStyle name="Comma 43 2" xfId="2757"/>
    <cellStyle name="Comma 43 3" xfId="2245"/>
    <cellStyle name="Comma 43 4" xfId="2947"/>
    <cellStyle name="Comma 43 5" xfId="3027"/>
    <cellStyle name="Comma 43 6" xfId="3090"/>
    <cellStyle name="Comma 43 7" xfId="3141"/>
    <cellStyle name="Comma 43 8" xfId="3189"/>
    <cellStyle name="Comma 44" xfId="1856"/>
    <cellStyle name="Comma 44 2" xfId="16750"/>
    <cellStyle name="Comma 44 2 2" xfId="26008"/>
    <cellStyle name="Comma 44 2 2 2" xfId="27131"/>
    <cellStyle name="Comma 44 2 3" xfId="26570"/>
    <cellStyle name="Comma 44 3" xfId="25790"/>
    <cellStyle name="Comma 44 3 2" xfId="26913"/>
    <cellStyle name="Comma 44 4" xfId="26352"/>
    <cellStyle name="Comma 45" xfId="1905"/>
    <cellStyle name="Comma 45 2" xfId="16751"/>
    <cellStyle name="Comma 45 2 2" xfId="26009"/>
    <cellStyle name="Comma 45 2 2 2" xfId="27132"/>
    <cellStyle name="Comma 45 2 3" xfId="26571"/>
    <cellStyle name="Comma 45 3" xfId="25798"/>
    <cellStyle name="Comma 45 3 2" xfId="26921"/>
    <cellStyle name="Comma 45 4" xfId="26360"/>
    <cellStyle name="Comma 46" xfId="2090"/>
    <cellStyle name="Comma 46 2" xfId="16752"/>
    <cellStyle name="Comma 46 2 2" xfId="26010"/>
    <cellStyle name="Comma 46 2 2 2" xfId="27133"/>
    <cellStyle name="Comma 46 2 3" xfId="26572"/>
    <cellStyle name="Comma 46 3" xfId="25813"/>
    <cellStyle name="Comma 46 3 2" xfId="26936"/>
    <cellStyle name="Comma 46 4" xfId="26375"/>
    <cellStyle name="Comma 47" xfId="2083"/>
    <cellStyle name="Comma 47 2" xfId="16753"/>
    <cellStyle name="Comma 47 2 2" xfId="26011"/>
    <cellStyle name="Comma 47 2 2 2" xfId="27134"/>
    <cellStyle name="Comma 47 2 3" xfId="26573"/>
    <cellStyle name="Comma 47 3" xfId="25806"/>
    <cellStyle name="Comma 47 3 2" xfId="26929"/>
    <cellStyle name="Comma 47 4" xfId="26368"/>
    <cellStyle name="Comma 48" xfId="2088"/>
    <cellStyle name="Comma 48 2" xfId="16754"/>
    <cellStyle name="Comma 48 2 2" xfId="26012"/>
    <cellStyle name="Comma 48 2 2 2" xfId="27135"/>
    <cellStyle name="Comma 48 2 3" xfId="26574"/>
    <cellStyle name="Comma 48 3" xfId="25811"/>
    <cellStyle name="Comma 48 3 2" xfId="26934"/>
    <cellStyle name="Comma 48 4" xfId="26373"/>
    <cellStyle name="Comma 49" xfId="2087"/>
    <cellStyle name="Comma 49 2" xfId="16755"/>
    <cellStyle name="Comma 49 2 2" xfId="26013"/>
    <cellStyle name="Comma 49 2 2 2" xfId="27136"/>
    <cellStyle name="Comma 49 2 3" xfId="26575"/>
    <cellStyle name="Comma 49 3" xfId="25810"/>
    <cellStyle name="Comma 49 3 2" xfId="26933"/>
    <cellStyle name="Comma 49 4" xfId="26372"/>
    <cellStyle name="Comma 5" xfId="105"/>
    <cellStyle name="Comma 5 10" xfId="422"/>
    <cellStyle name="Comma 5 10 10" xfId="8938"/>
    <cellStyle name="Comma 5 10 11" xfId="8939"/>
    <cellStyle name="Comma 5 10 12" xfId="8940"/>
    <cellStyle name="Comma 5 10 13" xfId="8941"/>
    <cellStyle name="Comma 5 10 14" xfId="8942"/>
    <cellStyle name="Comma 5 10 15" xfId="8943"/>
    <cellStyle name="Comma 5 10 16" xfId="8944"/>
    <cellStyle name="Comma 5 10 17" xfId="8945"/>
    <cellStyle name="Comma 5 10 18" xfId="8946"/>
    <cellStyle name="Comma 5 10 19" xfId="8947"/>
    <cellStyle name="Comma 5 10 2" xfId="423"/>
    <cellStyle name="Comma 5 10 20" xfId="8948"/>
    <cellStyle name="Comma 5 10 21" xfId="8949"/>
    <cellStyle name="Comma 5 10 22" xfId="8950"/>
    <cellStyle name="Comma 5 10 23" xfId="8951"/>
    <cellStyle name="Comma 5 10 24" xfId="8952"/>
    <cellStyle name="Comma 5 10 25" xfId="8953"/>
    <cellStyle name="Comma 5 10 26" xfId="20739"/>
    <cellStyle name="Comma 5 10 27" xfId="20740"/>
    <cellStyle name="Comma 5 10 28" xfId="20741"/>
    <cellStyle name="Comma 5 10 29" xfId="20742"/>
    <cellStyle name="Comma 5 10 3" xfId="8954"/>
    <cellStyle name="Comma 5 10 30" xfId="20743"/>
    <cellStyle name="Comma 5 10 31" xfId="20744"/>
    <cellStyle name="Comma 5 10 32" xfId="20745"/>
    <cellStyle name="Comma 5 10 33" xfId="20746"/>
    <cellStyle name="Comma 5 10 34" xfId="20747"/>
    <cellStyle name="Comma 5 10 35" xfId="20748"/>
    <cellStyle name="Comma 5 10 36" xfId="20749"/>
    <cellStyle name="Comma 5 10 37" xfId="20750"/>
    <cellStyle name="Comma 5 10 38" xfId="20751"/>
    <cellStyle name="Comma 5 10 4" xfId="8955"/>
    <cellStyle name="Comma 5 10 5" xfId="8956"/>
    <cellStyle name="Comma 5 10 6" xfId="8957"/>
    <cellStyle name="Comma 5 10 7" xfId="8958"/>
    <cellStyle name="Comma 5 10 8" xfId="8959"/>
    <cellStyle name="Comma 5 10 9" xfId="8960"/>
    <cellStyle name="Comma 5 11" xfId="424"/>
    <cellStyle name="Comma 5 11 10" xfId="8961"/>
    <cellStyle name="Comma 5 11 11" xfId="8962"/>
    <cellStyle name="Comma 5 11 12" xfId="8963"/>
    <cellStyle name="Comma 5 11 13" xfId="8964"/>
    <cellStyle name="Comma 5 11 14" xfId="8965"/>
    <cellStyle name="Comma 5 11 15" xfId="8966"/>
    <cellStyle name="Comma 5 11 16" xfId="8967"/>
    <cellStyle name="Comma 5 11 17" xfId="8968"/>
    <cellStyle name="Comma 5 11 18" xfId="8969"/>
    <cellStyle name="Comma 5 11 19" xfId="8970"/>
    <cellStyle name="Comma 5 11 2" xfId="425"/>
    <cellStyle name="Comma 5 11 20" xfId="8971"/>
    <cellStyle name="Comma 5 11 21" xfId="8972"/>
    <cellStyle name="Comma 5 11 22" xfId="8973"/>
    <cellStyle name="Comma 5 11 23" xfId="8974"/>
    <cellStyle name="Comma 5 11 24" xfId="8975"/>
    <cellStyle name="Comma 5 11 25" xfId="8976"/>
    <cellStyle name="Comma 5 11 26" xfId="20752"/>
    <cellStyle name="Comma 5 11 27" xfId="20753"/>
    <cellStyle name="Comma 5 11 28" xfId="20754"/>
    <cellStyle name="Comma 5 11 29" xfId="20755"/>
    <cellStyle name="Comma 5 11 3" xfId="8977"/>
    <cellStyle name="Comma 5 11 30" xfId="20756"/>
    <cellStyle name="Comma 5 11 31" xfId="20757"/>
    <cellStyle name="Comma 5 11 32" xfId="20758"/>
    <cellStyle name="Comma 5 11 33" xfId="20759"/>
    <cellStyle name="Comma 5 11 34" xfId="20760"/>
    <cellStyle name="Comma 5 11 35" xfId="20761"/>
    <cellStyle name="Comma 5 11 36" xfId="20762"/>
    <cellStyle name="Comma 5 11 37" xfId="20763"/>
    <cellStyle name="Comma 5 11 38" xfId="20764"/>
    <cellStyle name="Comma 5 11 4" xfId="8978"/>
    <cellStyle name="Comma 5 11 5" xfId="8979"/>
    <cellStyle name="Comma 5 11 6" xfId="8980"/>
    <cellStyle name="Comma 5 11 7" xfId="8981"/>
    <cellStyle name="Comma 5 11 8" xfId="8982"/>
    <cellStyle name="Comma 5 11 9" xfId="8983"/>
    <cellStyle name="Comma 5 12" xfId="426"/>
    <cellStyle name="Comma 5 12 10" xfId="8984"/>
    <cellStyle name="Comma 5 12 11" xfId="8985"/>
    <cellStyle name="Comma 5 12 12" xfId="8986"/>
    <cellStyle name="Comma 5 12 13" xfId="8987"/>
    <cellStyle name="Comma 5 12 14" xfId="8988"/>
    <cellStyle name="Comma 5 12 15" xfId="8989"/>
    <cellStyle name="Comma 5 12 16" xfId="8990"/>
    <cellStyle name="Comma 5 12 17" xfId="8991"/>
    <cellStyle name="Comma 5 12 18" xfId="8992"/>
    <cellStyle name="Comma 5 12 19" xfId="8993"/>
    <cellStyle name="Comma 5 12 2" xfId="427"/>
    <cellStyle name="Comma 5 12 20" xfId="8994"/>
    <cellStyle name="Comma 5 12 21" xfId="8995"/>
    <cellStyle name="Comma 5 12 22" xfId="8996"/>
    <cellStyle name="Comma 5 12 23" xfId="8997"/>
    <cellStyle name="Comma 5 12 24" xfId="8998"/>
    <cellStyle name="Comma 5 12 25" xfId="8999"/>
    <cellStyle name="Comma 5 12 26" xfId="20765"/>
    <cellStyle name="Comma 5 12 27" xfId="20766"/>
    <cellStyle name="Comma 5 12 28" xfId="20767"/>
    <cellStyle name="Comma 5 12 29" xfId="20768"/>
    <cellStyle name="Comma 5 12 3" xfId="9000"/>
    <cellStyle name="Comma 5 12 30" xfId="20769"/>
    <cellStyle name="Comma 5 12 31" xfId="20770"/>
    <cellStyle name="Comma 5 12 32" xfId="20771"/>
    <cellStyle name="Comma 5 12 33" xfId="20772"/>
    <cellStyle name="Comma 5 12 34" xfId="20773"/>
    <cellStyle name="Comma 5 12 35" xfId="20774"/>
    <cellStyle name="Comma 5 12 36" xfId="20775"/>
    <cellStyle name="Comma 5 12 37" xfId="20776"/>
    <cellStyle name="Comma 5 12 38" xfId="20777"/>
    <cellStyle name="Comma 5 12 4" xfId="9001"/>
    <cellStyle name="Comma 5 12 5" xfId="9002"/>
    <cellStyle name="Comma 5 12 6" xfId="9003"/>
    <cellStyle name="Comma 5 12 7" xfId="9004"/>
    <cellStyle name="Comma 5 12 8" xfId="9005"/>
    <cellStyle name="Comma 5 12 9" xfId="9006"/>
    <cellStyle name="Comma 5 13" xfId="428"/>
    <cellStyle name="Comma 5 13 10" xfId="9007"/>
    <cellStyle name="Comma 5 13 11" xfId="9008"/>
    <cellStyle name="Comma 5 13 12" xfId="9009"/>
    <cellStyle name="Comma 5 13 13" xfId="9010"/>
    <cellStyle name="Comma 5 13 14" xfId="9011"/>
    <cellStyle name="Comma 5 13 15" xfId="9012"/>
    <cellStyle name="Comma 5 13 16" xfId="9013"/>
    <cellStyle name="Comma 5 13 17" xfId="9014"/>
    <cellStyle name="Comma 5 13 18" xfId="9015"/>
    <cellStyle name="Comma 5 13 19" xfId="9016"/>
    <cellStyle name="Comma 5 13 2" xfId="429"/>
    <cellStyle name="Comma 5 13 20" xfId="9017"/>
    <cellStyle name="Comma 5 13 21" xfId="9018"/>
    <cellStyle name="Comma 5 13 22" xfId="9019"/>
    <cellStyle name="Comma 5 13 23" xfId="9020"/>
    <cellStyle name="Comma 5 13 24" xfId="9021"/>
    <cellStyle name="Comma 5 13 25" xfId="9022"/>
    <cellStyle name="Comma 5 13 26" xfId="20778"/>
    <cellStyle name="Comma 5 13 27" xfId="20779"/>
    <cellStyle name="Comma 5 13 28" xfId="20780"/>
    <cellStyle name="Comma 5 13 29" xfId="20781"/>
    <cellStyle name="Comma 5 13 3" xfId="9023"/>
    <cellStyle name="Comma 5 13 30" xfId="20782"/>
    <cellStyle name="Comma 5 13 31" xfId="20783"/>
    <cellStyle name="Comma 5 13 32" xfId="20784"/>
    <cellStyle name="Comma 5 13 33" xfId="20785"/>
    <cellStyle name="Comma 5 13 34" xfId="20786"/>
    <cellStyle name="Comma 5 13 35" xfId="20787"/>
    <cellStyle name="Comma 5 13 36" xfId="20788"/>
    <cellStyle name="Comma 5 13 37" xfId="20789"/>
    <cellStyle name="Comma 5 13 38" xfId="20790"/>
    <cellStyle name="Comma 5 13 4" xfId="9024"/>
    <cellStyle name="Comma 5 13 5" xfId="9025"/>
    <cellStyle name="Comma 5 13 6" xfId="9026"/>
    <cellStyle name="Comma 5 13 7" xfId="9027"/>
    <cellStyle name="Comma 5 13 8" xfId="9028"/>
    <cellStyle name="Comma 5 13 9" xfId="9029"/>
    <cellStyle name="Comma 5 14" xfId="430"/>
    <cellStyle name="Comma 5 14 10" xfId="9030"/>
    <cellStyle name="Comma 5 14 11" xfId="9031"/>
    <cellStyle name="Comma 5 14 12" xfId="9032"/>
    <cellStyle name="Comma 5 14 13" xfId="9033"/>
    <cellStyle name="Comma 5 14 14" xfId="9034"/>
    <cellStyle name="Comma 5 14 15" xfId="9035"/>
    <cellStyle name="Comma 5 14 16" xfId="9036"/>
    <cellStyle name="Comma 5 14 17" xfId="9037"/>
    <cellStyle name="Comma 5 14 18" xfId="9038"/>
    <cellStyle name="Comma 5 14 19" xfId="9039"/>
    <cellStyle name="Comma 5 14 2" xfId="9040"/>
    <cellStyle name="Comma 5 14 20" xfId="9041"/>
    <cellStyle name="Comma 5 14 21" xfId="9042"/>
    <cellStyle name="Comma 5 14 22" xfId="9043"/>
    <cellStyle name="Comma 5 14 23" xfId="9044"/>
    <cellStyle name="Comma 5 14 24" xfId="20791"/>
    <cellStyle name="Comma 5 14 25" xfId="20792"/>
    <cellStyle name="Comma 5 14 26" xfId="20793"/>
    <cellStyle name="Comma 5 14 27" xfId="20794"/>
    <cellStyle name="Comma 5 14 28" xfId="20795"/>
    <cellStyle name="Comma 5 14 29" xfId="20796"/>
    <cellStyle name="Comma 5 14 3" xfId="9045"/>
    <cellStyle name="Comma 5 14 30" xfId="20797"/>
    <cellStyle name="Comma 5 14 31" xfId="20798"/>
    <cellStyle name="Comma 5 14 32" xfId="20799"/>
    <cellStyle name="Comma 5 14 33" xfId="20800"/>
    <cellStyle name="Comma 5 14 34" xfId="20801"/>
    <cellStyle name="Comma 5 14 35" xfId="20802"/>
    <cellStyle name="Comma 5 14 36" xfId="20803"/>
    <cellStyle name="Comma 5 14 4" xfId="9046"/>
    <cellStyle name="Comma 5 14 5" xfId="9047"/>
    <cellStyle name="Comma 5 14 6" xfId="9048"/>
    <cellStyle name="Comma 5 14 7" xfId="9049"/>
    <cellStyle name="Comma 5 14 8" xfId="9050"/>
    <cellStyle name="Comma 5 14 9" xfId="9051"/>
    <cellStyle name="Comma 5 15" xfId="431"/>
    <cellStyle name="Comma 5 15 10" xfId="9052"/>
    <cellStyle name="Comma 5 15 11" xfId="9053"/>
    <cellStyle name="Comma 5 15 12" xfId="9054"/>
    <cellStyle name="Comma 5 15 13" xfId="9055"/>
    <cellStyle name="Comma 5 15 14" xfId="9056"/>
    <cellStyle name="Comma 5 15 15" xfId="9057"/>
    <cellStyle name="Comma 5 15 16" xfId="9058"/>
    <cellStyle name="Comma 5 15 17" xfId="9059"/>
    <cellStyle name="Comma 5 15 18" xfId="9060"/>
    <cellStyle name="Comma 5 15 19" xfId="9061"/>
    <cellStyle name="Comma 5 15 2" xfId="9062"/>
    <cellStyle name="Comma 5 15 20" xfId="9063"/>
    <cellStyle name="Comma 5 15 21" xfId="9064"/>
    <cellStyle name="Comma 5 15 22" xfId="9065"/>
    <cellStyle name="Comma 5 15 23" xfId="9066"/>
    <cellStyle name="Comma 5 15 24" xfId="20804"/>
    <cellStyle name="Comma 5 15 25" xfId="20805"/>
    <cellStyle name="Comma 5 15 26" xfId="20806"/>
    <cellStyle name="Comma 5 15 27" xfId="20807"/>
    <cellStyle name="Comma 5 15 28" xfId="20808"/>
    <cellStyle name="Comma 5 15 29" xfId="20809"/>
    <cellStyle name="Comma 5 15 3" xfId="9067"/>
    <cellStyle name="Comma 5 15 30" xfId="20810"/>
    <cellStyle name="Comma 5 15 31" xfId="20811"/>
    <cellStyle name="Comma 5 15 32" xfId="20812"/>
    <cellStyle name="Comma 5 15 33" xfId="20813"/>
    <cellStyle name="Comma 5 15 34" xfId="20814"/>
    <cellStyle name="Comma 5 15 35" xfId="20815"/>
    <cellStyle name="Comma 5 15 36" xfId="20816"/>
    <cellStyle name="Comma 5 15 4" xfId="9068"/>
    <cellStyle name="Comma 5 15 5" xfId="9069"/>
    <cellStyle name="Comma 5 15 6" xfId="9070"/>
    <cellStyle name="Comma 5 15 7" xfId="9071"/>
    <cellStyle name="Comma 5 15 8" xfId="9072"/>
    <cellStyle name="Comma 5 15 9" xfId="9073"/>
    <cellStyle name="Comma 5 16" xfId="432"/>
    <cellStyle name="Comma 5 16 10" xfId="9074"/>
    <cellStyle name="Comma 5 16 11" xfId="9075"/>
    <cellStyle name="Comma 5 16 12" xfId="9076"/>
    <cellStyle name="Comma 5 16 13" xfId="9077"/>
    <cellStyle name="Comma 5 16 14" xfId="9078"/>
    <cellStyle name="Comma 5 16 15" xfId="9079"/>
    <cellStyle name="Comma 5 16 16" xfId="9080"/>
    <cellStyle name="Comma 5 16 17" xfId="9081"/>
    <cellStyle name="Comma 5 16 18" xfId="9082"/>
    <cellStyle name="Comma 5 16 19" xfId="9083"/>
    <cellStyle name="Comma 5 16 2" xfId="9084"/>
    <cellStyle name="Comma 5 16 20" xfId="9085"/>
    <cellStyle name="Comma 5 16 21" xfId="9086"/>
    <cellStyle name="Comma 5 16 22" xfId="9087"/>
    <cellStyle name="Comma 5 16 23" xfId="9088"/>
    <cellStyle name="Comma 5 16 24" xfId="20817"/>
    <cellStyle name="Comma 5 16 25" xfId="20818"/>
    <cellStyle name="Comma 5 16 26" xfId="20819"/>
    <cellStyle name="Comma 5 16 27" xfId="20820"/>
    <cellStyle name="Comma 5 16 28" xfId="20821"/>
    <cellStyle name="Comma 5 16 29" xfId="20822"/>
    <cellStyle name="Comma 5 16 3" xfId="9089"/>
    <cellStyle name="Comma 5 16 30" xfId="20823"/>
    <cellStyle name="Comma 5 16 31" xfId="20824"/>
    <cellStyle name="Comma 5 16 32" xfId="20825"/>
    <cellStyle name="Comma 5 16 33" xfId="20826"/>
    <cellStyle name="Comma 5 16 34" xfId="20827"/>
    <cellStyle name="Comma 5 16 35" xfId="20828"/>
    <cellStyle name="Comma 5 16 36" xfId="20829"/>
    <cellStyle name="Comma 5 16 4" xfId="9090"/>
    <cellStyle name="Comma 5 16 5" xfId="9091"/>
    <cellStyle name="Comma 5 16 6" xfId="9092"/>
    <cellStyle name="Comma 5 16 7" xfId="9093"/>
    <cellStyle name="Comma 5 16 8" xfId="9094"/>
    <cellStyle name="Comma 5 16 9" xfId="9095"/>
    <cellStyle name="Comma 5 17" xfId="433"/>
    <cellStyle name="Comma 5 17 10" xfId="9096"/>
    <cellStyle name="Comma 5 17 11" xfId="9097"/>
    <cellStyle name="Comma 5 17 12" xfId="9098"/>
    <cellStyle name="Comma 5 17 13" xfId="9099"/>
    <cellStyle name="Comma 5 17 14" xfId="9100"/>
    <cellStyle name="Comma 5 17 15" xfId="9101"/>
    <cellStyle name="Comma 5 17 16" xfId="9102"/>
    <cellStyle name="Comma 5 17 17" xfId="9103"/>
    <cellStyle name="Comma 5 17 18" xfId="9104"/>
    <cellStyle name="Comma 5 17 19" xfId="9105"/>
    <cellStyle name="Comma 5 17 2" xfId="9106"/>
    <cellStyle name="Comma 5 17 20" xfId="9107"/>
    <cellStyle name="Comma 5 17 21" xfId="9108"/>
    <cellStyle name="Comma 5 17 22" xfId="9109"/>
    <cellStyle name="Comma 5 17 23" xfId="9110"/>
    <cellStyle name="Comma 5 17 24" xfId="20830"/>
    <cellStyle name="Comma 5 17 25" xfId="20831"/>
    <cellStyle name="Comma 5 17 26" xfId="20832"/>
    <cellStyle name="Comma 5 17 27" xfId="20833"/>
    <cellStyle name="Comma 5 17 28" xfId="20834"/>
    <cellStyle name="Comma 5 17 29" xfId="20835"/>
    <cellStyle name="Comma 5 17 3" xfId="9111"/>
    <cellStyle name="Comma 5 17 30" xfId="20836"/>
    <cellStyle name="Comma 5 17 31" xfId="20837"/>
    <cellStyle name="Comma 5 17 32" xfId="20838"/>
    <cellStyle name="Comma 5 17 33" xfId="20839"/>
    <cellStyle name="Comma 5 17 34" xfId="20840"/>
    <cellStyle name="Comma 5 17 35" xfId="20841"/>
    <cellStyle name="Comma 5 17 36" xfId="20842"/>
    <cellStyle name="Comma 5 17 4" xfId="9112"/>
    <cellStyle name="Comma 5 17 5" xfId="9113"/>
    <cellStyle name="Comma 5 17 6" xfId="9114"/>
    <cellStyle name="Comma 5 17 7" xfId="9115"/>
    <cellStyle name="Comma 5 17 8" xfId="9116"/>
    <cellStyle name="Comma 5 17 9" xfId="9117"/>
    <cellStyle name="Comma 5 18" xfId="434"/>
    <cellStyle name="Comma 5 18 10" xfId="9118"/>
    <cellStyle name="Comma 5 18 11" xfId="9119"/>
    <cellStyle name="Comma 5 18 12" xfId="9120"/>
    <cellStyle name="Comma 5 18 13" xfId="9121"/>
    <cellStyle name="Comma 5 18 14" xfId="9122"/>
    <cellStyle name="Comma 5 18 15" xfId="9123"/>
    <cellStyle name="Comma 5 18 16" xfId="9124"/>
    <cellStyle name="Comma 5 18 17" xfId="9125"/>
    <cellStyle name="Comma 5 18 18" xfId="9126"/>
    <cellStyle name="Comma 5 18 19" xfId="9127"/>
    <cellStyle name="Comma 5 18 2" xfId="9128"/>
    <cellStyle name="Comma 5 18 20" xfId="9129"/>
    <cellStyle name="Comma 5 18 21" xfId="9130"/>
    <cellStyle name="Comma 5 18 22" xfId="9131"/>
    <cellStyle name="Comma 5 18 23" xfId="9132"/>
    <cellStyle name="Comma 5 18 24" xfId="20843"/>
    <cellStyle name="Comma 5 18 25" xfId="20844"/>
    <cellStyle name="Comma 5 18 26" xfId="20845"/>
    <cellStyle name="Comma 5 18 27" xfId="20846"/>
    <cellStyle name="Comma 5 18 28" xfId="20847"/>
    <cellStyle name="Comma 5 18 29" xfId="20848"/>
    <cellStyle name="Comma 5 18 3" xfId="9133"/>
    <cellStyle name="Comma 5 18 30" xfId="20849"/>
    <cellStyle name="Comma 5 18 31" xfId="20850"/>
    <cellStyle name="Comma 5 18 32" xfId="20851"/>
    <cellStyle name="Comma 5 18 33" xfId="20852"/>
    <cellStyle name="Comma 5 18 34" xfId="20853"/>
    <cellStyle name="Comma 5 18 35" xfId="20854"/>
    <cellStyle name="Comma 5 18 36" xfId="20855"/>
    <cellStyle name="Comma 5 18 4" xfId="9134"/>
    <cellStyle name="Comma 5 18 5" xfId="9135"/>
    <cellStyle name="Comma 5 18 6" xfId="9136"/>
    <cellStyle name="Comma 5 18 7" xfId="9137"/>
    <cellStyle name="Comma 5 18 8" xfId="9138"/>
    <cellStyle name="Comma 5 18 9" xfId="9139"/>
    <cellStyle name="Comma 5 19" xfId="435"/>
    <cellStyle name="Comma 5 19 10" xfId="9140"/>
    <cellStyle name="Comma 5 19 11" xfId="9141"/>
    <cellStyle name="Comma 5 19 12" xfId="9142"/>
    <cellStyle name="Comma 5 19 13" xfId="9143"/>
    <cellStyle name="Comma 5 19 14" xfId="9144"/>
    <cellStyle name="Comma 5 19 15" xfId="9145"/>
    <cellStyle name="Comma 5 19 16" xfId="9146"/>
    <cellStyle name="Comma 5 19 17" xfId="9147"/>
    <cellStyle name="Comma 5 19 18" xfId="9148"/>
    <cellStyle name="Comma 5 19 19" xfId="9149"/>
    <cellStyle name="Comma 5 19 2" xfId="9150"/>
    <cellStyle name="Comma 5 19 20" xfId="9151"/>
    <cellStyle name="Comma 5 19 21" xfId="9152"/>
    <cellStyle name="Comma 5 19 22" xfId="9153"/>
    <cellStyle name="Comma 5 19 23" xfId="9154"/>
    <cellStyle name="Comma 5 19 24" xfId="20856"/>
    <cellStyle name="Comma 5 19 25" xfId="20857"/>
    <cellStyle name="Comma 5 19 26" xfId="20858"/>
    <cellStyle name="Comma 5 19 27" xfId="20859"/>
    <cellStyle name="Comma 5 19 28" xfId="20860"/>
    <cellStyle name="Comma 5 19 29" xfId="20861"/>
    <cellStyle name="Comma 5 19 3" xfId="9155"/>
    <cellStyle name="Comma 5 19 30" xfId="20862"/>
    <cellStyle name="Comma 5 19 31" xfId="20863"/>
    <cellStyle name="Comma 5 19 32" xfId="20864"/>
    <cellStyle name="Comma 5 19 33" xfId="20865"/>
    <cellStyle name="Comma 5 19 34" xfId="20866"/>
    <cellStyle name="Comma 5 19 35" xfId="20867"/>
    <cellStyle name="Comma 5 19 36" xfId="20868"/>
    <cellStyle name="Comma 5 19 4" xfId="9156"/>
    <cellStyle name="Comma 5 19 5" xfId="9157"/>
    <cellStyle name="Comma 5 19 6" xfId="9158"/>
    <cellStyle name="Comma 5 19 7" xfId="9159"/>
    <cellStyle name="Comma 5 19 8" xfId="9160"/>
    <cellStyle name="Comma 5 19 9" xfId="9161"/>
    <cellStyle name="Comma 5 2" xfId="436"/>
    <cellStyle name="Comma 5 2 10" xfId="9162"/>
    <cellStyle name="Comma 5 2 11" xfId="9163"/>
    <cellStyle name="Comma 5 2 12" xfId="9164"/>
    <cellStyle name="Comma 5 2 13" xfId="9165"/>
    <cellStyle name="Comma 5 2 14" xfId="9166"/>
    <cellStyle name="Comma 5 2 15" xfId="9167"/>
    <cellStyle name="Comma 5 2 16" xfId="9168"/>
    <cellStyle name="Comma 5 2 17" xfId="9169"/>
    <cellStyle name="Comma 5 2 18" xfId="9170"/>
    <cellStyle name="Comma 5 2 19" xfId="9171"/>
    <cellStyle name="Comma 5 2 2" xfId="437"/>
    <cellStyle name="Comma 5 2 20" xfId="9172"/>
    <cellStyle name="Comma 5 2 21" xfId="9173"/>
    <cellStyle name="Comma 5 2 22" xfId="9174"/>
    <cellStyle name="Comma 5 2 23" xfId="9175"/>
    <cellStyle name="Comma 5 2 24" xfId="9176"/>
    <cellStyle name="Comma 5 2 25" xfId="9177"/>
    <cellStyle name="Comma 5 2 26" xfId="20869"/>
    <cellStyle name="Comma 5 2 27" xfId="20870"/>
    <cellStyle name="Comma 5 2 28" xfId="20871"/>
    <cellStyle name="Comma 5 2 29" xfId="20872"/>
    <cellStyle name="Comma 5 2 3" xfId="9178"/>
    <cellStyle name="Comma 5 2 30" xfId="20873"/>
    <cellStyle name="Comma 5 2 31" xfId="20874"/>
    <cellStyle name="Comma 5 2 32" xfId="20875"/>
    <cellStyle name="Comma 5 2 33" xfId="20876"/>
    <cellStyle name="Comma 5 2 34" xfId="20877"/>
    <cellStyle name="Comma 5 2 35" xfId="20878"/>
    <cellStyle name="Comma 5 2 36" xfId="20879"/>
    <cellStyle name="Comma 5 2 37" xfId="20880"/>
    <cellStyle name="Comma 5 2 38" xfId="20881"/>
    <cellStyle name="Comma 5 2 4" xfId="9179"/>
    <cellStyle name="Comma 5 2 5" xfId="9180"/>
    <cellStyle name="Comma 5 2 6" xfId="9181"/>
    <cellStyle name="Comma 5 2 7" xfId="9182"/>
    <cellStyle name="Comma 5 2 8" xfId="9183"/>
    <cellStyle name="Comma 5 2 9" xfId="9184"/>
    <cellStyle name="Comma 5 20" xfId="438"/>
    <cellStyle name="Comma 5 20 10" xfId="9185"/>
    <cellStyle name="Comma 5 20 11" xfId="9186"/>
    <cellStyle name="Comma 5 20 12" xfId="9187"/>
    <cellStyle name="Comma 5 20 13" xfId="9188"/>
    <cellStyle name="Comma 5 20 14" xfId="9189"/>
    <cellStyle name="Comma 5 20 15" xfId="9190"/>
    <cellStyle name="Comma 5 20 16" xfId="9191"/>
    <cellStyle name="Comma 5 20 17" xfId="9192"/>
    <cellStyle name="Comma 5 20 18" xfId="9193"/>
    <cellStyle name="Comma 5 20 19" xfId="9194"/>
    <cellStyle name="Comma 5 20 2" xfId="9195"/>
    <cellStyle name="Comma 5 20 20" xfId="9196"/>
    <cellStyle name="Comma 5 20 21" xfId="9197"/>
    <cellStyle name="Comma 5 20 22" xfId="9198"/>
    <cellStyle name="Comma 5 20 23" xfId="9199"/>
    <cellStyle name="Comma 5 20 24" xfId="20882"/>
    <cellStyle name="Comma 5 20 25" xfId="20883"/>
    <cellStyle name="Comma 5 20 26" xfId="20884"/>
    <cellStyle name="Comma 5 20 27" xfId="20885"/>
    <cellStyle name="Comma 5 20 28" xfId="20886"/>
    <cellStyle name="Comma 5 20 29" xfId="20887"/>
    <cellStyle name="Comma 5 20 3" xfId="9200"/>
    <cellStyle name="Comma 5 20 30" xfId="20888"/>
    <cellStyle name="Comma 5 20 31" xfId="20889"/>
    <cellStyle name="Comma 5 20 32" xfId="20890"/>
    <cellStyle name="Comma 5 20 33" xfId="20891"/>
    <cellStyle name="Comma 5 20 34" xfId="20892"/>
    <cellStyle name="Comma 5 20 35" xfId="20893"/>
    <cellStyle name="Comma 5 20 36" xfId="20894"/>
    <cellStyle name="Comma 5 20 4" xfId="9201"/>
    <cellStyle name="Comma 5 20 5" xfId="9202"/>
    <cellStyle name="Comma 5 20 6" xfId="9203"/>
    <cellStyle name="Comma 5 20 7" xfId="9204"/>
    <cellStyle name="Comma 5 20 8" xfId="9205"/>
    <cellStyle name="Comma 5 20 9" xfId="9206"/>
    <cellStyle name="Comma 5 21" xfId="439"/>
    <cellStyle name="Comma 5 21 10" xfId="9207"/>
    <cellStyle name="Comma 5 21 11" xfId="9208"/>
    <cellStyle name="Comma 5 21 12" xfId="9209"/>
    <cellStyle name="Comma 5 21 13" xfId="9210"/>
    <cellStyle name="Comma 5 21 14" xfId="9211"/>
    <cellStyle name="Comma 5 21 15" xfId="9212"/>
    <cellStyle name="Comma 5 21 16" xfId="9213"/>
    <cellStyle name="Comma 5 21 17" xfId="9214"/>
    <cellStyle name="Comma 5 21 18" xfId="9215"/>
    <cellStyle name="Comma 5 21 19" xfId="9216"/>
    <cellStyle name="Comma 5 21 2" xfId="9217"/>
    <cellStyle name="Comma 5 21 20" xfId="9218"/>
    <cellStyle name="Comma 5 21 21" xfId="9219"/>
    <cellStyle name="Comma 5 21 22" xfId="9220"/>
    <cellStyle name="Comma 5 21 23" xfId="9221"/>
    <cellStyle name="Comma 5 21 24" xfId="20895"/>
    <cellStyle name="Comma 5 21 25" xfId="20896"/>
    <cellStyle name="Comma 5 21 26" xfId="20897"/>
    <cellStyle name="Comma 5 21 27" xfId="20898"/>
    <cellStyle name="Comma 5 21 28" xfId="20899"/>
    <cellStyle name="Comma 5 21 29" xfId="20900"/>
    <cellStyle name="Comma 5 21 3" xfId="9222"/>
    <cellStyle name="Comma 5 21 30" xfId="20901"/>
    <cellStyle name="Comma 5 21 31" xfId="20902"/>
    <cellStyle name="Comma 5 21 32" xfId="20903"/>
    <cellStyle name="Comma 5 21 33" xfId="20904"/>
    <cellStyle name="Comma 5 21 34" xfId="20905"/>
    <cellStyle name="Comma 5 21 35" xfId="20906"/>
    <cellStyle name="Comma 5 21 36" xfId="20907"/>
    <cellStyle name="Comma 5 21 4" xfId="9223"/>
    <cellStyle name="Comma 5 21 5" xfId="9224"/>
    <cellStyle name="Comma 5 21 6" xfId="9225"/>
    <cellStyle name="Comma 5 21 7" xfId="9226"/>
    <cellStyle name="Comma 5 21 8" xfId="9227"/>
    <cellStyle name="Comma 5 21 9" xfId="9228"/>
    <cellStyle name="Comma 5 22" xfId="440"/>
    <cellStyle name="Comma 5 22 10" xfId="9229"/>
    <cellStyle name="Comma 5 22 11" xfId="9230"/>
    <cellStyle name="Comma 5 22 12" xfId="9231"/>
    <cellStyle name="Comma 5 22 13" xfId="9232"/>
    <cellStyle name="Comma 5 22 14" xfId="9233"/>
    <cellStyle name="Comma 5 22 15" xfId="9234"/>
    <cellStyle name="Comma 5 22 16" xfId="9235"/>
    <cellStyle name="Comma 5 22 17" xfId="9236"/>
    <cellStyle name="Comma 5 22 18" xfId="9237"/>
    <cellStyle name="Comma 5 22 19" xfId="9238"/>
    <cellStyle name="Comma 5 22 2" xfId="9239"/>
    <cellStyle name="Comma 5 22 20" xfId="9240"/>
    <cellStyle name="Comma 5 22 21" xfId="9241"/>
    <cellStyle name="Comma 5 22 22" xfId="9242"/>
    <cellStyle name="Comma 5 22 23" xfId="9243"/>
    <cellStyle name="Comma 5 22 24" xfId="20908"/>
    <cellStyle name="Comma 5 22 25" xfId="20909"/>
    <cellStyle name="Comma 5 22 26" xfId="20910"/>
    <cellStyle name="Comma 5 22 27" xfId="20911"/>
    <cellStyle name="Comma 5 22 28" xfId="20912"/>
    <cellStyle name="Comma 5 22 29" xfId="20913"/>
    <cellStyle name="Comma 5 22 3" xfId="9244"/>
    <cellStyle name="Comma 5 22 30" xfId="20914"/>
    <cellStyle name="Comma 5 22 31" xfId="20915"/>
    <cellStyle name="Comma 5 22 32" xfId="20916"/>
    <cellStyle name="Comma 5 22 33" xfId="20917"/>
    <cellStyle name="Comma 5 22 34" xfId="20918"/>
    <cellStyle name="Comma 5 22 35" xfId="20919"/>
    <cellStyle name="Comma 5 22 36" xfId="20920"/>
    <cellStyle name="Comma 5 22 4" xfId="9245"/>
    <cellStyle name="Comma 5 22 5" xfId="9246"/>
    <cellStyle name="Comma 5 22 6" xfId="9247"/>
    <cellStyle name="Comma 5 22 7" xfId="9248"/>
    <cellStyle name="Comma 5 22 8" xfId="9249"/>
    <cellStyle name="Comma 5 22 9" xfId="9250"/>
    <cellStyle name="Comma 5 23" xfId="441"/>
    <cellStyle name="Comma 5 23 10" xfId="9251"/>
    <cellStyle name="Comma 5 23 11" xfId="9252"/>
    <cellStyle name="Comma 5 23 12" xfId="9253"/>
    <cellStyle name="Comma 5 23 13" xfId="9254"/>
    <cellStyle name="Comma 5 23 14" xfId="9255"/>
    <cellStyle name="Comma 5 23 15" xfId="9256"/>
    <cellStyle name="Comma 5 23 16" xfId="9257"/>
    <cellStyle name="Comma 5 23 17" xfId="9258"/>
    <cellStyle name="Comma 5 23 18" xfId="9259"/>
    <cellStyle name="Comma 5 23 19" xfId="9260"/>
    <cellStyle name="Comma 5 23 2" xfId="9261"/>
    <cellStyle name="Comma 5 23 20" xfId="9262"/>
    <cellStyle name="Comma 5 23 21" xfId="9263"/>
    <cellStyle name="Comma 5 23 22" xfId="9264"/>
    <cellStyle name="Comma 5 23 23" xfId="9265"/>
    <cellStyle name="Comma 5 23 24" xfId="20921"/>
    <cellStyle name="Comma 5 23 25" xfId="20922"/>
    <cellStyle name="Comma 5 23 26" xfId="20923"/>
    <cellStyle name="Comma 5 23 27" xfId="20924"/>
    <cellStyle name="Comma 5 23 28" xfId="20925"/>
    <cellStyle name="Comma 5 23 29" xfId="20926"/>
    <cellStyle name="Comma 5 23 3" xfId="9266"/>
    <cellStyle name="Comma 5 23 30" xfId="20927"/>
    <cellStyle name="Comma 5 23 31" xfId="20928"/>
    <cellStyle name="Comma 5 23 32" xfId="20929"/>
    <cellStyle name="Comma 5 23 33" xfId="20930"/>
    <cellStyle name="Comma 5 23 34" xfId="20931"/>
    <cellStyle name="Comma 5 23 35" xfId="20932"/>
    <cellStyle name="Comma 5 23 36" xfId="20933"/>
    <cellStyle name="Comma 5 23 4" xfId="9267"/>
    <cellStyle name="Comma 5 23 5" xfId="9268"/>
    <cellStyle name="Comma 5 23 6" xfId="9269"/>
    <cellStyle name="Comma 5 23 7" xfId="9270"/>
    <cellStyle name="Comma 5 23 8" xfId="9271"/>
    <cellStyle name="Comma 5 23 9" xfId="9272"/>
    <cellStyle name="Comma 5 24" xfId="442"/>
    <cellStyle name="Comma 5 24 10" xfId="9273"/>
    <cellStyle name="Comma 5 24 11" xfId="9274"/>
    <cellStyle name="Comma 5 24 12" xfId="9275"/>
    <cellStyle name="Comma 5 24 13" xfId="9276"/>
    <cellStyle name="Comma 5 24 14" xfId="9277"/>
    <cellStyle name="Comma 5 24 15" xfId="9278"/>
    <cellStyle name="Comma 5 24 16" xfId="9279"/>
    <cellStyle name="Comma 5 24 17" xfId="9280"/>
    <cellStyle name="Comma 5 24 18" xfId="9281"/>
    <cellStyle name="Comma 5 24 19" xfId="9282"/>
    <cellStyle name="Comma 5 24 2" xfId="9283"/>
    <cellStyle name="Comma 5 24 20" xfId="9284"/>
    <cellStyle name="Comma 5 24 21" xfId="9285"/>
    <cellStyle name="Comma 5 24 22" xfId="9286"/>
    <cellStyle name="Comma 5 24 23" xfId="9287"/>
    <cellStyle name="Comma 5 24 24" xfId="20934"/>
    <cellStyle name="Comma 5 24 25" xfId="20935"/>
    <cellStyle name="Comma 5 24 26" xfId="20936"/>
    <cellStyle name="Comma 5 24 27" xfId="20937"/>
    <cellStyle name="Comma 5 24 28" xfId="20938"/>
    <cellStyle name="Comma 5 24 29" xfId="20939"/>
    <cellStyle name="Comma 5 24 3" xfId="9288"/>
    <cellStyle name="Comma 5 24 30" xfId="20940"/>
    <cellStyle name="Comma 5 24 31" xfId="20941"/>
    <cellStyle name="Comma 5 24 32" xfId="20942"/>
    <cellStyle name="Comma 5 24 33" xfId="20943"/>
    <cellStyle name="Comma 5 24 34" xfId="20944"/>
    <cellStyle name="Comma 5 24 35" xfId="20945"/>
    <cellStyle name="Comma 5 24 36" xfId="20946"/>
    <cellStyle name="Comma 5 24 4" xfId="9289"/>
    <cellStyle name="Comma 5 24 5" xfId="9290"/>
    <cellStyle name="Comma 5 24 6" xfId="9291"/>
    <cellStyle name="Comma 5 24 7" xfId="9292"/>
    <cellStyle name="Comma 5 24 8" xfId="9293"/>
    <cellStyle name="Comma 5 24 9" xfId="9294"/>
    <cellStyle name="Comma 5 25" xfId="443"/>
    <cellStyle name="Comma 5 25 10" xfId="9295"/>
    <cellStyle name="Comma 5 25 11" xfId="9296"/>
    <cellStyle name="Comma 5 25 12" xfId="9297"/>
    <cellStyle name="Comma 5 25 13" xfId="9298"/>
    <cellStyle name="Comma 5 25 14" xfId="9299"/>
    <cellStyle name="Comma 5 25 15" xfId="9300"/>
    <cellStyle name="Comma 5 25 16" xfId="9301"/>
    <cellStyle name="Comma 5 25 17" xfId="9302"/>
    <cellStyle name="Comma 5 25 18" xfId="9303"/>
    <cellStyle name="Comma 5 25 19" xfId="9304"/>
    <cellStyle name="Comma 5 25 2" xfId="9305"/>
    <cellStyle name="Comma 5 25 20" xfId="9306"/>
    <cellStyle name="Comma 5 25 21" xfId="9307"/>
    <cellStyle name="Comma 5 25 22" xfId="9308"/>
    <cellStyle name="Comma 5 25 23" xfId="9309"/>
    <cellStyle name="Comma 5 25 24" xfId="20947"/>
    <cellStyle name="Comma 5 25 25" xfId="20948"/>
    <cellStyle name="Comma 5 25 26" xfId="20949"/>
    <cellStyle name="Comma 5 25 27" xfId="20950"/>
    <cellStyle name="Comma 5 25 28" xfId="20951"/>
    <cellStyle name="Comma 5 25 29" xfId="20952"/>
    <cellStyle name="Comma 5 25 3" xfId="9310"/>
    <cellStyle name="Comma 5 25 30" xfId="20953"/>
    <cellStyle name="Comma 5 25 31" xfId="20954"/>
    <cellStyle name="Comma 5 25 32" xfId="20955"/>
    <cellStyle name="Comma 5 25 33" xfId="20956"/>
    <cellStyle name="Comma 5 25 34" xfId="20957"/>
    <cellStyle name="Comma 5 25 35" xfId="20958"/>
    <cellStyle name="Comma 5 25 36" xfId="20959"/>
    <cellStyle name="Comma 5 25 4" xfId="9311"/>
    <cellStyle name="Comma 5 25 5" xfId="9312"/>
    <cellStyle name="Comma 5 25 6" xfId="9313"/>
    <cellStyle name="Comma 5 25 7" xfId="9314"/>
    <cellStyle name="Comma 5 25 8" xfId="9315"/>
    <cellStyle name="Comma 5 25 9" xfId="9316"/>
    <cellStyle name="Comma 5 26" xfId="444"/>
    <cellStyle name="Comma 5 26 10" xfId="9317"/>
    <cellStyle name="Comma 5 26 11" xfId="9318"/>
    <cellStyle name="Comma 5 26 12" xfId="9319"/>
    <cellStyle name="Comma 5 26 13" xfId="9320"/>
    <cellStyle name="Comma 5 26 14" xfId="9321"/>
    <cellStyle name="Comma 5 26 15" xfId="9322"/>
    <cellStyle name="Comma 5 26 16" xfId="9323"/>
    <cellStyle name="Comma 5 26 17" xfId="9324"/>
    <cellStyle name="Comma 5 26 18" xfId="9325"/>
    <cellStyle name="Comma 5 26 19" xfId="9326"/>
    <cellStyle name="Comma 5 26 2" xfId="9327"/>
    <cellStyle name="Comma 5 26 20" xfId="9328"/>
    <cellStyle name="Comma 5 26 21" xfId="9329"/>
    <cellStyle name="Comma 5 26 22" xfId="9330"/>
    <cellStyle name="Comma 5 26 23" xfId="9331"/>
    <cellStyle name="Comma 5 26 24" xfId="20960"/>
    <cellStyle name="Comma 5 26 25" xfId="20961"/>
    <cellStyle name="Comma 5 26 26" xfId="20962"/>
    <cellStyle name="Comma 5 26 27" xfId="20963"/>
    <cellStyle name="Comma 5 26 28" xfId="20964"/>
    <cellStyle name="Comma 5 26 29" xfId="20965"/>
    <cellStyle name="Comma 5 26 3" xfId="9332"/>
    <cellStyle name="Comma 5 26 30" xfId="20966"/>
    <cellStyle name="Comma 5 26 31" xfId="20967"/>
    <cellStyle name="Comma 5 26 32" xfId="20968"/>
    <cellStyle name="Comma 5 26 33" xfId="20969"/>
    <cellStyle name="Comma 5 26 34" xfId="20970"/>
    <cellStyle name="Comma 5 26 35" xfId="20971"/>
    <cellStyle name="Comma 5 26 36" xfId="20972"/>
    <cellStyle name="Comma 5 26 4" xfId="9333"/>
    <cellStyle name="Comma 5 26 5" xfId="9334"/>
    <cellStyle name="Comma 5 26 6" xfId="9335"/>
    <cellStyle name="Comma 5 26 7" xfId="9336"/>
    <cellStyle name="Comma 5 26 8" xfId="9337"/>
    <cellStyle name="Comma 5 26 9" xfId="9338"/>
    <cellStyle name="Comma 5 27" xfId="445"/>
    <cellStyle name="Comma 5 28" xfId="1910"/>
    <cellStyle name="Comma 5 29" xfId="1936"/>
    <cellStyle name="Comma 5 3" xfId="446"/>
    <cellStyle name="Comma 5 3 10" xfId="9339"/>
    <cellStyle name="Comma 5 3 11" xfId="9340"/>
    <cellStyle name="Comma 5 3 12" xfId="9341"/>
    <cellStyle name="Comma 5 3 13" xfId="9342"/>
    <cellStyle name="Comma 5 3 14" xfId="9343"/>
    <cellStyle name="Comma 5 3 15" xfId="9344"/>
    <cellStyle name="Comma 5 3 16" xfId="9345"/>
    <cellStyle name="Comma 5 3 17" xfId="9346"/>
    <cellStyle name="Comma 5 3 18" xfId="9347"/>
    <cellStyle name="Comma 5 3 19" xfId="9348"/>
    <cellStyle name="Comma 5 3 2" xfId="447"/>
    <cellStyle name="Comma 5 3 20" xfId="9349"/>
    <cellStyle name="Comma 5 3 21" xfId="9350"/>
    <cellStyle name="Comma 5 3 22" xfId="9351"/>
    <cellStyle name="Comma 5 3 23" xfId="9352"/>
    <cellStyle name="Comma 5 3 24" xfId="9353"/>
    <cellStyle name="Comma 5 3 25" xfId="9354"/>
    <cellStyle name="Comma 5 3 26" xfId="20973"/>
    <cellStyle name="Comma 5 3 27" xfId="20974"/>
    <cellStyle name="Comma 5 3 28" xfId="20975"/>
    <cellStyle name="Comma 5 3 29" xfId="20976"/>
    <cellStyle name="Comma 5 3 3" xfId="9355"/>
    <cellStyle name="Comma 5 3 30" xfId="20977"/>
    <cellStyle name="Comma 5 3 31" xfId="20978"/>
    <cellStyle name="Comma 5 3 32" xfId="20979"/>
    <cellStyle name="Comma 5 3 33" xfId="20980"/>
    <cellStyle name="Comma 5 3 34" xfId="20981"/>
    <cellStyle name="Comma 5 3 35" xfId="20982"/>
    <cellStyle name="Comma 5 3 36" xfId="20983"/>
    <cellStyle name="Comma 5 3 37" xfId="20984"/>
    <cellStyle name="Comma 5 3 38" xfId="20985"/>
    <cellStyle name="Comma 5 3 4" xfId="9356"/>
    <cellStyle name="Comma 5 3 5" xfId="9357"/>
    <cellStyle name="Comma 5 3 6" xfId="9358"/>
    <cellStyle name="Comma 5 3 7" xfId="9359"/>
    <cellStyle name="Comma 5 3 8" xfId="9360"/>
    <cellStyle name="Comma 5 3 9" xfId="9361"/>
    <cellStyle name="Comma 5 30" xfId="1932"/>
    <cellStyle name="Comma 5 31" xfId="1929"/>
    <cellStyle name="Comma 5 32" xfId="1889"/>
    <cellStyle name="Comma 5 33" xfId="1689"/>
    <cellStyle name="Comma 5 34" xfId="1924"/>
    <cellStyle name="Comma 5 35" xfId="1934"/>
    <cellStyle name="Comma 5 36" xfId="1935"/>
    <cellStyle name="Comma 5 37" xfId="1911"/>
    <cellStyle name="Comma 5 38" xfId="1903"/>
    <cellStyle name="Comma 5 39" xfId="1954"/>
    <cellStyle name="Comma 5 4" xfId="448"/>
    <cellStyle name="Comma 5 4 10" xfId="9362"/>
    <cellStyle name="Comma 5 4 11" xfId="9363"/>
    <cellStyle name="Comma 5 4 12" xfId="9364"/>
    <cellStyle name="Comma 5 4 13" xfId="9365"/>
    <cellStyle name="Comma 5 4 14" xfId="9366"/>
    <cellStyle name="Comma 5 4 15" xfId="9367"/>
    <cellStyle name="Comma 5 4 16" xfId="9368"/>
    <cellStyle name="Comma 5 4 17" xfId="9369"/>
    <cellStyle name="Comma 5 4 18" xfId="9370"/>
    <cellStyle name="Comma 5 4 19" xfId="9371"/>
    <cellStyle name="Comma 5 4 2" xfId="449"/>
    <cellStyle name="Comma 5 4 20" xfId="9372"/>
    <cellStyle name="Comma 5 4 21" xfId="9373"/>
    <cellStyle name="Comma 5 4 22" xfId="9374"/>
    <cellStyle name="Comma 5 4 23" xfId="9375"/>
    <cellStyle name="Comma 5 4 24" xfId="9376"/>
    <cellStyle name="Comma 5 4 25" xfId="9377"/>
    <cellStyle name="Comma 5 4 26" xfId="20986"/>
    <cellStyle name="Comma 5 4 27" xfId="20987"/>
    <cellStyle name="Comma 5 4 28" xfId="20988"/>
    <cellStyle name="Comma 5 4 29" xfId="20989"/>
    <cellStyle name="Comma 5 4 3" xfId="9378"/>
    <cellStyle name="Comma 5 4 30" xfId="20990"/>
    <cellStyle name="Comma 5 4 31" xfId="20991"/>
    <cellStyle name="Comma 5 4 32" xfId="20992"/>
    <cellStyle name="Comma 5 4 33" xfId="20993"/>
    <cellStyle name="Comma 5 4 34" xfId="20994"/>
    <cellStyle name="Comma 5 4 35" xfId="20995"/>
    <cellStyle name="Comma 5 4 36" xfId="20996"/>
    <cellStyle name="Comma 5 4 37" xfId="20997"/>
    <cellStyle name="Comma 5 4 38" xfId="20998"/>
    <cellStyle name="Comma 5 4 4" xfId="9379"/>
    <cellStyle name="Comma 5 4 5" xfId="9380"/>
    <cellStyle name="Comma 5 4 6" xfId="9381"/>
    <cellStyle name="Comma 5 4 7" xfId="9382"/>
    <cellStyle name="Comma 5 4 8" xfId="9383"/>
    <cellStyle name="Comma 5 4 9" xfId="9384"/>
    <cellStyle name="Comma 5 40" xfId="1958"/>
    <cellStyle name="Comma 5 41" xfId="1962"/>
    <cellStyle name="Comma 5 42" xfId="1966"/>
    <cellStyle name="Comma 5 43" xfId="1970"/>
    <cellStyle name="Comma 5 44" xfId="1974"/>
    <cellStyle name="Comma 5 45" xfId="1978"/>
    <cellStyle name="Comma 5 46" xfId="1982"/>
    <cellStyle name="Comma 5 47" xfId="1986"/>
    <cellStyle name="Comma 5 48" xfId="1990"/>
    <cellStyle name="Comma 5 49" xfId="1994"/>
    <cellStyle name="Comma 5 5" xfId="450"/>
    <cellStyle name="Comma 5 5 10" xfId="9385"/>
    <cellStyle name="Comma 5 5 11" xfId="9386"/>
    <cellStyle name="Comma 5 5 12" xfId="9387"/>
    <cellStyle name="Comma 5 5 13" xfId="9388"/>
    <cellStyle name="Comma 5 5 14" xfId="9389"/>
    <cellStyle name="Comma 5 5 15" xfId="9390"/>
    <cellStyle name="Comma 5 5 16" xfId="9391"/>
    <cellStyle name="Comma 5 5 17" xfId="9392"/>
    <cellStyle name="Comma 5 5 18" xfId="9393"/>
    <cellStyle name="Comma 5 5 19" xfId="9394"/>
    <cellStyle name="Comma 5 5 2" xfId="451"/>
    <cellStyle name="Comma 5 5 20" xfId="9395"/>
    <cellStyle name="Comma 5 5 21" xfId="9396"/>
    <cellStyle name="Comma 5 5 22" xfId="9397"/>
    <cellStyle name="Comma 5 5 23" xfId="9398"/>
    <cellStyle name="Comma 5 5 24" xfId="9399"/>
    <cellStyle name="Comma 5 5 25" xfId="9400"/>
    <cellStyle name="Comma 5 5 26" xfId="20999"/>
    <cellStyle name="Comma 5 5 27" xfId="21000"/>
    <cellStyle name="Comma 5 5 28" xfId="21001"/>
    <cellStyle name="Comma 5 5 29" xfId="21002"/>
    <cellStyle name="Comma 5 5 3" xfId="9401"/>
    <cellStyle name="Comma 5 5 30" xfId="21003"/>
    <cellStyle name="Comma 5 5 31" xfId="21004"/>
    <cellStyle name="Comma 5 5 32" xfId="21005"/>
    <cellStyle name="Comma 5 5 33" xfId="21006"/>
    <cellStyle name="Comma 5 5 34" xfId="21007"/>
    <cellStyle name="Comma 5 5 35" xfId="21008"/>
    <cellStyle name="Comma 5 5 36" xfId="21009"/>
    <cellStyle name="Comma 5 5 37" xfId="21010"/>
    <cellStyle name="Comma 5 5 38" xfId="21011"/>
    <cellStyle name="Comma 5 5 4" xfId="9402"/>
    <cellStyle name="Comma 5 5 5" xfId="9403"/>
    <cellStyle name="Comma 5 5 6" xfId="9404"/>
    <cellStyle name="Comma 5 5 7" xfId="9405"/>
    <cellStyle name="Comma 5 5 8" xfId="9406"/>
    <cellStyle name="Comma 5 5 9" xfId="9407"/>
    <cellStyle name="Comma 5 50" xfId="1998"/>
    <cellStyle name="Comma 5 51" xfId="2002"/>
    <cellStyle name="Comma 5 52" xfId="2006"/>
    <cellStyle name="Comma 5 53" xfId="2010"/>
    <cellStyle name="Comma 5 54" xfId="2014"/>
    <cellStyle name="Comma 5 55" xfId="2018"/>
    <cellStyle name="Comma 5 56" xfId="2022"/>
    <cellStyle name="Comma 5 57" xfId="2026"/>
    <cellStyle name="Comma 5 58" xfId="2030"/>
    <cellStyle name="Comma 5 59" xfId="2034"/>
    <cellStyle name="Comma 5 6" xfId="452"/>
    <cellStyle name="Comma 5 6 10" xfId="9408"/>
    <cellStyle name="Comma 5 6 11" xfId="9409"/>
    <cellStyle name="Comma 5 6 12" xfId="9410"/>
    <cellStyle name="Comma 5 6 13" xfId="9411"/>
    <cellStyle name="Comma 5 6 14" xfId="9412"/>
    <cellStyle name="Comma 5 6 15" xfId="9413"/>
    <cellStyle name="Comma 5 6 16" xfId="9414"/>
    <cellStyle name="Comma 5 6 17" xfId="9415"/>
    <cellStyle name="Comma 5 6 18" xfId="9416"/>
    <cellStyle name="Comma 5 6 19" xfId="9417"/>
    <cellStyle name="Comma 5 6 2" xfId="453"/>
    <cellStyle name="Comma 5 6 20" xfId="9418"/>
    <cellStyle name="Comma 5 6 21" xfId="9419"/>
    <cellStyle name="Comma 5 6 22" xfId="9420"/>
    <cellStyle name="Comma 5 6 23" xfId="9421"/>
    <cellStyle name="Comma 5 6 24" xfId="9422"/>
    <cellStyle name="Comma 5 6 25" xfId="9423"/>
    <cellStyle name="Comma 5 6 26" xfId="21012"/>
    <cellStyle name="Comma 5 6 27" xfId="21013"/>
    <cellStyle name="Comma 5 6 28" xfId="21014"/>
    <cellStyle name="Comma 5 6 29" xfId="21015"/>
    <cellStyle name="Comma 5 6 3" xfId="9424"/>
    <cellStyle name="Comma 5 6 30" xfId="21016"/>
    <cellStyle name="Comma 5 6 31" xfId="21017"/>
    <cellStyle name="Comma 5 6 32" xfId="21018"/>
    <cellStyle name="Comma 5 6 33" xfId="21019"/>
    <cellStyle name="Comma 5 6 34" xfId="21020"/>
    <cellStyle name="Comma 5 6 35" xfId="21021"/>
    <cellStyle name="Comma 5 6 36" xfId="21022"/>
    <cellStyle name="Comma 5 6 37" xfId="21023"/>
    <cellStyle name="Comma 5 6 38" xfId="21024"/>
    <cellStyle name="Comma 5 6 4" xfId="9425"/>
    <cellStyle name="Comma 5 6 5" xfId="9426"/>
    <cellStyle name="Comma 5 6 6" xfId="9427"/>
    <cellStyle name="Comma 5 6 7" xfId="9428"/>
    <cellStyle name="Comma 5 6 8" xfId="9429"/>
    <cellStyle name="Comma 5 6 9" xfId="9430"/>
    <cellStyle name="Comma 5 60" xfId="2038"/>
    <cellStyle name="Comma 5 61" xfId="2042"/>
    <cellStyle name="Comma 5 62" xfId="2046"/>
    <cellStyle name="Comma 5 63" xfId="2050"/>
    <cellStyle name="Comma 5 64" xfId="2054"/>
    <cellStyle name="Comma 5 65" xfId="2058"/>
    <cellStyle name="Comma 5 66" xfId="2062"/>
    <cellStyle name="Comma 5 67" xfId="2070"/>
    <cellStyle name="Comma 5 68" xfId="2065"/>
    <cellStyle name="Comma 5 69" xfId="2075"/>
    <cellStyle name="Comma 5 7" xfId="33"/>
    <cellStyle name="Comma 5 7 10" xfId="2120"/>
    <cellStyle name="Comma 5 7 11" xfId="2859"/>
    <cellStyle name="Comma 5 7 12" xfId="2706"/>
    <cellStyle name="Comma 5 7 13" xfId="2192"/>
    <cellStyle name="Comma 5 7 14" xfId="2945"/>
    <cellStyle name="Comma 5 7 15" xfId="3025"/>
    <cellStyle name="Comma 5 7 16" xfId="2510"/>
    <cellStyle name="Comma 5 7 17" xfId="9431"/>
    <cellStyle name="Comma 5 7 18" xfId="9432"/>
    <cellStyle name="Comma 5 7 19" xfId="9433"/>
    <cellStyle name="Comma 5 7 2" xfId="114"/>
    <cellStyle name="Comma 5 7 20" xfId="9434"/>
    <cellStyle name="Comma 5 7 21" xfId="9435"/>
    <cellStyle name="Comma 5 7 22" xfId="9436"/>
    <cellStyle name="Comma 5 7 23" xfId="9437"/>
    <cellStyle name="Comma 5 7 24" xfId="9438"/>
    <cellStyle name="Comma 5 7 25" xfId="9439"/>
    <cellStyle name="Comma 5 7 26" xfId="21025"/>
    <cellStyle name="Comma 5 7 27" xfId="21026"/>
    <cellStyle name="Comma 5 7 28" xfId="21027"/>
    <cellStyle name="Comma 5 7 29" xfId="21028"/>
    <cellStyle name="Comma 5 7 3" xfId="1419"/>
    <cellStyle name="Comma 5 7 30" xfId="21029"/>
    <cellStyle name="Comma 5 7 31" xfId="21030"/>
    <cellStyle name="Comma 5 7 32" xfId="21031"/>
    <cellStyle name="Comma 5 7 33" xfId="21032"/>
    <cellStyle name="Comma 5 7 34" xfId="21033"/>
    <cellStyle name="Comma 5 7 35" xfId="21034"/>
    <cellStyle name="Comma 5 7 36" xfId="21035"/>
    <cellStyle name="Comma 5 7 37" xfId="21036"/>
    <cellStyle name="Comma 5 7 38" xfId="21037"/>
    <cellStyle name="Comma 5 7 4" xfId="1556"/>
    <cellStyle name="Comma 5 7 5" xfId="1609"/>
    <cellStyle name="Comma 5 7 6" xfId="1661"/>
    <cellStyle name="Comma 5 7 7" xfId="1721"/>
    <cellStyle name="Comma 5 7 8" xfId="1690"/>
    <cellStyle name="Comma 5 7 9" xfId="1824"/>
    <cellStyle name="Comma 5 70" xfId="9440"/>
    <cellStyle name="Comma 5 71" xfId="9441"/>
    <cellStyle name="Comma 5 72" xfId="9442"/>
    <cellStyle name="Comma 5 73" xfId="9443"/>
    <cellStyle name="Comma 5 74" xfId="21038"/>
    <cellStyle name="Comma 5 75" xfId="21039"/>
    <cellStyle name="Comma 5 76" xfId="21040"/>
    <cellStyle name="Comma 5 77" xfId="21041"/>
    <cellStyle name="Comma 5 78" xfId="21042"/>
    <cellStyle name="Comma 5 79" xfId="21043"/>
    <cellStyle name="Comma 5 8" xfId="454"/>
    <cellStyle name="Comma 5 8 10" xfId="9444"/>
    <cellStyle name="Comma 5 8 11" xfId="9445"/>
    <cellStyle name="Comma 5 8 12" xfId="9446"/>
    <cellStyle name="Comma 5 8 13" xfId="9447"/>
    <cellStyle name="Comma 5 8 14" xfId="9448"/>
    <cellStyle name="Comma 5 8 15" xfId="9449"/>
    <cellStyle name="Comma 5 8 16" xfId="9450"/>
    <cellStyle name="Comma 5 8 17" xfId="9451"/>
    <cellStyle name="Comma 5 8 18" xfId="9452"/>
    <cellStyle name="Comma 5 8 19" xfId="9453"/>
    <cellStyle name="Comma 5 8 2" xfId="455"/>
    <cellStyle name="Comma 5 8 20" xfId="9454"/>
    <cellStyle name="Comma 5 8 21" xfId="9455"/>
    <cellStyle name="Comma 5 8 22" xfId="9456"/>
    <cellStyle name="Comma 5 8 23" xfId="9457"/>
    <cellStyle name="Comma 5 8 24" xfId="9458"/>
    <cellStyle name="Comma 5 8 25" xfId="9459"/>
    <cellStyle name="Comma 5 8 26" xfId="21044"/>
    <cellStyle name="Comma 5 8 27" xfId="21045"/>
    <cellStyle name="Comma 5 8 28" xfId="21046"/>
    <cellStyle name="Comma 5 8 29" xfId="21047"/>
    <cellStyle name="Comma 5 8 3" xfId="9460"/>
    <cellStyle name="Comma 5 8 30" xfId="21048"/>
    <cellStyle name="Comma 5 8 31" xfId="21049"/>
    <cellStyle name="Comma 5 8 32" xfId="21050"/>
    <cellStyle name="Comma 5 8 33" xfId="21051"/>
    <cellStyle name="Comma 5 8 34" xfId="21052"/>
    <cellStyle name="Comma 5 8 35" xfId="21053"/>
    <cellStyle name="Comma 5 8 36" xfId="21054"/>
    <cellStyle name="Comma 5 8 37" xfId="21055"/>
    <cellStyle name="Comma 5 8 38" xfId="21056"/>
    <cellStyle name="Comma 5 8 4" xfId="9461"/>
    <cellStyle name="Comma 5 8 5" xfId="9462"/>
    <cellStyle name="Comma 5 8 6" xfId="9463"/>
    <cellStyle name="Comma 5 8 7" xfId="9464"/>
    <cellStyle name="Comma 5 8 8" xfId="9465"/>
    <cellStyle name="Comma 5 8 9" xfId="9466"/>
    <cellStyle name="Comma 5 80" xfId="21057"/>
    <cellStyle name="Comma 5 81" xfId="21058"/>
    <cellStyle name="Comma 5 82" xfId="21059"/>
    <cellStyle name="Comma 5 83" xfId="21060"/>
    <cellStyle name="Comma 5 84" xfId="21061"/>
    <cellStyle name="Comma 5 85" xfId="21062"/>
    <cellStyle name="Comma 5 86" xfId="21063"/>
    <cellStyle name="Comma 5 9" xfId="456"/>
    <cellStyle name="Comma 5 9 10" xfId="9467"/>
    <cellStyle name="Comma 5 9 11" xfId="9468"/>
    <cellStyle name="Comma 5 9 12" xfId="9469"/>
    <cellStyle name="Comma 5 9 13" xfId="9470"/>
    <cellStyle name="Comma 5 9 14" xfId="9471"/>
    <cellStyle name="Comma 5 9 15" xfId="9472"/>
    <cellStyle name="Comma 5 9 16" xfId="9473"/>
    <cellStyle name="Comma 5 9 17" xfId="9474"/>
    <cellStyle name="Comma 5 9 18" xfId="9475"/>
    <cellStyle name="Comma 5 9 19" xfId="9476"/>
    <cellStyle name="Comma 5 9 2" xfId="457"/>
    <cellStyle name="Comma 5 9 20" xfId="9477"/>
    <cellStyle name="Comma 5 9 21" xfId="9478"/>
    <cellStyle name="Comma 5 9 22" xfId="9479"/>
    <cellStyle name="Comma 5 9 23" xfId="9480"/>
    <cellStyle name="Comma 5 9 24" xfId="9481"/>
    <cellStyle name="Comma 5 9 25" xfId="9482"/>
    <cellStyle name="Comma 5 9 26" xfId="21064"/>
    <cellStyle name="Comma 5 9 27" xfId="21065"/>
    <cellStyle name="Comma 5 9 28" xfId="21066"/>
    <cellStyle name="Comma 5 9 29" xfId="21067"/>
    <cellStyle name="Comma 5 9 3" xfId="9483"/>
    <cellStyle name="Comma 5 9 30" xfId="21068"/>
    <cellStyle name="Comma 5 9 31" xfId="21069"/>
    <cellStyle name="Comma 5 9 32" xfId="21070"/>
    <cellStyle name="Comma 5 9 33" xfId="21071"/>
    <cellStyle name="Comma 5 9 34" xfId="21072"/>
    <cellStyle name="Comma 5 9 35" xfId="21073"/>
    <cellStyle name="Comma 5 9 36" xfId="21074"/>
    <cellStyle name="Comma 5 9 37" xfId="21075"/>
    <cellStyle name="Comma 5 9 38" xfId="21076"/>
    <cellStyle name="Comma 5 9 4" xfId="9484"/>
    <cellStyle name="Comma 5 9 5" xfId="9485"/>
    <cellStyle name="Comma 5 9 6" xfId="9486"/>
    <cellStyle name="Comma 5 9 7" xfId="9487"/>
    <cellStyle name="Comma 5 9 8" xfId="9488"/>
    <cellStyle name="Comma 5 9 9" xfId="9489"/>
    <cellStyle name="Comma 50" xfId="1855"/>
    <cellStyle name="Comma 50 2" xfId="16756"/>
    <cellStyle name="Comma 50 2 2" xfId="26014"/>
    <cellStyle name="Comma 50 2 2 2" xfId="27137"/>
    <cellStyle name="Comma 50 2 3" xfId="26576"/>
    <cellStyle name="Comma 50 3" xfId="25789"/>
    <cellStyle name="Comma 50 3 2" xfId="26912"/>
    <cellStyle name="Comma 50 4" xfId="26351"/>
    <cellStyle name="Comma 51" xfId="1883"/>
    <cellStyle name="Comma 51 2" xfId="16757"/>
    <cellStyle name="Comma 51 2 2" xfId="26015"/>
    <cellStyle name="Comma 51 2 2 2" xfId="27138"/>
    <cellStyle name="Comma 51 2 3" xfId="26577"/>
    <cellStyle name="Comma 51 3" xfId="25796"/>
    <cellStyle name="Comma 51 3 2" xfId="26919"/>
    <cellStyle name="Comma 51 4" xfId="26358"/>
    <cellStyle name="Comma 52" xfId="2091"/>
    <cellStyle name="Comma 52 2" xfId="16758"/>
    <cellStyle name="Comma 52 2 2" xfId="26016"/>
    <cellStyle name="Comma 52 2 2 2" xfId="27139"/>
    <cellStyle name="Comma 52 2 3" xfId="26578"/>
    <cellStyle name="Comma 52 3" xfId="25814"/>
    <cellStyle name="Comma 52 3 2" xfId="26937"/>
    <cellStyle name="Comma 52 4" xfId="26376"/>
    <cellStyle name="Comma 53" xfId="2085"/>
    <cellStyle name="Comma 53 2" xfId="16759"/>
    <cellStyle name="Comma 53 2 2" xfId="26017"/>
    <cellStyle name="Comma 53 2 2 2" xfId="27140"/>
    <cellStyle name="Comma 53 2 3" xfId="26579"/>
    <cellStyle name="Comma 53 3" xfId="25808"/>
    <cellStyle name="Comma 53 3 2" xfId="26931"/>
    <cellStyle name="Comma 53 4" xfId="26370"/>
    <cellStyle name="Comma 54" xfId="2081"/>
    <cellStyle name="Comma 54 2" xfId="16760"/>
    <cellStyle name="Comma 54 2 2" xfId="26018"/>
    <cellStyle name="Comma 54 2 2 2" xfId="27141"/>
    <cellStyle name="Comma 54 2 3" xfId="26580"/>
    <cellStyle name="Comma 54 3" xfId="25804"/>
    <cellStyle name="Comma 54 3 2" xfId="26927"/>
    <cellStyle name="Comma 54 4" xfId="26366"/>
    <cellStyle name="Comma 55" xfId="2086"/>
    <cellStyle name="Comma 55 2" xfId="16761"/>
    <cellStyle name="Comma 55 2 2" xfId="26019"/>
    <cellStyle name="Comma 55 2 2 2" xfId="27142"/>
    <cellStyle name="Comma 55 2 3" xfId="26581"/>
    <cellStyle name="Comma 55 3" xfId="25809"/>
    <cellStyle name="Comma 55 3 2" xfId="26932"/>
    <cellStyle name="Comma 55 4" xfId="26371"/>
    <cellStyle name="Comma 56" xfId="2082"/>
    <cellStyle name="Comma 56 2" xfId="16762"/>
    <cellStyle name="Comma 56 2 2" xfId="26020"/>
    <cellStyle name="Comma 56 2 2 2" xfId="27143"/>
    <cellStyle name="Comma 56 2 3" xfId="26582"/>
    <cellStyle name="Comma 56 3" xfId="25805"/>
    <cellStyle name="Comma 56 3 2" xfId="26928"/>
    <cellStyle name="Comma 56 4" xfId="26367"/>
    <cellStyle name="Comma 57" xfId="17008"/>
    <cellStyle name="Comma 57 2" xfId="26262"/>
    <cellStyle name="Comma 57 2 2" xfId="27385"/>
    <cellStyle name="Comma 57 3" xfId="26824"/>
    <cellStyle name="Comma 58" xfId="17011"/>
    <cellStyle name="Comma 58 2" xfId="26265"/>
    <cellStyle name="Comma 58 2 2" xfId="27388"/>
    <cellStyle name="Comma 58 3" xfId="26827"/>
    <cellStyle name="Comma 59" xfId="27446"/>
    <cellStyle name="Comma 6" xfId="34"/>
    <cellStyle name="Comma 6 10" xfId="458"/>
    <cellStyle name="Comma 6 10 10" xfId="9490"/>
    <cellStyle name="Comma 6 10 11" xfId="9491"/>
    <cellStyle name="Comma 6 10 12" xfId="9492"/>
    <cellStyle name="Comma 6 10 13" xfId="9493"/>
    <cellStyle name="Comma 6 10 14" xfId="9494"/>
    <cellStyle name="Comma 6 10 15" xfId="9495"/>
    <cellStyle name="Comma 6 10 16" xfId="9496"/>
    <cellStyle name="Comma 6 10 17" xfId="9497"/>
    <cellStyle name="Comma 6 10 18" xfId="9498"/>
    <cellStyle name="Comma 6 10 19" xfId="9499"/>
    <cellStyle name="Comma 6 10 2" xfId="459"/>
    <cellStyle name="Comma 6 10 20" xfId="9500"/>
    <cellStyle name="Comma 6 10 21" xfId="9501"/>
    <cellStyle name="Comma 6 10 22" xfId="9502"/>
    <cellStyle name="Comma 6 10 23" xfId="9503"/>
    <cellStyle name="Comma 6 10 24" xfId="9504"/>
    <cellStyle name="Comma 6 10 25" xfId="21077"/>
    <cellStyle name="Comma 6 10 26" xfId="21078"/>
    <cellStyle name="Comma 6 10 27" xfId="21079"/>
    <cellStyle name="Comma 6 10 28" xfId="21080"/>
    <cellStyle name="Comma 6 10 29" xfId="21081"/>
    <cellStyle name="Comma 6 10 3" xfId="9505"/>
    <cellStyle name="Comma 6 10 30" xfId="21082"/>
    <cellStyle name="Comma 6 10 31" xfId="21083"/>
    <cellStyle name="Comma 6 10 32" xfId="21084"/>
    <cellStyle name="Comma 6 10 33" xfId="21085"/>
    <cellStyle name="Comma 6 10 34" xfId="21086"/>
    <cellStyle name="Comma 6 10 35" xfId="21087"/>
    <cellStyle name="Comma 6 10 36" xfId="21088"/>
    <cellStyle name="Comma 6 10 37" xfId="21089"/>
    <cellStyle name="Comma 6 10 4" xfId="9506"/>
    <cellStyle name="Comma 6 10 5" xfId="9507"/>
    <cellStyle name="Comma 6 10 6" xfId="9508"/>
    <cellStyle name="Comma 6 10 7" xfId="9509"/>
    <cellStyle name="Comma 6 10 8" xfId="9510"/>
    <cellStyle name="Comma 6 10 9" xfId="9511"/>
    <cellStyle name="Comma 6 11" xfId="460"/>
    <cellStyle name="Comma 6 11 10" xfId="9512"/>
    <cellStyle name="Comma 6 11 11" xfId="9513"/>
    <cellStyle name="Comma 6 11 12" xfId="9514"/>
    <cellStyle name="Comma 6 11 13" xfId="9515"/>
    <cellStyle name="Comma 6 11 14" xfId="9516"/>
    <cellStyle name="Comma 6 11 15" xfId="9517"/>
    <cellStyle name="Comma 6 11 16" xfId="9518"/>
    <cellStyle name="Comma 6 11 17" xfId="9519"/>
    <cellStyle name="Comma 6 11 18" xfId="9520"/>
    <cellStyle name="Comma 6 11 19" xfId="9521"/>
    <cellStyle name="Comma 6 11 2" xfId="461"/>
    <cellStyle name="Comma 6 11 20" xfId="9522"/>
    <cellStyle name="Comma 6 11 21" xfId="9523"/>
    <cellStyle name="Comma 6 11 22" xfId="9524"/>
    <cellStyle name="Comma 6 11 23" xfId="9525"/>
    <cellStyle name="Comma 6 11 24" xfId="9526"/>
    <cellStyle name="Comma 6 11 25" xfId="21090"/>
    <cellStyle name="Comma 6 11 26" xfId="21091"/>
    <cellStyle name="Comma 6 11 27" xfId="21092"/>
    <cellStyle name="Comma 6 11 28" xfId="21093"/>
    <cellStyle name="Comma 6 11 29" xfId="21094"/>
    <cellStyle name="Comma 6 11 3" xfId="9527"/>
    <cellStyle name="Comma 6 11 30" xfId="21095"/>
    <cellStyle name="Comma 6 11 31" xfId="21096"/>
    <cellStyle name="Comma 6 11 32" xfId="21097"/>
    <cellStyle name="Comma 6 11 33" xfId="21098"/>
    <cellStyle name="Comma 6 11 34" xfId="21099"/>
    <cellStyle name="Comma 6 11 35" xfId="21100"/>
    <cellStyle name="Comma 6 11 36" xfId="21101"/>
    <cellStyle name="Comma 6 11 37" xfId="21102"/>
    <cellStyle name="Comma 6 11 4" xfId="9528"/>
    <cellStyle name="Comma 6 11 5" xfId="9529"/>
    <cellStyle name="Comma 6 11 6" xfId="9530"/>
    <cellStyle name="Comma 6 11 7" xfId="9531"/>
    <cellStyle name="Comma 6 11 8" xfId="9532"/>
    <cellStyle name="Comma 6 11 9" xfId="9533"/>
    <cellStyle name="Comma 6 12" xfId="462"/>
    <cellStyle name="Comma 6 12 10" xfId="9534"/>
    <cellStyle name="Comma 6 12 11" xfId="9535"/>
    <cellStyle name="Comma 6 12 12" xfId="9536"/>
    <cellStyle name="Comma 6 12 13" xfId="9537"/>
    <cellStyle name="Comma 6 12 14" xfId="9538"/>
    <cellStyle name="Comma 6 12 15" xfId="9539"/>
    <cellStyle name="Comma 6 12 16" xfId="9540"/>
    <cellStyle name="Comma 6 12 17" xfId="9541"/>
    <cellStyle name="Comma 6 12 18" xfId="9542"/>
    <cellStyle name="Comma 6 12 19" xfId="9543"/>
    <cellStyle name="Comma 6 12 2" xfId="463"/>
    <cellStyle name="Comma 6 12 20" xfId="9544"/>
    <cellStyle name="Comma 6 12 21" xfId="9545"/>
    <cellStyle name="Comma 6 12 22" xfId="9546"/>
    <cellStyle name="Comma 6 12 23" xfId="9547"/>
    <cellStyle name="Comma 6 12 24" xfId="9548"/>
    <cellStyle name="Comma 6 12 25" xfId="21103"/>
    <cellStyle name="Comma 6 12 26" xfId="21104"/>
    <cellStyle name="Comma 6 12 27" xfId="21105"/>
    <cellStyle name="Comma 6 12 28" xfId="21106"/>
    <cellStyle name="Comma 6 12 29" xfId="21107"/>
    <cellStyle name="Comma 6 12 3" xfId="9549"/>
    <cellStyle name="Comma 6 12 30" xfId="21108"/>
    <cellStyle name="Comma 6 12 31" xfId="21109"/>
    <cellStyle name="Comma 6 12 32" xfId="21110"/>
    <cellStyle name="Comma 6 12 33" xfId="21111"/>
    <cellStyle name="Comma 6 12 34" xfId="21112"/>
    <cellStyle name="Comma 6 12 35" xfId="21113"/>
    <cellStyle name="Comma 6 12 36" xfId="21114"/>
    <cellStyle name="Comma 6 12 37" xfId="21115"/>
    <cellStyle name="Comma 6 12 4" xfId="9550"/>
    <cellStyle name="Comma 6 12 5" xfId="9551"/>
    <cellStyle name="Comma 6 12 6" xfId="9552"/>
    <cellStyle name="Comma 6 12 7" xfId="9553"/>
    <cellStyle name="Comma 6 12 8" xfId="9554"/>
    <cellStyle name="Comma 6 12 9" xfId="9555"/>
    <cellStyle name="Comma 6 13" xfId="464"/>
    <cellStyle name="Comma 6 13 10" xfId="9556"/>
    <cellStyle name="Comma 6 13 11" xfId="9557"/>
    <cellStyle name="Comma 6 13 12" xfId="9558"/>
    <cellStyle name="Comma 6 13 13" xfId="9559"/>
    <cellStyle name="Comma 6 13 14" xfId="9560"/>
    <cellStyle name="Comma 6 13 15" xfId="9561"/>
    <cellStyle name="Comma 6 13 16" xfId="9562"/>
    <cellStyle name="Comma 6 13 17" xfId="9563"/>
    <cellStyle name="Comma 6 13 18" xfId="9564"/>
    <cellStyle name="Comma 6 13 19" xfId="9565"/>
    <cellStyle name="Comma 6 13 2" xfId="465"/>
    <cellStyle name="Comma 6 13 20" xfId="9566"/>
    <cellStyle name="Comma 6 13 21" xfId="9567"/>
    <cellStyle name="Comma 6 13 22" xfId="9568"/>
    <cellStyle name="Comma 6 13 23" xfId="9569"/>
    <cellStyle name="Comma 6 13 24" xfId="9570"/>
    <cellStyle name="Comma 6 13 25" xfId="21116"/>
    <cellStyle name="Comma 6 13 26" xfId="21117"/>
    <cellStyle name="Comma 6 13 27" xfId="21118"/>
    <cellStyle name="Comma 6 13 28" xfId="21119"/>
    <cellStyle name="Comma 6 13 29" xfId="21120"/>
    <cellStyle name="Comma 6 13 3" xfId="9571"/>
    <cellStyle name="Comma 6 13 30" xfId="21121"/>
    <cellStyle name="Comma 6 13 31" xfId="21122"/>
    <cellStyle name="Comma 6 13 32" xfId="21123"/>
    <cellStyle name="Comma 6 13 33" xfId="21124"/>
    <cellStyle name="Comma 6 13 34" xfId="21125"/>
    <cellStyle name="Comma 6 13 35" xfId="21126"/>
    <cellStyle name="Comma 6 13 36" xfId="21127"/>
    <cellStyle name="Comma 6 13 37" xfId="21128"/>
    <cellStyle name="Comma 6 13 4" xfId="9572"/>
    <cellStyle name="Comma 6 13 5" xfId="9573"/>
    <cellStyle name="Comma 6 13 6" xfId="9574"/>
    <cellStyle name="Comma 6 13 7" xfId="9575"/>
    <cellStyle name="Comma 6 13 8" xfId="9576"/>
    <cellStyle name="Comma 6 13 9" xfId="9577"/>
    <cellStyle name="Comma 6 14" xfId="466"/>
    <cellStyle name="Comma 6 14 10" xfId="9578"/>
    <cellStyle name="Comma 6 14 11" xfId="9579"/>
    <cellStyle name="Comma 6 14 12" xfId="9580"/>
    <cellStyle name="Comma 6 14 13" xfId="9581"/>
    <cellStyle name="Comma 6 14 14" xfId="9582"/>
    <cellStyle name="Comma 6 14 15" xfId="9583"/>
    <cellStyle name="Comma 6 14 16" xfId="9584"/>
    <cellStyle name="Comma 6 14 17" xfId="9585"/>
    <cellStyle name="Comma 6 14 18" xfId="9586"/>
    <cellStyle name="Comma 6 14 19" xfId="9587"/>
    <cellStyle name="Comma 6 14 2" xfId="9588"/>
    <cellStyle name="Comma 6 14 20" xfId="9589"/>
    <cellStyle name="Comma 6 14 21" xfId="9590"/>
    <cellStyle name="Comma 6 14 22" xfId="9591"/>
    <cellStyle name="Comma 6 14 23" xfId="21129"/>
    <cellStyle name="Comma 6 14 24" xfId="21130"/>
    <cellStyle name="Comma 6 14 25" xfId="21131"/>
    <cellStyle name="Comma 6 14 26" xfId="21132"/>
    <cellStyle name="Comma 6 14 27" xfId="21133"/>
    <cellStyle name="Comma 6 14 28" xfId="21134"/>
    <cellStyle name="Comma 6 14 29" xfId="21135"/>
    <cellStyle name="Comma 6 14 3" xfId="9592"/>
    <cellStyle name="Comma 6 14 30" xfId="21136"/>
    <cellStyle name="Comma 6 14 31" xfId="21137"/>
    <cellStyle name="Comma 6 14 32" xfId="21138"/>
    <cellStyle name="Comma 6 14 33" xfId="21139"/>
    <cellStyle name="Comma 6 14 34" xfId="21140"/>
    <cellStyle name="Comma 6 14 35" xfId="21141"/>
    <cellStyle name="Comma 6 14 4" xfId="9593"/>
    <cellStyle name="Comma 6 14 5" xfId="9594"/>
    <cellStyle name="Comma 6 14 6" xfId="9595"/>
    <cellStyle name="Comma 6 14 7" xfId="9596"/>
    <cellStyle name="Comma 6 14 8" xfId="9597"/>
    <cellStyle name="Comma 6 14 9" xfId="9598"/>
    <cellStyle name="Comma 6 15" xfId="467"/>
    <cellStyle name="Comma 6 15 10" xfId="9599"/>
    <cellStyle name="Comma 6 15 11" xfId="9600"/>
    <cellStyle name="Comma 6 15 12" xfId="9601"/>
    <cellStyle name="Comma 6 15 13" xfId="9602"/>
    <cellStyle name="Comma 6 15 14" xfId="9603"/>
    <cellStyle name="Comma 6 15 15" xfId="9604"/>
    <cellStyle name="Comma 6 15 16" xfId="9605"/>
    <cellStyle name="Comma 6 15 17" xfId="9606"/>
    <cellStyle name="Comma 6 15 18" xfId="9607"/>
    <cellStyle name="Comma 6 15 19" xfId="9608"/>
    <cellStyle name="Comma 6 15 2" xfId="9609"/>
    <cellStyle name="Comma 6 15 20" xfId="9610"/>
    <cellStyle name="Comma 6 15 21" xfId="9611"/>
    <cellStyle name="Comma 6 15 22" xfId="9612"/>
    <cellStyle name="Comma 6 15 23" xfId="21142"/>
    <cellStyle name="Comma 6 15 24" xfId="21143"/>
    <cellStyle name="Comma 6 15 25" xfId="21144"/>
    <cellStyle name="Comma 6 15 26" xfId="21145"/>
    <cellStyle name="Comma 6 15 27" xfId="21146"/>
    <cellStyle name="Comma 6 15 28" xfId="21147"/>
    <cellStyle name="Comma 6 15 29" xfId="21148"/>
    <cellStyle name="Comma 6 15 3" xfId="9613"/>
    <cellStyle name="Comma 6 15 30" xfId="21149"/>
    <cellStyle name="Comma 6 15 31" xfId="21150"/>
    <cellStyle name="Comma 6 15 32" xfId="21151"/>
    <cellStyle name="Comma 6 15 33" xfId="21152"/>
    <cellStyle name="Comma 6 15 34" xfId="21153"/>
    <cellStyle name="Comma 6 15 35" xfId="21154"/>
    <cellStyle name="Comma 6 15 4" xfId="9614"/>
    <cellStyle name="Comma 6 15 5" xfId="9615"/>
    <cellStyle name="Comma 6 15 6" xfId="9616"/>
    <cellStyle name="Comma 6 15 7" xfId="9617"/>
    <cellStyle name="Comma 6 15 8" xfId="9618"/>
    <cellStyle name="Comma 6 15 9" xfId="9619"/>
    <cellStyle name="Comma 6 16" xfId="468"/>
    <cellStyle name="Comma 6 16 10" xfId="9620"/>
    <cellStyle name="Comma 6 16 11" xfId="9621"/>
    <cellStyle name="Comma 6 16 12" xfId="9622"/>
    <cellStyle name="Comma 6 16 13" xfId="9623"/>
    <cellStyle name="Comma 6 16 14" xfId="9624"/>
    <cellStyle name="Comma 6 16 15" xfId="9625"/>
    <cellStyle name="Comma 6 16 16" xfId="9626"/>
    <cellStyle name="Comma 6 16 17" xfId="9627"/>
    <cellStyle name="Comma 6 16 18" xfId="9628"/>
    <cellStyle name="Comma 6 16 19" xfId="9629"/>
    <cellStyle name="Comma 6 16 2" xfId="9630"/>
    <cellStyle name="Comma 6 16 20" xfId="9631"/>
    <cellStyle name="Comma 6 16 21" xfId="9632"/>
    <cellStyle name="Comma 6 16 22" xfId="9633"/>
    <cellStyle name="Comma 6 16 23" xfId="21155"/>
    <cellStyle name="Comma 6 16 24" xfId="21156"/>
    <cellStyle name="Comma 6 16 25" xfId="21157"/>
    <cellStyle name="Comma 6 16 26" xfId="21158"/>
    <cellStyle name="Comma 6 16 27" xfId="21159"/>
    <cellStyle name="Comma 6 16 28" xfId="21160"/>
    <cellStyle name="Comma 6 16 29" xfId="21161"/>
    <cellStyle name="Comma 6 16 3" xfId="9634"/>
    <cellStyle name="Comma 6 16 30" xfId="21162"/>
    <cellStyle name="Comma 6 16 31" xfId="21163"/>
    <cellStyle name="Comma 6 16 32" xfId="21164"/>
    <cellStyle name="Comma 6 16 33" xfId="21165"/>
    <cellStyle name="Comma 6 16 34" xfId="21166"/>
    <cellStyle name="Comma 6 16 35" xfId="21167"/>
    <cellStyle name="Comma 6 16 4" xfId="9635"/>
    <cellStyle name="Comma 6 16 5" xfId="9636"/>
    <cellStyle name="Comma 6 16 6" xfId="9637"/>
    <cellStyle name="Comma 6 16 7" xfId="9638"/>
    <cellStyle name="Comma 6 16 8" xfId="9639"/>
    <cellStyle name="Comma 6 16 9" xfId="9640"/>
    <cellStyle name="Comma 6 17" xfId="469"/>
    <cellStyle name="Comma 6 17 10" xfId="9641"/>
    <cellStyle name="Comma 6 17 11" xfId="9642"/>
    <cellStyle name="Comma 6 17 12" xfId="9643"/>
    <cellStyle name="Comma 6 17 13" xfId="9644"/>
    <cellStyle name="Comma 6 17 14" xfId="9645"/>
    <cellStyle name="Comma 6 17 15" xfId="9646"/>
    <cellStyle name="Comma 6 17 16" xfId="9647"/>
    <cellStyle name="Comma 6 17 17" xfId="9648"/>
    <cellStyle name="Comma 6 17 18" xfId="9649"/>
    <cellStyle name="Comma 6 17 19" xfId="9650"/>
    <cellStyle name="Comma 6 17 2" xfId="9651"/>
    <cellStyle name="Comma 6 17 20" xfId="9652"/>
    <cellStyle name="Comma 6 17 21" xfId="9653"/>
    <cellStyle name="Comma 6 17 22" xfId="9654"/>
    <cellStyle name="Comma 6 17 23" xfId="21168"/>
    <cellStyle name="Comma 6 17 24" xfId="21169"/>
    <cellStyle name="Comma 6 17 25" xfId="21170"/>
    <cellStyle name="Comma 6 17 26" xfId="21171"/>
    <cellStyle name="Comma 6 17 27" xfId="21172"/>
    <cellStyle name="Comma 6 17 28" xfId="21173"/>
    <cellStyle name="Comma 6 17 29" xfId="21174"/>
    <cellStyle name="Comma 6 17 3" xfId="9655"/>
    <cellStyle name="Comma 6 17 30" xfId="21175"/>
    <cellStyle name="Comma 6 17 31" xfId="21176"/>
    <cellStyle name="Comma 6 17 32" xfId="21177"/>
    <cellStyle name="Comma 6 17 33" xfId="21178"/>
    <cellStyle name="Comma 6 17 34" xfId="21179"/>
    <cellStyle name="Comma 6 17 35" xfId="21180"/>
    <cellStyle name="Comma 6 17 4" xfId="9656"/>
    <cellStyle name="Comma 6 17 5" xfId="9657"/>
    <cellStyle name="Comma 6 17 6" xfId="9658"/>
    <cellStyle name="Comma 6 17 7" xfId="9659"/>
    <cellStyle name="Comma 6 17 8" xfId="9660"/>
    <cellStyle name="Comma 6 17 9" xfId="9661"/>
    <cellStyle name="Comma 6 18" xfId="470"/>
    <cellStyle name="Comma 6 18 10" xfId="9662"/>
    <cellStyle name="Comma 6 18 11" xfId="9663"/>
    <cellStyle name="Comma 6 18 12" xfId="9664"/>
    <cellStyle name="Comma 6 18 13" xfId="9665"/>
    <cellStyle name="Comma 6 18 14" xfId="9666"/>
    <cellStyle name="Comma 6 18 15" xfId="9667"/>
    <cellStyle name="Comma 6 18 16" xfId="9668"/>
    <cellStyle name="Comma 6 18 17" xfId="9669"/>
    <cellStyle name="Comma 6 18 18" xfId="9670"/>
    <cellStyle name="Comma 6 18 19" xfId="9671"/>
    <cellStyle name="Comma 6 18 2" xfId="9672"/>
    <cellStyle name="Comma 6 18 20" xfId="9673"/>
    <cellStyle name="Comma 6 18 21" xfId="9674"/>
    <cellStyle name="Comma 6 18 22" xfId="9675"/>
    <cellStyle name="Comma 6 18 23" xfId="21181"/>
    <cellStyle name="Comma 6 18 24" xfId="21182"/>
    <cellStyle name="Comma 6 18 25" xfId="21183"/>
    <cellStyle name="Comma 6 18 26" xfId="21184"/>
    <cellStyle name="Comma 6 18 27" xfId="21185"/>
    <cellStyle name="Comma 6 18 28" xfId="21186"/>
    <cellStyle name="Comma 6 18 29" xfId="21187"/>
    <cellStyle name="Comma 6 18 3" xfId="9676"/>
    <cellStyle name="Comma 6 18 30" xfId="21188"/>
    <cellStyle name="Comma 6 18 31" xfId="21189"/>
    <cellStyle name="Comma 6 18 32" xfId="21190"/>
    <cellStyle name="Comma 6 18 33" xfId="21191"/>
    <cellStyle name="Comma 6 18 34" xfId="21192"/>
    <cellStyle name="Comma 6 18 35" xfId="21193"/>
    <cellStyle name="Comma 6 18 4" xfId="9677"/>
    <cellStyle name="Comma 6 18 5" xfId="9678"/>
    <cellStyle name="Comma 6 18 6" xfId="9679"/>
    <cellStyle name="Comma 6 18 7" xfId="9680"/>
    <cellStyle name="Comma 6 18 8" xfId="9681"/>
    <cellStyle name="Comma 6 18 9" xfId="9682"/>
    <cellStyle name="Comma 6 19" xfId="471"/>
    <cellStyle name="Comma 6 19 10" xfId="9683"/>
    <cellStyle name="Comma 6 19 11" xfId="9684"/>
    <cellStyle name="Comma 6 19 12" xfId="9685"/>
    <cellStyle name="Comma 6 19 13" xfId="9686"/>
    <cellStyle name="Comma 6 19 14" xfId="9687"/>
    <cellStyle name="Comma 6 19 15" xfId="9688"/>
    <cellStyle name="Comma 6 19 16" xfId="9689"/>
    <cellStyle name="Comma 6 19 17" xfId="9690"/>
    <cellStyle name="Comma 6 19 18" xfId="9691"/>
    <cellStyle name="Comma 6 19 19" xfId="9692"/>
    <cellStyle name="Comma 6 19 2" xfId="9693"/>
    <cellStyle name="Comma 6 19 20" xfId="9694"/>
    <cellStyle name="Comma 6 19 21" xfId="9695"/>
    <cellStyle name="Comma 6 19 22" xfId="9696"/>
    <cellStyle name="Comma 6 19 23" xfId="21194"/>
    <cellStyle name="Comma 6 19 24" xfId="21195"/>
    <cellStyle name="Comma 6 19 25" xfId="21196"/>
    <cellStyle name="Comma 6 19 26" xfId="21197"/>
    <cellStyle name="Comma 6 19 27" xfId="21198"/>
    <cellStyle name="Comma 6 19 28" xfId="21199"/>
    <cellStyle name="Comma 6 19 29" xfId="21200"/>
    <cellStyle name="Comma 6 19 3" xfId="9697"/>
    <cellStyle name="Comma 6 19 30" xfId="21201"/>
    <cellStyle name="Comma 6 19 31" xfId="21202"/>
    <cellStyle name="Comma 6 19 32" xfId="21203"/>
    <cellStyle name="Comma 6 19 33" xfId="21204"/>
    <cellStyle name="Comma 6 19 34" xfId="21205"/>
    <cellStyle name="Comma 6 19 35" xfId="21206"/>
    <cellStyle name="Comma 6 19 4" xfId="9698"/>
    <cellStyle name="Comma 6 19 5" xfId="9699"/>
    <cellStyle name="Comma 6 19 6" xfId="9700"/>
    <cellStyle name="Comma 6 19 7" xfId="9701"/>
    <cellStyle name="Comma 6 19 8" xfId="9702"/>
    <cellStyle name="Comma 6 19 9" xfId="9703"/>
    <cellStyle name="Comma 6 2" xfId="35"/>
    <cellStyle name="Comma 6 2 10" xfId="1131"/>
    <cellStyle name="Comma 6 2 11" xfId="1163"/>
    <cellStyle name="Comma 6 2 12" xfId="1199"/>
    <cellStyle name="Comma 6 2 13" xfId="1231"/>
    <cellStyle name="Comma 6 2 14" xfId="1264"/>
    <cellStyle name="Comma 6 2 15" xfId="1297"/>
    <cellStyle name="Comma 6 2 16" xfId="1329"/>
    <cellStyle name="Comma 6 2 17" xfId="1420"/>
    <cellStyle name="Comma 6 2 18" xfId="1555"/>
    <cellStyle name="Comma 6 2 19" xfId="1608"/>
    <cellStyle name="Comma 6 2 2" xfId="83"/>
    <cellStyle name="Comma 6 2 2 10" xfId="2710"/>
    <cellStyle name="Comma 6 2 2 11" xfId="2781"/>
    <cellStyle name="Comma 6 2 2 12" xfId="2233"/>
    <cellStyle name="Comma 6 2 2 13" xfId="2639"/>
    <cellStyle name="Comma 6 2 2 14" xfId="2443"/>
    <cellStyle name="Comma 6 2 2 2" xfId="1457"/>
    <cellStyle name="Comma 6 2 2 3" xfId="1523"/>
    <cellStyle name="Comma 6 2 2 4" xfId="1392"/>
    <cellStyle name="Comma 6 2 2 5" xfId="1454"/>
    <cellStyle name="Comma 6 2 2 6" xfId="1753"/>
    <cellStyle name="Comma 6 2 2 7" xfId="1792"/>
    <cellStyle name="Comma 6 2 2 8" xfId="2161"/>
    <cellStyle name="Comma 6 2 2 9" xfId="2811"/>
    <cellStyle name="Comma 6 2 20" xfId="1660"/>
    <cellStyle name="Comma 6 2 21" xfId="1722"/>
    <cellStyle name="Comma 6 2 22" xfId="1823"/>
    <cellStyle name="Comma 6 2 23" xfId="2122"/>
    <cellStyle name="Comma 6 2 24" xfId="2794"/>
    <cellStyle name="Comma 6 2 25" xfId="2225"/>
    <cellStyle name="Comma 6 2 26" xfId="2487"/>
    <cellStyle name="Comma 6 2 27" xfId="2867"/>
    <cellStyle name="Comma 6 2 28" xfId="2196"/>
    <cellStyle name="Comma 6 2 29" xfId="2544"/>
    <cellStyle name="Comma 6 2 3" xfId="946"/>
    <cellStyle name="Comma 6 2 30" xfId="21207"/>
    <cellStyle name="Comma 6 2 31" xfId="21208"/>
    <cellStyle name="Comma 6 2 32" xfId="21209"/>
    <cellStyle name="Comma 6 2 33" xfId="21210"/>
    <cellStyle name="Comma 6 2 34" xfId="21211"/>
    <cellStyle name="Comma 6 2 35" xfId="21212"/>
    <cellStyle name="Comma 6 2 36" xfId="21213"/>
    <cellStyle name="Comma 6 2 37" xfId="21214"/>
    <cellStyle name="Comma 6 2 38" xfId="21215"/>
    <cellStyle name="Comma 6 2 4" xfId="933"/>
    <cellStyle name="Comma 6 2 5" xfId="965"/>
    <cellStyle name="Comma 6 2 6" xfId="1000"/>
    <cellStyle name="Comma 6 2 7" xfId="1033"/>
    <cellStyle name="Comma 6 2 8" xfId="1064"/>
    <cellStyle name="Comma 6 2 9" xfId="1144"/>
    <cellStyle name="Comma 6 20" xfId="472"/>
    <cellStyle name="Comma 6 20 10" xfId="9704"/>
    <cellStyle name="Comma 6 20 11" xfId="9705"/>
    <cellStyle name="Comma 6 20 12" xfId="9706"/>
    <cellStyle name="Comma 6 20 13" xfId="9707"/>
    <cellStyle name="Comma 6 20 14" xfId="9708"/>
    <cellStyle name="Comma 6 20 15" xfId="9709"/>
    <cellStyle name="Comma 6 20 16" xfId="9710"/>
    <cellStyle name="Comma 6 20 17" xfId="9711"/>
    <cellStyle name="Comma 6 20 18" xfId="9712"/>
    <cellStyle name="Comma 6 20 19" xfId="9713"/>
    <cellStyle name="Comma 6 20 2" xfId="9714"/>
    <cellStyle name="Comma 6 20 20" xfId="9715"/>
    <cellStyle name="Comma 6 20 21" xfId="9716"/>
    <cellStyle name="Comma 6 20 22" xfId="9717"/>
    <cellStyle name="Comma 6 20 23" xfId="21216"/>
    <cellStyle name="Comma 6 20 24" xfId="21217"/>
    <cellStyle name="Comma 6 20 25" xfId="21218"/>
    <cellStyle name="Comma 6 20 26" xfId="21219"/>
    <cellStyle name="Comma 6 20 27" xfId="21220"/>
    <cellStyle name="Comma 6 20 28" xfId="21221"/>
    <cellStyle name="Comma 6 20 29" xfId="21222"/>
    <cellStyle name="Comma 6 20 3" xfId="9718"/>
    <cellStyle name="Comma 6 20 30" xfId="21223"/>
    <cellStyle name="Comma 6 20 31" xfId="21224"/>
    <cellStyle name="Comma 6 20 32" xfId="21225"/>
    <cellStyle name="Comma 6 20 33" xfId="21226"/>
    <cellStyle name="Comma 6 20 34" xfId="21227"/>
    <cellStyle name="Comma 6 20 35" xfId="21228"/>
    <cellStyle name="Comma 6 20 4" xfId="9719"/>
    <cellStyle name="Comma 6 20 5" xfId="9720"/>
    <cellStyle name="Comma 6 20 6" xfId="9721"/>
    <cellStyle name="Comma 6 20 7" xfId="9722"/>
    <cellStyle name="Comma 6 20 8" xfId="9723"/>
    <cellStyle name="Comma 6 20 9" xfId="9724"/>
    <cellStyle name="Comma 6 21" xfId="473"/>
    <cellStyle name="Comma 6 21 10" xfId="9725"/>
    <cellStyle name="Comma 6 21 11" xfId="9726"/>
    <cellStyle name="Comma 6 21 12" xfId="9727"/>
    <cellStyle name="Comma 6 21 13" xfId="9728"/>
    <cellStyle name="Comma 6 21 14" xfId="9729"/>
    <cellStyle name="Comma 6 21 15" xfId="9730"/>
    <cellStyle name="Comma 6 21 16" xfId="9731"/>
    <cellStyle name="Comma 6 21 17" xfId="9732"/>
    <cellStyle name="Comma 6 21 18" xfId="9733"/>
    <cellStyle name="Comma 6 21 19" xfId="9734"/>
    <cellStyle name="Comma 6 21 2" xfId="9735"/>
    <cellStyle name="Comma 6 21 20" xfId="9736"/>
    <cellStyle name="Comma 6 21 21" xfId="9737"/>
    <cellStyle name="Comma 6 21 22" xfId="9738"/>
    <cellStyle name="Comma 6 21 23" xfId="21229"/>
    <cellStyle name="Comma 6 21 24" xfId="21230"/>
    <cellStyle name="Comma 6 21 25" xfId="21231"/>
    <cellStyle name="Comma 6 21 26" xfId="21232"/>
    <cellStyle name="Comma 6 21 27" xfId="21233"/>
    <cellStyle name="Comma 6 21 28" xfId="21234"/>
    <cellStyle name="Comma 6 21 29" xfId="21235"/>
    <cellStyle name="Comma 6 21 3" xfId="9739"/>
    <cellStyle name="Comma 6 21 30" xfId="21236"/>
    <cellStyle name="Comma 6 21 31" xfId="21237"/>
    <cellStyle name="Comma 6 21 32" xfId="21238"/>
    <cellStyle name="Comma 6 21 33" xfId="21239"/>
    <cellStyle name="Comma 6 21 34" xfId="21240"/>
    <cellStyle name="Comma 6 21 35" xfId="21241"/>
    <cellStyle name="Comma 6 21 4" xfId="9740"/>
    <cellStyle name="Comma 6 21 5" xfId="9741"/>
    <cellStyle name="Comma 6 21 6" xfId="9742"/>
    <cellStyle name="Comma 6 21 7" xfId="9743"/>
    <cellStyle name="Comma 6 21 8" xfId="9744"/>
    <cellStyle name="Comma 6 21 9" xfId="9745"/>
    <cellStyle name="Comma 6 22" xfId="474"/>
    <cellStyle name="Comma 6 22 10" xfId="9746"/>
    <cellStyle name="Comma 6 22 11" xfId="9747"/>
    <cellStyle name="Comma 6 22 12" xfId="9748"/>
    <cellStyle name="Comma 6 22 13" xfId="9749"/>
    <cellStyle name="Comma 6 22 14" xfId="9750"/>
    <cellStyle name="Comma 6 22 15" xfId="9751"/>
    <cellStyle name="Comma 6 22 16" xfId="9752"/>
    <cellStyle name="Comma 6 22 17" xfId="9753"/>
    <cellStyle name="Comma 6 22 18" xfId="9754"/>
    <cellStyle name="Comma 6 22 19" xfId="9755"/>
    <cellStyle name="Comma 6 22 2" xfId="9756"/>
    <cellStyle name="Comma 6 22 20" xfId="9757"/>
    <cellStyle name="Comma 6 22 21" xfId="9758"/>
    <cellStyle name="Comma 6 22 22" xfId="9759"/>
    <cellStyle name="Comma 6 22 23" xfId="21242"/>
    <cellStyle name="Comma 6 22 24" xfId="21243"/>
    <cellStyle name="Comma 6 22 25" xfId="21244"/>
    <cellStyle name="Comma 6 22 26" xfId="21245"/>
    <cellStyle name="Comma 6 22 27" xfId="21246"/>
    <cellStyle name="Comma 6 22 28" xfId="21247"/>
    <cellStyle name="Comma 6 22 29" xfId="21248"/>
    <cellStyle name="Comma 6 22 3" xfId="9760"/>
    <cellStyle name="Comma 6 22 30" xfId="21249"/>
    <cellStyle name="Comma 6 22 31" xfId="21250"/>
    <cellStyle name="Comma 6 22 32" xfId="21251"/>
    <cellStyle name="Comma 6 22 33" xfId="21252"/>
    <cellStyle name="Comma 6 22 34" xfId="21253"/>
    <cellStyle name="Comma 6 22 35" xfId="21254"/>
    <cellStyle name="Comma 6 22 4" xfId="9761"/>
    <cellStyle name="Comma 6 22 5" xfId="9762"/>
    <cellStyle name="Comma 6 22 6" xfId="9763"/>
    <cellStyle name="Comma 6 22 7" xfId="9764"/>
    <cellStyle name="Comma 6 22 8" xfId="9765"/>
    <cellStyle name="Comma 6 22 9" xfId="9766"/>
    <cellStyle name="Comma 6 23" xfId="475"/>
    <cellStyle name="Comma 6 23 10" xfId="9767"/>
    <cellStyle name="Comma 6 23 11" xfId="9768"/>
    <cellStyle name="Comma 6 23 12" xfId="9769"/>
    <cellStyle name="Comma 6 23 13" xfId="9770"/>
    <cellStyle name="Comma 6 23 14" xfId="9771"/>
    <cellStyle name="Comma 6 23 15" xfId="9772"/>
    <cellStyle name="Comma 6 23 16" xfId="9773"/>
    <cellStyle name="Comma 6 23 17" xfId="9774"/>
    <cellStyle name="Comma 6 23 18" xfId="9775"/>
    <cellStyle name="Comma 6 23 19" xfId="9776"/>
    <cellStyle name="Comma 6 23 2" xfId="9777"/>
    <cellStyle name="Comma 6 23 20" xfId="9778"/>
    <cellStyle name="Comma 6 23 21" xfId="9779"/>
    <cellStyle name="Comma 6 23 22" xfId="9780"/>
    <cellStyle name="Comma 6 23 23" xfId="21255"/>
    <cellStyle name="Comma 6 23 24" xfId="21256"/>
    <cellStyle name="Comma 6 23 25" xfId="21257"/>
    <cellStyle name="Comma 6 23 26" xfId="21258"/>
    <cellStyle name="Comma 6 23 27" xfId="21259"/>
    <cellStyle name="Comma 6 23 28" xfId="21260"/>
    <cellStyle name="Comma 6 23 29" xfId="21261"/>
    <cellStyle name="Comma 6 23 3" xfId="9781"/>
    <cellStyle name="Comma 6 23 30" xfId="21262"/>
    <cellStyle name="Comma 6 23 31" xfId="21263"/>
    <cellStyle name="Comma 6 23 32" xfId="21264"/>
    <cellStyle name="Comma 6 23 33" xfId="21265"/>
    <cellStyle name="Comma 6 23 34" xfId="21266"/>
    <cellStyle name="Comma 6 23 35" xfId="21267"/>
    <cellStyle name="Comma 6 23 4" xfId="9782"/>
    <cellStyle name="Comma 6 23 5" xfId="9783"/>
    <cellStyle name="Comma 6 23 6" xfId="9784"/>
    <cellStyle name="Comma 6 23 7" xfId="9785"/>
    <cellStyle name="Comma 6 23 8" xfId="9786"/>
    <cellStyle name="Comma 6 23 9" xfId="9787"/>
    <cellStyle name="Comma 6 24" xfId="476"/>
    <cellStyle name="Comma 6 24 10" xfId="9788"/>
    <cellStyle name="Comma 6 24 11" xfId="9789"/>
    <cellStyle name="Comma 6 24 12" xfId="9790"/>
    <cellStyle name="Comma 6 24 13" xfId="9791"/>
    <cellStyle name="Comma 6 24 14" xfId="9792"/>
    <cellStyle name="Comma 6 24 15" xfId="9793"/>
    <cellStyle name="Comma 6 24 16" xfId="9794"/>
    <cellStyle name="Comma 6 24 17" xfId="9795"/>
    <cellStyle name="Comma 6 24 18" xfId="9796"/>
    <cellStyle name="Comma 6 24 19" xfId="9797"/>
    <cellStyle name="Comma 6 24 2" xfId="9798"/>
    <cellStyle name="Comma 6 24 20" xfId="9799"/>
    <cellStyle name="Comma 6 24 21" xfId="9800"/>
    <cellStyle name="Comma 6 24 22" xfId="9801"/>
    <cellStyle name="Comma 6 24 23" xfId="21268"/>
    <cellStyle name="Comma 6 24 24" xfId="21269"/>
    <cellStyle name="Comma 6 24 25" xfId="21270"/>
    <cellStyle name="Comma 6 24 26" xfId="21271"/>
    <cellStyle name="Comma 6 24 27" xfId="21272"/>
    <cellStyle name="Comma 6 24 28" xfId="21273"/>
    <cellStyle name="Comma 6 24 29" xfId="21274"/>
    <cellStyle name="Comma 6 24 3" xfId="9802"/>
    <cellStyle name="Comma 6 24 30" xfId="21275"/>
    <cellStyle name="Comma 6 24 31" xfId="21276"/>
    <cellStyle name="Comma 6 24 32" xfId="21277"/>
    <cellStyle name="Comma 6 24 33" xfId="21278"/>
    <cellStyle name="Comma 6 24 34" xfId="21279"/>
    <cellStyle name="Comma 6 24 35" xfId="21280"/>
    <cellStyle name="Comma 6 24 4" xfId="9803"/>
    <cellStyle name="Comma 6 24 5" xfId="9804"/>
    <cellStyle name="Comma 6 24 6" xfId="9805"/>
    <cellStyle name="Comma 6 24 7" xfId="9806"/>
    <cellStyle name="Comma 6 24 8" xfId="9807"/>
    <cellStyle name="Comma 6 24 9" xfId="9808"/>
    <cellStyle name="Comma 6 25" xfId="477"/>
    <cellStyle name="Comma 6 25 10" xfId="9809"/>
    <cellStyle name="Comma 6 25 11" xfId="9810"/>
    <cellStyle name="Comma 6 25 12" xfId="9811"/>
    <cellStyle name="Comma 6 25 13" xfId="9812"/>
    <cellStyle name="Comma 6 25 14" xfId="9813"/>
    <cellStyle name="Comma 6 25 15" xfId="9814"/>
    <cellStyle name="Comma 6 25 16" xfId="9815"/>
    <cellStyle name="Comma 6 25 17" xfId="9816"/>
    <cellStyle name="Comma 6 25 18" xfId="9817"/>
    <cellStyle name="Comma 6 25 19" xfId="9818"/>
    <cellStyle name="Comma 6 25 2" xfId="9819"/>
    <cellStyle name="Comma 6 25 20" xfId="9820"/>
    <cellStyle name="Comma 6 25 21" xfId="9821"/>
    <cellStyle name="Comma 6 25 22" xfId="9822"/>
    <cellStyle name="Comma 6 25 23" xfId="21281"/>
    <cellStyle name="Comma 6 25 24" xfId="21282"/>
    <cellStyle name="Comma 6 25 25" xfId="21283"/>
    <cellStyle name="Comma 6 25 26" xfId="21284"/>
    <cellStyle name="Comma 6 25 27" xfId="21285"/>
    <cellStyle name="Comma 6 25 28" xfId="21286"/>
    <cellStyle name="Comma 6 25 29" xfId="21287"/>
    <cellStyle name="Comma 6 25 3" xfId="9823"/>
    <cellStyle name="Comma 6 25 30" xfId="21288"/>
    <cellStyle name="Comma 6 25 31" xfId="21289"/>
    <cellStyle name="Comma 6 25 32" xfId="21290"/>
    <cellStyle name="Comma 6 25 33" xfId="21291"/>
    <cellStyle name="Comma 6 25 34" xfId="21292"/>
    <cellStyle name="Comma 6 25 35" xfId="21293"/>
    <cellStyle name="Comma 6 25 4" xfId="9824"/>
    <cellStyle name="Comma 6 25 5" xfId="9825"/>
    <cellStyle name="Comma 6 25 6" xfId="9826"/>
    <cellStyle name="Comma 6 25 7" xfId="9827"/>
    <cellStyle name="Comma 6 25 8" xfId="9828"/>
    <cellStyle name="Comma 6 25 9" xfId="9829"/>
    <cellStyle name="Comma 6 26" xfId="478"/>
    <cellStyle name="Comma 6 26 10" xfId="9830"/>
    <cellStyle name="Comma 6 26 11" xfId="9831"/>
    <cellStyle name="Comma 6 26 12" xfId="9832"/>
    <cellStyle name="Comma 6 26 13" xfId="9833"/>
    <cellStyle name="Comma 6 26 14" xfId="9834"/>
    <cellStyle name="Comma 6 26 15" xfId="9835"/>
    <cellStyle name="Comma 6 26 16" xfId="9836"/>
    <cellStyle name="Comma 6 26 17" xfId="9837"/>
    <cellStyle name="Comma 6 26 18" xfId="9838"/>
    <cellStyle name="Comma 6 26 19" xfId="9839"/>
    <cellStyle name="Comma 6 26 2" xfId="9840"/>
    <cellStyle name="Comma 6 26 20" xfId="9841"/>
    <cellStyle name="Comma 6 26 21" xfId="9842"/>
    <cellStyle name="Comma 6 26 22" xfId="9843"/>
    <cellStyle name="Comma 6 26 23" xfId="21294"/>
    <cellStyle name="Comma 6 26 24" xfId="21295"/>
    <cellStyle name="Comma 6 26 25" xfId="21296"/>
    <cellStyle name="Comma 6 26 26" xfId="21297"/>
    <cellStyle name="Comma 6 26 27" xfId="21298"/>
    <cellStyle name="Comma 6 26 28" xfId="21299"/>
    <cellStyle name="Comma 6 26 29" xfId="21300"/>
    <cellStyle name="Comma 6 26 3" xfId="9844"/>
    <cellStyle name="Comma 6 26 30" xfId="21301"/>
    <cellStyle name="Comma 6 26 31" xfId="21302"/>
    <cellStyle name="Comma 6 26 32" xfId="21303"/>
    <cellStyle name="Comma 6 26 33" xfId="21304"/>
    <cellStyle name="Comma 6 26 34" xfId="21305"/>
    <cellStyle name="Comma 6 26 35" xfId="21306"/>
    <cellStyle name="Comma 6 26 4" xfId="9845"/>
    <cellStyle name="Comma 6 26 5" xfId="9846"/>
    <cellStyle name="Comma 6 26 6" xfId="9847"/>
    <cellStyle name="Comma 6 26 7" xfId="9848"/>
    <cellStyle name="Comma 6 26 8" xfId="9849"/>
    <cellStyle name="Comma 6 26 9" xfId="9850"/>
    <cellStyle name="Comma 6 27" xfId="479"/>
    <cellStyle name="Comma 6 28" xfId="945"/>
    <cellStyle name="Comma 6 28 2" xfId="2526"/>
    <cellStyle name="Comma 6 28 3" xfId="2358"/>
    <cellStyle name="Comma 6 28 4" xfId="2414"/>
    <cellStyle name="Comma 6 28 5" xfId="2567"/>
    <cellStyle name="Comma 6 28 6" xfId="2834"/>
    <cellStyle name="Comma 6 28 7" xfId="2186"/>
    <cellStyle name="Comma 6 28 8" xfId="3218"/>
    <cellStyle name="Comma 6 29" xfId="934"/>
    <cellStyle name="Comma 6 29 2" xfId="2519"/>
    <cellStyle name="Comma 6 29 3" xfId="2363"/>
    <cellStyle name="Comma 6 29 4" xfId="2409"/>
    <cellStyle name="Comma 6 29 5" xfId="2761"/>
    <cellStyle name="Comma 6 29 6" xfId="2243"/>
    <cellStyle name="Comma 6 29 7" xfId="2659"/>
    <cellStyle name="Comma 6 29 8" xfId="2382"/>
    <cellStyle name="Comma 6 3" xfId="36"/>
    <cellStyle name="Comma 6 3 10" xfId="1130"/>
    <cellStyle name="Comma 6 3 11" xfId="1173"/>
    <cellStyle name="Comma 6 3 12" xfId="1209"/>
    <cellStyle name="Comma 6 3 13" xfId="1241"/>
    <cellStyle name="Comma 6 3 14" xfId="1274"/>
    <cellStyle name="Comma 6 3 15" xfId="1307"/>
    <cellStyle name="Comma 6 3 16" xfId="1339"/>
    <cellStyle name="Comma 6 3 17" xfId="1421"/>
    <cellStyle name="Comma 6 3 18" xfId="1554"/>
    <cellStyle name="Comma 6 3 19" xfId="1607"/>
    <cellStyle name="Comma 6 3 2" xfId="84"/>
    <cellStyle name="Comma 6 3 2 10" xfId="2727"/>
    <cellStyle name="Comma 6 3 2 11" xfId="2265"/>
    <cellStyle name="Comma 6 3 2 12" xfId="2615"/>
    <cellStyle name="Comma 6 3 2 13" xfId="2330"/>
    <cellStyle name="Comma 6 3 2 14" xfId="2972"/>
    <cellStyle name="Comma 6 3 2 2" xfId="1458"/>
    <cellStyle name="Comma 6 3 2 3" xfId="1522"/>
    <cellStyle name="Comma 6 3 2 4" xfId="1393"/>
    <cellStyle name="Comma 6 3 2 5" xfId="1468"/>
    <cellStyle name="Comma 6 3 2 6" xfId="1754"/>
    <cellStyle name="Comma 6 3 2 7" xfId="1791"/>
    <cellStyle name="Comma 6 3 2 8" xfId="2162"/>
    <cellStyle name="Comma 6 3 2 9" xfId="2830"/>
    <cellStyle name="Comma 6 3 20" xfId="1659"/>
    <cellStyle name="Comma 6 3 21" xfId="1723"/>
    <cellStyle name="Comma 6 3 22" xfId="1822"/>
    <cellStyle name="Comma 6 3 23" xfId="2123"/>
    <cellStyle name="Comma 6 3 24" xfId="2152"/>
    <cellStyle name="Comma 6 3 25" xfId="2662"/>
    <cellStyle name="Comma 6 3 26" xfId="2303"/>
    <cellStyle name="Comma 6 3 27" xfId="2455"/>
    <cellStyle name="Comma 6 3 28" xfId="2684"/>
    <cellStyle name="Comma 6 3 29" xfId="3163"/>
    <cellStyle name="Comma 6 3 3" xfId="947"/>
    <cellStyle name="Comma 6 3 30" xfId="21307"/>
    <cellStyle name="Comma 6 3 31" xfId="21308"/>
    <cellStyle name="Comma 6 3 32" xfId="21309"/>
    <cellStyle name="Comma 6 3 33" xfId="21310"/>
    <cellStyle name="Comma 6 3 34" xfId="21311"/>
    <cellStyle name="Comma 6 3 35" xfId="21312"/>
    <cellStyle name="Comma 6 3 36" xfId="21313"/>
    <cellStyle name="Comma 6 3 37" xfId="21314"/>
    <cellStyle name="Comma 6 3 38" xfId="21315"/>
    <cellStyle name="Comma 6 3 4" xfId="932"/>
    <cellStyle name="Comma 6 3 5" xfId="975"/>
    <cellStyle name="Comma 6 3 6" xfId="1010"/>
    <cellStyle name="Comma 6 3 7" xfId="1043"/>
    <cellStyle name="Comma 6 3 8" xfId="1074"/>
    <cellStyle name="Comma 6 3 9" xfId="1145"/>
    <cellStyle name="Comma 6 30" xfId="961"/>
    <cellStyle name="Comma 6 30 2" xfId="2532"/>
    <cellStyle name="Comma 6 30 3" xfId="2797"/>
    <cellStyle name="Comma 6 30 4" xfId="2187"/>
    <cellStyle name="Comma 6 30 5" xfId="2737"/>
    <cellStyle name="Comma 6 30 6" xfId="2257"/>
    <cellStyle name="Comma 6 30 7" xfId="2694"/>
    <cellStyle name="Comma 6 30 8" xfId="2494"/>
    <cellStyle name="Comma 6 31" xfId="996"/>
    <cellStyle name="Comma 6 31 2" xfId="2553"/>
    <cellStyle name="Comma 6 31 3" xfId="2785"/>
    <cellStyle name="Comma 6 31 4" xfId="2230"/>
    <cellStyle name="Comma 6 31 5" xfId="2481"/>
    <cellStyle name="Comma 6 31 6" xfId="2370"/>
    <cellStyle name="Comma 6 31 7" xfId="2406"/>
    <cellStyle name="Comma 6 31 8" xfId="3146"/>
    <cellStyle name="Comma 6 32" xfId="1029"/>
    <cellStyle name="Comma 6 32 2" xfId="2568"/>
    <cellStyle name="Comma 6 32 3" xfId="2733"/>
    <cellStyle name="Comma 6 32 4" xfId="2261"/>
    <cellStyle name="Comma 6 32 5" xfId="2478"/>
    <cellStyle name="Comma 6 32 6" xfId="2372"/>
    <cellStyle name="Comma 6 32 7" xfId="2601"/>
    <cellStyle name="Comma 6 32 8" xfId="2800"/>
    <cellStyle name="Comma 6 33" xfId="1060"/>
    <cellStyle name="Comma 6 33 2" xfId="2585"/>
    <cellStyle name="Comma 6 33 3" xfId="2188"/>
    <cellStyle name="Comma 6 33 4" xfId="2717"/>
    <cellStyle name="Comma 6 33 5" xfId="2273"/>
    <cellStyle name="Comma 6 33 6" xfId="2799"/>
    <cellStyle name="Comma 6 33 7" xfId="2855"/>
    <cellStyle name="Comma 6 33 8" xfId="2562"/>
    <cellStyle name="Comma 6 34" xfId="1143"/>
    <cellStyle name="Comma 6 34 2" xfId="2629"/>
    <cellStyle name="Comma 6 34 3" xfId="2783"/>
    <cellStyle name="Comma 6 34 4" xfId="2779"/>
    <cellStyle name="Comma 6 34 5" xfId="2235"/>
    <cellStyle name="Comma 6 34 6" xfId="2537"/>
    <cellStyle name="Comma 6 34 7" xfId="2664"/>
    <cellStyle name="Comma 6 34 8" xfId="3164"/>
    <cellStyle name="Comma 6 35" xfId="1132"/>
    <cellStyle name="Comma 6 35 2" xfId="2624"/>
    <cellStyle name="Comma 6 35 3" xfId="2324"/>
    <cellStyle name="Comma 6 35 4" xfId="2440"/>
    <cellStyle name="Comma 6 35 5" xfId="2393"/>
    <cellStyle name="Comma 6 35 6" xfId="2402"/>
    <cellStyle name="Comma 6 35 7" xfId="2185"/>
    <cellStyle name="Comma 6 35 8" xfId="3108"/>
    <cellStyle name="Comma 6 36" xfId="1159"/>
    <cellStyle name="Comma 6 36 2" xfId="2636"/>
    <cellStyle name="Comma 6 36 3" xfId="2315"/>
    <cellStyle name="Comma 6 36 4" xfId="2446"/>
    <cellStyle name="Comma 6 36 5" xfId="2598"/>
    <cellStyle name="Comma 6 36 6" xfId="2335"/>
    <cellStyle name="Comma 6 36 7" xfId="2431"/>
    <cellStyle name="Comma 6 36 8" xfId="3135"/>
    <cellStyle name="Comma 6 37" xfId="1195"/>
    <cellStyle name="Comma 6 37 2" xfId="2656"/>
    <cellStyle name="Comma 6 37 3" xfId="2306"/>
    <cellStyle name="Comma 6 37 4" xfId="2452"/>
    <cellStyle name="Comma 6 37 5" xfId="2893"/>
    <cellStyle name="Comma 6 37 6" xfId="2977"/>
    <cellStyle name="Comma 6 37 7" xfId="3048"/>
    <cellStyle name="Comma 6 37 8" xfId="2778"/>
    <cellStyle name="Comma 6 38" xfId="1227"/>
    <cellStyle name="Comma 6 38 2" xfId="2671"/>
    <cellStyle name="Comma 6 38 3" xfId="2295"/>
    <cellStyle name="Comma 6 38 4" xfId="2465"/>
    <cellStyle name="Comma 6 38 5" xfId="2384"/>
    <cellStyle name="Comma 6 38 6" xfId="2764"/>
    <cellStyle name="Comma 6 38 7" xfId="2240"/>
    <cellStyle name="Comma 6 38 8" xfId="2364"/>
    <cellStyle name="Comma 6 39" xfId="1260"/>
    <cellStyle name="Comma 6 39 2" xfId="2689"/>
    <cellStyle name="Comma 6 39 3" xfId="2828"/>
    <cellStyle name="Comma 6 39 4" xfId="2857"/>
    <cellStyle name="Comma 6 39 5" xfId="2858"/>
    <cellStyle name="Comma 6 39 6" xfId="2200"/>
    <cellStyle name="Comma 6 39 7" xfId="2511"/>
    <cellStyle name="Comma 6 39 8" xfId="2884"/>
    <cellStyle name="Comma 6 4" xfId="37"/>
    <cellStyle name="Comma 6 4 10" xfId="1129"/>
    <cellStyle name="Comma 6 4 11" xfId="1174"/>
    <cellStyle name="Comma 6 4 12" xfId="1210"/>
    <cellStyle name="Comma 6 4 13" xfId="1242"/>
    <cellStyle name="Comma 6 4 14" xfId="1275"/>
    <cellStyle name="Comma 6 4 15" xfId="1308"/>
    <cellStyle name="Comma 6 4 16" xfId="1340"/>
    <cellStyle name="Comma 6 4 17" xfId="1422"/>
    <cellStyle name="Comma 6 4 18" xfId="1553"/>
    <cellStyle name="Comma 6 4 19" xfId="1606"/>
    <cellStyle name="Comma 6 4 2" xfId="85"/>
    <cellStyle name="Comma 6 4 2 10" xfId="2222"/>
    <cellStyle name="Comma 6 4 2 11" xfId="2490"/>
    <cellStyle name="Comma 6 4 2 12" xfId="2547"/>
    <cellStyle name="Comma 6 4 2 13" xfId="2561"/>
    <cellStyle name="Comma 6 4 2 14" xfId="2268"/>
    <cellStyle name="Comma 6 4 2 2" xfId="1459"/>
    <cellStyle name="Comma 6 4 2 3" xfId="1521"/>
    <cellStyle name="Comma 6 4 2 4" xfId="1394"/>
    <cellStyle name="Comma 6 4 2 5" xfId="1453"/>
    <cellStyle name="Comma 6 4 2 6" xfId="1755"/>
    <cellStyle name="Comma 6 4 2 7" xfId="1790"/>
    <cellStyle name="Comma 6 4 2 8" xfId="2163"/>
    <cellStyle name="Comma 6 4 2 9" xfId="2802"/>
    <cellStyle name="Comma 6 4 20" xfId="1658"/>
    <cellStyle name="Comma 6 4 21" xfId="1724"/>
    <cellStyle name="Comma 6 4 22" xfId="1821"/>
    <cellStyle name="Comma 6 4 23" xfId="2124"/>
    <cellStyle name="Comma 6 4 24" xfId="2770"/>
    <cellStyle name="Comma 6 4 25" xfId="2239"/>
    <cellStyle name="Comma 6 4 26" xfId="2752"/>
    <cellStyle name="Comma 6 4 27" xfId="2854"/>
    <cellStyle name="Comma 6 4 28" xfId="2201"/>
    <cellStyle name="Comma 6 4 29" xfId="2184"/>
    <cellStyle name="Comma 6 4 3" xfId="948"/>
    <cellStyle name="Comma 6 4 30" xfId="21316"/>
    <cellStyle name="Comma 6 4 31" xfId="21317"/>
    <cellStyle name="Comma 6 4 32" xfId="21318"/>
    <cellStyle name="Comma 6 4 33" xfId="21319"/>
    <cellStyle name="Comma 6 4 34" xfId="21320"/>
    <cellStyle name="Comma 6 4 35" xfId="21321"/>
    <cellStyle name="Comma 6 4 36" xfId="21322"/>
    <cellStyle name="Comma 6 4 37" xfId="21323"/>
    <cellStyle name="Comma 6 4 38" xfId="21324"/>
    <cellStyle name="Comma 6 4 4" xfId="931"/>
    <cellStyle name="Comma 6 4 5" xfId="976"/>
    <cellStyle name="Comma 6 4 6" xfId="1011"/>
    <cellStyle name="Comma 6 4 7" xfId="1044"/>
    <cellStyle name="Comma 6 4 8" xfId="1075"/>
    <cellStyle name="Comma 6 4 9" xfId="1146"/>
    <cellStyle name="Comma 6 40" xfId="1293"/>
    <cellStyle name="Comma 6 40 2" xfId="2711"/>
    <cellStyle name="Comma 6 40 3" xfId="2191"/>
    <cellStyle name="Comma 6 40 4" xfId="2948"/>
    <cellStyle name="Comma 6 40 5" xfId="3028"/>
    <cellStyle name="Comma 6 40 6" xfId="3091"/>
    <cellStyle name="Comma 6 40 7" xfId="3142"/>
    <cellStyle name="Comma 6 40 8" xfId="3214"/>
    <cellStyle name="Comma 6 41" xfId="1325"/>
    <cellStyle name="Comma 6 41 2" xfId="2732"/>
    <cellStyle name="Comma 6 41 3" xfId="2872"/>
    <cellStyle name="Comma 6 41 4" xfId="2098"/>
    <cellStyle name="Comma 6 41 5" xfId="2158"/>
    <cellStyle name="Comma 6 41 6" xfId="2540"/>
    <cellStyle name="Comma 6 41 7" xfId="2949"/>
    <cellStyle name="Comma 6 41 8" xfId="2433"/>
    <cellStyle name="Comma 6 42" xfId="1683"/>
    <cellStyle name="Comma 6 42 2" xfId="2907"/>
    <cellStyle name="Comma 6 42 3" xfId="2989"/>
    <cellStyle name="Comma 6 42 4" xfId="3057"/>
    <cellStyle name="Comma 6 42 5" xfId="3115"/>
    <cellStyle name="Comma 6 42 6" xfId="3166"/>
    <cellStyle name="Comma 6 42 7" xfId="3202"/>
    <cellStyle name="Comma 6 42 8" xfId="3223"/>
    <cellStyle name="Comma 6 43" xfId="9851"/>
    <cellStyle name="Comma 6 44" xfId="9852"/>
    <cellStyle name="Comma 6 45" xfId="9853"/>
    <cellStyle name="Comma 6 46" xfId="9854"/>
    <cellStyle name="Comma 6 47" xfId="9855"/>
    <cellStyle name="Comma 6 48" xfId="9856"/>
    <cellStyle name="Comma 6 49" xfId="9857"/>
    <cellStyle name="Comma 6 5" xfId="480"/>
    <cellStyle name="Comma 6 5 10" xfId="9858"/>
    <cellStyle name="Comma 6 5 11" xfId="9859"/>
    <cellStyle name="Comma 6 5 12" xfId="9860"/>
    <cellStyle name="Comma 6 5 13" xfId="9861"/>
    <cellStyle name="Comma 6 5 14" xfId="9862"/>
    <cellStyle name="Comma 6 5 15" xfId="9863"/>
    <cellStyle name="Comma 6 5 16" xfId="9864"/>
    <cellStyle name="Comma 6 5 17" xfId="9865"/>
    <cellStyle name="Comma 6 5 18" xfId="9866"/>
    <cellStyle name="Comma 6 5 19" xfId="9867"/>
    <cellStyle name="Comma 6 5 2" xfId="481"/>
    <cellStyle name="Comma 6 5 20" xfId="9868"/>
    <cellStyle name="Comma 6 5 21" xfId="9869"/>
    <cellStyle name="Comma 6 5 22" xfId="9870"/>
    <cellStyle name="Comma 6 5 23" xfId="9871"/>
    <cellStyle name="Comma 6 5 24" xfId="9872"/>
    <cellStyle name="Comma 6 5 25" xfId="21325"/>
    <cellStyle name="Comma 6 5 26" xfId="21326"/>
    <cellStyle name="Comma 6 5 27" xfId="21327"/>
    <cellStyle name="Comma 6 5 28" xfId="21328"/>
    <cellStyle name="Comma 6 5 29" xfId="21329"/>
    <cellStyle name="Comma 6 5 3" xfId="9873"/>
    <cellStyle name="Comma 6 5 30" xfId="21330"/>
    <cellStyle name="Comma 6 5 31" xfId="21331"/>
    <cellStyle name="Comma 6 5 32" xfId="21332"/>
    <cellStyle name="Comma 6 5 33" xfId="21333"/>
    <cellStyle name="Comma 6 5 34" xfId="21334"/>
    <cellStyle name="Comma 6 5 35" xfId="21335"/>
    <cellStyle name="Comma 6 5 36" xfId="21336"/>
    <cellStyle name="Comma 6 5 37" xfId="21337"/>
    <cellStyle name="Comma 6 5 4" xfId="9874"/>
    <cellStyle name="Comma 6 5 5" xfId="9875"/>
    <cellStyle name="Comma 6 5 6" xfId="9876"/>
    <cellStyle name="Comma 6 5 7" xfId="9877"/>
    <cellStyle name="Comma 6 5 8" xfId="9878"/>
    <cellStyle name="Comma 6 5 9" xfId="9879"/>
    <cellStyle name="Comma 6 50" xfId="9880"/>
    <cellStyle name="Comma 6 51" xfId="21338"/>
    <cellStyle name="Comma 6 52" xfId="21339"/>
    <cellStyle name="Comma 6 53" xfId="21340"/>
    <cellStyle name="Comma 6 54" xfId="21341"/>
    <cellStyle name="Comma 6 55" xfId="21342"/>
    <cellStyle name="Comma 6 56" xfId="21343"/>
    <cellStyle name="Comma 6 57" xfId="21344"/>
    <cellStyle name="Comma 6 58" xfId="21345"/>
    <cellStyle name="Comma 6 59" xfId="21346"/>
    <cellStyle name="Comma 6 6" xfId="482"/>
    <cellStyle name="Comma 6 6 10" xfId="9881"/>
    <cellStyle name="Comma 6 6 11" xfId="9882"/>
    <cellStyle name="Comma 6 6 12" xfId="9883"/>
    <cellStyle name="Comma 6 6 13" xfId="9884"/>
    <cellStyle name="Comma 6 6 14" xfId="9885"/>
    <cellStyle name="Comma 6 6 15" xfId="9886"/>
    <cellStyle name="Comma 6 6 16" xfId="9887"/>
    <cellStyle name="Comma 6 6 17" xfId="9888"/>
    <cellStyle name="Comma 6 6 18" xfId="9889"/>
    <cellStyle name="Comma 6 6 19" xfId="9890"/>
    <cellStyle name="Comma 6 6 2" xfId="483"/>
    <cellStyle name="Comma 6 6 20" xfId="9891"/>
    <cellStyle name="Comma 6 6 21" xfId="9892"/>
    <cellStyle name="Comma 6 6 22" xfId="9893"/>
    <cellStyle name="Comma 6 6 23" xfId="9894"/>
    <cellStyle name="Comma 6 6 24" xfId="9895"/>
    <cellStyle name="Comma 6 6 25" xfId="21347"/>
    <cellStyle name="Comma 6 6 26" xfId="21348"/>
    <cellStyle name="Comma 6 6 27" xfId="21349"/>
    <cellStyle name="Comma 6 6 28" xfId="21350"/>
    <cellStyle name="Comma 6 6 29" xfId="21351"/>
    <cellStyle name="Comma 6 6 3" xfId="9896"/>
    <cellStyle name="Comma 6 6 30" xfId="21352"/>
    <cellStyle name="Comma 6 6 31" xfId="21353"/>
    <cellStyle name="Comma 6 6 32" xfId="21354"/>
    <cellStyle name="Comma 6 6 33" xfId="21355"/>
    <cellStyle name="Comma 6 6 34" xfId="21356"/>
    <cellStyle name="Comma 6 6 35" xfId="21357"/>
    <cellStyle name="Comma 6 6 36" xfId="21358"/>
    <cellStyle name="Comma 6 6 37" xfId="21359"/>
    <cellStyle name="Comma 6 6 4" xfId="9897"/>
    <cellStyle name="Comma 6 6 5" xfId="9898"/>
    <cellStyle name="Comma 6 6 6" xfId="9899"/>
    <cellStyle name="Comma 6 6 7" xfId="9900"/>
    <cellStyle name="Comma 6 6 8" xfId="9901"/>
    <cellStyle name="Comma 6 6 9" xfId="9902"/>
    <cellStyle name="Comma 6 60" xfId="21360"/>
    <cellStyle name="Comma 6 61" xfId="21361"/>
    <cellStyle name="Comma 6 62" xfId="21362"/>
    <cellStyle name="Comma 6 63" xfId="21363"/>
    <cellStyle name="Comma 6 7" xfId="484"/>
    <cellStyle name="Comma 6 7 10" xfId="9903"/>
    <cellStyle name="Comma 6 7 11" xfId="9904"/>
    <cellStyle name="Comma 6 7 12" xfId="9905"/>
    <cellStyle name="Comma 6 7 13" xfId="9906"/>
    <cellStyle name="Comma 6 7 14" xfId="9907"/>
    <cellStyle name="Comma 6 7 15" xfId="9908"/>
    <cellStyle name="Comma 6 7 16" xfId="9909"/>
    <cellStyle name="Comma 6 7 17" xfId="9910"/>
    <cellStyle name="Comma 6 7 18" xfId="9911"/>
    <cellStyle name="Comma 6 7 19" xfId="9912"/>
    <cellStyle name="Comma 6 7 2" xfId="485"/>
    <cellStyle name="Comma 6 7 20" xfId="9913"/>
    <cellStyle name="Comma 6 7 21" xfId="9914"/>
    <cellStyle name="Comma 6 7 22" xfId="9915"/>
    <cellStyle name="Comma 6 7 23" xfId="9916"/>
    <cellStyle name="Comma 6 7 24" xfId="9917"/>
    <cellStyle name="Comma 6 7 25" xfId="21364"/>
    <cellStyle name="Comma 6 7 26" xfId="21365"/>
    <cellStyle name="Comma 6 7 27" xfId="21366"/>
    <cellStyle name="Comma 6 7 28" xfId="21367"/>
    <cellStyle name="Comma 6 7 29" xfId="21368"/>
    <cellStyle name="Comma 6 7 3" xfId="9918"/>
    <cellStyle name="Comma 6 7 30" xfId="21369"/>
    <cellStyle name="Comma 6 7 31" xfId="21370"/>
    <cellStyle name="Comma 6 7 32" xfId="21371"/>
    <cellStyle name="Comma 6 7 33" xfId="21372"/>
    <cellStyle name="Comma 6 7 34" xfId="21373"/>
    <cellStyle name="Comma 6 7 35" xfId="21374"/>
    <cellStyle name="Comma 6 7 36" xfId="21375"/>
    <cellStyle name="Comma 6 7 37" xfId="21376"/>
    <cellStyle name="Comma 6 7 4" xfId="9919"/>
    <cellStyle name="Comma 6 7 5" xfId="9920"/>
    <cellStyle name="Comma 6 7 6" xfId="9921"/>
    <cellStyle name="Comma 6 7 7" xfId="9922"/>
    <cellStyle name="Comma 6 7 8" xfId="9923"/>
    <cellStyle name="Comma 6 7 9" xfId="9924"/>
    <cellStyle name="Comma 6 8" xfId="486"/>
    <cellStyle name="Comma 6 8 10" xfId="9925"/>
    <cellStyle name="Comma 6 8 11" xfId="9926"/>
    <cellStyle name="Comma 6 8 12" xfId="9927"/>
    <cellStyle name="Comma 6 8 13" xfId="9928"/>
    <cellStyle name="Comma 6 8 14" xfId="9929"/>
    <cellStyle name="Comma 6 8 15" xfId="9930"/>
    <cellStyle name="Comma 6 8 16" xfId="9931"/>
    <cellStyle name="Comma 6 8 17" xfId="9932"/>
    <cellStyle name="Comma 6 8 18" xfId="9933"/>
    <cellStyle name="Comma 6 8 19" xfId="9934"/>
    <cellStyle name="Comma 6 8 2" xfId="487"/>
    <cellStyle name="Comma 6 8 20" xfId="9935"/>
    <cellStyle name="Comma 6 8 21" xfId="9936"/>
    <cellStyle name="Comma 6 8 22" xfId="9937"/>
    <cellStyle name="Comma 6 8 23" xfId="9938"/>
    <cellStyle name="Comma 6 8 24" xfId="9939"/>
    <cellStyle name="Comma 6 8 25" xfId="21377"/>
    <cellStyle name="Comma 6 8 26" xfId="21378"/>
    <cellStyle name="Comma 6 8 27" xfId="21379"/>
    <cellStyle name="Comma 6 8 28" xfId="21380"/>
    <cellStyle name="Comma 6 8 29" xfId="21381"/>
    <cellStyle name="Comma 6 8 3" xfId="9940"/>
    <cellStyle name="Comma 6 8 30" xfId="21382"/>
    <cellStyle name="Comma 6 8 31" xfId="21383"/>
    <cellStyle name="Comma 6 8 32" xfId="21384"/>
    <cellStyle name="Comma 6 8 33" xfId="21385"/>
    <cellStyle name="Comma 6 8 34" xfId="21386"/>
    <cellStyle name="Comma 6 8 35" xfId="21387"/>
    <cellStyle name="Comma 6 8 36" xfId="21388"/>
    <cellStyle name="Comma 6 8 37" xfId="21389"/>
    <cellStyle name="Comma 6 8 4" xfId="9941"/>
    <cellStyle name="Comma 6 8 5" xfId="9942"/>
    <cellStyle name="Comma 6 8 6" xfId="9943"/>
    <cellStyle name="Comma 6 8 7" xfId="9944"/>
    <cellStyle name="Comma 6 8 8" xfId="9945"/>
    <cellStyle name="Comma 6 8 9" xfId="9946"/>
    <cellStyle name="Comma 6 9" xfId="488"/>
    <cellStyle name="Comma 6 9 10" xfId="9947"/>
    <cellStyle name="Comma 6 9 11" xfId="9948"/>
    <cellStyle name="Comma 6 9 12" xfId="9949"/>
    <cellStyle name="Comma 6 9 13" xfId="9950"/>
    <cellStyle name="Comma 6 9 14" xfId="9951"/>
    <cellStyle name="Comma 6 9 15" xfId="9952"/>
    <cellStyle name="Comma 6 9 16" xfId="9953"/>
    <cellStyle name="Comma 6 9 17" xfId="9954"/>
    <cellStyle name="Comma 6 9 18" xfId="9955"/>
    <cellStyle name="Comma 6 9 19" xfId="9956"/>
    <cellStyle name="Comma 6 9 2" xfId="489"/>
    <cellStyle name="Comma 6 9 20" xfId="9957"/>
    <cellStyle name="Comma 6 9 21" xfId="9958"/>
    <cellStyle name="Comma 6 9 22" xfId="9959"/>
    <cellStyle name="Comma 6 9 23" xfId="9960"/>
    <cellStyle name="Comma 6 9 24" xfId="9961"/>
    <cellStyle name="Comma 6 9 25" xfId="21390"/>
    <cellStyle name="Comma 6 9 26" xfId="21391"/>
    <cellStyle name="Comma 6 9 27" xfId="21392"/>
    <cellStyle name="Comma 6 9 28" xfId="21393"/>
    <cellStyle name="Comma 6 9 29" xfId="21394"/>
    <cellStyle name="Comma 6 9 3" xfId="9962"/>
    <cellStyle name="Comma 6 9 30" xfId="21395"/>
    <cellStyle name="Comma 6 9 31" xfId="21396"/>
    <cellStyle name="Comma 6 9 32" xfId="21397"/>
    <cellStyle name="Comma 6 9 33" xfId="21398"/>
    <cellStyle name="Comma 6 9 34" xfId="21399"/>
    <cellStyle name="Comma 6 9 35" xfId="21400"/>
    <cellStyle name="Comma 6 9 36" xfId="21401"/>
    <cellStyle name="Comma 6 9 37" xfId="21402"/>
    <cellStyle name="Comma 6 9 4" xfId="9963"/>
    <cellStyle name="Comma 6 9 5" xfId="9964"/>
    <cellStyle name="Comma 6 9 6" xfId="9965"/>
    <cellStyle name="Comma 6 9 7" xfId="9966"/>
    <cellStyle name="Comma 6 9 8" xfId="9967"/>
    <cellStyle name="Comma 6 9 9" xfId="9968"/>
    <cellStyle name="Comma 7" xfId="38"/>
    <cellStyle name="Comma 7 10" xfId="490"/>
    <cellStyle name="Comma 7 10 10" xfId="9969"/>
    <cellStyle name="Comma 7 10 11" xfId="9970"/>
    <cellStyle name="Comma 7 10 12" xfId="9971"/>
    <cellStyle name="Comma 7 10 13" xfId="9972"/>
    <cellStyle name="Comma 7 10 14" xfId="9973"/>
    <cellStyle name="Comma 7 10 15" xfId="9974"/>
    <cellStyle name="Comma 7 10 16" xfId="9975"/>
    <cellStyle name="Comma 7 10 17" xfId="9976"/>
    <cellStyle name="Comma 7 10 18" xfId="9977"/>
    <cellStyle name="Comma 7 10 19" xfId="9978"/>
    <cellStyle name="Comma 7 10 2" xfId="491"/>
    <cellStyle name="Comma 7 10 20" xfId="9979"/>
    <cellStyle name="Comma 7 10 21" xfId="9980"/>
    <cellStyle name="Comma 7 10 22" xfId="9981"/>
    <cellStyle name="Comma 7 10 23" xfId="9982"/>
    <cellStyle name="Comma 7 10 24" xfId="9983"/>
    <cellStyle name="Comma 7 10 25" xfId="21403"/>
    <cellStyle name="Comma 7 10 26" xfId="21404"/>
    <cellStyle name="Comma 7 10 27" xfId="21405"/>
    <cellStyle name="Comma 7 10 28" xfId="21406"/>
    <cellStyle name="Comma 7 10 29" xfId="21407"/>
    <cellStyle name="Comma 7 10 3" xfId="9984"/>
    <cellStyle name="Comma 7 10 30" xfId="21408"/>
    <cellStyle name="Comma 7 10 31" xfId="21409"/>
    <cellStyle name="Comma 7 10 32" xfId="21410"/>
    <cellStyle name="Comma 7 10 33" xfId="21411"/>
    <cellStyle name="Comma 7 10 34" xfId="21412"/>
    <cellStyle name="Comma 7 10 35" xfId="21413"/>
    <cellStyle name="Comma 7 10 36" xfId="21414"/>
    <cellStyle name="Comma 7 10 37" xfId="21415"/>
    <cellStyle name="Comma 7 10 4" xfId="9985"/>
    <cellStyle name="Comma 7 10 5" xfId="9986"/>
    <cellStyle name="Comma 7 10 6" xfId="9987"/>
    <cellStyle name="Comma 7 10 7" xfId="9988"/>
    <cellStyle name="Comma 7 10 8" xfId="9989"/>
    <cellStyle name="Comma 7 10 9" xfId="9990"/>
    <cellStyle name="Comma 7 11" xfId="492"/>
    <cellStyle name="Comma 7 11 10" xfId="9991"/>
    <cellStyle name="Comma 7 11 11" xfId="9992"/>
    <cellStyle name="Comma 7 11 12" xfId="9993"/>
    <cellStyle name="Comma 7 11 13" xfId="9994"/>
    <cellStyle name="Comma 7 11 14" xfId="9995"/>
    <cellStyle name="Comma 7 11 15" xfId="9996"/>
    <cellStyle name="Comma 7 11 16" xfId="9997"/>
    <cellStyle name="Comma 7 11 17" xfId="9998"/>
    <cellStyle name="Comma 7 11 18" xfId="9999"/>
    <cellStyle name="Comma 7 11 19" xfId="10000"/>
    <cellStyle name="Comma 7 11 2" xfId="493"/>
    <cellStyle name="Comma 7 11 20" xfId="10001"/>
    <cellStyle name="Comma 7 11 21" xfId="10002"/>
    <cellStyle name="Comma 7 11 22" xfId="10003"/>
    <cellStyle name="Comma 7 11 23" xfId="10004"/>
    <cellStyle name="Comma 7 11 24" xfId="10005"/>
    <cellStyle name="Comma 7 11 25" xfId="21416"/>
    <cellStyle name="Comma 7 11 26" xfId="21417"/>
    <cellStyle name="Comma 7 11 27" xfId="21418"/>
    <cellStyle name="Comma 7 11 28" xfId="21419"/>
    <cellStyle name="Comma 7 11 29" xfId="21420"/>
    <cellStyle name="Comma 7 11 3" xfId="10006"/>
    <cellStyle name="Comma 7 11 30" xfId="21421"/>
    <cellStyle name="Comma 7 11 31" xfId="21422"/>
    <cellStyle name="Comma 7 11 32" xfId="21423"/>
    <cellStyle name="Comma 7 11 33" xfId="21424"/>
    <cellStyle name="Comma 7 11 34" xfId="21425"/>
    <cellStyle name="Comma 7 11 35" xfId="21426"/>
    <cellStyle name="Comma 7 11 36" xfId="21427"/>
    <cellStyle name="Comma 7 11 37" xfId="21428"/>
    <cellStyle name="Comma 7 11 4" xfId="10007"/>
    <cellStyle name="Comma 7 11 5" xfId="10008"/>
    <cellStyle name="Comma 7 11 6" xfId="10009"/>
    <cellStyle name="Comma 7 11 7" xfId="10010"/>
    <cellStyle name="Comma 7 11 8" xfId="10011"/>
    <cellStyle name="Comma 7 11 9" xfId="10012"/>
    <cellStyle name="Comma 7 12" xfId="494"/>
    <cellStyle name="Comma 7 12 10" xfId="10013"/>
    <cellStyle name="Comma 7 12 11" xfId="10014"/>
    <cellStyle name="Comma 7 12 12" xfId="10015"/>
    <cellStyle name="Comma 7 12 13" xfId="10016"/>
    <cellStyle name="Comma 7 12 14" xfId="10017"/>
    <cellStyle name="Comma 7 12 15" xfId="10018"/>
    <cellStyle name="Comma 7 12 16" xfId="10019"/>
    <cellStyle name="Comma 7 12 17" xfId="10020"/>
    <cellStyle name="Comma 7 12 18" xfId="10021"/>
    <cellStyle name="Comma 7 12 19" xfId="10022"/>
    <cellStyle name="Comma 7 12 2" xfId="495"/>
    <cellStyle name="Comma 7 12 20" xfId="10023"/>
    <cellStyle name="Comma 7 12 21" xfId="10024"/>
    <cellStyle name="Comma 7 12 22" xfId="10025"/>
    <cellStyle name="Comma 7 12 23" xfId="10026"/>
    <cellStyle name="Comma 7 12 24" xfId="10027"/>
    <cellStyle name="Comma 7 12 25" xfId="21429"/>
    <cellStyle name="Comma 7 12 26" xfId="21430"/>
    <cellStyle name="Comma 7 12 27" xfId="21431"/>
    <cellStyle name="Comma 7 12 28" xfId="21432"/>
    <cellStyle name="Comma 7 12 29" xfId="21433"/>
    <cellStyle name="Comma 7 12 3" xfId="10028"/>
    <cellStyle name="Comma 7 12 30" xfId="21434"/>
    <cellStyle name="Comma 7 12 31" xfId="21435"/>
    <cellStyle name="Comma 7 12 32" xfId="21436"/>
    <cellStyle name="Comma 7 12 33" xfId="21437"/>
    <cellStyle name="Comma 7 12 34" xfId="21438"/>
    <cellStyle name="Comma 7 12 35" xfId="21439"/>
    <cellStyle name="Comma 7 12 36" xfId="21440"/>
    <cellStyle name="Comma 7 12 37" xfId="21441"/>
    <cellStyle name="Comma 7 12 4" xfId="10029"/>
    <cellStyle name="Comma 7 12 5" xfId="10030"/>
    <cellStyle name="Comma 7 12 6" xfId="10031"/>
    <cellStyle name="Comma 7 12 7" xfId="10032"/>
    <cellStyle name="Comma 7 12 8" xfId="10033"/>
    <cellStyle name="Comma 7 12 9" xfId="10034"/>
    <cellStyle name="Comma 7 13" xfId="496"/>
    <cellStyle name="Comma 7 13 10" xfId="10035"/>
    <cellStyle name="Comma 7 13 11" xfId="10036"/>
    <cellStyle name="Comma 7 13 12" xfId="10037"/>
    <cellStyle name="Comma 7 13 13" xfId="10038"/>
    <cellStyle name="Comma 7 13 14" xfId="10039"/>
    <cellStyle name="Comma 7 13 15" xfId="10040"/>
    <cellStyle name="Comma 7 13 16" xfId="10041"/>
    <cellStyle name="Comma 7 13 17" xfId="10042"/>
    <cellStyle name="Comma 7 13 18" xfId="10043"/>
    <cellStyle name="Comma 7 13 19" xfId="10044"/>
    <cellStyle name="Comma 7 13 2" xfId="497"/>
    <cellStyle name="Comma 7 13 20" xfId="10045"/>
    <cellStyle name="Comma 7 13 21" xfId="10046"/>
    <cellStyle name="Comma 7 13 22" xfId="10047"/>
    <cellStyle name="Comma 7 13 23" xfId="10048"/>
    <cellStyle name="Comma 7 13 24" xfId="10049"/>
    <cellStyle name="Comma 7 13 25" xfId="21442"/>
    <cellStyle name="Comma 7 13 26" xfId="21443"/>
    <cellStyle name="Comma 7 13 27" xfId="21444"/>
    <cellStyle name="Comma 7 13 28" xfId="21445"/>
    <cellStyle name="Comma 7 13 29" xfId="21446"/>
    <cellStyle name="Comma 7 13 3" xfId="10050"/>
    <cellStyle name="Comma 7 13 30" xfId="21447"/>
    <cellStyle name="Comma 7 13 31" xfId="21448"/>
    <cellStyle name="Comma 7 13 32" xfId="21449"/>
    <cellStyle name="Comma 7 13 33" xfId="21450"/>
    <cellStyle name="Comma 7 13 34" xfId="21451"/>
    <cellStyle name="Comma 7 13 35" xfId="21452"/>
    <cellStyle name="Comma 7 13 36" xfId="21453"/>
    <cellStyle name="Comma 7 13 37" xfId="21454"/>
    <cellStyle name="Comma 7 13 4" xfId="10051"/>
    <cellStyle name="Comma 7 13 5" xfId="10052"/>
    <cellStyle name="Comma 7 13 6" xfId="10053"/>
    <cellStyle name="Comma 7 13 7" xfId="10054"/>
    <cellStyle name="Comma 7 13 8" xfId="10055"/>
    <cellStyle name="Comma 7 13 9" xfId="10056"/>
    <cellStyle name="Comma 7 14" xfId="498"/>
    <cellStyle name="Comma 7 14 10" xfId="10057"/>
    <cellStyle name="Comma 7 14 11" xfId="10058"/>
    <cellStyle name="Comma 7 14 12" xfId="10059"/>
    <cellStyle name="Comma 7 14 13" xfId="10060"/>
    <cellStyle name="Comma 7 14 14" xfId="10061"/>
    <cellStyle name="Comma 7 14 15" xfId="10062"/>
    <cellStyle name="Comma 7 14 16" xfId="10063"/>
    <cellStyle name="Comma 7 14 17" xfId="10064"/>
    <cellStyle name="Comma 7 14 18" xfId="10065"/>
    <cellStyle name="Comma 7 14 19" xfId="10066"/>
    <cellStyle name="Comma 7 14 2" xfId="10067"/>
    <cellStyle name="Comma 7 14 20" xfId="10068"/>
    <cellStyle name="Comma 7 14 21" xfId="10069"/>
    <cellStyle name="Comma 7 14 22" xfId="10070"/>
    <cellStyle name="Comma 7 14 23" xfId="21455"/>
    <cellStyle name="Comma 7 14 24" xfId="21456"/>
    <cellStyle name="Comma 7 14 25" xfId="21457"/>
    <cellStyle name="Comma 7 14 26" xfId="21458"/>
    <cellStyle name="Comma 7 14 27" xfId="21459"/>
    <cellStyle name="Comma 7 14 28" xfId="21460"/>
    <cellStyle name="Comma 7 14 29" xfId="21461"/>
    <cellStyle name="Comma 7 14 3" xfId="10071"/>
    <cellStyle name="Comma 7 14 30" xfId="21462"/>
    <cellStyle name="Comma 7 14 31" xfId="21463"/>
    <cellStyle name="Comma 7 14 32" xfId="21464"/>
    <cellStyle name="Comma 7 14 33" xfId="21465"/>
    <cellStyle name="Comma 7 14 34" xfId="21466"/>
    <cellStyle name="Comma 7 14 35" xfId="21467"/>
    <cellStyle name="Comma 7 14 4" xfId="10072"/>
    <cellStyle name="Comma 7 14 5" xfId="10073"/>
    <cellStyle name="Comma 7 14 6" xfId="10074"/>
    <cellStyle name="Comma 7 14 7" xfId="10075"/>
    <cellStyle name="Comma 7 14 8" xfId="10076"/>
    <cellStyle name="Comma 7 14 9" xfId="10077"/>
    <cellStyle name="Comma 7 15" xfId="499"/>
    <cellStyle name="Comma 7 15 10" xfId="10078"/>
    <cellStyle name="Comma 7 15 11" xfId="10079"/>
    <cellStyle name="Comma 7 15 12" xfId="10080"/>
    <cellStyle name="Comma 7 15 13" xfId="10081"/>
    <cellStyle name="Comma 7 15 14" xfId="10082"/>
    <cellStyle name="Comma 7 15 15" xfId="10083"/>
    <cellStyle name="Comma 7 15 16" xfId="10084"/>
    <cellStyle name="Comma 7 15 17" xfId="10085"/>
    <cellStyle name="Comma 7 15 18" xfId="10086"/>
    <cellStyle name="Comma 7 15 19" xfId="10087"/>
    <cellStyle name="Comma 7 15 2" xfId="10088"/>
    <cellStyle name="Comma 7 15 20" xfId="10089"/>
    <cellStyle name="Comma 7 15 21" xfId="10090"/>
    <cellStyle name="Comma 7 15 22" xfId="10091"/>
    <cellStyle name="Comma 7 15 23" xfId="21468"/>
    <cellStyle name="Comma 7 15 24" xfId="21469"/>
    <cellStyle name="Comma 7 15 25" xfId="21470"/>
    <cellStyle name="Comma 7 15 26" xfId="21471"/>
    <cellStyle name="Comma 7 15 27" xfId="21472"/>
    <cellStyle name="Comma 7 15 28" xfId="21473"/>
    <cellStyle name="Comma 7 15 29" xfId="21474"/>
    <cellStyle name="Comma 7 15 3" xfId="10092"/>
    <cellStyle name="Comma 7 15 30" xfId="21475"/>
    <cellStyle name="Comma 7 15 31" xfId="21476"/>
    <cellStyle name="Comma 7 15 32" xfId="21477"/>
    <cellStyle name="Comma 7 15 33" xfId="21478"/>
    <cellStyle name="Comma 7 15 34" xfId="21479"/>
    <cellStyle name="Comma 7 15 35" xfId="21480"/>
    <cellStyle name="Comma 7 15 4" xfId="10093"/>
    <cellStyle name="Comma 7 15 5" xfId="10094"/>
    <cellStyle name="Comma 7 15 6" xfId="10095"/>
    <cellStyle name="Comma 7 15 7" xfId="10096"/>
    <cellStyle name="Comma 7 15 8" xfId="10097"/>
    <cellStyle name="Comma 7 15 9" xfId="10098"/>
    <cellStyle name="Comma 7 16" xfId="500"/>
    <cellStyle name="Comma 7 16 10" xfId="10099"/>
    <cellStyle name="Comma 7 16 11" xfId="10100"/>
    <cellStyle name="Comma 7 16 12" xfId="10101"/>
    <cellStyle name="Comma 7 16 13" xfId="10102"/>
    <cellStyle name="Comma 7 16 14" xfId="10103"/>
    <cellStyle name="Comma 7 16 15" xfId="10104"/>
    <cellStyle name="Comma 7 16 16" xfId="10105"/>
    <cellStyle name="Comma 7 16 17" xfId="10106"/>
    <cellStyle name="Comma 7 16 18" xfId="10107"/>
    <cellStyle name="Comma 7 16 19" xfId="10108"/>
    <cellStyle name="Comma 7 16 2" xfId="10109"/>
    <cellStyle name="Comma 7 16 20" xfId="10110"/>
    <cellStyle name="Comma 7 16 21" xfId="10111"/>
    <cellStyle name="Comma 7 16 22" xfId="10112"/>
    <cellStyle name="Comma 7 16 23" xfId="21481"/>
    <cellStyle name="Comma 7 16 24" xfId="21482"/>
    <cellStyle name="Comma 7 16 25" xfId="21483"/>
    <cellStyle name="Comma 7 16 26" xfId="21484"/>
    <cellStyle name="Comma 7 16 27" xfId="21485"/>
    <cellStyle name="Comma 7 16 28" xfId="21486"/>
    <cellStyle name="Comma 7 16 29" xfId="21487"/>
    <cellStyle name="Comma 7 16 3" xfId="10113"/>
    <cellStyle name="Comma 7 16 30" xfId="21488"/>
    <cellStyle name="Comma 7 16 31" xfId="21489"/>
    <cellStyle name="Comma 7 16 32" xfId="21490"/>
    <cellStyle name="Comma 7 16 33" xfId="21491"/>
    <cellStyle name="Comma 7 16 34" xfId="21492"/>
    <cellStyle name="Comma 7 16 35" xfId="21493"/>
    <cellStyle name="Comma 7 16 4" xfId="10114"/>
    <cellStyle name="Comma 7 16 5" xfId="10115"/>
    <cellStyle name="Comma 7 16 6" xfId="10116"/>
    <cellStyle name="Comma 7 16 7" xfId="10117"/>
    <cellStyle name="Comma 7 16 8" xfId="10118"/>
    <cellStyle name="Comma 7 16 9" xfId="10119"/>
    <cellStyle name="Comma 7 17" xfId="501"/>
    <cellStyle name="Comma 7 17 10" xfId="10120"/>
    <cellStyle name="Comma 7 17 11" xfId="10121"/>
    <cellStyle name="Comma 7 17 12" xfId="10122"/>
    <cellStyle name="Comma 7 17 13" xfId="10123"/>
    <cellStyle name="Comma 7 17 14" xfId="10124"/>
    <cellStyle name="Comma 7 17 15" xfId="10125"/>
    <cellStyle name="Comma 7 17 16" xfId="10126"/>
    <cellStyle name="Comma 7 17 17" xfId="10127"/>
    <cellStyle name="Comma 7 17 18" xfId="10128"/>
    <cellStyle name="Comma 7 17 19" xfId="10129"/>
    <cellStyle name="Comma 7 17 2" xfId="10130"/>
    <cellStyle name="Comma 7 17 20" xfId="10131"/>
    <cellStyle name="Comma 7 17 21" xfId="10132"/>
    <cellStyle name="Comma 7 17 22" xfId="10133"/>
    <cellStyle name="Comma 7 17 23" xfId="21494"/>
    <cellStyle name="Comma 7 17 24" xfId="21495"/>
    <cellStyle name="Comma 7 17 25" xfId="21496"/>
    <cellStyle name="Comma 7 17 26" xfId="21497"/>
    <cellStyle name="Comma 7 17 27" xfId="21498"/>
    <cellStyle name="Comma 7 17 28" xfId="21499"/>
    <cellStyle name="Comma 7 17 29" xfId="21500"/>
    <cellStyle name="Comma 7 17 3" xfId="10134"/>
    <cellStyle name="Comma 7 17 30" xfId="21501"/>
    <cellStyle name="Comma 7 17 31" xfId="21502"/>
    <cellStyle name="Comma 7 17 32" xfId="21503"/>
    <cellStyle name="Comma 7 17 33" xfId="21504"/>
    <cellStyle name="Comma 7 17 34" xfId="21505"/>
    <cellStyle name="Comma 7 17 35" xfId="21506"/>
    <cellStyle name="Comma 7 17 4" xfId="10135"/>
    <cellStyle name="Comma 7 17 5" xfId="10136"/>
    <cellStyle name="Comma 7 17 6" xfId="10137"/>
    <cellStyle name="Comma 7 17 7" xfId="10138"/>
    <cellStyle name="Comma 7 17 8" xfId="10139"/>
    <cellStyle name="Comma 7 17 9" xfId="10140"/>
    <cellStyle name="Comma 7 18" xfId="502"/>
    <cellStyle name="Comma 7 18 10" xfId="10141"/>
    <cellStyle name="Comma 7 18 11" xfId="10142"/>
    <cellStyle name="Comma 7 18 12" xfId="10143"/>
    <cellStyle name="Comma 7 18 13" xfId="10144"/>
    <cellStyle name="Comma 7 18 14" xfId="10145"/>
    <cellStyle name="Comma 7 18 15" xfId="10146"/>
    <cellStyle name="Comma 7 18 16" xfId="10147"/>
    <cellStyle name="Comma 7 18 17" xfId="10148"/>
    <cellStyle name="Comma 7 18 18" xfId="10149"/>
    <cellStyle name="Comma 7 18 19" xfId="10150"/>
    <cellStyle name="Comma 7 18 2" xfId="10151"/>
    <cellStyle name="Comma 7 18 20" xfId="10152"/>
    <cellStyle name="Comma 7 18 21" xfId="10153"/>
    <cellStyle name="Comma 7 18 22" xfId="10154"/>
    <cellStyle name="Comma 7 18 23" xfId="21507"/>
    <cellStyle name="Comma 7 18 24" xfId="21508"/>
    <cellStyle name="Comma 7 18 25" xfId="21509"/>
    <cellStyle name="Comma 7 18 26" xfId="21510"/>
    <cellStyle name="Comma 7 18 27" xfId="21511"/>
    <cellStyle name="Comma 7 18 28" xfId="21512"/>
    <cellStyle name="Comma 7 18 29" xfId="21513"/>
    <cellStyle name="Comma 7 18 3" xfId="10155"/>
    <cellStyle name="Comma 7 18 30" xfId="21514"/>
    <cellStyle name="Comma 7 18 31" xfId="21515"/>
    <cellStyle name="Comma 7 18 32" xfId="21516"/>
    <cellStyle name="Comma 7 18 33" xfId="21517"/>
    <cellStyle name="Comma 7 18 34" xfId="21518"/>
    <cellStyle name="Comma 7 18 35" xfId="21519"/>
    <cellStyle name="Comma 7 18 4" xfId="10156"/>
    <cellStyle name="Comma 7 18 5" xfId="10157"/>
    <cellStyle name="Comma 7 18 6" xfId="10158"/>
    <cellStyle name="Comma 7 18 7" xfId="10159"/>
    <cellStyle name="Comma 7 18 8" xfId="10160"/>
    <cellStyle name="Comma 7 18 9" xfId="10161"/>
    <cellStyle name="Comma 7 19" xfId="503"/>
    <cellStyle name="Comma 7 19 10" xfId="10162"/>
    <cellStyle name="Comma 7 19 11" xfId="10163"/>
    <cellStyle name="Comma 7 19 12" xfId="10164"/>
    <cellStyle name="Comma 7 19 13" xfId="10165"/>
    <cellStyle name="Comma 7 19 14" xfId="10166"/>
    <cellStyle name="Comma 7 19 15" xfId="10167"/>
    <cellStyle name="Comma 7 19 16" xfId="10168"/>
    <cellStyle name="Comma 7 19 17" xfId="10169"/>
    <cellStyle name="Comma 7 19 18" xfId="10170"/>
    <cellStyle name="Comma 7 19 19" xfId="10171"/>
    <cellStyle name="Comma 7 19 2" xfId="10172"/>
    <cellStyle name="Comma 7 19 20" xfId="10173"/>
    <cellStyle name="Comma 7 19 21" xfId="10174"/>
    <cellStyle name="Comma 7 19 22" xfId="10175"/>
    <cellStyle name="Comma 7 19 23" xfId="21520"/>
    <cellStyle name="Comma 7 19 24" xfId="21521"/>
    <cellStyle name="Comma 7 19 25" xfId="21522"/>
    <cellStyle name="Comma 7 19 26" xfId="21523"/>
    <cellStyle name="Comma 7 19 27" xfId="21524"/>
    <cellStyle name="Comma 7 19 28" xfId="21525"/>
    <cellStyle name="Comma 7 19 29" xfId="21526"/>
    <cellStyle name="Comma 7 19 3" xfId="10176"/>
    <cellStyle name="Comma 7 19 30" xfId="21527"/>
    <cellStyle name="Comma 7 19 31" xfId="21528"/>
    <cellStyle name="Comma 7 19 32" xfId="21529"/>
    <cellStyle name="Comma 7 19 33" xfId="21530"/>
    <cellStyle name="Comma 7 19 34" xfId="21531"/>
    <cellStyle name="Comma 7 19 35" xfId="21532"/>
    <cellStyle name="Comma 7 19 4" xfId="10177"/>
    <cellStyle name="Comma 7 19 5" xfId="10178"/>
    <cellStyle name="Comma 7 19 6" xfId="10179"/>
    <cellStyle name="Comma 7 19 7" xfId="10180"/>
    <cellStyle name="Comma 7 19 8" xfId="10181"/>
    <cellStyle name="Comma 7 19 9" xfId="10182"/>
    <cellStyle name="Comma 7 2" xfId="39"/>
    <cellStyle name="Comma 7 2 10" xfId="1127"/>
    <cellStyle name="Comma 7 2 11" xfId="1176"/>
    <cellStyle name="Comma 7 2 12" xfId="1212"/>
    <cellStyle name="Comma 7 2 13" xfId="1244"/>
    <cellStyle name="Comma 7 2 14" xfId="1277"/>
    <cellStyle name="Comma 7 2 15" xfId="1310"/>
    <cellStyle name="Comma 7 2 16" xfId="1342"/>
    <cellStyle name="Comma 7 2 17" xfId="1424"/>
    <cellStyle name="Comma 7 2 18" xfId="1551"/>
    <cellStyle name="Comma 7 2 19" xfId="1604"/>
    <cellStyle name="Comma 7 2 2" xfId="504"/>
    <cellStyle name="Comma 7 2 20" xfId="1656"/>
    <cellStyle name="Comma 7 2 21" xfId="1726"/>
    <cellStyle name="Comma 7 2 22" xfId="1819"/>
    <cellStyle name="Comma 7 2 23" xfId="2126"/>
    <cellStyle name="Comma 7 2 24" xfId="2740"/>
    <cellStyle name="Comma 7 2 25" xfId="2254"/>
    <cellStyle name="Comma 7 2 26" xfId="2751"/>
    <cellStyle name="Comma 7 2 27" xfId="2874"/>
    <cellStyle name="Comma 7 2 28" xfId="2096"/>
    <cellStyle name="Comma 7 2 29" xfId="2460"/>
    <cellStyle name="Comma 7 2 3" xfId="950"/>
    <cellStyle name="Comma 7 2 30" xfId="21533"/>
    <cellStyle name="Comma 7 2 31" xfId="21534"/>
    <cellStyle name="Comma 7 2 32" xfId="21535"/>
    <cellStyle name="Comma 7 2 33" xfId="21536"/>
    <cellStyle name="Comma 7 2 34" xfId="21537"/>
    <cellStyle name="Comma 7 2 35" xfId="21538"/>
    <cellStyle name="Comma 7 2 36" xfId="21539"/>
    <cellStyle name="Comma 7 2 37" xfId="21540"/>
    <cellStyle name="Comma 7 2 38" xfId="21541"/>
    <cellStyle name="Comma 7 2 4" xfId="929"/>
    <cellStyle name="Comma 7 2 5" xfId="978"/>
    <cellStyle name="Comma 7 2 6" xfId="1013"/>
    <cellStyle name="Comma 7 2 7" xfId="1046"/>
    <cellStyle name="Comma 7 2 8" xfId="1077"/>
    <cellStyle name="Comma 7 2 9" xfId="1148"/>
    <cellStyle name="Comma 7 20" xfId="505"/>
    <cellStyle name="Comma 7 20 10" xfId="10183"/>
    <cellStyle name="Comma 7 20 11" xfId="10184"/>
    <cellStyle name="Comma 7 20 12" xfId="10185"/>
    <cellStyle name="Comma 7 20 13" xfId="10186"/>
    <cellStyle name="Comma 7 20 14" xfId="10187"/>
    <cellStyle name="Comma 7 20 15" xfId="10188"/>
    <cellStyle name="Comma 7 20 16" xfId="10189"/>
    <cellStyle name="Comma 7 20 17" xfId="10190"/>
    <cellStyle name="Comma 7 20 18" xfId="10191"/>
    <cellStyle name="Comma 7 20 19" xfId="10192"/>
    <cellStyle name="Comma 7 20 2" xfId="10193"/>
    <cellStyle name="Comma 7 20 20" xfId="10194"/>
    <cellStyle name="Comma 7 20 21" xfId="10195"/>
    <cellStyle name="Comma 7 20 22" xfId="10196"/>
    <cellStyle name="Comma 7 20 23" xfId="21542"/>
    <cellStyle name="Comma 7 20 24" xfId="21543"/>
    <cellStyle name="Comma 7 20 25" xfId="21544"/>
    <cellStyle name="Comma 7 20 26" xfId="21545"/>
    <cellStyle name="Comma 7 20 27" xfId="21546"/>
    <cellStyle name="Comma 7 20 28" xfId="21547"/>
    <cellStyle name="Comma 7 20 29" xfId="21548"/>
    <cellStyle name="Comma 7 20 3" xfId="10197"/>
    <cellStyle name="Comma 7 20 30" xfId="21549"/>
    <cellStyle name="Comma 7 20 31" xfId="21550"/>
    <cellStyle name="Comma 7 20 32" xfId="21551"/>
    <cellStyle name="Comma 7 20 33" xfId="21552"/>
    <cellStyle name="Comma 7 20 34" xfId="21553"/>
    <cellStyle name="Comma 7 20 35" xfId="21554"/>
    <cellStyle name="Comma 7 20 4" xfId="10198"/>
    <cellStyle name="Comma 7 20 5" xfId="10199"/>
    <cellStyle name="Comma 7 20 6" xfId="10200"/>
    <cellStyle name="Comma 7 20 7" xfId="10201"/>
    <cellStyle name="Comma 7 20 8" xfId="10202"/>
    <cellStyle name="Comma 7 20 9" xfId="10203"/>
    <cellStyle name="Comma 7 21" xfId="506"/>
    <cellStyle name="Comma 7 21 10" xfId="10204"/>
    <cellStyle name="Comma 7 21 11" xfId="10205"/>
    <cellStyle name="Comma 7 21 12" xfId="10206"/>
    <cellStyle name="Comma 7 21 13" xfId="10207"/>
    <cellStyle name="Comma 7 21 14" xfId="10208"/>
    <cellStyle name="Comma 7 21 15" xfId="10209"/>
    <cellStyle name="Comma 7 21 16" xfId="10210"/>
    <cellStyle name="Comma 7 21 17" xfId="10211"/>
    <cellStyle name="Comma 7 21 18" xfId="10212"/>
    <cellStyle name="Comma 7 21 19" xfId="10213"/>
    <cellStyle name="Comma 7 21 2" xfId="10214"/>
    <cellStyle name="Comma 7 21 20" xfId="10215"/>
    <cellStyle name="Comma 7 21 21" xfId="10216"/>
    <cellStyle name="Comma 7 21 22" xfId="10217"/>
    <cellStyle name="Comma 7 21 23" xfId="21555"/>
    <cellStyle name="Comma 7 21 24" xfId="21556"/>
    <cellStyle name="Comma 7 21 25" xfId="21557"/>
    <cellStyle name="Comma 7 21 26" xfId="21558"/>
    <cellStyle name="Comma 7 21 27" xfId="21559"/>
    <cellStyle name="Comma 7 21 28" xfId="21560"/>
    <cellStyle name="Comma 7 21 29" xfId="21561"/>
    <cellStyle name="Comma 7 21 3" xfId="10218"/>
    <cellStyle name="Comma 7 21 30" xfId="21562"/>
    <cellStyle name="Comma 7 21 31" xfId="21563"/>
    <cellStyle name="Comma 7 21 32" xfId="21564"/>
    <cellStyle name="Comma 7 21 33" xfId="21565"/>
    <cellStyle name="Comma 7 21 34" xfId="21566"/>
    <cellStyle name="Comma 7 21 35" xfId="21567"/>
    <cellStyle name="Comma 7 21 4" xfId="10219"/>
    <cellStyle name="Comma 7 21 5" xfId="10220"/>
    <cellStyle name="Comma 7 21 6" xfId="10221"/>
    <cellStyle name="Comma 7 21 7" xfId="10222"/>
    <cellStyle name="Comma 7 21 8" xfId="10223"/>
    <cellStyle name="Comma 7 21 9" xfId="10224"/>
    <cellStyle name="Comma 7 22" xfId="507"/>
    <cellStyle name="Comma 7 22 10" xfId="10225"/>
    <cellStyle name="Comma 7 22 11" xfId="10226"/>
    <cellStyle name="Comma 7 22 12" xfId="10227"/>
    <cellStyle name="Comma 7 22 13" xfId="10228"/>
    <cellStyle name="Comma 7 22 14" xfId="10229"/>
    <cellStyle name="Comma 7 22 15" xfId="10230"/>
    <cellStyle name="Comma 7 22 16" xfId="10231"/>
    <cellStyle name="Comma 7 22 17" xfId="10232"/>
    <cellStyle name="Comma 7 22 18" xfId="10233"/>
    <cellStyle name="Comma 7 22 19" xfId="10234"/>
    <cellStyle name="Comma 7 22 2" xfId="10235"/>
    <cellStyle name="Comma 7 22 20" xfId="10236"/>
    <cellStyle name="Comma 7 22 21" xfId="10237"/>
    <cellStyle name="Comma 7 22 22" xfId="10238"/>
    <cellStyle name="Comma 7 22 23" xfId="21568"/>
    <cellStyle name="Comma 7 22 24" xfId="21569"/>
    <cellStyle name="Comma 7 22 25" xfId="21570"/>
    <cellStyle name="Comma 7 22 26" xfId="21571"/>
    <cellStyle name="Comma 7 22 27" xfId="21572"/>
    <cellStyle name="Comma 7 22 28" xfId="21573"/>
    <cellStyle name="Comma 7 22 29" xfId="21574"/>
    <cellStyle name="Comma 7 22 3" xfId="10239"/>
    <cellStyle name="Comma 7 22 30" xfId="21575"/>
    <cellStyle name="Comma 7 22 31" xfId="21576"/>
    <cellStyle name="Comma 7 22 32" xfId="21577"/>
    <cellStyle name="Comma 7 22 33" xfId="21578"/>
    <cellStyle name="Comma 7 22 34" xfId="21579"/>
    <cellStyle name="Comma 7 22 35" xfId="21580"/>
    <cellStyle name="Comma 7 22 4" xfId="10240"/>
    <cellStyle name="Comma 7 22 5" xfId="10241"/>
    <cellStyle name="Comma 7 22 6" xfId="10242"/>
    <cellStyle name="Comma 7 22 7" xfId="10243"/>
    <cellStyle name="Comma 7 22 8" xfId="10244"/>
    <cellStyle name="Comma 7 22 9" xfId="10245"/>
    <cellStyle name="Comma 7 23" xfId="508"/>
    <cellStyle name="Comma 7 23 10" xfId="10246"/>
    <cellStyle name="Comma 7 23 11" xfId="10247"/>
    <cellStyle name="Comma 7 23 12" xfId="10248"/>
    <cellStyle name="Comma 7 23 13" xfId="10249"/>
    <cellStyle name="Comma 7 23 14" xfId="10250"/>
    <cellStyle name="Comma 7 23 15" xfId="10251"/>
    <cellStyle name="Comma 7 23 16" xfId="10252"/>
    <cellStyle name="Comma 7 23 17" xfId="10253"/>
    <cellStyle name="Comma 7 23 18" xfId="10254"/>
    <cellStyle name="Comma 7 23 19" xfId="10255"/>
    <cellStyle name="Comma 7 23 2" xfId="10256"/>
    <cellStyle name="Comma 7 23 20" xfId="10257"/>
    <cellStyle name="Comma 7 23 21" xfId="10258"/>
    <cellStyle name="Comma 7 23 22" xfId="10259"/>
    <cellStyle name="Comma 7 23 23" xfId="21581"/>
    <cellStyle name="Comma 7 23 24" xfId="21582"/>
    <cellStyle name="Comma 7 23 25" xfId="21583"/>
    <cellStyle name="Comma 7 23 26" xfId="21584"/>
    <cellStyle name="Comma 7 23 27" xfId="21585"/>
    <cellStyle name="Comma 7 23 28" xfId="21586"/>
    <cellStyle name="Comma 7 23 29" xfId="21587"/>
    <cellStyle name="Comma 7 23 3" xfId="10260"/>
    <cellStyle name="Comma 7 23 30" xfId="21588"/>
    <cellStyle name="Comma 7 23 31" xfId="21589"/>
    <cellStyle name="Comma 7 23 32" xfId="21590"/>
    <cellStyle name="Comma 7 23 33" xfId="21591"/>
    <cellStyle name="Comma 7 23 34" xfId="21592"/>
    <cellStyle name="Comma 7 23 35" xfId="21593"/>
    <cellStyle name="Comma 7 23 4" xfId="10261"/>
    <cellStyle name="Comma 7 23 5" xfId="10262"/>
    <cellStyle name="Comma 7 23 6" xfId="10263"/>
    <cellStyle name="Comma 7 23 7" xfId="10264"/>
    <cellStyle name="Comma 7 23 8" xfId="10265"/>
    <cellStyle name="Comma 7 23 9" xfId="10266"/>
    <cellStyle name="Comma 7 24" xfId="509"/>
    <cellStyle name="Comma 7 24 10" xfId="10267"/>
    <cellStyle name="Comma 7 24 11" xfId="10268"/>
    <cellStyle name="Comma 7 24 12" xfId="10269"/>
    <cellStyle name="Comma 7 24 13" xfId="10270"/>
    <cellStyle name="Comma 7 24 14" xfId="10271"/>
    <cellStyle name="Comma 7 24 15" xfId="10272"/>
    <cellStyle name="Comma 7 24 16" xfId="10273"/>
    <cellStyle name="Comma 7 24 17" xfId="10274"/>
    <cellStyle name="Comma 7 24 18" xfId="10275"/>
    <cellStyle name="Comma 7 24 19" xfId="10276"/>
    <cellStyle name="Comma 7 24 2" xfId="10277"/>
    <cellStyle name="Comma 7 24 20" xfId="10278"/>
    <cellStyle name="Comma 7 24 21" xfId="10279"/>
    <cellStyle name="Comma 7 24 22" xfId="10280"/>
    <cellStyle name="Comma 7 24 23" xfId="21594"/>
    <cellStyle name="Comma 7 24 24" xfId="21595"/>
    <cellStyle name="Comma 7 24 25" xfId="21596"/>
    <cellStyle name="Comma 7 24 26" xfId="21597"/>
    <cellStyle name="Comma 7 24 27" xfId="21598"/>
    <cellStyle name="Comma 7 24 28" xfId="21599"/>
    <cellStyle name="Comma 7 24 29" xfId="21600"/>
    <cellStyle name="Comma 7 24 3" xfId="10281"/>
    <cellStyle name="Comma 7 24 30" xfId="21601"/>
    <cellStyle name="Comma 7 24 31" xfId="21602"/>
    <cellStyle name="Comma 7 24 32" xfId="21603"/>
    <cellStyle name="Comma 7 24 33" xfId="21604"/>
    <cellStyle name="Comma 7 24 34" xfId="21605"/>
    <cellStyle name="Comma 7 24 35" xfId="21606"/>
    <cellStyle name="Comma 7 24 4" xfId="10282"/>
    <cellStyle name="Comma 7 24 5" xfId="10283"/>
    <cellStyle name="Comma 7 24 6" xfId="10284"/>
    <cellStyle name="Comma 7 24 7" xfId="10285"/>
    <cellStyle name="Comma 7 24 8" xfId="10286"/>
    <cellStyle name="Comma 7 24 9" xfId="10287"/>
    <cellStyle name="Comma 7 25" xfId="510"/>
    <cellStyle name="Comma 7 25 10" xfId="10288"/>
    <cellStyle name="Comma 7 25 11" xfId="10289"/>
    <cellStyle name="Comma 7 25 12" xfId="10290"/>
    <cellStyle name="Comma 7 25 13" xfId="10291"/>
    <cellStyle name="Comma 7 25 14" xfId="10292"/>
    <cellStyle name="Comma 7 25 15" xfId="10293"/>
    <cellStyle name="Comma 7 25 16" xfId="10294"/>
    <cellStyle name="Comma 7 25 17" xfId="10295"/>
    <cellStyle name="Comma 7 25 18" xfId="10296"/>
    <cellStyle name="Comma 7 25 19" xfId="10297"/>
    <cellStyle name="Comma 7 25 2" xfId="10298"/>
    <cellStyle name="Comma 7 25 20" xfId="10299"/>
    <cellStyle name="Comma 7 25 21" xfId="10300"/>
    <cellStyle name="Comma 7 25 22" xfId="10301"/>
    <cellStyle name="Comma 7 25 23" xfId="21607"/>
    <cellStyle name="Comma 7 25 24" xfId="21608"/>
    <cellStyle name="Comma 7 25 25" xfId="21609"/>
    <cellStyle name="Comma 7 25 26" xfId="21610"/>
    <cellStyle name="Comma 7 25 27" xfId="21611"/>
    <cellStyle name="Comma 7 25 28" xfId="21612"/>
    <cellStyle name="Comma 7 25 29" xfId="21613"/>
    <cellStyle name="Comma 7 25 3" xfId="10302"/>
    <cellStyle name="Comma 7 25 30" xfId="21614"/>
    <cellStyle name="Comma 7 25 31" xfId="21615"/>
    <cellStyle name="Comma 7 25 32" xfId="21616"/>
    <cellStyle name="Comma 7 25 33" xfId="21617"/>
    <cellStyle name="Comma 7 25 34" xfId="21618"/>
    <cellStyle name="Comma 7 25 35" xfId="21619"/>
    <cellStyle name="Comma 7 25 4" xfId="10303"/>
    <cellStyle name="Comma 7 25 5" xfId="10304"/>
    <cellStyle name="Comma 7 25 6" xfId="10305"/>
    <cellStyle name="Comma 7 25 7" xfId="10306"/>
    <cellStyle name="Comma 7 25 8" xfId="10307"/>
    <cellStyle name="Comma 7 25 9" xfId="10308"/>
    <cellStyle name="Comma 7 26" xfId="511"/>
    <cellStyle name="Comma 7 26 10" xfId="10309"/>
    <cellStyle name="Comma 7 26 11" xfId="10310"/>
    <cellStyle name="Comma 7 26 12" xfId="10311"/>
    <cellStyle name="Comma 7 26 13" xfId="10312"/>
    <cellStyle name="Comma 7 26 14" xfId="10313"/>
    <cellStyle name="Comma 7 26 15" xfId="10314"/>
    <cellStyle name="Comma 7 26 16" xfId="10315"/>
    <cellStyle name="Comma 7 26 17" xfId="10316"/>
    <cellStyle name="Comma 7 26 18" xfId="10317"/>
    <cellStyle name="Comma 7 26 19" xfId="10318"/>
    <cellStyle name="Comma 7 26 2" xfId="10319"/>
    <cellStyle name="Comma 7 26 20" xfId="10320"/>
    <cellStyle name="Comma 7 26 21" xfId="10321"/>
    <cellStyle name="Comma 7 26 22" xfId="10322"/>
    <cellStyle name="Comma 7 26 23" xfId="21620"/>
    <cellStyle name="Comma 7 26 24" xfId="21621"/>
    <cellStyle name="Comma 7 26 25" xfId="21622"/>
    <cellStyle name="Comma 7 26 26" xfId="21623"/>
    <cellStyle name="Comma 7 26 27" xfId="21624"/>
    <cellStyle name="Comma 7 26 28" xfId="21625"/>
    <cellStyle name="Comma 7 26 29" xfId="21626"/>
    <cellStyle name="Comma 7 26 3" xfId="10323"/>
    <cellStyle name="Comma 7 26 30" xfId="21627"/>
    <cellStyle name="Comma 7 26 31" xfId="21628"/>
    <cellStyle name="Comma 7 26 32" xfId="21629"/>
    <cellStyle name="Comma 7 26 33" xfId="21630"/>
    <cellStyle name="Comma 7 26 34" xfId="21631"/>
    <cellStyle name="Comma 7 26 35" xfId="21632"/>
    <cellStyle name="Comma 7 26 4" xfId="10324"/>
    <cellStyle name="Comma 7 26 5" xfId="10325"/>
    <cellStyle name="Comma 7 26 6" xfId="10326"/>
    <cellStyle name="Comma 7 26 7" xfId="10327"/>
    <cellStyle name="Comma 7 26 8" xfId="10328"/>
    <cellStyle name="Comma 7 26 9" xfId="10329"/>
    <cellStyle name="Comma 7 27" xfId="512"/>
    <cellStyle name="Comma 7 28" xfId="949"/>
    <cellStyle name="Comma 7 29" xfId="930"/>
    <cellStyle name="Comma 7 3" xfId="40"/>
    <cellStyle name="Comma 7 3 10" xfId="1126"/>
    <cellStyle name="Comma 7 3 11" xfId="1179"/>
    <cellStyle name="Comma 7 3 12" xfId="1214"/>
    <cellStyle name="Comma 7 3 13" xfId="1247"/>
    <cellStyle name="Comma 7 3 14" xfId="1280"/>
    <cellStyle name="Comma 7 3 15" xfId="1313"/>
    <cellStyle name="Comma 7 3 16" xfId="1345"/>
    <cellStyle name="Comma 7 3 17" xfId="1425"/>
    <cellStyle name="Comma 7 3 18" xfId="1550"/>
    <cellStyle name="Comma 7 3 19" xfId="1603"/>
    <cellStyle name="Comma 7 3 2" xfId="513"/>
    <cellStyle name="Comma 7 3 20" xfId="1655"/>
    <cellStyle name="Comma 7 3 21" xfId="1727"/>
    <cellStyle name="Comma 7 3 22" xfId="1818"/>
    <cellStyle name="Comma 7 3 23" xfId="2127"/>
    <cellStyle name="Comma 7 3 24" xfId="2720"/>
    <cellStyle name="Comma 7 3 25" xfId="2901"/>
    <cellStyle name="Comma 7 3 26" xfId="2983"/>
    <cellStyle name="Comma 7 3 27" xfId="3053"/>
    <cellStyle name="Comma 7 3 28" xfId="3112"/>
    <cellStyle name="Comma 7 3 29" xfId="2489"/>
    <cellStyle name="Comma 7 3 3" xfId="951"/>
    <cellStyle name="Comma 7 3 30" xfId="21633"/>
    <cellStyle name="Comma 7 3 31" xfId="21634"/>
    <cellStyle name="Comma 7 3 32" xfId="21635"/>
    <cellStyle name="Comma 7 3 33" xfId="21636"/>
    <cellStyle name="Comma 7 3 34" xfId="21637"/>
    <cellStyle name="Comma 7 3 35" xfId="21638"/>
    <cellStyle name="Comma 7 3 36" xfId="21639"/>
    <cellStyle name="Comma 7 3 37" xfId="21640"/>
    <cellStyle name="Comma 7 3 38" xfId="21641"/>
    <cellStyle name="Comma 7 3 4" xfId="928"/>
    <cellStyle name="Comma 7 3 5" xfId="981"/>
    <cellStyle name="Comma 7 3 6" xfId="1016"/>
    <cellStyle name="Comma 7 3 7" xfId="1048"/>
    <cellStyle name="Comma 7 3 8" xfId="1080"/>
    <cellStyle name="Comma 7 3 9" xfId="1149"/>
    <cellStyle name="Comma 7 30" xfId="977"/>
    <cellStyle name="Comma 7 31" xfId="1012"/>
    <cellStyle name="Comma 7 32" xfId="1045"/>
    <cellStyle name="Comma 7 33" xfId="1076"/>
    <cellStyle name="Comma 7 34" xfId="1147"/>
    <cellStyle name="Comma 7 35" xfId="1128"/>
    <cellStyle name="Comma 7 36" xfId="1175"/>
    <cellStyle name="Comma 7 37" xfId="1211"/>
    <cellStyle name="Comma 7 38" xfId="1243"/>
    <cellStyle name="Comma 7 39" xfId="1276"/>
    <cellStyle name="Comma 7 4" xfId="41"/>
    <cellStyle name="Comma 7 4 10" xfId="1183"/>
    <cellStyle name="Comma 7 4 11" xfId="1180"/>
    <cellStyle name="Comma 7 4 12" xfId="1215"/>
    <cellStyle name="Comma 7 4 13" xfId="1248"/>
    <cellStyle name="Comma 7 4 14" xfId="1281"/>
    <cellStyle name="Comma 7 4 15" xfId="1314"/>
    <cellStyle name="Comma 7 4 16" xfId="1346"/>
    <cellStyle name="Comma 7 4 17" xfId="1426"/>
    <cellStyle name="Comma 7 4 18" xfId="1549"/>
    <cellStyle name="Comma 7 4 19" xfId="1602"/>
    <cellStyle name="Comma 7 4 2" xfId="514"/>
    <cellStyle name="Comma 7 4 20" xfId="1654"/>
    <cellStyle name="Comma 7 4 21" xfId="1728"/>
    <cellStyle name="Comma 7 4 22" xfId="1817"/>
    <cellStyle name="Comma 7 4 23" xfId="2128"/>
    <cellStyle name="Comma 7 4 24" xfId="2699"/>
    <cellStyle name="Comma 7 4 25" xfId="2281"/>
    <cellStyle name="Comma 7 4 26" xfId="2473"/>
    <cellStyle name="Comma 7 4 27" xfId="2375"/>
    <cellStyle name="Comma 7 4 28" xfId="2712"/>
    <cellStyle name="Comma 7 4 29" xfId="2782"/>
    <cellStyle name="Comma 7 4 3" xfId="952"/>
    <cellStyle name="Comma 7 4 30" xfId="21642"/>
    <cellStyle name="Comma 7 4 31" xfId="21643"/>
    <cellStyle name="Comma 7 4 32" xfId="21644"/>
    <cellStyle name="Comma 7 4 33" xfId="21645"/>
    <cellStyle name="Comma 7 4 34" xfId="21646"/>
    <cellStyle name="Comma 7 4 35" xfId="21647"/>
    <cellStyle name="Comma 7 4 36" xfId="21648"/>
    <cellStyle name="Comma 7 4 37" xfId="21649"/>
    <cellStyle name="Comma 7 4 38" xfId="21650"/>
    <cellStyle name="Comma 7 4 4" xfId="985"/>
    <cellStyle name="Comma 7 4 5" xfId="982"/>
    <cellStyle name="Comma 7 4 6" xfId="1017"/>
    <cellStyle name="Comma 7 4 7" xfId="1049"/>
    <cellStyle name="Comma 7 4 8" xfId="1081"/>
    <cellStyle name="Comma 7 4 9" xfId="1150"/>
    <cellStyle name="Comma 7 40" xfId="1309"/>
    <cellStyle name="Comma 7 41" xfId="1341"/>
    <cellStyle name="Comma 7 42" xfId="1423"/>
    <cellStyle name="Comma 7 43" xfId="1552"/>
    <cellStyle name="Comma 7 44" xfId="1605"/>
    <cellStyle name="Comma 7 45" xfId="1657"/>
    <cellStyle name="Comma 7 46" xfId="1725"/>
    <cellStyle name="Comma 7 47" xfId="1820"/>
    <cellStyle name="Comma 7 48" xfId="2125"/>
    <cellStyle name="Comma 7 49" xfId="2755"/>
    <cellStyle name="Comma 7 5" xfId="86"/>
    <cellStyle name="Comma 7 5 10" xfId="2860"/>
    <cellStyle name="Comma 7 5 11" xfId="2666"/>
    <cellStyle name="Comma 7 5 12" xfId="2299"/>
    <cellStyle name="Comma 7 5 13" xfId="2461"/>
    <cellStyle name="Comma 7 5 14" xfId="2387"/>
    <cellStyle name="Comma 7 5 15" xfId="3133"/>
    <cellStyle name="Comma 7 5 16" xfId="10330"/>
    <cellStyle name="Comma 7 5 17" xfId="10331"/>
    <cellStyle name="Comma 7 5 18" xfId="10332"/>
    <cellStyle name="Comma 7 5 19" xfId="10333"/>
    <cellStyle name="Comma 7 5 2" xfId="515"/>
    <cellStyle name="Comma 7 5 20" xfId="10334"/>
    <cellStyle name="Comma 7 5 21" xfId="10335"/>
    <cellStyle name="Comma 7 5 22" xfId="10336"/>
    <cellStyle name="Comma 7 5 23" xfId="10337"/>
    <cellStyle name="Comma 7 5 24" xfId="10338"/>
    <cellStyle name="Comma 7 5 25" xfId="10339"/>
    <cellStyle name="Comma 7 5 26" xfId="21651"/>
    <cellStyle name="Comma 7 5 27" xfId="21652"/>
    <cellStyle name="Comma 7 5 28" xfId="21653"/>
    <cellStyle name="Comma 7 5 29" xfId="21654"/>
    <cellStyle name="Comma 7 5 3" xfId="1460"/>
    <cellStyle name="Comma 7 5 30" xfId="21655"/>
    <cellStyle name="Comma 7 5 31" xfId="21656"/>
    <cellStyle name="Comma 7 5 32" xfId="21657"/>
    <cellStyle name="Comma 7 5 33" xfId="21658"/>
    <cellStyle name="Comma 7 5 34" xfId="21659"/>
    <cellStyle name="Comma 7 5 35" xfId="21660"/>
    <cellStyle name="Comma 7 5 36" xfId="21661"/>
    <cellStyle name="Comma 7 5 37" xfId="21662"/>
    <cellStyle name="Comma 7 5 38" xfId="21663"/>
    <cellStyle name="Comma 7 5 4" xfId="1520"/>
    <cellStyle name="Comma 7 5 5" xfId="1395"/>
    <cellStyle name="Comma 7 5 6" xfId="1452"/>
    <cellStyle name="Comma 7 5 7" xfId="1756"/>
    <cellStyle name="Comma 7 5 8" xfId="1789"/>
    <cellStyle name="Comma 7 5 9" xfId="2164"/>
    <cellStyle name="Comma 7 50" xfId="2247"/>
    <cellStyle name="Comma 7 51" xfId="2939"/>
    <cellStyle name="Comma 7 52" xfId="3019"/>
    <cellStyle name="Comma 7 53" xfId="3082"/>
    <cellStyle name="Comma 7 54" xfId="3162"/>
    <cellStyle name="Comma 7 55" xfId="21664"/>
    <cellStyle name="Comma 7 56" xfId="21665"/>
    <cellStyle name="Comma 7 57" xfId="21666"/>
    <cellStyle name="Comma 7 58" xfId="21667"/>
    <cellStyle name="Comma 7 59" xfId="21668"/>
    <cellStyle name="Comma 7 6" xfId="516"/>
    <cellStyle name="Comma 7 6 10" xfId="10340"/>
    <cellStyle name="Comma 7 6 11" xfId="10341"/>
    <cellStyle name="Comma 7 6 12" xfId="10342"/>
    <cellStyle name="Comma 7 6 13" xfId="10343"/>
    <cellStyle name="Comma 7 6 14" xfId="10344"/>
    <cellStyle name="Comma 7 6 15" xfId="10345"/>
    <cellStyle name="Comma 7 6 16" xfId="10346"/>
    <cellStyle name="Comma 7 6 17" xfId="10347"/>
    <cellStyle name="Comma 7 6 18" xfId="10348"/>
    <cellStyle name="Comma 7 6 19" xfId="10349"/>
    <cellStyle name="Comma 7 6 2" xfId="517"/>
    <cellStyle name="Comma 7 6 20" xfId="10350"/>
    <cellStyle name="Comma 7 6 21" xfId="10351"/>
    <cellStyle name="Comma 7 6 22" xfId="10352"/>
    <cellStyle name="Comma 7 6 23" xfId="10353"/>
    <cellStyle name="Comma 7 6 24" xfId="10354"/>
    <cellStyle name="Comma 7 6 25" xfId="21669"/>
    <cellStyle name="Comma 7 6 26" xfId="21670"/>
    <cellStyle name="Comma 7 6 27" xfId="21671"/>
    <cellStyle name="Comma 7 6 28" xfId="21672"/>
    <cellStyle name="Comma 7 6 29" xfId="21673"/>
    <cellStyle name="Comma 7 6 3" xfId="10355"/>
    <cellStyle name="Comma 7 6 30" xfId="21674"/>
    <cellStyle name="Comma 7 6 31" xfId="21675"/>
    <cellStyle name="Comma 7 6 32" xfId="21676"/>
    <cellStyle name="Comma 7 6 33" xfId="21677"/>
    <cellStyle name="Comma 7 6 34" xfId="21678"/>
    <cellStyle name="Comma 7 6 35" xfId="21679"/>
    <cellStyle name="Comma 7 6 36" xfId="21680"/>
    <cellStyle name="Comma 7 6 37" xfId="21681"/>
    <cellStyle name="Comma 7 6 4" xfId="10356"/>
    <cellStyle name="Comma 7 6 5" xfId="10357"/>
    <cellStyle name="Comma 7 6 6" xfId="10358"/>
    <cellStyle name="Comma 7 6 7" xfId="10359"/>
    <cellStyle name="Comma 7 6 8" xfId="10360"/>
    <cellStyle name="Comma 7 6 9" xfId="10361"/>
    <cellStyle name="Comma 7 60" xfId="21682"/>
    <cellStyle name="Comma 7 61" xfId="21683"/>
    <cellStyle name="Comma 7 62" xfId="21684"/>
    <cellStyle name="Comma 7 7" xfId="518"/>
    <cellStyle name="Comma 7 7 10" xfId="10362"/>
    <cellStyle name="Comma 7 7 11" xfId="10363"/>
    <cellStyle name="Comma 7 7 12" xfId="10364"/>
    <cellStyle name="Comma 7 7 13" xfId="10365"/>
    <cellStyle name="Comma 7 7 14" xfId="10366"/>
    <cellStyle name="Comma 7 7 15" xfId="10367"/>
    <cellStyle name="Comma 7 7 16" xfId="10368"/>
    <cellStyle name="Comma 7 7 17" xfId="10369"/>
    <cellStyle name="Comma 7 7 18" xfId="10370"/>
    <cellStyle name="Comma 7 7 19" xfId="10371"/>
    <cellStyle name="Comma 7 7 2" xfId="519"/>
    <cellStyle name="Comma 7 7 20" xfId="10372"/>
    <cellStyle name="Comma 7 7 21" xfId="10373"/>
    <cellStyle name="Comma 7 7 22" xfId="10374"/>
    <cellStyle name="Comma 7 7 23" xfId="10375"/>
    <cellStyle name="Comma 7 7 24" xfId="10376"/>
    <cellStyle name="Comma 7 7 25" xfId="21685"/>
    <cellStyle name="Comma 7 7 26" xfId="21686"/>
    <cellStyle name="Comma 7 7 27" xfId="21687"/>
    <cellStyle name="Comma 7 7 28" xfId="21688"/>
    <cellStyle name="Comma 7 7 29" xfId="21689"/>
    <cellStyle name="Comma 7 7 3" xfId="10377"/>
    <cellStyle name="Comma 7 7 30" xfId="21690"/>
    <cellStyle name="Comma 7 7 31" xfId="21691"/>
    <cellStyle name="Comma 7 7 32" xfId="21692"/>
    <cellStyle name="Comma 7 7 33" xfId="21693"/>
    <cellStyle name="Comma 7 7 34" xfId="21694"/>
    <cellStyle name="Comma 7 7 35" xfId="21695"/>
    <cellStyle name="Comma 7 7 36" xfId="21696"/>
    <cellStyle name="Comma 7 7 37" xfId="21697"/>
    <cellStyle name="Comma 7 7 4" xfId="10378"/>
    <cellStyle name="Comma 7 7 5" xfId="10379"/>
    <cellStyle name="Comma 7 7 6" xfId="10380"/>
    <cellStyle name="Comma 7 7 7" xfId="10381"/>
    <cellStyle name="Comma 7 7 8" xfId="10382"/>
    <cellStyle name="Comma 7 7 9" xfId="10383"/>
    <cellStyle name="Comma 7 8" xfId="520"/>
    <cellStyle name="Comma 7 8 10" xfId="10384"/>
    <cellStyle name="Comma 7 8 11" xfId="10385"/>
    <cellStyle name="Comma 7 8 12" xfId="10386"/>
    <cellStyle name="Comma 7 8 13" xfId="10387"/>
    <cellStyle name="Comma 7 8 14" xfId="10388"/>
    <cellStyle name="Comma 7 8 15" xfId="10389"/>
    <cellStyle name="Comma 7 8 16" xfId="10390"/>
    <cellStyle name="Comma 7 8 17" xfId="10391"/>
    <cellStyle name="Comma 7 8 18" xfId="10392"/>
    <cellStyle name="Comma 7 8 19" xfId="10393"/>
    <cellStyle name="Comma 7 8 2" xfId="521"/>
    <cellStyle name="Comma 7 8 20" xfId="10394"/>
    <cellStyle name="Comma 7 8 21" xfId="10395"/>
    <cellStyle name="Comma 7 8 22" xfId="10396"/>
    <cellStyle name="Comma 7 8 23" xfId="10397"/>
    <cellStyle name="Comma 7 8 24" xfId="10398"/>
    <cellStyle name="Comma 7 8 25" xfId="21698"/>
    <cellStyle name="Comma 7 8 26" xfId="21699"/>
    <cellStyle name="Comma 7 8 27" xfId="21700"/>
    <cellStyle name="Comma 7 8 28" xfId="21701"/>
    <cellStyle name="Comma 7 8 29" xfId="21702"/>
    <cellStyle name="Comma 7 8 3" xfId="10399"/>
    <cellStyle name="Comma 7 8 30" xfId="21703"/>
    <cellStyle name="Comma 7 8 31" xfId="21704"/>
    <cellStyle name="Comma 7 8 32" xfId="21705"/>
    <cellStyle name="Comma 7 8 33" xfId="21706"/>
    <cellStyle name="Comma 7 8 34" xfId="21707"/>
    <cellStyle name="Comma 7 8 35" xfId="21708"/>
    <cellStyle name="Comma 7 8 36" xfId="21709"/>
    <cellStyle name="Comma 7 8 37" xfId="21710"/>
    <cellStyle name="Comma 7 8 4" xfId="10400"/>
    <cellStyle name="Comma 7 8 5" xfId="10401"/>
    <cellStyle name="Comma 7 8 6" xfId="10402"/>
    <cellStyle name="Comma 7 8 7" xfId="10403"/>
    <cellStyle name="Comma 7 8 8" xfId="10404"/>
    <cellStyle name="Comma 7 8 9" xfId="10405"/>
    <cellStyle name="Comma 7 9" xfId="522"/>
    <cellStyle name="Comma 7 9 10" xfId="10406"/>
    <cellStyle name="Comma 7 9 11" xfId="10407"/>
    <cellStyle name="Comma 7 9 12" xfId="10408"/>
    <cellStyle name="Comma 7 9 13" xfId="10409"/>
    <cellStyle name="Comma 7 9 14" xfId="10410"/>
    <cellStyle name="Comma 7 9 15" xfId="10411"/>
    <cellStyle name="Comma 7 9 16" xfId="10412"/>
    <cellStyle name="Comma 7 9 17" xfId="10413"/>
    <cellStyle name="Comma 7 9 18" xfId="10414"/>
    <cellStyle name="Comma 7 9 19" xfId="10415"/>
    <cellStyle name="Comma 7 9 2" xfId="523"/>
    <cellStyle name="Comma 7 9 20" xfId="10416"/>
    <cellStyle name="Comma 7 9 21" xfId="10417"/>
    <cellStyle name="Comma 7 9 22" xfId="10418"/>
    <cellStyle name="Comma 7 9 23" xfId="10419"/>
    <cellStyle name="Comma 7 9 24" xfId="10420"/>
    <cellStyle name="Comma 7 9 25" xfId="21711"/>
    <cellStyle name="Comma 7 9 26" xfId="21712"/>
    <cellStyle name="Comma 7 9 27" xfId="21713"/>
    <cellStyle name="Comma 7 9 28" xfId="21714"/>
    <cellStyle name="Comma 7 9 29" xfId="21715"/>
    <cellStyle name="Comma 7 9 3" xfId="10421"/>
    <cellStyle name="Comma 7 9 30" xfId="21716"/>
    <cellStyle name="Comma 7 9 31" xfId="21717"/>
    <cellStyle name="Comma 7 9 32" xfId="21718"/>
    <cellStyle name="Comma 7 9 33" xfId="21719"/>
    <cellStyle name="Comma 7 9 34" xfId="21720"/>
    <cellStyle name="Comma 7 9 35" xfId="21721"/>
    <cellStyle name="Comma 7 9 36" xfId="21722"/>
    <cellStyle name="Comma 7 9 37" xfId="21723"/>
    <cellStyle name="Comma 7 9 4" xfId="10422"/>
    <cellStyle name="Comma 7 9 5" xfId="10423"/>
    <cellStyle name="Comma 7 9 6" xfId="10424"/>
    <cellStyle name="Comma 7 9 7" xfId="10425"/>
    <cellStyle name="Comma 7 9 8" xfId="10426"/>
    <cellStyle name="Comma 7 9 9" xfId="10427"/>
    <cellStyle name="Comma 8" xfId="524"/>
    <cellStyle name="Comma 8 10" xfId="525"/>
    <cellStyle name="Comma 8 10 10" xfId="10428"/>
    <cellStyle name="Comma 8 10 11" xfId="10429"/>
    <cellStyle name="Comma 8 10 12" xfId="10430"/>
    <cellStyle name="Comma 8 10 13" xfId="10431"/>
    <cellStyle name="Comma 8 10 14" xfId="10432"/>
    <cellStyle name="Comma 8 10 15" xfId="10433"/>
    <cellStyle name="Comma 8 10 16" xfId="10434"/>
    <cellStyle name="Comma 8 10 17" xfId="10435"/>
    <cellStyle name="Comma 8 10 18" xfId="10436"/>
    <cellStyle name="Comma 8 10 19" xfId="10437"/>
    <cellStyle name="Comma 8 10 2" xfId="526"/>
    <cellStyle name="Comma 8 10 20" xfId="10438"/>
    <cellStyle name="Comma 8 10 21" xfId="10439"/>
    <cellStyle name="Comma 8 10 22" xfId="10440"/>
    <cellStyle name="Comma 8 10 23" xfId="10441"/>
    <cellStyle name="Comma 8 10 24" xfId="10442"/>
    <cellStyle name="Comma 8 10 25" xfId="21724"/>
    <cellStyle name="Comma 8 10 26" xfId="21725"/>
    <cellStyle name="Comma 8 10 27" xfId="21726"/>
    <cellStyle name="Comma 8 10 28" xfId="21727"/>
    <cellStyle name="Comma 8 10 29" xfId="21728"/>
    <cellStyle name="Comma 8 10 3" xfId="10443"/>
    <cellStyle name="Comma 8 10 30" xfId="21729"/>
    <cellStyle name="Comma 8 10 31" xfId="21730"/>
    <cellStyle name="Comma 8 10 32" xfId="21731"/>
    <cellStyle name="Comma 8 10 33" xfId="21732"/>
    <cellStyle name="Comma 8 10 34" xfId="21733"/>
    <cellStyle name="Comma 8 10 35" xfId="21734"/>
    <cellStyle name="Comma 8 10 36" xfId="21735"/>
    <cellStyle name="Comma 8 10 37" xfId="21736"/>
    <cellStyle name="Comma 8 10 4" xfId="10444"/>
    <cellStyle name="Comma 8 10 5" xfId="10445"/>
    <cellStyle name="Comma 8 10 6" xfId="10446"/>
    <cellStyle name="Comma 8 10 7" xfId="10447"/>
    <cellStyle name="Comma 8 10 8" xfId="10448"/>
    <cellStyle name="Comma 8 10 9" xfId="10449"/>
    <cellStyle name="Comma 8 11" xfId="527"/>
    <cellStyle name="Comma 8 11 10" xfId="10450"/>
    <cellStyle name="Comma 8 11 11" xfId="10451"/>
    <cellStyle name="Comma 8 11 12" xfId="10452"/>
    <cellStyle name="Comma 8 11 13" xfId="10453"/>
    <cellStyle name="Comma 8 11 14" xfId="10454"/>
    <cellStyle name="Comma 8 11 15" xfId="10455"/>
    <cellStyle name="Comma 8 11 16" xfId="10456"/>
    <cellStyle name="Comma 8 11 17" xfId="10457"/>
    <cellStyle name="Comma 8 11 18" xfId="10458"/>
    <cellStyle name="Comma 8 11 19" xfId="10459"/>
    <cellStyle name="Comma 8 11 2" xfId="528"/>
    <cellStyle name="Comma 8 11 20" xfId="10460"/>
    <cellStyle name="Comma 8 11 21" xfId="10461"/>
    <cellStyle name="Comma 8 11 22" xfId="10462"/>
    <cellStyle name="Comma 8 11 23" xfId="10463"/>
    <cellStyle name="Comma 8 11 24" xfId="10464"/>
    <cellStyle name="Comma 8 11 25" xfId="21737"/>
    <cellStyle name="Comma 8 11 26" xfId="21738"/>
    <cellStyle name="Comma 8 11 27" xfId="21739"/>
    <cellStyle name="Comma 8 11 28" xfId="21740"/>
    <cellStyle name="Comma 8 11 29" xfId="21741"/>
    <cellStyle name="Comma 8 11 3" xfId="10465"/>
    <cellStyle name="Comma 8 11 30" xfId="21742"/>
    <cellStyle name="Comma 8 11 31" xfId="21743"/>
    <cellStyle name="Comma 8 11 32" xfId="21744"/>
    <cellStyle name="Comma 8 11 33" xfId="21745"/>
    <cellStyle name="Comma 8 11 34" xfId="21746"/>
    <cellStyle name="Comma 8 11 35" xfId="21747"/>
    <cellStyle name="Comma 8 11 36" xfId="21748"/>
    <cellStyle name="Comma 8 11 37" xfId="21749"/>
    <cellStyle name="Comma 8 11 4" xfId="10466"/>
    <cellStyle name="Comma 8 11 5" xfId="10467"/>
    <cellStyle name="Comma 8 11 6" xfId="10468"/>
    <cellStyle name="Comma 8 11 7" xfId="10469"/>
    <cellStyle name="Comma 8 11 8" xfId="10470"/>
    <cellStyle name="Comma 8 11 9" xfId="10471"/>
    <cellStyle name="Comma 8 12" xfId="529"/>
    <cellStyle name="Comma 8 12 10" xfId="10472"/>
    <cellStyle name="Comma 8 12 11" xfId="10473"/>
    <cellStyle name="Comma 8 12 12" xfId="10474"/>
    <cellStyle name="Comma 8 12 13" xfId="10475"/>
    <cellStyle name="Comma 8 12 14" xfId="10476"/>
    <cellStyle name="Comma 8 12 15" xfId="10477"/>
    <cellStyle name="Comma 8 12 16" xfId="10478"/>
    <cellStyle name="Comma 8 12 17" xfId="10479"/>
    <cellStyle name="Comma 8 12 18" xfId="10480"/>
    <cellStyle name="Comma 8 12 19" xfId="10481"/>
    <cellStyle name="Comma 8 12 2" xfId="530"/>
    <cellStyle name="Comma 8 12 20" xfId="10482"/>
    <cellStyle name="Comma 8 12 21" xfId="10483"/>
    <cellStyle name="Comma 8 12 22" xfId="10484"/>
    <cellStyle name="Comma 8 12 23" xfId="10485"/>
    <cellStyle name="Comma 8 12 24" xfId="10486"/>
    <cellStyle name="Comma 8 12 25" xfId="21750"/>
    <cellStyle name="Comma 8 12 26" xfId="21751"/>
    <cellStyle name="Comma 8 12 27" xfId="21752"/>
    <cellStyle name="Comma 8 12 28" xfId="21753"/>
    <cellStyle name="Comma 8 12 29" xfId="21754"/>
    <cellStyle name="Comma 8 12 3" xfId="10487"/>
    <cellStyle name="Comma 8 12 30" xfId="21755"/>
    <cellStyle name="Comma 8 12 31" xfId="21756"/>
    <cellStyle name="Comma 8 12 32" xfId="21757"/>
    <cellStyle name="Comma 8 12 33" xfId="21758"/>
    <cellStyle name="Comma 8 12 34" xfId="21759"/>
    <cellStyle name="Comma 8 12 35" xfId="21760"/>
    <cellStyle name="Comma 8 12 36" xfId="21761"/>
    <cellStyle name="Comma 8 12 37" xfId="21762"/>
    <cellStyle name="Comma 8 12 4" xfId="10488"/>
    <cellStyle name="Comma 8 12 5" xfId="10489"/>
    <cellStyle name="Comma 8 12 6" xfId="10490"/>
    <cellStyle name="Comma 8 12 7" xfId="10491"/>
    <cellStyle name="Comma 8 12 8" xfId="10492"/>
    <cellStyle name="Comma 8 12 9" xfId="10493"/>
    <cellStyle name="Comma 8 13" xfId="531"/>
    <cellStyle name="Comma 8 13 10" xfId="10494"/>
    <cellStyle name="Comma 8 13 11" xfId="10495"/>
    <cellStyle name="Comma 8 13 12" xfId="10496"/>
    <cellStyle name="Comma 8 13 13" xfId="10497"/>
    <cellStyle name="Comma 8 13 14" xfId="10498"/>
    <cellStyle name="Comma 8 13 15" xfId="10499"/>
    <cellStyle name="Comma 8 13 16" xfId="10500"/>
    <cellStyle name="Comma 8 13 17" xfId="10501"/>
    <cellStyle name="Comma 8 13 18" xfId="10502"/>
    <cellStyle name="Comma 8 13 19" xfId="10503"/>
    <cellStyle name="Comma 8 13 2" xfId="532"/>
    <cellStyle name="Comma 8 13 20" xfId="10504"/>
    <cellStyle name="Comma 8 13 21" xfId="10505"/>
    <cellStyle name="Comma 8 13 22" xfId="10506"/>
    <cellStyle name="Comma 8 13 23" xfId="10507"/>
    <cellStyle name="Comma 8 13 24" xfId="10508"/>
    <cellStyle name="Comma 8 13 25" xfId="21763"/>
    <cellStyle name="Comma 8 13 26" xfId="21764"/>
    <cellStyle name="Comma 8 13 27" xfId="21765"/>
    <cellStyle name="Comma 8 13 28" xfId="21766"/>
    <cellStyle name="Comma 8 13 29" xfId="21767"/>
    <cellStyle name="Comma 8 13 3" xfId="10509"/>
    <cellStyle name="Comma 8 13 30" xfId="21768"/>
    <cellStyle name="Comma 8 13 31" xfId="21769"/>
    <cellStyle name="Comma 8 13 32" xfId="21770"/>
    <cellStyle name="Comma 8 13 33" xfId="21771"/>
    <cellStyle name="Comma 8 13 34" xfId="21772"/>
    <cellStyle name="Comma 8 13 35" xfId="21773"/>
    <cellStyle name="Comma 8 13 36" xfId="21774"/>
    <cellStyle name="Comma 8 13 37" xfId="21775"/>
    <cellStyle name="Comma 8 13 4" xfId="10510"/>
    <cellStyle name="Comma 8 13 5" xfId="10511"/>
    <cellStyle name="Comma 8 13 6" xfId="10512"/>
    <cellStyle name="Comma 8 13 7" xfId="10513"/>
    <cellStyle name="Comma 8 13 8" xfId="10514"/>
    <cellStyle name="Comma 8 13 9" xfId="10515"/>
    <cellStyle name="Comma 8 14" xfId="533"/>
    <cellStyle name="Comma 8 14 10" xfId="10516"/>
    <cellStyle name="Comma 8 14 11" xfId="10517"/>
    <cellStyle name="Comma 8 14 12" xfId="10518"/>
    <cellStyle name="Comma 8 14 13" xfId="10519"/>
    <cellStyle name="Comma 8 14 14" xfId="10520"/>
    <cellStyle name="Comma 8 14 15" xfId="10521"/>
    <cellStyle name="Comma 8 14 16" xfId="10522"/>
    <cellStyle name="Comma 8 14 17" xfId="10523"/>
    <cellStyle name="Comma 8 14 18" xfId="10524"/>
    <cellStyle name="Comma 8 14 19" xfId="10525"/>
    <cellStyle name="Comma 8 14 2" xfId="10526"/>
    <cellStyle name="Comma 8 14 20" xfId="10527"/>
    <cellStyle name="Comma 8 14 21" xfId="10528"/>
    <cellStyle name="Comma 8 14 22" xfId="10529"/>
    <cellStyle name="Comma 8 14 23" xfId="21776"/>
    <cellStyle name="Comma 8 14 24" xfId="21777"/>
    <cellStyle name="Comma 8 14 25" xfId="21778"/>
    <cellStyle name="Comma 8 14 26" xfId="21779"/>
    <cellStyle name="Comma 8 14 27" xfId="21780"/>
    <cellStyle name="Comma 8 14 28" xfId="21781"/>
    <cellStyle name="Comma 8 14 29" xfId="21782"/>
    <cellStyle name="Comma 8 14 3" xfId="10530"/>
    <cellStyle name="Comma 8 14 30" xfId="21783"/>
    <cellStyle name="Comma 8 14 31" xfId="21784"/>
    <cellStyle name="Comma 8 14 32" xfId="21785"/>
    <cellStyle name="Comma 8 14 33" xfId="21786"/>
    <cellStyle name="Comma 8 14 34" xfId="21787"/>
    <cellStyle name="Comma 8 14 35" xfId="21788"/>
    <cellStyle name="Comma 8 14 4" xfId="10531"/>
    <cellStyle name="Comma 8 14 5" xfId="10532"/>
    <cellStyle name="Comma 8 14 6" xfId="10533"/>
    <cellStyle name="Comma 8 14 7" xfId="10534"/>
    <cellStyle name="Comma 8 14 8" xfId="10535"/>
    <cellStyle name="Comma 8 14 9" xfId="10536"/>
    <cellStyle name="Comma 8 15" xfId="534"/>
    <cellStyle name="Comma 8 15 10" xfId="10537"/>
    <cellStyle name="Comma 8 15 11" xfId="10538"/>
    <cellStyle name="Comma 8 15 12" xfId="10539"/>
    <cellStyle name="Comma 8 15 13" xfId="10540"/>
    <cellStyle name="Comma 8 15 14" xfId="10541"/>
    <cellStyle name="Comma 8 15 15" xfId="10542"/>
    <cellStyle name="Comma 8 15 16" xfId="10543"/>
    <cellStyle name="Comma 8 15 17" xfId="10544"/>
    <cellStyle name="Comma 8 15 18" xfId="10545"/>
    <cellStyle name="Comma 8 15 19" xfId="10546"/>
    <cellStyle name="Comma 8 15 2" xfId="10547"/>
    <cellStyle name="Comma 8 15 20" xfId="10548"/>
    <cellStyle name="Comma 8 15 21" xfId="10549"/>
    <cellStyle name="Comma 8 15 22" xfId="10550"/>
    <cellStyle name="Comma 8 15 23" xfId="21789"/>
    <cellStyle name="Comma 8 15 24" xfId="21790"/>
    <cellStyle name="Comma 8 15 25" xfId="21791"/>
    <cellStyle name="Comma 8 15 26" xfId="21792"/>
    <cellStyle name="Comma 8 15 27" xfId="21793"/>
    <cellStyle name="Comma 8 15 28" xfId="21794"/>
    <cellStyle name="Comma 8 15 29" xfId="21795"/>
    <cellStyle name="Comma 8 15 3" xfId="10551"/>
    <cellStyle name="Comma 8 15 30" xfId="21796"/>
    <cellStyle name="Comma 8 15 31" xfId="21797"/>
    <cellStyle name="Comma 8 15 32" xfId="21798"/>
    <cellStyle name="Comma 8 15 33" xfId="21799"/>
    <cellStyle name="Comma 8 15 34" xfId="21800"/>
    <cellStyle name="Comma 8 15 35" xfId="21801"/>
    <cellStyle name="Comma 8 15 4" xfId="10552"/>
    <cellStyle name="Comma 8 15 5" xfId="10553"/>
    <cellStyle name="Comma 8 15 6" xfId="10554"/>
    <cellStyle name="Comma 8 15 7" xfId="10555"/>
    <cellStyle name="Comma 8 15 8" xfId="10556"/>
    <cellStyle name="Comma 8 15 9" xfId="10557"/>
    <cellStyle name="Comma 8 16" xfId="535"/>
    <cellStyle name="Comma 8 16 10" xfId="10558"/>
    <cellStyle name="Comma 8 16 11" xfId="10559"/>
    <cellStyle name="Comma 8 16 12" xfId="10560"/>
    <cellStyle name="Comma 8 16 13" xfId="10561"/>
    <cellStyle name="Comma 8 16 14" xfId="10562"/>
    <cellStyle name="Comma 8 16 15" xfId="10563"/>
    <cellStyle name="Comma 8 16 16" xfId="10564"/>
    <cellStyle name="Comma 8 16 17" xfId="10565"/>
    <cellStyle name="Comma 8 16 18" xfId="10566"/>
    <cellStyle name="Comma 8 16 19" xfId="10567"/>
    <cellStyle name="Comma 8 16 2" xfId="10568"/>
    <cellStyle name="Comma 8 16 20" xfId="10569"/>
    <cellStyle name="Comma 8 16 21" xfId="10570"/>
    <cellStyle name="Comma 8 16 22" xfId="10571"/>
    <cellStyle name="Comma 8 16 23" xfId="21802"/>
    <cellStyle name="Comma 8 16 24" xfId="21803"/>
    <cellStyle name="Comma 8 16 25" xfId="21804"/>
    <cellStyle name="Comma 8 16 26" xfId="21805"/>
    <cellStyle name="Comma 8 16 27" xfId="21806"/>
    <cellStyle name="Comma 8 16 28" xfId="21807"/>
    <cellStyle name="Comma 8 16 29" xfId="21808"/>
    <cellStyle name="Comma 8 16 3" xfId="10572"/>
    <cellStyle name="Comma 8 16 30" xfId="21809"/>
    <cellStyle name="Comma 8 16 31" xfId="21810"/>
    <cellStyle name="Comma 8 16 32" xfId="21811"/>
    <cellStyle name="Comma 8 16 33" xfId="21812"/>
    <cellStyle name="Comma 8 16 34" xfId="21813"/>
    <cellStyle name="Comma 8 16 35" xfId="21814"/>
    <cellStyle name="Comma 8 16 4" xfId="10573"/>
    <cellStyle name="Comma 8 16 5" xfId="10574"/>
    <cellStyle name="Comma 8 16 6" xfId="10575"/>
    <cellStyle name="Comma 8 16 7" xfId="10576"/>
    <cellStyle name="Comma 8 16 8" xfId="10577"/>
    <cellStyle name="Comma 8 16 9" xfId="10578"/>
    <cellStyle name="Comma 8 17" xfId="536"/>
    <cellStyle name="Comma 8 17 10" xfId="10579"/>
    <cellStyle name="Comma 8 17 11" xfId="10580"/>
    <cellStyle name="Comma 8 17 12" xfId="10581"/>
    <cellStyle name="Comma 8 17 13" xfId="10582"/>
    <cellStyle name="Comma 8 17 14" xfId="10583"/>
    <cellStyle name="Comma 8 17 15" xfId="10584"/>
    <cellStyle name="Comma 8 17 16" xfId="10585"/>
    <cellStyle name="Comma 8 17 17" xfId="10586"/>
    <cellStyle name="Comma 8 17 18" xfId="10587"/>
    <cellStyle name="Comma 8 17 19" xfId="10588"/>
    <cellStyle name="Comma 8 17 2" xfId="10589"/>
    <cellStyle name="Comma 8 17 20" xfId="10590"/>
    <cellStyle name="Comma 8 17 21" xfId="10591"/>
    <cellStyle name="Comma 8 17 22" xfId="10592"/>
    <cellStyle name="Comma 8 17 23" xfId="21815"/>
    <cellStyle name="Comma 8 17 24" xfId="21816"/>
    <cellStyle name="Comma 8 17 25" xfId="21817"/>
    <cellStyle name="Comma 8 17 26" xfId="21818"/>
    <cellStyle name="Comma 8 17 27" xfId="21819"/>
    <cellStyle name="Comma 8 17 28" xfId="21820"/>
    <cellStyle name="Comma 8 17 29" xfId="21821"/>
    <cellStyle name="Comma 8 17 3" xfId="10593"/>
    <cellStyle name="Comma 8 17 30" xfId="21822"/>
    <cellStyle name="Comma 8 17 31" xfId="21823"/>
    <cellStyle name="Comma 8 17 32" xfId="21824"/>
    <cellStyle name="Comma 8 17 33" xfId="21825"/>
    <cellStyle name="Comma 8 17 34" xfId="21826"/>
    <cellStyle name="Comma 8 17 35" xfId="21827"/>
    <cellStyle name="Comma 8 17 4" xfId="10594"/>
    <cellStyle name="Comma 8 17 5" xfId="10595"/>
    <cellStyle name="Comma 8 17 6" xfId="10596"/>
    <cellStyle name="Comma 8 17 7" xfId="10597"/>
    <cellStyle name="Comma 8 17 8" xfId="10598"/>
    <cellStyle name="Comma 8 17 9" xfId="10599"/>
    <cellStyle name="Comma 8 18" xfId="537"/>
    <cellStyle name="Comma 8 18 10" xfId="10600"/>
    <cellStyle name="Comma 8 18 11" xfId="10601"/>
    <cellStyle name="Comma 8 18 12" xfId="10602"/>
    <cellStyle name="Comma 8 18 13" xfId="10603"/>
    <cellStyle name="Comma 8 18 14" xfId="10604"/>
    <cellStyle name="Comma 8 18 15" xfId="10605"/>
    <cellStyle name="Comma 8 18 16" xfId="10606"/>
    <cellStyle name="Comma 8 18 17" xfId="10607"/>
    <cellStyle name="Comma 8 18 18" xfId="10608"/>
    <cellStyle name="Comma 8 18 19" xfId="10609"/>
    <cellStyle name="Comma 8 18 2" xfId="10610"/>
    <cellStyle name="Comma 8 18 20" xfId="10611"/>
    <cellStyle name="Comma 8 18 21" xfId="10612"/>
    <cellStyle name="Comma 8 18 22" xfId="10613"/>
    <cellStyle name="Comma 8 18 23" xfId="21828"/>
    <cellStyle name="Comma 8 18 24" xfId="21829"/>
    <cellStyle name="Comma 8 18 25" xfId="21830"/>
    <cellStyle name="Comma 8 18 26" xfId="21831"/>
    <cellStyle name="Comma 8 18 27" xfId="21832"/>
    <cellStyle name="Comma 8 18 28" xfId="21833"/>
    <cellStyle name="Comma 8 18 29" xfId="21834"/>
    <cellStyle name="Comma 8 18 3" xfId="10614"/>
    <cellStyle name="Comma 8 18 30" xfId="21835"/>
    <cellStyle name="Comma 8 18 31" xfId="21836"/>
    <cellStyle name="Comma 8 18 32" xfId="21837"/>
    <cellStyle name="Comma 8 18 33" xfId="21838"/>
    <cellStyle name="Comma 8 18 34" xfId="21839"/>
    <cellStyle name="Comma 8 18 35" xfId="21840"/>
    <cellStyle name="Comma 8 18 4" xfId="10615"/>
    <cellStyle name="Comma 8 18 5" xfId="10616"/>
    <cellStyle name="Comma 8 18 6" xfId="10617"/>
    <cellStyle name="Comma 8 18 7" xfId="10618"/>
    <cellStyle name="Comma 8 18 8" xfId="10619"/>
    <cellStyle name="Comma 8 18 9" xfId="10620"/>
    <cellStyle name="Comma 8 19" xfId="538"/>
    <cellStyle name="Comma 8 19 10" xfId="10621"/>
    <cellStyle name="Comma 8 19 11" xfId="10622"/>
    <cellStyle name="Comma 8 19 12" xfId="10623"/>
    <cellStyle name="Comma 8 19 13" xfId="10624"/>
    <cellStyle name="Comma 8 19 14" xfId="10625"/>
    <cellStyle name="Comma 8 19 15" xfId="10626"/>
    <cellStyle name="Comma 8 19 16" xfId="10627"/>
    <cellStyle name="Comma 8 19 17" xfId="10628"/>
    <cellStyle name="Comma 8 19 18" xfId="10629"/>
    <cellStyle name="Comma 8 19 19" xfId="10630"/>
    <cellStyle name="Comma 8 19 2" xfId="10631"/>
    <cellStyle name="Comma 8 19 20" xfId="10632"/>
    <cellStyle name="Comma 8 19 21" xfId="10633"/>
    <cellStyle name="Comma 8 19 22" xfId="10634"/>
    <cellStyle name="Comma 8 19 23" xfId="21841"/>
    <cellStyle name="Comma 8 19 24" xfId="21842"/>
    <cellStyle name="Comma 8 19 25" xfId="21843"/>
    <cellStyle name="Comma 8 19 26" xfId="21844"/>
    <cellStyle name="Comma 8 19 27" xfId="21845"/>
    <cellStyle name="Comma 8 19 28" xfId="21846"/>
    <cellStyle name="Comma 8 19 29" xfId="21847"/>
    <cellStyle name="Comma 8 19 3" xfId="10635"/>
    <cellStyle name="Comma 8 19 30" xfId="21848"/>
    <cellStyle name="Comma 8 19 31" xfId="21849"/>
    <cellStyle name="Comma 8 19 32" xfId="21850"/>
    <cellStyle name="Comma 8 19 33" xfId="21851"/>
    <cellStyle name="Comma 8 19 34" xfId="21852"/>
    <cellStyle name="Comma 8 19 35" xfId="21853"/>
    <cellStyle name="Comma 8 19 4" xfId="10636"/>
    <cellStyle name="Comma 8 19 5" xfId="10637"/>
    <cellStyle name="Comma 8 19 6" xfId="10638"/>
    <cellStyle name="Comma 8 19 7" xfId="10639"/>
    <cellStyle name="Comma 8 19 8" xfId="10640"/>
    <cellStyle name="Comma 8 19 9" xfId="10641"/>
    <cellStyle name="Comma 8 2" xfId="539"/>
    <cellStyle name="Comma 8 2 10" xfId="10642"/>
    <cellStyle name="Comma 8 2 11" xfId="10643"/>
    <cellStyle name="Comma 8 2 12" xfId="10644"/>
    <cellStyle name="Comma 8 2 13" xfId="10645"/>
    <cellStyle name="Comma 8 2 14" xfId="10646"/>
    <cellStyle name="Comma 8 2 15" xfId="10647"/>
    <cellStyle name="Comma 8 2 16" xfId="10648"/>
    <cellStyle name="Comma 8 2 17" xfId="10649"/>
    <cellStyle name="Comma 8 2 18" xfId="10650"/>
    <cellStyle name="Comma 8 2 19" xfId="10651"/>
    <cellStyle name="Comma 8 2 2" xfId="540"/>
    <cellStyle name="Comma 8 2 20" xfId="10652"/>
    <cellStyle name="Comma 8 2 21" xfId="10653"/>
    <cellStyle name="Comma 8 2 22" xfId="10654"/>
    <cellStyle name="Comma 8 2 23" xfId="10655"/>
    <cellStyle name="Comma 8 2 24" xfId="10656"/>
    <cellStyle name="Comma 8 2 25" xfId="21854"/>
    <cellStyle name="Comma 8 2 26" xfId="21855"/>
    <cellStyle name="Comma 8 2 27" xfId="21856"/>
    <cellStyle name="Comma 8 2 28" xfId="21857"/>
    <cellStyle name="Comma 8 2 29" xfId="21858"/>
    <cellStyle name="Comma 8 2 3" xfId="10657"/>
    <cellStyle name="Comma 8 2 30" xfId="21859"/>
    <cellStyle name="Comma 8 2 31" xfId="21860"/>
    <cellStyle name="Comma 8 2 32" xfId="21861"/>
    <cellStyle name="Comma 8 2 33" xfId="21862"/>
    <cellStyle name="Comma 8 2 34" xfId="21863"/>
    <cellStyle name="Comma 8 2 35" xfId="21864"/>
    <cellStyle name="Comma 8 2 36" xfId="21865"/>
    <cellStyle name="Comma 8 2 37" xfId="21866"/>
    <cellStyle name="Comma 8 2 4" xfId="10658"/>
    <cellStyle name="Comma 8 2 5" xfId="10659"/>
    <cellStyle name="Comma 8 2 6" xfId="10660"/>
    <cellStyle name="Comma 8 2 7" xfId="10661"/>
    <cellStyle name="Comma 8 2 8" xfId="10662"/>
    <cellStyle name="Comma 8 2 9" xfId="10663"/>
    <cellStyle name="Comma 8 20" xfId="541"/>
    <cellStyle name="Comma 8 20 10" xfId="10664"/>
    <cellStyle name="Comma 8 20 11" xfId="10665"/>
    <cellStyle name="Comma 8 20 12" xfId="10666"/>
    <cellStyle name="Comma 8 20 13" xfId="10667"/>
    <cellStyle name="Comma 8 20 14" xfId="10668"/>
    <cellStyle name="Comma 8 20 15" xfId="10669"/>
    <cellStyle name="Comma 8 20 16" xfId="10670"/>
    <cellStyle name="Comma 8 20 17" xfId="10671"/>
    <cellStyle name="Comma 8 20 18" xfId="10672"/>
    <cellStyle name="Comma 8 20 19" xfId="10673"/>
    <cellStyle name="Comma 8 20 2" xfId="10674"/>
    <cellStyle name="Comma 8 20 20" xfId="10675"/>
    <cellStyle name="Comma 8 20 21" xfId="10676"/>
    <cellStyle name="Comma 8 20 22" xfId="10677"/>
    <cellStyle name="Comma 8 20 23" xfId="21867"/>
    <cellStyle name="Comma 8 20 24" xfId="21868"/>
    <cellStyle name="Comma 8 20 25" xfId="21869"/>
    <cellStyle name="Comma 8 20 26" xfId="21870"/>
    <cellStyle name="Comma 8 20 27" xfId="21871"/>
    <cellStyle name="Comma 8 20 28" xfId="21872"/>
    <cellStyle name="Comma 8 20 29" xfId="21873"/>
    <cellStyle name="Comma 8 20 3" xfId="10678"/>
    <cellStyle name="Comma 8 20 30" xfId="21874"/>
    <cellStyle name="Comma 8 20 31" xfId="21875"/>
    <cellStyle name="Comma 8 20 32" xfId="21876"/>
    <cellStyle name="Comma 8 20 33" xfId="21877"/>
    <cellStyle name="Comma 8 20 34" xfId="21878"/>
    <cellStyle name="Comma 8 20 35" xfId="21879"/>
    <cellStyle name="Comma 8 20 4" xfId="10679"/>
    <cellStyle name="Comma 8 20 5" xfId="10680"/>
    <cellStyle name="Comma 8 20 6" xfId="10681"/>
    <cellStyle name="Comma 8 20 7" xfId="10682"/>
    <cellStyle name="Comma 8 20 8" xfId="10683"/>
    <cellStyle name="Comma 8 20 9" xfId="10684"/>
    <cellStyle name="Comma 8 21" xfId="542"/>
    <cellStyle name="Comma 8 21 10" xfId="10685"/>
    <cellStyle name="Comma 8 21 11" xfId="10686"/>
    <cellStyle name="Comma 8 21 12" xfId="10687"/>
    <cellStyle name="Comma 8 21 13" xfId="10688"/>
    <cellStyle name="Comma 8 21 14" xfId="10689"/>
    <cellStyle name="Comma 8 21 15" xfId="10690"/>
    <cellStyle name="Comma 8 21 16" xfId="10691"/>
    <cellStyle name="Comma 8 21 17" xfId="10692"/>
    <cellStyle name="Comma 8 21 18" xfId="10693"/>
    <cellStyle name="Comma 8 21 19" xfId="10694"/>
    <cellStyle name="Comma 8 21 2" xfId="10695"/>
    <cellStyle name="Comma 8 21 20" xfId="10696"/>
    <cellStyle name="Comma 8 21 21" xfId="10697"/>
    <cellStyle name="Comma 8 21 22" xfId="10698"/>
    <cellStyle name="Comma 8 21 23" xfId="21880"/>
    <cellStyle name="Comma 8 21 24" xfId="21881"/>
    <cellStyle name="Comma 8 21 25" xfId="21882"/>
    <cellStyle name="Comma 8 21 26" xfId="21883"/>
    <cellStyle name="Comma 8 21 27" xfId="21884"/>
    <cellStyle name="Comma 8 21 28" xfId="21885"/>
    <cellStyle name="Comma 8 21 29" xfId="21886"/>
    <cellStyle name="Comma 8 21 3" xfId="10699"/>
    <cellStyle name="Comma 8 21 30" xfId="21887"/>
    <cellStyle name="Comma 8 21 31" xfId="21888"/>
    <cellStyle name="Comma 8 21 32" xfId="21889"/>
    <cellStyle name="Comma 8 21 33" xfId="21890"/>
    <cellStyle name="Comma 8 21 34" xfId="21891"/>
    <cellStyle name="Comma 8 21 35" xfId="21892"/>
    <cellStyle name="Comma 8 21 4" xfId="10700"/>
    <cellStyle name="Comma 8 21 5" xfId="10701"/>
    <cellStyle name="Comma 8 21 6" xfId="10702"/>
    <cellStyle name="Comma 8 21 7" xfId="10703"/>
    <cellStyle name="Comma 8 21 8" xfId="10704"/>
    <cellStyle name="Comma 8 21 9" xfId="10705"/>
    <cellStyle name="Comma 8 22" xfId="543"/>
    <cellStyle name="Comma 8 22 10" xfId="10706"/>
    <cellStyle name="Comma 8 22 11" xfId="10707"/>
    <cellStyle name="Comma 8 22 12" xfId="10708"/>
    <cellStyle name="Comma 8 22 13" xfId="10709"/>
    <cellStyle name="Comma 8 22 14" xfId="10710"/>
    <cellStyle name="Comma 8 22 15" xfId="10711"/>
    <cellStyle name="Comma 8 22 16" xfId="10712"/>
    <cellStyle name="Comma 8 22 17" xfId="10713"/>
    <cellStyle name="Comma 8 22 18" xfId="10714"/>
    <cellStyle name="Comma 8 22 19" xfId="10715"/>
    <cellStyle name="Comma 8 22 2" xfId="10716"/>
    <cellStyle name="Comma 8 22 20" xfId="10717"/>
    <cellStyle name="Comma 8 22 21" xfId="10718"/>
    <cellStyle name="Comma 8 22 22" xfId="10719"/>
    <cellStyle name="Comma 8 22 23" xfId="21893"/>
    <cellStyle name="Comma 8 22 24" xfId="21894"/>
    <cellStyle name="Comma 8 22 25" xfId="21895"/>
    <cellStyle name="Comma 8 22 26" xfId="21896"/>
    <cellStyle name="Comma 8 22 27" xfId="21897"/>
    <cellStyle name="Comma 8 22 28" xfId="21898"/>
    <cellStyle name="Comma 8 22 29" xfId="21899"/>
    <cellStyle name="Comma 8 22 3" xfId="10720"/>
    <cellStyle name="Comma 8 22 30" xfId="21900"/>
    <cellStyle name="Comma 8 22 31" xfId="21901"/>
    <cellStyle name="Comma 8 22 32" xfId="21902"/>
    <cellStyle name="Comma 8 22 33" xfId="21903"/>
    <cellStyle name="Comma 8 22 34" xfId="21904"/>
    <cellStyle name="Comma 8 22 35" xfId="21905"/>
    <cellStyle name="Comma 8 22 4" xfId="10721"/>
    <cellStyle name="Comma 8 22 5" xfId="10722"/>
    <cellStyle name="Comma 8 22 6" xfId="10723"/>
    <cellStyle name="Comma 8 22 7" xfId="10724"/>
    <cellStyle name="Comma 8 22 8" xfId="10725"/>
    <cellStyle name="Comma 8 22 9" xfId="10726"/>
    <cellStyle name="Comma 8 23" xfId="544"/>
    <cellStyle name="Comma 8 23 10" xfId="10727"/>
    <cellStyle name="Comma 8 23 11" xfId="10728"/>
    <cellStyle name="Comma 8 23 12" xfId="10729"/>
    <cellStyle name="Comma 8 23 13" xfId="10730"/>
    <cellStyle name="Comma 8 23 14" xfId="10731"/>
    <cellStyle name="Comma 8 23 15" xfId="10732"/>
    <cellStyle name="Comma 8 23 16" xfId="10733"/>
    <cellStyle name="Comma 8 23 17" xfId="10734"/>
    <cellStyle name="Comma 8 23 18" xfId="10735"/>
    <cellStyle name="Comma 8 23 19" xfId="10736"/>
    <cellStyle name="Comma 8 23 2" xfId="10737"/>
    <cellStyle name="Comma 8 23 20" xfId="10738"/>
    <cellStyle name="Comma 8 23 21" xfId="10739"/>
    <cellStyle name="Comma 8 23 22" xfId="10740"/>
    <cellStyle name="Comma 8 23 23" xfId="21906"/>
    <cellStyle name="Comma 8 23 24" xfId="21907"/>
    <cellStyle name="Comma 8 23 25" xfId="21908"/>
    <cellStyle name="Comma 8 23 26" xfId="21909"/>
    <cellStyle name="Comma 8 23 27" xfId="21910"/>
    <cellStyle name="Comma 8 23 28" xfId="21911"/>
    <cellStyle name="Comma 8 23 29" xfId="21912"/>
    <cellStyle name="Comma 8 23 3" xfId="10741"/>
    <cellStyle name="Comma 8 23 30" xfId="21913"/>
    <cellStyle name="Comma 8 23 31" xfId="21914"/>
    <cellStyle name="Comma 8 23 32" xfId="21915"/>
    <cellStyle name="Comma 8 23 33" xfId="21916"/>
    <cellStyle name="Comma 8 23 34" xfId="21917"/>
    <cellStyle name="Comma 8 23 35" xfId="21918"/>
    <cellStyle name="Comma 8 23 4" xfId="10742"/>
    <cellStyle name="Comma 8 23 5" xfId="10743"/>
    <cellStyle name="Comma 8 23 6" xfId="10744"/>
    <cellStyle name="Comma 8 23 7" xfId="10745"/>
    <cellStyle name="Comma 8 23 8" xfId="10746"/>
    <cellStyle name="Comma 8 23 9" xfId="10747"/>
    <cellStyle name="Comma 8 24" xfId="545"/>
    <cellStyle name="Comma 8 24 10" xfId="10748"/>
    <cellStyle name="Comma 8 24 11" xfId="10749"/>
    <cellStyle name="Comma 8 24 12" xfId="10750"/>
    <cellStyle name="Comma 8 24 13" xfId="10751"/>
    <cellStyle name="Comma 8 24 14" xfId="10752"/>
    <cellStyle name="Comma 8 24 15" xfId="10753"/>
    <cellStyle name="Comma 8 24 16" xfId="10754"/>
    <cellStyle name="Comma 8 24 17" xfId="10755"/>
    <cellStyle name="Comma 8 24 18" xfId="10756"/>
    <cellStyle name="Comma 8 24 19" xfId="10757"/>
    <cellStyle name="Comma 8 24 2" xfId="10758"/>
    <cellStyle name="Comma 8 24 20" xfId="10759"/>
    <cellStyle name="Comma 8 24 21" xfId="10760"/>
    <cellStyle name="Comma 8 24 22" xfId="10761"/>
    <cellStyle name="Comma 8 24 23" xfId="21919"/>
    <cellStyle name="Comma 8 24 24" xfId="21920"/>
    <cellStyle name="Comma 8 24 25" xfId="21921"/>
    <cellStyle name="Comma 8 24 26" xfId="21922"/>
    <cellStyle name="Comma 8 24 27" xfId="21923"/>
    <cellStyle name="Comma 8 24 28" xfId="21924"/>
    <cellStyle name="Comma 8 24 29" xfId="21925"/>
    <cellStyle name="Comma 8 24 3" xfId="10762"/>
    <cellStyle name="Comma 8 24 30" xfId="21926"/>
    <cellStyle name="Comma 8 24 31" xfId="21927"/>
    <cellStyle name="Comma 8 24 32" xfId="21928"/>
    <cellStyle name="Comma 8 24 33" xfId="21929"/>
    <cellStyle name="Comma 8 24 34" xfId="21930"/>
    <cellStyle name="Comma 8 24 35" xfId="21931"/>
    <cellStyle name="Comma 8 24 4" xfId="10763"/>
    <cellStyle name="Comma 8 24 5" xfId="10764"/>
    <cellStyle name="Comma 8 24 6" xfId="10765"/>
    <cellStyle name="Comma 8 24 7" xfId="10766"/>
    <cellStyle name="Comma 8 24 8" xfId="10767"/>
    <cellStyle name="Comma 8 24 9" xfId="10768"/>
    <cellStyle name="Comma 8 25" xfId="546"/>
    <cellStyle name="Comma 8 25 10" xfId="10769"/>
    <cellStyle name="Comma 8 25 11" xfId="10770"/>
    <cellStyle name="Comma 8 25 12" xfId="10771"/>
    <cellStyle name="Comma 8 25 13" xfId="10772"/>
    <cellStyle name="Comma 8 25 14" xfId="10773"/>
    <cellStyle name="Comma 8 25 15" xfId="10774"/>
    <cellStyle name="Comma 8 25 16" xfId="10775"/>
    <cellStyle name="Comma 8 25 17" xfId="10776"/>
    <cellStyle name="Comma 8 25 18" xfId="10777"/>
    <cellStyle name="Comma 8 25 19" xfId="10778"/>
    <cellStyle name="Comma 8 25 2" xfId="10779"/>
    <cellStyle name="Comma 8 25 20" xfId="10780"/>
    <cellStyle name="Comma 8 25 21" xfId="10781"/>
    <cellStyle name="Comma 8 25 22" xfId="10782"/>
    <cellStyle name="Comma 8 25 23" xfId="21932"/>
    <cellStyle name="Comma 8 25 24" xfId="21933"/>
    <cellStyle name="Comma 8 25 25" xfId="21934"/>
    <cellStyle name="Comma 8 25 26" xfId="21935"/>
    <cellStyle name="Comma 8 25 27" xfId="21936"/>
    <cellStyle name="Comma 8 25 28" xfId="21937"/>
    <cellStyle name="Comma 8 25 29" xfId="21938"/>
    <cellStyle name="Comma 8 25 3" xfId="10783"/>
    <cellStyle name="Comma 8 25 30" xfId="21939"/>
    <cellStyle name="Comma 8 25 31" xfId="21940"/>
    <cellStyle name="Comma 8 25 32" xfId="21941"/>
    <cellStyle name="Comma 8 25 33" xfId="21942"/>
    <cellStyle name="Comma 8 25 34" xfId="21943"/>
    <cellStyle name="Comma 8 25 35" xfId="21944"/>
    <cellStyle name="Comma 8 25 4" xfId="10784"/>
    <cellStyle name="Comma 8 25 5" xfId="10785"/>
    <cellStyle name="Comma 8 25 6" xfId="10786"/>
    <cellStyle name="Comma 8 25 7" xfId="10787"/>
    <cellStyle name="Comma 8 25 8" xfId="10788"/>
    <cellStyle name="Comma 8 25 9" xfId="10789"/>
    <cellStyle name="Comma 8 26" xfId="547"/>
    <cellStyle name="Comma 8 26 10" xfId="10790"/>
    <cellStyle name="Comma 8 26 11" xfId="10791"/>
    <cellStyle name="Comma 8 26 12" xfId="10792"/>
    <cellStyle name="Comma 8 26 13" xfId="10793"/>
    <cellStyle name="Comma 8 26 14" xfId="10794"/>
    <cellStyle name="Comma 8 26 15" xfId="10795"/>
    <cellStyle name="Comma 8 26 16" xfId="10796"/>
    <cellStyle name="Comma 8 26 17" xfId="10797"/>
    <cellStyle name="Comma 8 26 18" xfId="10798"/>
    <cellStyle name="Comma 8 26 19" xfId="10799"/>
    <cellStyle name="Comma 8 26 2" xfId="10800"/>
    <cellStyle name="Comma 8 26 20" xfId="10801"/>
    <cellStyle name="Comma 8 26 21" xfId="10802"/>
    <cellStyle name="Comma 8 26 22" xfId="10803"/>
    <cellStyle name="Comma 8 26 23" xfId="21945"/>
    <cellStyle name="Comma 8 26 24" xfId="21946"/>
    <cellStyle name="Comma 8 26 25" xfId="21947"/>
    <cellStyle name="Comma 8 26 26" xfId="21948"/>
    <cellStyle name="Comma 8 26 27" xfId="21949"/>
    <cellStyle name="Comma 8 26 28" xfId="21950"/>
    <cellStyle name="Comma 8 26 29" xfId="21951"/>
    <cellStyle name="Comma 8 26 3" xfId="10804"/>
    <cellStyle name="Comma 8 26 30" xfId="21952"/>
    <cellStyle name="Comma 8 26 31" xfId="21953"/>
    <cellStyle name="Comma 8 26 32" xfId="21954"/>
    <cellStyle name="Comma 8 26 33" xfId="21955"/>
    <cellStyle name="Comma 8 26 34" xfId="21956"/>
    <cellStyle name="Comma 8 26 35" xfId="21957"/>
    <cellStyle name="Comma 8 26 4" xfId="10805"/>
    <cellStyle name="Comma 8 26 5" xfId="10806"/>
    <cellStyle name="Comma 8 26 6" xfId="10807"/>
    <cellStyle name="Comma 8 26 7" xfId="10808"/>
    <cellStyle name="Comma 8 26 8" xfId="10809"/>
    <cellStyle name="Comma 8 26 9" xfId="10810"/>
    <cellStyle name="Comma 8 27" xfId="548"/>
    <cellStyle name="Comma 8 28" xfId="10811"/>
    <cellStyle name="Comma 8 29" xfId="10812"/>
    <cellStyle name="Comma 8 3" xfId="549"/>
    <cellStyle name="Comma 8 3 10" xfId="10813"/>
    <cellStyle name="Comma 8 3 11" xfId="10814"/>
    <cellStyle name="Comma 8 3 12" xfId="10815"/>
    <cellStyle name="Comma 8 3 13" xfId="10816"/>
    <cellStyle name="Comma 8 3 14" xfId="10817"/>
    <cellStyle name="Comma 8 3 15" xfId="10818"/>
    <cellStyle name="Comma 8 3 16" xfId="10819"/>
    <cellStyle name="Comma 8 3 17" xfId="10820"/>
    <cellStyle name="Comma 8 3 18" xfId="10821"/>
    <cellStyle name="Comma 8 3 19" xfId="10822"/>
    <cellStyle name="Comma 8 3 2" xfId="550"/>
    <cellStyle name="Comma 8 3 20" xfId="10823"/>
    <cellStyle name="Comma 8 3 21" xfId="10824"/>
    <cellStyle name="Comma 8 3 22" xfId="10825"/>
    <cellStyle name="Comma 8 3 23" xfId="10826"/>
    <cellStyle name="Comma 8 3 24" xfId="10827"/>
    <cellStyle name="Comma 8 3 25" xfId="21958"/>
    <cellStyle name="Comma 8 3 26" xfId="21959"/>
    <cellStyle name="Comma 8 3 27" xfId="21960"/>
    <cellStyle name="Comma 8 3 28" xfId="21961"/>
    <cellStyle name="Comma 8 3 29" xfId="21962"/>
    <cellStyle name="Comma 8 3 3" xfId="10828"/>
    <cellStyle name="Comma 8 3 30" xfId="21963"/>
    <cellStyle name="Comma 8 3 31" xfId="21964"/>
    <cellStyle name="Comma 8 3 32" xfId="21965"/>
    <cellStyle name="Comma 8 3 33" xfId="21966"/>
    <cellStyle name="Comma 8 3 34" xfId="21967"/>
    <cellStyle name="Comma 8 3 35" xfId="21968"/>
    <cellStyle name="Comma 8 3 36" xfId="21969"/>
    <cellStyle name="Comma 8 3 37" xfId="21970"/>
    <cellStyle name="Comma 8 3 4" xfId="10829"/>
    <cellStyle name="Comma 8 3 5" xfId="10830"/>
    <cellStyle name="Comma 8 3 6" xfId="10831"/>
    <cellStyle name="Comma 8 3 7" xfId="10832"/>
    <cellStyle name="Comma 8 3 8" xfId="10833"/>
    <cellStyle name="Comma 8 3 9" xfId="10834"/>
    <cellStyle name="Comma 8 30" xfId="10835"/>
    <cellStyle name="Comma 8 31" xfId="10836"/>
    <cellStyle name="Comma 8 32" xfId="10837"/>
    <cellStyle name="Comma 8 33" xfId="10838"/>
    <cellStyle name="Comma 8 34" xfId="10839"/>
    <cellStyle name="Comma 8 35" xfId="10840"/>
    <cellStyle name="Comma 8 36" xfId="10841"/>
    <cellStyle name="Comma 8 37" xfId="10842"/>
    <cellStyle name="Comma 8 38" xfId="10843"/>
    <cellStyle name="Comma 8 39" xfId="10844"/>
    <cellStyle name="Comma 8 4" xfId="551"/>
    <cellStyle name="Comma 8 4 10" xfId="10845"/>
    <cellStyle name="Comma 8 4 11" xfId="10846"/>
    <cellStyle name="Comma 8 4 12" xfId="10847"/>
    <cellStyle name="Comma 8 4 13" xfId="10848"/>
    <cellStyle name="Comma 8 4 14" xfId="10849"/>
    <cellStyle name="Comma 8 4 15" xfId="10850"/>
    <cellStyle name="Comma 8 4 16" xfId="10851"/>
    <cellStyle name="Comma 8 4 17" xfId="10852"/>
    <cellStyle name="Comma 8 4 18" xfId="10853"/>
    <cellStyle name="Comma 8 4 19" xfId="10854"/>
    <cellStyle name="Comma 8 4 2" xfId="552"/>
    <cellStyle name="Comma 8 4 20" xfId="10855"/>
    <cellStyle name="Comma 8 4 21" xfId="10856"/>
    <cellStyle name="Comma 8 4 22" xfId="10857"/>
    <cellStyle name="Comma 8 4 23" xfId="10858"/>
    <cellStyle name="Comma 8 4 24" xfId="10859"/>
    <cellStyle name="Comma 8 4 25" xfId="21971"/>
    <cellStyle name="Comma 8 4 26" xfId="21972"/>
    <cellStyle name="Comma 8 4 27" xfId="21973"/>
    <cellStyle name="Comma 8 4 28" xfId="21974"/>
    <cellStyle name="Comma 8 4 29" xfId="21975"/>
    <cellStyle name="Comma 8 4 3" xfId="10860"/>
    <cellStyle name="Comma 8 4 30" xfId="21976"/>
    <cellStyle name="Comma 8 4 31" xfId="21977"/>
    <cellStyle name="Comma 8 4 32" xfId="21978"/>
    <cellStyle name="Comma 8 4 33" xfId="21979"/>
    <cellStyle name="Comma 8 4 34" xfId="21980"/>
    <cellStyle name="Comma 8 4 35" xfId="21981"/>
    <cellStyle name="Comma 8 4 36" xfId="21982"/>
    <cellStyle name="Comma 8 4 37" xfId="21983"/>
    <cellStyle name="Comma 8 4 4" xfId="10861"/>
    <cellStyle name="Comma 8 4 5" xfId="10862"/>
    <cellStyle name="Comma 8 4 6" xfId="10863"/>
    <cellStyle name="Comma 8 4 7" xfId="10864"/>
    <cellStyle name="Comma 8 4 8" xfId="10865"/>
    <cellStyle name="Comma 8 4 9" xfId="10866"/>
    <cellStyle name="Comma 8 40" xfId="10867"/>
    <cellStyle name="Comma 8 41" xfId="10868"/>
    <cellStyle name="Comma 8 42" xfId="10869"/>
    <cellStyle name="Comma 8 43" xfId="10870"/>
    <cellStyle name="Comma 8 44" xfId="10871"/>
    <cellStyle name="Comma 8 45" xfId="10872"/>
    <cellStyle name="Comma 8 46" xfId="10873"/>
    <cellStyle name="Comma 8 47" xfId="10874"/>
    <cellStyle name="Comma 8 48" xfId="10875"/>
    <cellStyle name="Comma 8 49" xfId="10876"/>
    <cellStyle name="Comma 8 5" xfId="553"/>
    <cellStyle name="Comma 8 5 10" xfId="10877"/>
    <cellStyle name="Comma 8 5 11" xfId="10878"/>
    <cellStyle name="Comma 8 5 12" xfId="10879"/>
    <cellStyle name="Comma 8 5 13" xfId="10880"/>
    <cellStyle name="Comma 8 5 14" xfId="10881"/>
    <cellStyle name="Comma 8 5 15" xfId="10882"/>
    <cellStyle name="Comma 8 5 16" xfId="10883"/>
    <cellStyle name="Comma 8 5 17" xfId="10884"/>
    <cellStyle name="Comma 8 5 18" xfId="10885"/>
    <cellStyle name="Comma 8 5 19" xfId="10886"/>
    <cellStyle name="Comma 8 5 2" xfId="554"/>
    <cellStyle name="Comma 8 5 20" xfId="10887"/>
    <cellStyle name="Comma 8 5 21" xfId="10888"/>
    <cellStyle name="Comma 8 5 22" xfId="10889"/>
    <cellStyle name="Comma 8 5 23" xfId="10890"/>
    <cellStyle name="Comma 8 5 24" xfId="10891"/>
    <cellStyle name="Comma 8 5 25" xfId="21984"/>
    <cellStyle name="Comma 8 5 26" xfId="21985"/>
    <cellStyle name="Comma 8 5 27" xfId="21986"/>
    <cellStyle name="Comma 8 5 28" xfId="21987"/>
    <cellStyle name="Comma 8 5 29" xfId="21988"/>
    <cellStyle name="Comma 8 5 3" xfId="10892"/>
    <cellStyle name="Comma 8 5 30" xfId="21989"/>
    <cellStyle name="Comma 8 5 31" xfId="21990"/>
    <cellStyle name="Comma 8 5 32" xfId="21991"/>
    <cellStyle name="Comma 8 5 33" xfId="21992"/>
    <cellStyle name="Comma 8 5 34" xfId="21993"/>
    <cellStyle name="Comma 8 5 35" xfId="21994"/>
    <cellStyle name="Comma 8 5 36" xfId="21995"/>
    <cellStyle name="Comma 8 5 37" xfId="21996"/>
    <cellStyle name="Comma 8 5 4" xfId="10893"/>
    <cellStyle name="Comma 8 5 5" xfId="10894"/>
    <cellStyle name="Comma 8 5 6" xfId="10895"/>
    <cellStyle name="Comma 8 5 7" xfId="10896"/>
    <cellStyle name="Comma 8 5 8" xfId="10897"/>
    <cellStyle name="Comma 8 5 9" xfId="10898"/>
    <cellStyle name="Comma 8 50" xfId="21997"/>
    <cellStyle name="Comma 8 51" xfId="21998"/>
    <cellStyle name="Comma 8 52" xfId="21999"/>
    <cellStyle name="Comma 8 53" xfId="22000"/>
    <cellStyle name="Comma 8 54" xfId="22001"/>
    <cellStyle name="Comma 8 55" xfId="22002"/>
    <cellStyle name="Comma 8 56" xfId="22003"/>
    <cellStyle name="Comma 8 57" xfId="22004"/>
    <cellStyle name="Comma 8 58" xfId="22005"/>
    <cellStyle name="Comma 8 59" xfId="22006"/>
    <cellStyle name="Comma 8 6" xfId="555"/>
    <cellStyle name="Comma 8 6 10" xfId="10899"/>
    <cellStyle name="Comma 8 6 11" xfId="10900"/>
    <cellStyle name="Comma 8 6 12" xfId="10901"/>
    <cellStyle name="Comma 8 6 13" xfId="10902"/>
    <cellStyle name="Comma 8 6 14" xfId="10903"/>
    <cellStyle name="Comma 8 6 15" xfId="10904"/>
    <cellStyle name="Comma 8 6 16" xfId="10905"/>
    <cellStyle name="Comma 8 6 17" xfId="10906"/>
    <cellStyle name="Comma 8 6 18" xfId="10907"/>
    <cellStyle name="Comma 8 6 19" xfId="10908"/>
    <cellStyle name="Comma 8 6 2" xfId="556"/>
    <cellStyle name="Comma 8 6 20" xfId="10909"/>
    <cellStyle name="Comma 8 6 21" xfId="10910"/>
    <cellStyle name="Comma 8 6 22" xfId="10911"/>
    <cellStyle name="Comma 8 6 23" xfId="10912"/>
    <cellStyle name="Comma 8 6 24" xfId="10913"/>
    <cellStyle name="Comma 8 6 25" xfId="22007"/>
    <cellStyle name="Comma 8 6 26" xfId="22008"/>
    <cellStyle name="Comma 8 6 27" xfId="22009"/>
    <cellStyle name="Comma 8 6 28" xfId="22010"/>
    <cellStyle name="Comma 8 6 29" xfId="22011"/>
    <cellStyle name="Comma 8 6 3" xfId="10914"/>
    <cellStyle name="Comma 8 6 30" xfId="22012"/>
    <cellStyle name="Comma 8 6 31" xfId="22013"/>
    <cellStyle name="Comma 8 6 32" xfId="22014"/>
    <cellStyle name="Comma 8 6 33" xfId="22015"/>
    <cellStyle name="Comma 8 6 34" xfId="22016"/>
    <cellStyle name="Comma 8 6 35" xfId="22017"/>
    <cellStyle name="Comma 8 6 36" xfId="22018"/>
    <cellStyle name="Comma 8 6 37" xfId="22019"/>
    <cellStyle name="Comma 8 6 4" xfId="10915"/>
    <cellStyle name="Comma 8 6 5" xfId="10916"/>
    <cellStyle name="Comma 8 6 6" xfId="10917"/>
    <cellStyle name="Comma 8 6 7" xfId="10918"/>
    <cellStyle name="Comma 8 6 8" xfId="10919"/>
    <cellStyle name="Comma 8 6 9" xfId="10920"/>
    <cellStyle name="Comma 8 60" xfId="22020"/>
    <cellStyle name="Comma 8 61" xfId="22021"/>
    <cellStyle name="Comma 8 62" xfId="22022"/>
    <cellStyle name="Comma 8 7" xfId="557"/>
    <cellStyle name="Comma 8 7 10" xfId="10921"/>
    <cellStyle name="Comma 8 7 11" xfId="10922"/>
    <cellStyle name="Comma 8 7 12" xfId="10923"/>
    <cellStyle name="Comma 8 7 13" xfId="10924"/>
    <cellStyle name="Comma 8 7 14" xfId="10925"/>
    <cellStyle name="Comma 8 7 15" xfId="10926"/>
    <cellStyle name="Comma 8 7 16" xfId="10927"/>
    <cellStyle name="Comma 8 7 17" xfId="10928"/>
    <cellStyle name="Comma 8 7 18" xfId="10929"/>
    <cellStyle name="Comma 8 7 19" xfId="10930"/>
    <cellStyle name="Comma 8 7 2" xfId="558"/>
    <cellStyle name="Comma 8 7 20" xfId="10931"/>
    <cellStyle name="Comma 8 7 21" xfId="10932"/>
    <cellStyle name="Comma 8 7 22" xfId="10933"/>
    <cellStyle name="Comma 8 7 23" xfId="10934"/>
    <cellStyle name="Comma 8 7 24" xfId="10935"/>
    <cellStyle name="Comma 8 7 25" xfId="22023"/>
    <cellStyle name="Comma 8 7 26" xfId="22024"/>
    <cellStyle name="Comma 8 7 27" xfId="22025"/>
    <cellStyle name="Comma 8 7 28" xfId="22026"/>
    <cellStyle name="Comma 8 7 29" xfId="22027"/>
    <cellStyle name="Comma 8 7 3" xfId="10936"/>
    <cellStyle name="Comma 8 7 30" xfId="22028"/>
    <cellStyle name="Comma 8 7 31" xfId="22029"/>
    <cellStyle name="Comma 8 7 32" xfId="22030"/>
    <cellStyle name="Comma 8 7 33" xfId="22031"/>
    <cellStyle name="Comma 8 7 34" xfId="22032"/>
    <cellStyle name="Comma 8 7 35" xfId="22033"/>
    <cellStyle name="Comma 8 7 36" xfId="22034"/>
    <cellStyle name="Comma 8 7 37" xfId="22035"/>
    <cellStyle name="Comma 8 7 4" xfId="10937"/>
    <cellStyle name="Comma 8 7 5" xfId="10938"/>
    <cellStyle name="Comma 8 7 6" xfId="10939"/>
    <cellStyle name="Comma 8 7 7" xfId="10940"/>
    <cellStyle name="Comma 8 7 8" xfId="10941"/>
    <cellStyle name="Comma 8 7 9" xfId="10942"/>
    <cellStyle name="Comma 8 8" xfId="559"/>
    <cellStyle name="Comma 8 8 10" xfId="10943"/>
    <cellStyle name="Comma 8 8 11" xfId="10944"/>
    <cellStyle name="Comma 8 8 12" xfId="10945"/>
    <cellStyle name="Comma 8 8 13" xfId="10946"/>
    <cellStyle name="Comma 8 8 14" xfId="10947"/>
    <cellStyle name="Comma 8 8 15" xfId="10948"/>
    <cellStyle name="Comma 8 8 16" xfId="10949"/>
    <cellStyle name="Comma 8 8 17" xfId="10950"/>
    <cellStyle name="Comma 8 8 18" xfId="10951"/>
    <cellStyle name="Comma 8 8 19" xfId="10952"/>
    <cellStyle name="Comma 8 8 2" xfId="560"/>
    <cellStyle name="Comma 8 8 20" xfId="10953"/>
    <cellStyle name="Comma 8 8 21" xfId="10954"/>
    <cellStyle name="Comma 8 8 22" xfId="10955"/>
    <cellStyle name="Comma 8 8 23" xfId="10956"/>
    <cellStyle name="Comma 8 8 24" xfId="10957"/>
    <cellStyle name="Comma 8 8 25" xfId="22036"/>
    <cellStyle name="Comma 8 8 26" xfId="22037"/>
    <cellStyle name="Comma 8 8 27" xfId="22038"/>
    <cellStyle name="Comma 8 8 28" xfId="22039"/>
    <cellStyle name="Comma 8 8 29" xfId="22040"/>
    <cellStyle name="Comma 8 8 3" xfId="10958"/>
    <cellStyle name="Comma 8 8 30" xfId="22041"/>
    <cellStyle name="Comma 8 8 31" xfId="22042"/>
    <cellStyle name="Comma 8 8 32" xfId="22043"/>
    <cellStyle name="Comma 8 8 33" xfId="22044"/>
    <cellStyle name="Comma 8 8 34" xfId="22045"/>
    <cellStyle name="Comma 8 8 35" xfId="22046"/>
    <cellStyle name="Comma 8 8 36" xfId="22047"/>
    <cellStyle name="Comma 8 8 37" xfId="22048"/>
    <cellStyle name="Comma 8 8 4" xfId="10959"/>
    <cellStyle name="Comma 8 8 5" xfId="10960"/>
    <cellStyle name="Comma 8 8 6" xfId="10961"/>
    <cellStyle name="Comma 8 8 7" xfId="10962"/>
    <cellStyle name="Comma 8 8 8" xfId="10963"/>
    <cellStyle name="Comma 8 8 9" xfId="10964"/>
    <cellStyle name="Comma 8 9" xfId="561"/>
    <cellStyle name="Comma 8 9 10" xfId="10965"/>
    <cellStyle name="Comma 8 9 11" xfId="10966"/>
    <cellStyle name="Comma 8 9 12" xfId="10967"/>
    <cellStyle name="Comma 8 9 13" xfId="10968"/>
    <cellStyle name="Comma 8 9 14" xfId="10969"/>
    <cellStyle name="Comma 8 9 15" xfId="10970"/>
    <cellStyle name="Comma 8 9 16" xfId="10971"/>
    <cellStyle name="Comma 8 9 17" xfId="10972"/>
    <cellStyle name="Comma 8 9 18" xfId="10973"/>
    <cellStyle name="Comma 8 9 19" xfId="10974"/>
    <cellStyle name="Comma 8 9 2" xfId="562"/>
    <cellStyle name="Comma 8 9 20" xfId="10975"/>
    <cellStyle name="Comma 8 9 21" xfId="10976"/>
    <cellStyle name="Comma 8 9 22" xfId="10977"/>
    <cellStyle name="Comma 8 9 23" xfId="10978"/>
    <cellStyle name="Comma 8 9 24" xfId="10979"/>
    <cellStyle name="Comma 8 9 25" xfId="22049"/>
    <cellStyle name="Comma 8 9 26" xfId="22050"/>
    <cellStyle name="Comma 8 9 27" xfId="22051"/>
    <cellStyle name="Comma 8 9 28" xfId="22052"/>
    <cellStyle name="Comma 8 9 29" xfId="22053"/>
    <cellStyle name="Comma 8 9 3" xfId="10980"/>
    <cellStyle name="Comma 8 9 30" xfId="22054"/>
    <cellStyle name="Comma 8 9 31" xfId="22055"/>
    <cellStyle name="Comma 8 9 32" xfId="22056"/>
    <cellStyle name="Comma 8 9 33" xfId="22057"/>
    <cellStyle name="Comma 8 9 34" xfId="22058"/>
    <cellStyle name="Comma 8 9 35" xfId="22059"/>
    <cellStyle name="Comma 8 9 36" xfId="22060"/>
    <cellStyle name="Comma 8 9 37" xfId="22061"/>
    <cellStyle name="Comma 8 9 4" xfId="10981"/>
    <cellStyle name="Comma 8 9 5" xfId="10982"/>
    <cellStyle name="Comma 8 9 6" xfId="10983"/>
    <cellStyle name="Comma 8 9 7" xfId="10984"/>
    <cellStyle name="Comma 8 9 8" xfId="10985"/>
    <cellStyle name="Comma 8 9 9" xfId="10986"/>
    <cellStyle name="Comma 9" xfId="42"/>
    <cellStyle name="Comma 9 10" xfId="986"/>
    <cellStyle name="Comma 9 11" xfId="983"/>
    <cellStyle name="Comma 9 12" xfId="1018"/>
    <cellStyle name="Comma 9 13" xfId="1050"/>
    <cellStyle name="Comma 9 14" xfId="1082"/>
    <cellStyle name="Comma 9 15" xfId="1151"/>
    <cellStyle name="Comma 9 16" xfId="1184"/>
    <cellStyle name="Comma 9 17" xfId="1181"/>
    <cellStyle name="Comma 9 18" xfId="1216"/>
    <cellStyle name="Comma 9 19" xfId="1249"/>
    <cellStyle name="Comma 9 2" xfId="563"/>
    <cellStyle name="Comma 9 2 10" xfId="10987"/>
    <cellStyle name="Comma 9 2 11" xfId="10988"/>
    <cellStyle name="Comma 9 2 12" xfId="10989"/>
    <cellStyle name="Comma 9 2 13" xfId="10990"/>
    <cellStyle name="Comma 9 2 14" xfId="10991"/>
    <cellStyle name="Comma 9 2 15" xfId="10992"/>
    <cellStyle name="Comma 9 2 16" xfId="10993"/>
    <cellStyle name="Comma 9 2 17" xfId="10994"/>
    <cellStyle name="Comma 9 2 18" xfId="10995"/>
    <cellStyle name="Comma 9 2 19" xfId="10996"/>
    <cellStyle name="Comma 9 2 2" xfId="10997"/>
    <cellStyle name="Comma 9 2 20" xfId="10998"/>
    <cellStyle name="Comma 9 2 21" xfId="10999"/>
    <cellStyle name="Comma 9 2 22" xfId="11000"/>
    <cellStyle name="Comma 9 2 23" xfId="22062"/>
    <cellStyle name="Comma 9 2 24" xfId="22063"/>
    <cellStyle name="Comma 9 2 25" xfId="22064"/>
    <cellStyle name="Comma 9 2 26" xfId="22065"/>
    <cellStyle name="Comma 9 2 27" xfId="22066"/>
    <cellStyle name="Comma 9 2 28" xfId="22067"/>
    <cellStyle name="Comma 9 2 29" xfId="22068"/>
    <cellStyle name="Comma 9 2 3" xfId="11001"/>
    <cellStyle name="Comma 9 2 30" xfId="22069"/>
    <cellStyle name="Comma 9 2 31" xfId="22070"/>
    <cellStyle name="Comma 9 2 32" xfId="22071"/>
    <cellStyle name="Comma 9 2 33" xfId="22072"/>
    <cellStyle name="Comma 9 2 34" xfId="22073"/>
    <cellStyle name="Comma 9 2 35" xfId="22074"/>
    <cellStyle name="Comma 9 2 4" xfId="11002"/>
    <cellStyle name="Comma 9 2 5" xfId="11003"/>
    <cellStyle name="Comma 9 2 6" xfId="11004"/>
    <cellStyle name="Comma 9 2 7" xfId="11005"/>
    <cellStyle name="Comma 9 2 8" xfId="11006"/>
    <cellStyle name="Comma 9 2 9" xfId="11007"/>
    <cellStyle name="Comma 9 20" xfId="1282"/>
    <cellStyle name="Comma 9 21" xfId="1315"/>
    <cellStyle name="Comma 9 22" xfId="1347"/>
    <cellStyle name="Comma 9 23" xfId="1427"/>
    <cellStyle name="Comma 9 24" xfId="1548"/>
    <cellStyle name="Comma 9 25" xfId="1601"/>
    <cellStyle name="Comma 9 26" xfId="1653"/>
    <cellStyle name="Comma 9 27" xfId="1729"/>
    <cellStyle name="Comma 9 28" xfId="1816"/>
    <cellStyle name="Comma 9 29" xfId="2129"/>
    <cellStyle name="Comma 9 3" xfId="564"/>
    <cellStyle name="Comma 9 3 10" xfId="11008"/>
    <cellStyle name="Comma 9 3 11" xfId="11009"/>
    <cellStyle name="Comma 9 3 12" xfId="11010"/>
    <cellStyle name="Comma 9 3 13" xfId="11011"/>
    <cellStyle name="Comma 9 3 14" xfId="11012"/>
    <cellStyle name="Comma 9 3 15" xfId="11013"/>
    <cellStyle name="Comma 9 3 16" xfId="11014"/>
    <cellStyle name="Comma 9 3 17" xfId="11015"/>
    <cellStyle name="Comma 9 3 18" xfId="11016"/>
    <cellStyle name="Comma 9 3 19" xfId="11017"/>
    <cellStyle name="Comma 9 3 2" xfId="11018"/>
    <cellStyle name="Comma 9 3 20" xfId="11019"/>
    <cellStyle name="Comma 9 3 21" xfId="11020"/>
    <cellStyle name="Comma 9 3 22" xfId="11021"/>
    <cellStyle name="Comma 9 3 23" xfId="22075"/>
    <cellStyle name="Comma 9 3 24" xfId="22076"/>
    <cellStyle name="Comma 9 3 25" xfId="22077"/>
    <cellStyle name="Comma 9 3 26" xfId="22078"/>
    <cellStyle name="Comma 9 3 27" xfId="22079"/>
    <cellStyle name="Comma 9 3 28" xfId="22080"/>
    <cellStyle name="Comma 9 3 29" xfId="22081"/>
    <cellStyle name="Comma 9 3 3" xfId="11022"/>
    <cellStyle name="Comma 9 3 30" xfId="22082"/>
    <cellStyle name="Comma 9 3 31" xfId="22083"/>
    <cellStyle name="Comma 9 3 32" xfId="22084"/>
    <cellStyle name="Comma 9 3 33" xfId="22085"/>
    <cellStyle name="Comma 9 3 34" xfId="22086"/>
    <cellStyle name="Comma 9 3 35" xfId="22087"/>
    <cellStyle name="Comma 9 3 4" xfId="11023"/>
    <cellStyle name="Comma 9 3 5" xfId="11024"/>
    <cellStyle name="Comma 9 3 6" xfId="11025"/>
    <cellStyle name="Comma 9 3 7" xfId="11026"/>
    <cellStyle name="Comma 9 3 8" xfId="11027"/>
    <cellStyle name="Comma 9 3 9" xfId="11028"/>
    <cellStyle name="Comma 9 30" xfId="2678"/>
    <cellStyle name="Comma 9 31" xfId="2899"/>
    <cellStyle name="Comma 9 32" xfId="2982"/>
    <cellStyle name="Comma 9 33" xfId="3052"/>
    <cellStyle name="Comma 9 34" xfId="3111"/>
    <cellStyle name="Comma 9 35" xfId="2197"/>
    <cellStyle name="Comma 9 36" xfId="22088"/>
    <cellStyle name="Comma 9 37" xfId="22089"/>
    <cellStyle name="Comma 9 38" xfId="22090"/>
    <cellStyle name="Comma 9 39" xfId="22091"/>
    <cellStyle name="Comma 9 4" xfId="565"/>
    <cellStyle name="Comma 9 4 10" xfId="11029"/>
    <cellStyle name="Comma 9 4 11" xfId="11030"/>
    <cellStyle name="Comma 9 4 12" xfId="11031"/>
    <cellStyle name="Comma 9 4 13" xfId="11032"/>
    <cellStyle name="Comma 9 4 14" xfId="11033"/>
    <cellStyle name="Comma 9 4 15" xfId="11034"/>
    <cellStyle name="Comma 9 4 16" xfId="11035"/>
    <cellStyle name="Comma 9 4 17" xfId="11036"/>
    <cellStyle name="Comma 9 4 18" xfId="11037"/>
    <cellStyle name="Comma 9 4 19" xfId="11038"/>
    <cellStyle name="Comma 9 4 2" xfId="11039"/>
    <cellStyle name="Comma 9 4 20" xfId="11040"/>
    <cellStyle name="Comma 9 4 21" xfId="11041"/>
    <cellStyle name="Comma 9 4 22" xfId="11042"/>
    <cellStyle name="Comma 9 4 23" xfId="22092"/>
    <cellStyle name="Comma 9 4 24" xfId="22093"/>
    <cellStyle name="Comma 9 4 25" xfId="22094"/>
    <cellStyle name="Comma 9 4 26" xfId="22095"/>
    <cellStyle name="Comma 9 4 27" xfId="22096"/>
    <cellStyle name="Comma 9 4 28" xfId="22097"/>
    <cellStyle name="Comma 9 4 29" xfId="22098"/>
    <cellStyle name="Comma 9 4 3" xfId="11043"/>
    <cellStyle name="Comma 9 4 30" xfId="22099"/>
    <cellStyle name="Comma 9 4 31" xfId="22100"/>
    <cellStyle name="Comma 9 4 32" xfId="22101"/>
    <cellStyle name="Comma 9 4 33" xfId="22102"/>
    <cellStyle name="Comma 9 4 34" xfId="22103"/>
    <cellStyle name="Comma 9 4 35" xfId="22104"/>
    <cellStyle name="Comma 9 4 4" xfId="11044"/>
    <cellStyle name="Comma 9 4 5" xfId="11045"/>
    <cellStyle name="Comma 9 4 6" xfId="11046"/>
    <cellStyle name="Comma 9 4 7" xfId="11047"/>
    <cellStyle name="Comma 9 4 8" xfId="11048"/>
    <cellStyle name="Comma 9 4 9" xfId="11049"/>
    <cellStyle name="Comma 9 40" xfId="22105"/>
    <cellStyle name="Comma 9 41" xfId="22106"/>
    <cellStyle name="Comma 9 42" xfId="22107"/>
    <cellStyle name="Comma 9 43" xfId="22108"/>
    <cellStyle name="Comma 9 44" xfId="22109"/>
    <cellStyle name="Comma 9 5" xfId="566"/>
    <cellStyle name="Comma 9 5 10" xfId="11050"/>
    <cellStyle name="Comma 9 5 11" xfId="11051"/>
    <cellStyle name="Comma 9 5 12" xfId="11052"/>
    <cellStyle name="Comma 9 5 13" xfId="11053"/>
    <cellStyle name="Comma 9 5 14" xfId="11054"/>
    <cellStyle name="Comma 9 5 15" xfId="11055"/>
    <cellStyle name="Comma 9 5 16" xfId="11056"/>
    <cellStyle name="Comma 9 5 17" xfId="11057"/>
    <cellStyle name="Comma 9 5 18" xfId="11058"/>
    <cellStyle name="Comma 9 5 19" xfId="11059"/>
    <cellStyle name="Comma 9 5 2" xfId="11060"/>
    <cellStyle name="Comma 9 5 20" xfId="11061"/>
    <cellStyle name="Comma 9 5 21" xfId="11062"/>
    <cellStyle name="Comma 9 5 22" xfId="11063"/>
    <cellStyle name="Comma 9 5 23" xfId="22110"/>
    <cellStyle name="Comma 9 5 24" xfId="22111"/>
    <cellStyle name="Comma 9 5 25" xfId="22112"/>
    <cellStyle name="Comma 9 5 26" xfId="22113"/>
    <cellStyle name="Comma 9 5 27" xfId="22114"/>
    <cellStyle name="Comma 9 5 28" xfId="22115"/>
    <cellStyle name="Comma 9 5 29" xfId="22116"/>
    <cellStyle name="Comma 9 5 3" xfId="11064"/>
    <cellStyle name="Comma 9 5 30" xfId="22117"/>
    <cellStyle name="Comma 9 5 31" xfId="22118"/>
    <cellStyle name="Comma 9 5 32" xfId="22119"/>
    <cellStyle name="Comma 9 5 33" xfId="22120"/>
    <cellStyle name="Comma 9 5 34" xfId="22121"/>
    <cellStyle name="Comma 9 5 35" xfId="22122"/>
    <cellStyle name="Comma 9 5 4" xfId="11065"/>
    <cellStyle name="Comma 9 5 5" xfId="11066"/>
    <cellStyle name="Comma 9 5 6" xfId="11067"/>
    <cellStyle name="Comma 9 5 7" xfId="11068"/>
    <cellStyle name="Comma 9 5 8" xfId="11069"/>
    <cellStyle name="Comma 9 5 9" xfId="11070"/>
    <cellStyle name="Comma 9 6" xfId="567"/>
    <cellStyle name="Comma 9 6 10" xfId="11071"/>
    <cellStyle name="Comma 9 6 11" xfId="11072"/>
    <cellStyle name="Comma 9 6 12" xfId="11073"/>
    <cellStyle name="Comma 9 6 13" xfId="11074"/>
    <cellStyle name="Comma 9 6 14" xfId="11075"/>
    <cellStyle name="Comma 9 6 15" xfId="11076"/>
    <cellStyle name="Comma 9 6 16" xfId="11077"/>
    <cellStyle name="Comma 9 6 17" xfId="11078"/>
    <cellStyle name="Comma 9 6 18" xfId="11079"/>
    <cellStyle name="Comma 9 6 19" xfId="11080"/>
    <cellStyle name="Comma 9 6 2" xfId="11081"/>
    <cellStyle name="Comma 9 6 20" xfId="11082"/>
    <cellStyle name="Comma 9 6 21" xfId="11083"/>
    <cellStyle name="Comma 9 6 22" xfId="11084"/>
    <cellStyle name="Comma 9 6 23" xfId="22123"/>
    <cellStyle name="Comma 9 6 24" xfId="22124"/>
    <cellStyle name="Comma 9 6 25" xfId="22125"/>
    <cellStyle name="Comma 9 6 26" xfId="22126"/>
    <cellStyle name="Comma 9 6 27" xfId="22127"/>
    <cellStyle name="Comma 9 6 28" xfId="22128"/>
    <cellStyle name="Comma 9 6 29" xfId="22129"/>
    <cellStyle name="Comma 9 6 3" xfId="11085"/>
    <cellStyle name="Comma 9 6 30" xfId="22130"/>
    <cellStyle name="Comma 9 6 31" xfId="22131"/>
    <cellStyle name="Comma 9 6 32" xfId="22132"/>
    <cellStyle name="Comma 9 6 33" xfId="22133"/>
    <cellStyle name="Comma 9 6 34" xfId="22134"/>
    <cellStyle name="Comma 9 6 35" xfId="22135"/>
    <cellStyle name="Comma 9 6 4" xfId="11086"/>
    <cellStyle name="Comma 9 6 5" xfId="11087"/>
    <cellStyle name="Comma 9 6 6" xfId="11088"/>
    <cellStyle name="Comma 9 6 7" xfId="11089"/>
    <cellStyle name="Comma 9 6 8" xfId="11090"/>
    <cellStyle name="Comma 9 6 9" xfId="11091"/>
    <cellStyle name="Comma 9 7" xfId="568"/>
    <cellStyle name="Comma 9 7 10" xfId="11092"/>
    <cellStyle name="Comma 9 7 11" xfId="11093"/>
    <cellStyle name="Comma 9 7 12" xfId="11094"/>
    <cellStyle name="Comma 9 7 13" xfId="11095"/>
    <cellStyle name="Comma 9 7 14" xfId="11096"/>
    <cellStyle name="Comma 9 7 15" xfId="11097"/>
    <cellStyle name="Comma 9 7 16" xfId="11098"/>
    <cellStyle name="Comma 9 7 17" xfId="11099"/>
    <cellStyle name="Comma 9 7 18" xfId="11100"/>
    <cellStyle name="Comma 9 7 19" xfId="11101"/>
    <cellStyle name="Comma 9 7 2" xfId="11102"/>
    <cellStyle name="Comma 9 7 20" xfId="11103"/>
    <cellStyle name="Comma 9 7 21" xfId="11104"/>
    <cellStyle name="Comma 9 7 22" xfId="11105"/>
    <cellStyle name="Comma 9 7 23" xfId="22136"/>
    <cellStyle name="Comma 9 7 24" xfId="22137"/>
    <cellStyle name="Comma 9 7 25" xfId="22138"/>
    <cellStyle name="Comma 9 7 26" xfId="22139"/>
    <cellStyle name="Comma 9 7 27" xfId="22140"/>
    <cellStyle name="Comma 9 7 28" xfId="22141"/>
    <cellStyle name="Comma 9 7 29" xfId="22142"/>
    <cellStyle name="Comma 9 7 3" xfId="11106"/>
    <cellStyle name="Comma 9 7 30" xfId="22143"/>
    <cellStyle name="Comma 9 7 31" xfId="22144"/>
    <cellStyle name="Comma 9 7 32" xfId="22145"/>
    <cellStyle name="Comma 9 7 33" xfId="22146"/>
    <cellStyle name="Comma 9 7 34" xfId="22147"/>
    <cellStyle name="Comma 9 7 35" xfId="22148"/>
    <cellStyle name="Comma 9 7 4" xfId="11107"/>
    <cellStyle name="Comma 9 7 5" xfId="11108"/>
    <cellStyle name="Comma 9 7 6" xfId="11109"/>
    <cellStyle name="Comma 9 7 7" xfId="11110"/>
    <cellStyle name="Comma 9 7 8" xfId="11111"/>
    <cellStyle name="Comma 9 7 9" xfId="11112"/>
    <cellStyle name="Comma 9 8" xfId="569"/>
    <cellStyle name="Comma 9 9" xfId="953"/>
    <cellStyle name="Currency" xfId="43" builtinId="4"/>
    <cellStyle name="Currency 10" xfId="1370"/>
    <cellStyle name="Currency 10 2" xfId="2758"/>
    <cellStyle name="Currency 10 3" xfId="2941"/>
    <cellStyle name="Currency 10 4" xfId="3021"/>
    <cellStyle name="Currency 10 5" xfId="3084"/>
    <cellStyle name="Currency 10 6" xfId="3137"/>
    <cellStyle name="Currency 10 7" xfId="3185"/>
    <cellStyle name="Currency 10 8" xfId="2223"/>
    <cellStyle name="Currency 2" xfId="1684"/>
    <cellStyle name="Currency 2 10" xfId="22149"/>
    <cellStyle name="Currency 2 10 2" xfId="26274"/>
    <cellStyle name="Currency 2 10 2 2" xfId="27397"/>
    <cellStyle name="Currency 2 10 3" xfId="26836"/>
    <cellStyle name="Currency 2 11" xfId="22150"/>
    <cellStyle name="Currency 2 11 2" xfId="26275"/>
    <cellStyle name="Currency 2 11 2 2" xfId="27398"/>
    <cellStyle name="Currency 2 11 3" xfId="26837"/>
    <cellStyle name="Currency 2 12" xfId="22151"/>
    <cellStyle name="Currency 2 12 2" xfId="26276"/>
    <cellStyle name="Currency 2 12 2 2" xfId="27399"/>
    <cellStyle name="Currency 2 12 3" xfId="26838"/>
    <cellStyle name="Currency 2 13" xfId="22152"/>
    <cellStyle name="Currency 2 13 2" xfId="26277"/>
    <cellStyle name="Currency 2 13 2 2" xfId="27400"/>
    <cellStyle name="Currency 2 13 3" xfId="26839"/>
    <cellStyle name="Currency 2 14" xfId="22153"/>
    <cellStyle name="Currency 2 14 2" xfId="26278"/>
    <cellStyle name="Currency 2 14 2 2" xfId="27401"/>
    <cellStyle name="Currency 2 14 3" xfId="26840"/>
    <cellStyle name="Currency 2 15" xfId="22154"/>
    <cellStyle name="Currency 2 15 2" xfId="26279"/>
    <cellStyle name="Currency 2 15 2 2" xfId="27402"/>
    <cellStyle name="Currency 2 15 3" xfId="26841"/>
    <cellStyle name="Currency 2 2" xfId="1850"/>
    <cellStyle name="Currency 2 2 2" xfId="2961"/>
    <cellStyle name="Currency 2 2 3" xfId="3038"/>
    <cellStyle name="Currency 2 2 4" xfId="3099"/>
    <cellStyle name="Currency 2 2 5" xfId="3153"/>
    <cellStyle name="Currency 2 2 6" xfId="3191"/>
    <cellStyle name="Currency 2 2 7" xfId="3219"/>
    <cellStyle name="Currency 2 2 8" xfId="3232"/>
    <cellStyle name="Currency 2 3" xfId="2908"/>
    <cellStyle name="Currency 2 4" xfId="2990"/>
    <cellStyle name="Currency 2 5" xfId="3058"/>
    <cellStyle name="Currency 2 6" xfId="3116"/>
    <cellStyle name="Currency 2 7" xfId="3167"/>
    <cellStyle name="Currency 2 8" xfId="3203"/>
    <cellStyle name="Currency 2 9" xfId="3224"/>
    <cellStyle name="Currency 3" xfId="1185"/>
    <cellStyle name="Currency 3 2" xfId="1853"/>
    <cellStyle name="Currency 3 2 2" xfId="2942"/>
    <cellStyle name="Currency 3 2 3" xfId="3022"/>
    <cellStyle name="Currency 3 2 4" xfId="3085"/>
    <cellStyle name="Currency 3 2 5" xfId="3138"/>
    <cellStyle name="Currency 3 2 6" xfId="3186"/>
    <cellStyle name="Currency 3 2 7" xfId="3215"/>
    <cellStyle name="Currency 3 2 8" xfId="3231"/>
    <cellStyle name="Currency 3 3" xfId="2650"/>
    <cellStyle name="Currency 3 4" xfId="2870"/>
    <cellStyle name="Currency 3 5" xfId="2193"/>
    <cellStyle name="Currency 3 6" xfId="2940"/>
    <cellStyle name="Currency 3 7" xfId="3020"/>
    <cellStyle name="Currency 3 8" xfId="3083"/>
    <cellStyle name="Currency 3 9" xfId="2596"/>
    <cellStyle name="Currency 4" xfId="1864"/>
    <cellStyle name="Currency 4 10" xfId="1874"/>
    <cellStyle name="Currency 4 11" xfId="1888"/>
    <cellStyle name="Currency 4 12" xfId="1891"/>
    <cellStyle name="Currency 4 13" xfId="1887"/>
    <cellStyle name="Currency 4 14" xfId="1878"/>
    <cellStyle name="Currency 4 15" xfId="1897"/>
    <cellStyle name="Currency 4 16" xfId="1898"/>
    <cellStyle name="Currency 4 17" xfId="1899"/>
    <cellStyle name="Currency 4 18" xfId="1907"/>
    <cellStyle name="Currency 4 19" xfId="1909"/>
    <cellStyle name="Currency 4 2" xfId="1865"/>
    <cellStyle name="Currency 4 20" xfId="1904"/>
    <cellStyle name="Currency 4 21" xfId="1890"/>
    <cellStyle name="Currency 4 22" xfId="1921"/>
    <cellStyle name="Currency 4 23" xfId="1913"/>
    <cellStyle name="Currency 4 24" xfId="1917"/>
    <cellStyle name="Currency 4 25" xfId="1875"/>
    <cellStyle name="Currency 4 26" xfId="1894"/>
    <cellStyle name="Currency 4 27" xfId="1881"/>
    <cellStyle name="Currency 4 28" xfId="1895"/>
    <cellStyle name="Currency 4 29" xfId="1884"/>
    <cellStyle name="Currency 4 3" xfId="1866"/>
    <cellStyle name="Currency 4 30" xfId="1900"/>
    <cellStyle name="Currency 4 31" xfId="1922"/>
    <cellStyle name="Currency 4 32" xfId="1933"/>
    <cellStyle name="Currency 4 33" xfId="1919"/>
    <cellStyle name="Currency 4 34" xfId="1880"/>
    <cellStyle name="Currency 4 35" xfId="1882"/>
    <cellStyle name="Currency 4 36" xfId="1886"/>
    <cellStyle name="Currency 4 37" xfId="1928"/>
    <cellStyle name="Currency 4 38" xfId="1930"/>
    <cellStyle name="Currency 4 39" xfId="1956"/>
    <cellStyle name="Currency 4 4" xfId="1868"/>
    <cellStyle name="Currency 4 40" xfId="1960"/>
    <cellStyle name="Currency 4 41" xfId="1964"/>
    <cellStyle name="Currency 4 42" xfId="1968"/>
    <cellStyle name="Currency 4 43" xfId="1972"/>
    <cellStyle name="Currency 4 44" xfId="1976"/>
    <cellStyle name="Currency 4 45" xfId="1980"/>
    <cellStyle name="Currency 4 46" xfId="1984"/>
    <cellStyle name="Currency 4 47" xfId="1988"/>
    <cellStyle name="Currency 4 48" xfId="1992"/>
    <cellStyle name="Currency 4 49" xfId="1996"/>
    <cellStyle name="Currency 4 5" xfId="1869"/>
    <cellStyle name="Currency 4 50" xfId="2000"/>
    <cellStyle name="Currency 4 51" xfId="2004"/>
    <cellStyle name="Currency 4 52" xfId="2008"/>
    <cellStyle name="Currency 4 53" xfId="2012"/>
    <cellStyle name="Currency 4 54" xfId="2016"/>
    <cellStyle name="Currency 4 55" xfId="2020"/>
    <cellStyle name="Currency 4 56" xfId="2024"/>
    <cellStyle name="Currency 4 57" xfId="2028"/>
    <cellStyle name="Currency 4 58" xfId="2032"/>
    <cellStyle name="Currency 4 59" xfId="2036"/>
    <cellStyle name="Currency 4 6" xfId="1870"/>
    <cellStyle name="Currency 4 60" xfId="2040"/>
    <cellStyle name="Currency 4 61" xfId="2044"/>
    <cellStyle name="Currency 4 62" xfId="2048"/>
    <cellStyle name="Currency 4 63" xfId="2052"/>
    <cellStyle name="Currency 4 64" xfId="2056"/>
    <cellStyle name="Currency 4 65" xfId="2060"/>
    <cellStyle name="Currency 4 66" xfId="2064"/>
    <cellStyle name="Currency 4 67" xfId="2072"/>
    <cellStyle name="Currency 4 68" xfId="2066"/>
    <cellStyle name="Currency 4 69" xfId="2077"/>
    <cellStyle name="Currency 4 7" xfId="1871"/>
    <cellStyle name="Currency 4 70" xfId="27534"/>
    <cellStyle name="Currency 4 71" xfId="27535"/>
    <cellStyle name="Currency 4 8" xfId="1872"/>
    <cellStyle name="Currency 4 9" xfId="1896"/>
    <cellStyle name="Currency 5" xfId="1847"/>
    <cellStyle name="Currency 5 2" xfId="16763"/>
    <cellStyle name="Currency 5 2 2" xfId="26021"/>
    <cellStyle name="Currency 5 2 2 2" xfId="27144"/>
    <cellStyle name="Currency 5 2 3" xfId="26583"/>
    <cellStyle name="Currency 5 3" xfId="25787"/>
    <cellStyle name="Currency 5 3 2" xfId="26910"/>
    <cellStyle name="Currency 5 4" xfId="26349"/>
    <cellStyle name="Currency 6" xfId="17009"/>
    <cellStyle name="Currency 6 2" xfId="26263"/>
    <cellStyle name="Currency 6 2 2" xfId="27386"/>
    <cellStyle name="Currency 6 3" xfId="26825"/>
    <cellStyle name="Currency 7" xfId="1105"/>
    <cellStyle name="Currency 7 2" xfId="2610"/>
    <cellStyle name="Currency 7 3" xfId="2914"/>
    <cellStyle name="Currency 7 4" xfId="2996"/>
    <cellStyle name="Currency 7 5" xfId="3064"/>
    <cellStyle name="Currency 7 6" xfId="3122"/>
    <cellStyle name="Currency 7 7" xfId="3173"/>
    <cellStyle name="Currency 7 8" xfId="2963"/>
    <cellStyle name="Currency 8" xfId="27447"/>
    <cellStyle name="Euro" xfId="44"/>
    <cellStyle name="Normal" xfId="0" builtinId="0"/>
    <cellStyle name="Normal - Style1" xfId="45"/>
    <cellStyle name="Normal 10" xfId="1456"/>
    <cellStyle name="Normal 10 10" xfId="22155"/>
    <cellStyle name="Normal 10 10 2" xfId="26280"/>
    <cellStyle name="Normal 10 10 2 2" xfId="27403"/>
    <cellStyle name="Normal 10 10 3" xfId="26842"/>
    <cellStyle name="Normal 10 11" xfId="22156"/>
    <cellStyle name="Normal 10 11 2" xfId="26281"/>
    <cellStyle name="Normal 10 11 2 2" xfId="27404"/>
    <cellStyle name="Normal 10 11 3" xfId="26843"/>
    <cellStyle name="Normal 10 12" xfId="22157"/>
    <cellStyle name="Normal 10 12 2" xfId="26282"/>
    <cellStyle name="Normal 10 12 2 2" xfId="27405"/>
    <cellStyle name="Normal 10 12 3" xfId="26844"/>
    <cellStyle name="Normal 10 13" xfId="22158"/>
    <cellStyle name="Normal 10 13 2" xfId="26283"/>
    <cellStyle name="Normal 10 13 2 2" xfId="27406"/>
    <cellStyle name="Normal 10 13 3" xfId="26845"/>
    <cellStyle name="Normal 10 14" xfId="22159"/>
    <cellStyle name="Normal 10 14 2" xfId="26284"/>
    <cellStyle name="Normal 10 14 2 2" xfId="27407"/>
    <cellStyle name="Normal 10 14 3" xfId="26846"/>
    <cellStyle name="Normal 10 2" xfId="22160"/>
    <cellStyle name="Normal 10 2 2" xfId="26285"/>
    <cellStyle name="Normal 10 2 2 2" xfId="27408"/>
    <cellStyle name="Normal 10 2 3" xfId="26847"/>
    <cellStyle name="Normal 10 3" xfId="22161"/>
    <cellStyle name="Normal 10 3 2" xfId="26286"/>
    <cellStyle name="Normal 10 3 2 2" xfId="27409"/>
    <cellStyle name="Normal 10 3 3" xfId="26848"/>
    <cellStyle name="Normal 10 4" xfId="22162"/>
    <cellStyle name="Normal 10 4 2" xfId="26287"/>
    <cellStyle name="Normal 10 4 2 2" xfId="27410"/>
    <cellStyle name="Normal 10 4 3" xfId="26849"/>
    <cellStyle name="Normal 10 5" xfId="22163"/>
    <cellStyle name="Normal 10 5 2" xfId="26288"/>
    <cellStyle name="Normal 10 5 2 2" xfId="27411"/>
    <cellStyle name="Normal 10 5 3" xfId="26850"/>
    <cellStyle name="Normal 10 6" xfId="22164"/>
    <cellStyle name="Normal 10 6 2" xfId="26289"/>
    <cellStyle name="Normal 10 6 2 2" xfId="27412"/>
    <cellStyle name="Normal 10 6 3" xfId="26851"/>
    <cellStyle name="Normal 10 7" xfId="22165"/>
    <cellStyle name="Normal 10 7 2" xfId="26290"/>
    <cellStyle name="Normal 10 7 2 2" xfId="27413"/>
    <cellStyle name="Normal 10 7 3" xfId="26852"/>
    <cellStyle name="Normal 10 8" xfId="22166"/>
    <cellStyle name="Normal 10 8 2" xfId="26291"/>
    <cellStyle name="Normal 10 8 2 2" xfId="27414"/>
    <cellStyle name="Normal 10 8 3" xfId="26853"/>
    <cellStyle name="Normal 10 9" xfId="22167"/>
    <cellStyle name="Normal 10 9 2" xfId="26292"/>
    <cellStyle name="Normal 10 9 2 2" xfId="27415"/>
    <cellStyle name="Normal 10 9 3" xfId="26854"/>
    <cellStyle name="Normal 11" xfId="1524"/>
    <cellStyle name="Normal 12" xfId="1391"/>
    <cellStyle name="Normal 13" xfId="1845"/>
    <cellStyle name="Normal 13 2" xfId="16764"/>
    <cellStyle name="Normal 13 2 2" xfId="26022"/>
    <cellStyle name="Normal 13 2 2 2" xfId="27145"/>
    <cellStyle name="Normal 13 2 3" xfId="26584"/>
    <cellStyle name="Normal 13 3" xfId="25785"/>
    <cellStyle name="Normal 13 3 2" xfId="26908"/>
    <cellStyle name="Normal 13 4" xfId="26347"/>
    <cellStyle name="Normal 14" xfId="1857"/>
    <cellStyle name="Normal 14 2" xfId="16765"/>
    <cellStyle name="Normal 14 2 2" xfId="26023"/>
    <cellStyle name="Normal 14 2 2 2" xfId="27146"/>
    <cellStyle name="Normal 14 2 3" xfId="26585"/>
    <cellStyle name="Normal 14 3" xfId="25791"/>
    <cellStyle name="Normal 14 3 2" xfId="26914"/>
    <cellStyle name="Normal 14 4" xfId="26353"/>
    <cellStyle name="Normal 15" xfId="1925"/>
    <cellStyle name="Normal 15 2" xfId="16766"/>
    <cellStyle name="Normal 15 2 2" xfId="26024"/>
    <cellStyle name="Normal 15 2 2 2" xfId="27147"/>
    <cellStyle name="Normal 15 2 3" xfId="26586"/>
    <cellStyle name="Normal 15 3" xfId="25799"/>
    <cellStyle name="Normal 15 3 2" xfId="26922"/>
    <cellStyle name="Normal 15 4" xfId="26361"/>
    <cellStyle name="Normal 16" xfId="2089"/>
    <cellStyle name="Normal 16 2" xfId="16767"/>
    <cellStyle name="Normal 16 2 2" xfId="26025"/>
    <cellStyle name="Normal 16 2 2 2" xfId="27148"/>
    <cellStyle name="Normal 16 2 3" xfId="26587"/>
    <cellStyle name="Normal 16 3" xfId="25812"/>
    <cellStyle name="Normal 16 3 2" xfId="26935"/>
    <cellStyle name="Normal 16 4" xfId="26374"/>
    <cellStyle name="Normal 17" xfId="2084"/>
    <cellStyle name="Normal 17 2" xfId="16768"/>
    <cellStyle name="Normal 17 2 2" xfId="26026"/>
    <cellStyle name="Normal 17 2 2 2" xfId="27149"/>
    <cellStyle name="Normal 17 2 3" xfId="26588"/>
    <cellStyle name="Normal 17 3" xfId="25807"/>
    <cellStyle name="Normal 17 3 2" xfId="26930"/>
    <cellStyle name="Normal 17 4" xfId="26369"/>
    <cellStyle name="Normal 18" xfId="1867"/>
    <cellStyle name="Normal 18 2" xfId="16769"/>
    <cellStyle name="Normal 18 2 2" xfId="26027"/>
    <cellStyle name="Normal 18 2 2 2" xfId="27150"/>
    <cellStyle name="Normal 18 2 3" xfId="26589"/>
    <cellStyle name="Normal 18 3" xfId="25795"/>
    <cellStyle name="Normal 18 3 2" xfId="26918"/>
    <cellStyle name="Normal 18 4" xfId="26357"/>
    <cellStyle name="Normal 19" xfId="2080"/>
    <cellStyle name="Normal 19 2" xfId="16770"/>
    <cellStyle name="Normal 19 2 2" xfId="26028"/>
    <cellStyle name="Normal 19 2 2 2" xfId="27151"/>
    <cellStyle name="Normal 19 2 3" xfId="26590"/>
    <cellStyle name="Normal 19 3" xfId="25803"/>
    <cellStyle name="Normal 19 3 2" xfId="26926"/>
    <cellStyle name="Normal 19 4" xfId="26365"/>
    <cellStyle name="Normal 2" xfId="46"/>
    <cellStyle name="Normal 2 10" xfId="1054"/>
    <cellStyle name="Normal 2 100 4" xfId="27440"/>
    <cellStyle name="Normal 2 102 4" xfId="27441"/>
    <cellStyle name="Normal 2 11" xfId="1086"/>
    <cellStyle name="Normal 2 12" xfId="1106"/>
    <cellStyle name="Normal 2 129 4" xfId="27442"/>
    <cellStyle name="Normal 2 13" xfId="1154"/>
    <cellStyle name="Normal 2 14" xfId="1188"/>
    <cellStyle name="Normal 2 15" xfId="1220"/>
    <cellStyle name="Normal 2 16" xfId="1253"/>
    <cellStyle name="Normal 2 17" xfId="1286"/>
    <cellStyle name="Normal 2 18" xfId="1319"/>
    <cellStyle name="Normal 2 19" xfId="1351"/>
    <cellStyle name="Normal 2 2" xfId="570"/>
    <cellStyle name="Normal 2 20" xfId="1371"/>
    <cellStyle name="Normal 2 208" xfId="27443"/>
    <cellStyle name="Normal 2 21" xfId="1428"/>
    <cellStyle name="Normal 2 22" xfId="1547"/>
    <cellStyle name="Normal 2 23" xfId="1600"/>
    <cellStyle name="Normal 2 24" xfId="1652"/>
    <cellStyle name="Normal 2 25" xfId="1730"/>
    <cellStyle name="Normal 2 26" xfId="1815"/>
    <cellStyle name="Normal 2 27" xfId="2130"/>
    <cellStyle name="Normal 2 28" xfId="2607"/>
    <cellStyle name="Normal 2 29" xfId="2805"/>
    <cellStyle name="Normal 2 3" xfId="571"/>
    <cellStyle name="Normal 2 30" xfId="2219"/>
    <cellStyle name="Normal 2 31" xfId="2493"/>
    <cellStyle name="Normal 2 32" xfId="2866"/>
    <cellStyle name="Normal 2 33" xfId="3213"/>
    <cellStyle name="Normal 2 34" xfId="22168"/>
    <cellStyle name="Normal 2 35" xfId="22169"/>
    <cellStyle name="Normal 2 36" xfId="22170"/>
    <cellStyle name="Normal 2 36 4" xfId="27444"/>
    <cellStyle name="Normal 2 37" xfId="22171"/>
    <cellStyle name="Normal 2 38" xfId="22172"/>
    <cellStyle name="Normal 2 39" xfId="22173"/>
    <cellStyle name="Normal 2 4" xfId="572"/>
    <cellStyle name="Normal 2 40" xfId="22174"/>
    <cellStyle name="Normal 2 41" xfId="22175"/>
    <cellStyle name="Normal 2 42" xfId="22176"/>
    <cellStyle name="Normal 2 43" xfId="22177"/>
    <cellStyle name="Normal 2 5" xfId="573"/>
    <cellStyle name="Normal 2 6" xfId="574"/>
    <cellStyle name="Normal 2 7" xfId="956"/>
    <cellStyle name="Normal 2 8" xfId="989"/>
    <cellStyle name="Normal 2 9" xfId="1022"/>
    <cellStyle name="Normal 20" xfId="1893"/>
    <cellStyle name="Normal 20 2" xfId="16771"/>
    <cellStyle name="Normal 20 2 2" xfId="26029"/>
    <cellStyle name="Normal 20 2 2 2" xfId="27152"/>
    <cellStyle name="Normal 20 2 3" xfId="26591"/>
    <cellStyle name="Normal 20 3" xfId="25797"/>
    <cellStyle name="Normal 20 3 2" xfId="26920"/>
    <cellStyle name="Normal 20 4" xfId="26359"/>
    <cellStyle name="Normal 21" xfId="1931"/>
    <cellStyle name="Normal 21 2" xfId="16772"/>
    <cellStyle name="Normal 21 2 2" xfId="26030"/>
    <cellStyle name="Normal 21 2 2 2" xfId="27153"/>
    <cellStyle name="Normal 21 2 3" xfId="26592"/>
    <cellStyle name="Normal 21 3" xfId="25800"/>
    <cellStyle name="Normal 21 3 2" xfId="26923"/>
    <cellStyle name="Normal 21 4" xfId="26362"/>
    <cellStyle name="Normal 22" xfId="2078"/>
    <cellStyle name="Normal 22 2" xfId="16773"/>
    <cellStyle name="Normal 22 2 2" xfId="26031"/>
    <cellStyle name="Normal 22 2 2 2" xfId="27154"/>
    <cellStyle name="Normal 22 2 3" xfId="26593"/>
    <cellStyle name="Normal 22 3" xfId="25801"/>
    <cellStyle name="Normal 22 3 2" xfId="26924"/>
    <cellStyle name="Normal 22 4" xfId="26363"/>
    <cellStyle name="Normal 23" xfId="1862"/>
    <cellStyle name="Normal 23 2" xfId="17002"/>
    <cellStyle name="Normal 23 2 2" xfId="26258"/>
    <cellStyle name="Normal 23 2 2 2" xfId="27381"/>
    <cellStyle name="Normal 23 2 3" xfId="26820"/>
    <cellStyle name="Normal 23 3" xfId="16774"/>
    <cellStyle name="Normal 23 3 2" xfId="26032"/>
    <cellStyle name="Normal 23 3 2 2" xfId="27155"/>
    <cellStyle name="Normal 23 3 3" xfId="26594"/>
    <cellStyle name="Normal 23 4" xfId="25793"/>
    <cellStyle name="Normal 23 4 2" xfId="26916"/>
    <cellStyle name="Normal 23 5" xfId="26355"/>
    <cellStyle name="Normal 24" xfId="1863"/>
    <cellStyle name="Normal 24 2" xfId="17003"/>
    <cellStyle name="Normal 24 2 2" xfId="26259"/>
    <cellStyle name="Normal 24 2 2 2" xfId="27382"/>
    <cellStyle name="Normal 24 2 3" xfId="26821"/>
    <cellStyle name="Normal 24 3" xfId="16775"/>
    <cellStyle name="Normal 24 3 2" xfId="26033"/>
    <cellStyle name="Normal 24 3 2 2" xfId="27156"/>
    <cellStyle name="Normal 24 3 3" xfId="26595"/>
    <cellStyle name="Normal 24 4" xfId="25794"/>
    <cellStyle name="Normal 24 4 2" xfId="26917"/>
    <cellStyle name="Normal 24 5" xfId="26356"/>
    <cellStyle name="Normal 25" xfId="2079"/>
    <cellStyle name="Normal 25 2" xfId="17004"/>
    <cellStyle name="Normal 25 2 2" xfId="26260"/>
    <cellStyle name="Normal 25 2 2 2" xfId="27383"/>
    <cellStyle name="Normal 25 2 3" xfId="26822"/>
    <cellStyle name="Normal 25 3" xfId="16776"/>
    <cellStyle name="Normal 25 3 2" xfId="26034"/>
    <cellStyle name="Normal 25 3 2 2" xfId="27157"/>
    <cellStyle name="Normal 25 3 3" xfId="26596"/>
    <cellStyle name="Normal 25 4" xfId="25802"/>
    <cellStyle name="Normal 25 4 2" xfId="26925"/>
    <cellStyle name="Normal 25 5" xfId="26364"/>
    <cellStyle name="Normal 26" xfId="2092"/>
    <cellStyle name="Normal 26 2" xfId="16777"/>
    <cellStyle name="Normal 26 2 2" xfId="26035"/>
    <cellStyle name="Normal 26 2 2 2" xfId="27158"/>
    <cellStyle name="Normal 26 2 3" xfId="26597"/>
    <cellStyle name="Normal 26 3" xfId="25815"/>
    <cellStyle name="Normal 26 3 2" xfId="26938"/>
    <cellStyle name="Normal 26 4" xfId="26377"/>
    <cellStyle name="Normal 27" xfId="16748"/>
    <cellStyle name="Normal 28" xfId="17001"/>
    <cellStyle name="Normal 29" xfId="17006"/>
    <cellStyle name="Normal 3" xfId="47"/>
    <cellStyle name="Normal 3 10" xfId="990"/>
    <cellStyle name="Normal 3 10 10" xfId="25759"/>
    <cellStyle name="Normal 3 10 10 2" xfId="26882"/>
    <cellStyle name="Normal 3 10 11" xfId="26321"/>
    <cellStyle name="Normal 3 10 2" xfId="2549"/>
    <cellStyle name="Normal 3 10 2 2" xfId="16780"/>
    <cellStyle name="Normal 3 10 2 2 2" xfId="26038"/>
    <cellStyle name="Normal 3 10 2 2 2 2" xfId="27161"/>
    <cellStyle name="Normal 3 10 2 2 3" xfId="26600"/>
    <cellStyle name="Normal 3 10 2 3" xfId="25885"/>
    <cellStyle name="Normal 3 10 2 3 2" xfId="27008"/>
    <cellStyle name="Normal 3 10 2 4" xfId="26447"/>
    <cellStyle name="Normal 3 10 3" xfId="2804"/>
    <cellStyle name="Normal 3 10 3 2" xfId="16781"/>
    <cellStyle name="Normal 3 10 3 2 2" xfId="26039"/>
    <cellStyle name="Normal 3 10 3 2 2 2" xfId="27162"/>
    <cellStyle name="Normal 3 10 3 2 3" xfId="26601"/>
    <cellStyle name="Normal 3 10 3 3" xfId="25919"/>
    <cellStyle name="Normal 3 10 3 3 2" xfId="27042"/>
    <cellStyle name="Normal 3 10 3 4" xfId="26481"/>
    <cellStyle name="Normal 3 10 4" xfId="2220"/>
    <cellStyle name="Normal 3 10 4 2" xfId="16782"/>
    <cellStyle name="Normal 3 10 4 2 2" xfId="26040"/>
    <cellStyle name="Normal 3 10 4 2 2 2" xfId="27163"/>
    <cellStyle name="Normal 3 10 4 2 3" xfId="26602"/>
    <cellStyle name="Normal 3 10 4 3" xfId="25824"/>
    <cellStyle name="Normal 3 10 4 3 2" xfId="26947"/>
    <cellStyle name="Normal 3 10 4 4" xfId="26386"/>
    <cellStyle name="Normal 3 10 5" xfId="2492"/>
    <cellStyle name="Normal 3 10 5 2" xfId="16783"/>
    <cellStyle name="Normal 3 10 5 2 2" xfId="26041"/>
    <cellStyle name="Normal 3 10 5 2 2 2" xfId="27164"/>
    <cellStyle name="Normal 3 10 5 2 3" xfId="26603"/>
    <cellStyle name="Normal 3 10 5 3" xfId="25876"/>
    <cellStyle name="Normal 3 10 5 3 2" xfId="26999"/>
    <cellStyle name="Normal 3 10 5 4" xfId="26438"/>
    <cellStyle name="Normal 3 10 6" xfId="2894"/>
    <cellStyle name="Normal 3 10 6 2" xfId="16784"/>
    <cellStyle name="Normal 3 10 6 2 2" xfId="26042"/>
    <cellStyle name="Normal 3 10 6 2 2 2" xfId="27165"/>
    <cellStyle name="Normal 3 10 6 2 3" xfId="26604"/>
    <cellStyle name="Normal 3 10 6 3" xfId="25938"/>
    <cellStyle name="Normal 3 10 6 3 2" xfId="27061"/>
    <cellStyle name="Normal 3 10 6 4" xfId="26500"/>
    <cellStyle name="Normal 3 10 7" xfId="2978"/>
    <cellStyle name="Normal 3 10 7 2" xfId="16785"/>
    <cellStyle name="Normal 3 10 7 2 2" xfId="26043"/>
    <cellStyle name="Normal 3 10 7 2 2 2" xfId="27166"/>
    <cellStyle name="Normal 3 10 7 2 3" xfId="26605"/>
    <cellStyle name="Normal 3 10 7 3" xfId="25955"/>
    <cellStyle name="Normal 3 10 7 3 2" xfId="27078"/>
    <cellStyle name="Normal 3 10 7 4" xfId="26517"/>
    <cellStyle name="Normal 3 10 8" xfId="2985"/>
    <cellStyle name="Normal 3 10 8 2" xfId="16786"/>
    <cellStyle name="Normal 3 10 8 2 2" xfId="26044"/>
    <cellStyle name="Normal 3 10 8 2 2 2" xfId="27167"/>
    <cellStyle name="Normal 3 10 8 2 3" xfId="26606"/>
    <cellStyle name="Normal 3 10 8 3" xfId="25957"/>
    <cellStyle name="Normal 3 10 8 3 2" xfId="27080"/>
    <cellStyle name="Normal 3 10 8 4" xfId="26519"/>
    <cellStyle name="Normal 3 10 9" xfId="16779"/>
    <cellStyle name="Normal 3 10 9 2" xfId="26037"/>
    <cellStyle name="Normal 3 10 9 2 2" xfId="27160"/>
    <cellStyle name="Normal 3 10 9 3" xfId="26599"/>
    <cellStyle name="Normal 3 11" xfId="1023"/>
    <cellStyle name="Normal 3 11 10" xfId="25760"/>
    <cellStyle name="Normal 3 11 10 2" xfId="26883"/>
    <cellStyle name="Normal 3 11 11" xfId="26322"/>
    <cellStyle name="Normal 3 11 2" xfId="2566"/>
    <cellStyle name="Normal 3 11 2 2" xfId="16788"/>
    <cellStyle name="Normal 3 11 2 2 2" xfId="26046"/>
    <cellStyle name="Normal 3 11 2 2 2 2" xfId="27169"/>
    <cellStyle name="Normal 3 11 2 2 3" xfId="26608"/>
    <cellStyle name="Normal 3 11 2 3" xfId="25888"/>
    <cellStyle name="Normal 3 11 2 3 2" xfId="27011"/>
    <cellStyle name="Normal 3 11 2 4" xfId="26450"/>
    <cellStyle name="Normal 3 11 3" xfId="2772"/>
    <cellStyle name="Normal 3 11 3 2" xfId="16789"/>
    <cellStyle name="Normal 3 11 3 2 2" xfId="26047"/>
    <cellStyle name="Normal 3 11 3 2 2 2" xfId="27170"/>
    <cellStyle name="Normal 3 11 3 2 3" xfId="26609"/>
    <cellStyle name="Normal 3 11 3 3" xfId="25913"/>
    <cellStyle name="Normal 3 11 3 3 2" xfId="27036"/>
    <cellStyle name="Normal 3 11 3 4" xfId="26475"/>
    <cellStyle name="Normal 3 11 4" xfId="2237"/>
    <cellStyle name="Normal 3 11 4 2" xfId="16790"/>
    <cellStyle name="Normal 3 11 4 2 2" xfId="26048"/>
    <cellStyle name="Normal 3 11 4 2 2 2" xfId="27171"/>
    <cellStyle name="Normal 3 11 4 2 3" xfId="26610"/>
    <cellStyle name="Normal 3 11 4 3" xfId="25829"/>
    <cellStyle name="Normal 3 11 4 3 2" xfId="26952"/>
    <cellStyle name="Normal 3 11 4 4" xfId="26391"/>
    <cellStyle name="Normal 3 11 5" xfId="2861"/>
    <cellStyle name="Normal 3 11 5 2" xfId="16791"/>
    <cellStyle name="Normal 3 11 5 2 2" xfId="26049"/>
    <cellStyle name="Normal 3 11 5 2 2 2" xfId="27172"/>
    <cellStyle name="Normal 3 11 5 2 3" xfId="26611"/>
    <cellStyle name="Normal 3 11 5 3" xfId="25929"/>
    <cellStyle name="Normal 3 11 5 3 2" xfId="27052"/>
    <cellStyle name="Normal 3 11 5 4" xfId="26491"/>
    <cellStyle name="Normal 3 11 6" xfId="2632"/>
    <cellStyle name="Normal 3 11 6 2" xfId="16792"/>
    <cellStyle name="Normal 3 11 6 2 2" xfId="26050"/>
    <cellStyle name="Normal 3 11 6 2 2 2" xfId="27173"/>
    <cellStyle name="Normal 3 11 6 2 3" xfId="26612"/>
    <cellStyle name="Normal 3 11 6 3" xfId="25897"/>
    <cellStyle name="Normal 3 11 6 3 2" xfId="27020"/>
    <cellStyle name="Normal 3 11 6 4" xfId="26459"/>
    <cellStyle name="Normal 3 11 7" xfId="2319"/>
    <cellStyle name="Normal 3 11 7 2" xfId="16793"/>
    <cellStyle name="Normal 3 11 7 2 2" xfId="26051"/>
    <cellStyle name="Normal 3 11 7 2 2 2" xfId="27174"/>
    <cellStyle name="Normal 3 11 7 2 3" xfId="26613"/>
    <cellStyle name="Normal 3 11 7 3" xfId="25844"/>
    <cellStyle name="Normal 3 11 7 3 2" xfId="26967"/>
    <cellStyle name="Normal 3 11 7 4" xfId="26406"/>
    <cellStyle name="Normal 3 11 8" xfId="2502"/>
    <cellStyle name="Normal 3 11 8 2" xfId="16794"/>
    <cellStyle name="Normal 3 11 8 2 2" xfId="26052"/>
    <cellStyle name="Normal 3 11 8 2 2 2" xfId="27175"/>
    <cellStyle name="Normal 3 11 8 2 3" xfId="26614"/>
    <cellStyle name="Normal 3 11 8 3" xfId="25877"/>
    <cellStyle name="Normal 3 11 8 3 2" xfId="27000"/>
    <cellStyle name="Normal 3 11 8 4" xfId="26439"/>
    <cellStyle name="Normal 3 11 9" xfId="16787"/>
    <cellStyle name="Normal 3 11 9 2" xfId="26045"/>
    <cellStyle name="Normal 3 11 9 2 2" xfId="27168"/>
    <cellStyle name="Normal 3 11 9 3" xfId="26607"/>
    <cellStyle name="Normal 3 12" xfId="1055"/>
    <cellStyle name="Normal 3 12 10" xfId="25761"/>
    <cellStyle name="Normal 3 12 10 2" xfId="26884"/>
    <cellStyle name="Normal 3 12 11" xfId="26323"/>
    <cellStyle name="Normal 3 12 2" xfId="2582"/>
    <cellStyle name="Normal 3 12 2 2" xfId="16796"/>
    <cellStyle name="Normal 3 12 2 2 2" xfId="26054"/>
    <cellStyle name="Normal 3 12 2 2 2 2" xfId="27177"/>
    <cellStyle name="Normal 3 12 2 2 3" xfId="26616"/>
    <cellStyle name="Normal 3 12 2 3" xfId="25889"/>
    <cellStyle name="Normal 3 12 2 3 2" xfId="27012"/>
    <cellStyle name="Normal 3 12 2 4" xfId="26451"/>
    <cellStyle name="Normal 3 12 3" xfId="2913"/>
    <cellStyle name="Normal 3 12 3 2" xfId="16797"/>
    <cellStyle name="Normal 3 12 3 2 2" xfId="26055"/>
    <cellStyle name="Normal 3 12 3 2 2 2" xfId="27178"/>
    <cellStyle name="Normal 3 12 3 2 3" xfId="26617"/>
    <cellStyle name="Normal 3 12 3 3" xfId="25942"/>
    <cellStyle name="Normal 3 12 3 3 2" xfId="27065"/>
    <cellStyle name="Normal 3 12 3 4" xfId="26504"/>
    <cellStyle name="Normal 3 12 4" xfId="2995"/>
    <cellStyle name="Normal 3 12 4 2" xfId="16798"/>
    <cellStyle name="Normal 3 12 4 2 2" xfId="26056"/>
    <cellStyle name="Normal 3 12 4 2 2 2" xfId="27179"/>
    <cellStyle name="Normal 3 12 4 2 3" xfId="26618"/>
    <cellStyle name="Normal 3 12 4 3" xfId="25959"/>
    <cellStyle name="Normal 3 12 4 3 2" xfId="27082"/>
    <cellStyle name="Normal 3 12 4 4" xfId="26521"/>
    <cellStyle name="Normal 3 12 5" xfId="3063"/>
    <cellStyle name="Normal 3 12 5 2" xfId="16799"/>
    <cellStyle name="Normal 3 12 5 2 2" xfId="26057"/>
    <cellStyle name="Normal 3 12 5 2 2 2" xfId="27180"/>
    <cellStyle name="Normal 3 12 5 2 3" xfId="26619"/>
    <cellStyle name="Normal 3 12 5 3" xfId="25970"/>
    <cellStyle name="Normal 3 12 5 3 2" xfId="27093"/>
    <cellStyle name="Normal 3 12 5 4" xfId="26532"/>
    <cellStyle name="Normal 3 12 6" xfId="3121"/>
    <cellStyle name="Normal 3 12 6 2" xfId="16800"/>
    <cellStyle name="Normal 3 12 6 2 2" xfId="26058"/>
    <cellStyle name="Normal 3 12 6 2 2 2" xfId="27181"/>
    <cellStyle name="Normal 3 12 6 2 3" xfId="26620"/>
    <cellStyle name="Normal 3 12 6 3" xfId="25980"/>
    <cellStyle name="Normal 3 12 6 3 2" xfId="27103"/>
    <cellStyle name="Normal 3 12 6 4" xfId="26542"/>
    <cellStyle name="Normal 3 12 7" xfId="3172"/>
    <cellStyle name="Normal 3 12 7 2" xfId="16801"/>
    <cellStyle name="Normal 3 12 7 2 2" xfId="26059"/>
    <cellStyle name="Normal 3 12 7 2 2 2" xfId="27182"/>
    <cellStyle name="Normal 3 12 7 2 3" xfId="26621"/>
    <cellStyle name="Normal 3 12 7 3" xfId="25990"/>
    <cellStyle name="Normal 3 12 7 3 2" xfId="27113"/>
    <cellStyle name="Normal 3 12 7 4" xfId="26552"/>
    <cellStyle name="Normal 3 12 8" xfId="2898"/>
    <cellStyle name="Normal 3 12 8 2" xfId="16802"/>
    <cellStyle name="Normal 3 12 8 2 2" xfId="26060"/>
    <cellStyle name="Normal 3 12 8 2 2 2" xfId="27183"/>
    <cellStyle name="Normal 3 12 8 2 3" xfId="26622"/>
    <cellStyle name="Normal 3 12 8 3" xfId="25940"/>
    <cellStyle name="Normal 3 12 8 3 2" xfId="27063"/>
    <cellStyle name="Normal 3 12 8 4" xfId="26502"/>
    <cellStyle name="Normal 3 12 9" xfId="16795"/>
    <cellStyle name="Normal 3 12 9 2" xfId="26053"/>
    <cellStyle name="Normal 3 12 9 2 2" xfId="27176"/>
    <cellStyle name="Normal 3 12 9 3" xfId="26615"/>
    <cellStyle name="Normal 3 13" xfId="1087"/>
    <cellStyle name="Normal 3 13 10" xfId="25762"/>
    <cellStyle name="Normal 3 13 10 2" xfId="26885"/>
    <cellStyle name="Normal 3 13 11" xfId="26324"/>
    <cellStyle name="Normal 3 13 2" xfId="2599"/>
    <cellStyle name="Normal 3 13 2 2" xfId="16804"/>
    <cellStyle name="Normal 3 13 2 2 2" xfId="26062"/>
    <cellStyle name="Normal 3 13 2 2 2 2" xfId="27185"/>
    <cellStyle name="Normal 3 13 2 2 3" xfId="26624"/>
    <cellStyle name="Normal 3 13 2 3" xfId="25890"/>
    <cellStyle name="Normal 3 13 2 3 2" xfId="27013"/>
    <cellStyle name="Normal 3 13 2 4" xfId="26452"/>
    <cellStyle name="Normal 3 13 3" xfId="2334"/>
    <cellStyle name="Normal 3 13 3 2" xfId="16805"/>
    <cellStyle name="Normal 3 13 3 2 2" xfId="26063"/>
    <cellStyle name="Normal 3 13 3 2 2 2" xfId="27186"/>
    <cellStyle name="Normal 3 13 3 2 3" xfId="26625"/>
    <cellStyle name="Normal 3 13 3 3" xfId="25849"/>
    <cellStyle name="Normal 3 13 3 3 2" xfId="26972"/>
    <cellStyle name="Normal 3 13 3 4" xfId="26411"/>
    <cellStyle name="Normal 3 13 4" xfId="2432"/>
    <cellStyle name="Normal 3 13 4 2" xfId="16806"/>
    <cellStyle name="Normal 3 13 4 2 2" xfId="26064"/>
    <cellStyle name="Normal 3 13 4 2 2 2" xfId="27187"/>
    <cellStyle name="Normal 3 13 4 2 3" xfId="26626"/>
    <cellStyle name="Normal 3 13 4 3" xfId="25861"/>
    <cellStyle name="Normal 3 13 4 3 2" xfId="26984"/>
    <cellStyle name="Normal 3 13 4 4" xfId="26423"/>
    <cellStyle name="Normal 3 13 5" xfId="2957"/>
    <cellStyle name="Normal 3 13 5 2" xfId="16807"/>
    <cellStyle name="Normal 3 13 5 2 2" xfId="26065"/>
    <cellStyle name="Normal 3 13 5 2 2 2" xfId="27188"/>
    <cellStyle name="Normal 3 13 5 2 3" xfId="26627"/>
    <cellStyle name="Normal 3 13 5 3" xfId="25949"/>
    <cellStyle name="Normal 3 13 5 3 2" xfId="27072"/>
    <cellStyle name="Normal 3 13 5 4" xfId="26511"/>
    <cellStyle name="Normal 3 13 6" xfId="3036"/>
    <cellStyle name="Normal 3 13 6 2" xfId="16808"/>
    <cellStyle name="Normal 3 13 6 2 2" xfId="26066"/>
    <cellStyle name="Normal 3 13 6 2 2 2" xfId="27189"/>
    <cellStyle name="Normal 3 13 6 2 3" xfId="26628"/>
    <cellStyle name="Normal 3 13 6 3" xfId="25966"/>
    <cellStyle name="Normal 3 13 6 3 2" xfId="27089"/>
    <cellStyle name="Normal 3 13 6 4" xfId="26528"/>
    <cellStyle name="Normal 3 13 7" xfId="3097"/>
    <cellStyle name="Normal 3 13 7 2" xfId="16809"/>
    <cellStyle name="Normal 3 13 7 2 2" xfId="26067"/>
    <cellStyle name="Normal 3 13 7 2 2 2" xfId="27190"/>
    <cellStyle name="Normal 3 13 7 2 3" xfId="26629"/>
    <cellStyle name="Normal 3 13 7 3" xfId="25976"/>
    <cellStyle name="Normal 3 13 7 3 2" xfId="27099"/>
    <cellStyle name="Normal 3 13 7 4" xfId="26538"/>
    <cellStyle name="Normal 3 13 8" xfId="3151"/>
    <cellStyle name="Normal 3 13 8 2" xfId="16810"/>
    <cellStyle name="Normal 3 13 8 2 2" xfId="26068"/>
    <cellStyle name="Normal 3 13 8 2 2 2" xfId="27191"/>
    <cellStyle name="Normal 3 13 8 2 3" xfId="26630"/>
    <cellStyle name="Normal 3 13 8 3" xfId="25986"/>
    <cellStyle name="Normal 3 13 8 3 2" xfId="27109"/>
    <cellStyle name="Normal 3 13 8 4" xfId="26548"/>
    <cellStyle name="Normal 3 13 9" xfId="16803"/>
    <cellStyle name="Normal 3 13 9 2" xfId="26061"/>
    <cellStyle name="Normal 3 13 9 2 2" xfId="27184"/>
    <cellStyle name="Normal 3 13 9 3" xfId="26623"/>
    <cellStyle name="Normal 3 14" xfId="1107"/>
    <cellStyle name="Normal 3 14 10" xfId="25763"/>
    <cellStyle name="Normal 3 14 10 2" xfId="26886"/>
    <cellStyle name="Normal 3 14 11" xfId="26325"/>
    <cellStyle name="Normal 3 14 2" xfId="2611"/>
    <cellStyle name="Normal 3 14 2 2" xfId="16812"/>
    <cellStyle name="Normal 3 14 2 2 2" xfId="26070"/>
    <cellStyle name="Normal 3 14 2 2 2 2" xfId="27193"/>
    <cellStyle name="Normal 3 14 2 2 3" xfId="26632"/>
    <cellStyle name="Normal 3 14 2 3" xfId="25892"/>
    <cellStyle name="Normal 3 14 2 3 2" xfId="27015"/>
    <cellStyle name="Normal 3 14 2 4" xfId="26454"/>
    <cellStyle name="Normal 3 14 3" xfId="2813"/>
    <cellStyle name="Normal 3 14 3 2" xfId="16813"/>
    <cellStyle name="Normal 3 14 3 2 2" xfId="26071"/>
    <cellStyle name="Normal 3 14 3 2 2 2" xfId="27194"/>
    <cellStyle name="Normal 3 14 3 2 3" xfId="26633"/>
    <cellStyle name="Normal 3 14 3 3" xfId="25920"/>
    <cellStyle name="Normal 3 14 3 3 2" xfId="27043"/>
    <cellStyle name="Normal 3 14 3 4" xfId="26482"/>
    <cellStyle name="Normal 3 14 4" xfId="2670"/>
    <cellStyle name="Normal 3 14 4 2" xfId="16814"/>
    <cellStyle name="Normal 3 14 4 2 2" xfId="26072"/>
    <cellStyle name="Normal 3 14 4 2 2 2" xfId="27195"/>
    <cellStyle name="Normal 3 14 4 2 3" xfId="26634"/>
    <cellStyle name="Normal 3 14 4 3" xfId="25902"/>
    <cellStyle name="Normal 3 14 4 3 2" xfId="27025"/>
    <cellStyle name="Normal 3 14 4 4" xfId="26464"/>
    <cellStyle name="Normal 3 14 5" xfId="2296"/>
    <cellStyle name="Normal 3 14 5 2" xfId="16815"/>
    <cellStyle name="Normal 3 14 5 2 2" xfId="26073"/>
    <cellStyle name="Normal 3 14 5 2 2 2" xfId="27196"/>
    <cellStyle name="Normal 3 14 5 2 3" xfId="26635"/>
    <cellStyle name="Normal 3 14 5 3" xfId="25838"/>
    <cellStyle name="Normal 3 14 5 3 2" xfId="26961"/>
    <cellStyle name="Normal 3 14 5 4" xfId="26400"/>
    <cellStyle name="Normal 3 14 6" xfId="2464"/>
    <cellStyle name="Normal 3 14 6 2" xfId="16816"/>
    <cellStyle name="Normal 3 14 6 2 2" xfId="26074"/>
    <cellStyle name="Normal 3 14 6 2 2 2" xfId="27197"/>
    <cellStyle name="Normal 3 14 6 2 3" xfId="26636"/>
    <cellStyle name="Normal 3 14 6 3" xfId="25870"/>
    <cellStyle name="Normal 3 14 6 3 2" xfId="26993"/>
    <cellStyle name="Normal 3 14 6 4" xfId="26432"/>
    <cellStyle name="Normal 3 14 7" xfId="2385"/>
    <cellStyle name="Normal 3 14 7 2" xfId="16817"/>
    <cellStyle name="Normal 3 14 7 2 2" xfId="26075"/>
    <cellStyle name="Normal 3 14 7 2 2 2" xfId="27198"/>
    <cellStyle name="Normal 3 14 7 2 3" xfId="26637"/>
    <cellStyle name="Normal 3 14 7 3" xfId="25854"/>
    <cellStyle name="Normal 3 14 7 3 2" xfId="26977"/>
    <cellStyle name="Normal 3 14 7 4" xfId="26416"/>
    <cellStyle name="Normal 3 14 8" xfId="3217"/>
    <cellStyle name="Normal 3 14 8 2" xfId="16818"/>
    <cellStyle name="Normal 3 14 8 2 2" xfId="26076"/>
    <cellStyle name="Normal 3 14 8 2 2 2" xfId="27199"/>
    <cellStyle name="Normal 3 14 8 2 3" xfId="26638"/>
    <cellStyle name="Normal 3 14 8 3" xfId="26000"/>
    <cellStyle name="Normal 3 14 8 3 2" xfId="27123"/>
    <cellStyle name="Normal 3 14 8 4" xfId="26562"/>
    <cellStyle name="Normal 3 14 9" xfId="16811"/>
    <cellStyle name="Normal 3 14 9 2" xfId="26069"/>
    <cellStyle name="Normal 3 14 9 2 2" xfId="27192"/>
    <cellStyle name="Normal 3 14 9 3" xfId="26631"/>
    <cellStyle name="Normal 3 15" xfId="1155"/>
    <cellStyle name="Normal 3 15 10" xfId="25764"/>
    <cellStyle name="Normal 3 15 10 2" xfId="26887"/>
    <cellStyle name="Normal 3 15 11" xfId="26326"/>
    <cellStyle name="Normal 3 15 2" xfId="2634"/>
    <cellStyle name="Normal 3 15 2 2" xfId="16820"/>
    <cellStyle name="Normal 3 15 2 2 2" xfId="26078"/>
    <cellStyle name="Normal 3 15 2 2 2 2" xfId="27201"/>
    <cellStyle name="Normal 3 15 2 2 3" xfId="26640"/>
    <cellStyle name="Normal 3 15 2 3" xfId="25898"/>
    <cellStyle name="Normal 3 15 2 3 2" xfId="27021"/>
    <cellStyle name="Normal 3 15 2 4" xfId="26460"/>
    <cellStyle name="Normal 3 15 3" xfId="2317"/>
    <cellStyle name="Normal 3 15 3 2" xfId="16821"/>
    <cellStyle name="Normal 3 15 3 2 2" xfId="26079"/>
    <cellStyle name="Normal 3 15 3 2 2 2" xfId="27202"/>
    <cellStyle name="Normal 3 15 3 2 3" xfId="26641"/>
    <cellStyle name="Normal 3 15 3 3" xfId="25843"/>
    <cellStyle name="Normal 3 15 3 3 2" xfId="26966"/>
    <cellStyle name="Normal 3 15 3 4" xfId="26405"/>
    <cellStyle name="Normal 3 15 4" xfId="2445"/>
    <cellStyle name="Normal 3 15 4 2" xfId="16822"/>
    <cellStyle name="Normal 3 15 4 2 2" xfId="26080"/>
    <cellStyle name="Normal 3 15 4 2 2 2" xfId="27203"/>
    <cellStyle name="Normal 3 15 4 2 3" xfId="26642"/>
    <cellStyle name="Normal 3 15 4 3" xfId="25864"/>
    <cellStyle name="Normal 3 15 4 3 2" xfId="26987"/>
    <cellStyle name="Normal 3 15 4 4" xfId="26426"/>
    <cellStyle name="Normal 3 15 5" xfId="2667"/>
    <cellStyle name="Normal 3 15 5 2" xfId="16823"/>
    <cellStyle name="Normal 3 15 5 2 2" xfId="26081"/>
    <cellStyle name="Normal 3 15 5 2 2 2" xfId="27204"/>
    <cellStyle name="Normal 3 15 5 2 3" xfId="26643"/>
    <cellStyle name="Normal 3 15 5 3" xfId="25900"/>
    <cellStyle name="Normal 3 15 5 3 2" xfId="27023"/>
    <cellStyle name="Normal 3 15 5 4" xfId="26462"/>
    <cellStyle name="Normal 3 15 6" xfId="2298"/>
    <cellStyle name="Normal 3 15 6 2" xfId="16824"/>
    <cellStyle name="Normal 3 15 6 2 2" xfId="26082"/>
    <cellStyle name="Normal 3 15 6 2 2 2" xfId="27205"/>
    <cellStyle name="Normal 3 15 6 2 3" xfId="26644"/>
    <cellStyle name="Normal 3 15 6 3" xfId="25840"/>
    <cellStyle name="Normal 3 15 6 3 2" xfId="26963"/>
    <cellStyle name="Normal 3 15 6 4" xfId="26402"/>
    <cellStyle name="Normal 3 15 7" xfId="2462"/>
    <cellStyle name="Normal 3 15 7 2" xfId="16825"/>
    <cellStyle name="Normal 3 15 7 2 2" xfId="26083"/>
    <cellStyle name="Normal 3 15 7 2 2 2" xfId="27206"/>
    <cellStyle name="Normal 3 15 7 2 3" xfId="26645"/>
    <cellStyle name="Normal 3 15 7 3" xfId="25868"/>
    <cellStyle name="Normal 3 15 7 3 2" xfId="26991"/>
    <cellStyle name="Normal 3 15 7 4" xfId="26430"/>
    <cellStyle name="Normal 3 15 8" xfId="2958"/>
    <cellStyle name="Normal 3 15 8 2" xfId="16826"/>
    <cellStyle name="Normal 3 15 8 2 2" xfId="26084"/>
    <cellStyle name="Normal 3 15 8 2 2 2" xfId="27207"/>
    <cellStyle name="Normal 3 15 8 2 3" xfId="26646"/>
    <cellStyle name="Normal 3 15 8 3" xfId="25950"/>
    <cellStyle name="Normal 3 15 8 3 2" xfId="27073"/>
    <cellStyle name="Normal 3 15 8 4" xfId="26512"/>
    <cellStyle name="Normal 3 15 9" xfId="16819"/>
    <cellStyle name="Normal 3 15 9 2" xfId="26077"/>
    <cellStyle name="Normal 3 15 9 2 2" xfId="27200"/>
    <cellStyle name="Normal 3 15 9 3" xfId="26639"/>
    <cellStyle name="Normal 3 16" xfId="1189"/>
    <cellStyle name="Normal 3 16 10" xfId="25765"/>
    <cellStyle name="Normal 3 16 10 2" xfId="26888"/>
    <cellStyle name="Normal 3 16 11" xfId="26327"/>
    <cellStyle name="Normal 3 16 2" xfId="2652"/>
    <cellStyle name="Normal 3 16 2 2" xfId="16828"/>
    <cellStyle name="Normal 3 16 2 2 2" xfId="26086"/>
    <cellStyle name="Normal 3 16 2 2 2 2" xfId="27209"/>
    <cellStyle name="Normal 3 16 2 2 3" xfId="26648"/>
    <cellStyle name="Normal 3 16 2 3" xfId="25899"/>
    <cellStyle name="Normal 3 16 2 3 2" xfId="27022"/>
    <cellStyle name="Normal 3 16 2 4" xfId="26461"/>
    <cellStyle name="Normal 3 16 3" xfId="2309"/>
    <cellStyle name="Normal 3 16 3 2" xfId="16829"/>
    <cellStyle name="Normal 3 16 3 2 2" xfId="26087"/>
    <cellStyle name="Normal 3 16 3 2 2 2" xfId="27210"/>
    <cellStyle name="Normal 3 16 3 2 3" xfId="26649"/>
    <cellStyle name="Normal 3 16 3 3" xfId="25842"/>
    <cellStyle name="Normal 3 16 3 3 2" xfId="26965"/>
    <cellStyle name="Normal 3 16 3 4" xfId="26404"/>
    <cellStyle name="Normal 3 16 4" xfId="2450"/>
    <cellStyle name="Normal 3 16 4 2" xfId="16830"/>
    <cellStyle name="Normal 3 16 4 2 2" xfId="26088"/>
    <cellStyle name="Normal 3 16 4 2 2 2" xfId="27211"/>
    <cellStyle name="Normal 3 16 4 2 3" xfId="26650"/>
    <cellStyle name="Normal 3 16 4 3" xfId="25867"/>
    <cellStyle name="Normal 3 16 4 3 2" xfId="26990"/>
    <cellStyle name="Normal 3 16 4 4" xfId="26429"/>
    <cellStyle name="Normal 3 16 5" xfId="2390"/>
    <cellStyle name="Normal 3 16 5 2" xfId="16831"/>
    <cellStyle name="Normal 3 16 5 2 2" xfId="26089"/>
    <cellStyle name="Normal 3 16 5 2 2 2" xfId="27212"/>
    <cellStyle name="Normal 3 16 5 2 3" xfId="26651"/>
    <cellStyle name="Normal 3 16 5 3" xfId="25856"/>
    <cellStyle name="Normal 3 16 5 3 2" xfId="26979"/>
    <cellStyle name="Normal 3 16 5 4" xfId="26418"/>
    <cellStyle name="Normal 3 16 6" xfId="2533"/>
    <cellStyle name="Normal 3 16 6 2" xfId="16832"/>
    <cellStyle name="Normal 3 16 6 2 2" xfId="26090"/>
    <cellStyle name="Normal 3 16 6 2 2 2" xfId="27213"/>
    <cellStyle name="Normal 3 16 6 2 3" xfId="26652"/>
    <cellStyle name="Normal 3 16 6 3" xfId="25882"/>
    <cellStyle name="Normal 3 16 6 3 2" xfId="27005"/>
    <cellStyle name="Normal 3 16 6 4" xfId="26444"/>
    <cellStyle name="Normal 3 16 7" xfId="2845"/>
    <cellStyle name="Normal 3 16 7 2" xfId="16833"/>
    <cellStyle name="Normal 3 16 7 2 2" xfId="26091"/>
    <cellStyle name="Normal 3 16 7 2 2 2" xfId="27214"/>
    <cellStyle name="Normal 3 16 7 2 3" xfId="26653"/>
    <cellStyle name="Normal 3 16 7 3" xfId="25928"/>
    <cellStyle name="Normal 3 16 7 3 2" xfId="27051"/>
    <cellStyle name="Normal 3 16 7 4" xfId="26490"/>
    <cellStyle name="Normal 3 16 8" xfId="2886"/>
    <cellStyle name="Normal 3 16 8 2" xfId="16834"/>
    <cellStyle name="Normal 3 16 8 2 2" xfId="26092"/>
    <cellStyle name="Normal 3 16 8 2 2 2" xfId="27215"/>
    <cellStyle name="Normal 3 16 8 2 3" xfId="26654"/>
    <cellStyle name="Normal 3 16 8 3" xfId="25934"/>
    <cellStyle name="Normal 3 16 8 3 2" xfId="27057"/>
    <cellStyle name="Normal 3 16 8 4" xfId="26496"/>
    <cellStyle name="Normal 3 16 9" xfId="16827"/>
    <cellStyle name="Normal 3 16 9 2" xfId="26085"/>
    <cellStyle name="Normal 3 16 9 2 2" xfId="27208"/>
    <cellStyle name="Normal 3 16 9 3" xfId="26647"/>
    <cellStyle name="Normal 3 17" xfId="1221"/>
    <cellStyle name="Normal 3 17 10" xfId="25766"/>
    <cellStyle name="Normal 3 17 10 2" xfId="26889"/>
    <cellStyle name="Normal 3 17 11" xfId="26328"/>
    <cellStyle name="Normal 3 17 2" xfId="2668"/>
    <cellStyle name="Normal 3 17 2 2" xfId="16836"/>
    <cellStyle name="Normal 3 17 2 2 2" xfId="26094"/>
    <cellStyle name="Normal 3 17 2 2 2 2" xfId="27217"/>
    <cellStyle name="Normal 3 17 2 2 3" xfId="26656"/>
    <cellStyle name="Normal 3 17 2 3" xfId="25901"/>
    <cellStyle name="Normal 3 17 2 3 2" xfId="27024"/>
    <cellStyle name="Normal 3 17 2 4" xfId="26463"/>
    <cellStyle name="Normal 3 17 3" xfId="2297"/>
    <cellStyle name="Normal 3 17 3 2" xfId="16837"/>
    <cellStyle name="Normal 3 17 3 2 2" xfId="26095"/>
    <cellStyle name="Normal 3 17 3 2 2 2" xfId="27218"/>
    <cellStyle name="Normal 3 17 3 2 3" xfId="26657"/>
    <cellStyle name="Normal 3 17 3 3" xfId="25839"/>
    <cellStyle name="Normal 3 17 3 3 2" xfId="26962"/>
    <cellStyle name="Normal 3 17 3 4" xfId="26401"/>
    <cellStyle name="Normal 3 17 4" xfId="2463"/>
    <cellStyle name="Normal 3 17 4 2" xfId="16838"/>
    <cellStyle name="Normal 3 17 4 2 2" xfId="26096"/>
    <cellStyle name="Normal 3 17 4 2 2 2" xfId="27219"/>
    <cellStyle name="Normal 3 17 4 2 3" xfId="26658"/>
    <cellStyle name="Normal 3 17 4 3" xfId="25869"/>
    <cellStyle name="Normal 3 17 4 3 2" xfId="26992"/>
    <cellStyle name="Normal 3 17 4 4" xfId="26431"/>
    <cellStyle name="Normal 3 17 5" xfId="2386"/>
    <cellStyle name="Normal 3 17 5 2" xfId="16839"/>
    <cellStyle name="Normal 3 17 5 2 2" xfId="26097"/>
    <cellStyle name="Normal 3 17 5 2 2 2" xfId="27220"/>
    <cellStyle name="Normal 3 17 5 2 3" xfId="26659"/>
    <cellStyle name="Normal 3 17 5 3" xfId="25855"/>
    <cellStyle name="Normal 3 17 5 3 2" xfId="26978"/>
    <cellStyle name="Normal 3 17 5 4" xfId="26417"/>
    <cellStyle name="Normal 3 17 6" xfId="2690"/>
    <cellStyle name="Normal 3 17 6 2" xfId="16840"/>
    <cellStyle name="Normal 3 17 6 2 2" xfId="26098"/>
    <cellStyle name="Normal 3 17 6 2 2 2" xfId="27221"/>
    <cellStyle name="Normal 3 17 6 2 3" xfId="26660"/>
    <cellStyle name="Normal 3 17 6 3" xfId="25905"/>
    <cellStyle name="Normal 3 17 6 3 2" xfId="27028"/>
    <cellStyle name="Normal 3 17 6 4" xfId="26467"/>
    <cellStyle name="Normal 3 17 7" xfId="2190"/>
    <cellStyle name="Normal 3 17 7 2" xfId="16841"/>
    <cellStyle name="Normal 3 17 7 2 2" xfId="26099"/>
    <cellStyle name="Normal 3 17 7 2 2 2" xfId="27222"/>
    <cellStyle name="Normal 3 17 7 2 3" xfId="26661"/>
    <cellStyle name="Normal 3 17 7 3" xfId="25821"/>
    <cellStyle name="Normal 3 17 7 3 2" xfId="26944"/>
    <cellStyle name="Normal 3 17 7 4" xfId="26383"/>
    <cellStyle name="Normal 3 17 8" xfId="2236"/>
    <cellStyle name="Normal 3 17 8 2" xfId="16842"/>
    <cellStyle name="Normal 3 17 8 2 2" xfId="26100"/>
    <cellStyle name="Normal 3 17 8 2 2 2" xfId="27223"/>
    <cellStyle name="Normal 3 17 8 2 3" xfId="26662"/>
    <cellStyle name="Normal 3 17 8 3" xfId="25828"/>
    <cellStyle name="Normal 3 17 8 3 2" xfId="26951"/>
    <cellStyle name="Normal 3 17 8 4" xfId="26390"/>
    <cellStyle name="Normal 3 17 9" xfId="16835"/>
    <cellStyle name="Normal 3 17 9 2" xfId="26093"/>
    <cellStyle name="Normal 3 17 9 2 2" xfId="27216"/>
    <cellStyle name="Normal 3 17 9 3" xfId="26655"/>
    <cellStyle name="Normal 3 18" xfId="1254"/>
    <cellStyle name="Normal 3 18 10" xfId="25767"/>
    <cellStyle name="Normal 3 18 10 2" xfId="26890"/>
    <cellStyle name="Normal 3 18 11" xfId="26329"/>
    <cellStyle name="Normal 3 18 2" xfId="2686"/>
    <cellStyle name="Normal 3 18 2 2" xfId="16844"/>
    <cellStyle name="Normal 3 18 2 2 2" xfId="26102"/>
    <cellStyle name="Normal 3 18 2 2 2 2" xfId="27225"/>
    <cellStyle name="Normal 3 18 2 2 3" xfId="26664"/>
    <cellStyle name="Normal 3 18 2 3" xfId="25904"/>
    <cellStyle name="Normal 3 18 2 3 2" xfId="27027"/>
    <cellStyle name="Normal 3 18 2 4" xfId="26466"/>
    <cellStyle name="Normal 3 18 3" xfId="2292"/>
    <cellStyle name="Normal 3 18 3 2" xfId="16845"/>
    <cellStyle name="Normal 3 18 3 2 2" xfId="26103"/>
    <cellStyle name="Normal 3 18 3 2 2 2" xfId="27226"/>
    <cellStyle name="Normal 3 18 3 2 3" xfId="26665"/>
    <cellStyle name="Normal 3 18 3 3" xfId="25837"/>
    <cellStyle name="Normal 3 18 3 3 2" xfId="26960"/>
    <cellStyle name="Normal 3 18 3 4" xfId="26399"/>
    <cellStyle name="Normal 3 18 4" xfId="2466"/>
    <cellStyle name="Normal 3 18 4 2" xfId="16846"/>
    <cellStyle name="Normal 3 18 4 2 2" xfId="26104"/>
    <cellStyle name="Normal 3 18 4 2 2 2" xfId="27227"/>
    <cellStyle name="Normal 3 18 4 2 3" xfId="26666"/>
    <cellStyle name="Normal 3 18 4 3" xfId="25871"/>
    <cellStyle name="Normal 3 18 4 3 2" xfId="26994"/>
    <cellStyle name="Normal 3 18 4 4" xfId="26433"/>
    <cellStyle name="Normal 3 18 5" xfId="2383"/>
    <cellStyle name="Normal 3 18 5 2" xfId="16847"/>
    <cellStyle name="Normal 3 18 5 2 2" xfId="26105"/>
    <cellStyle name="Normal 3 18 5 2 2 2" xfId="27228"/>
    <cellStyle name="Normal 3 18 5 2 3" xfId="26667"/>
    <cellStyle name="Normal 3 18 5 3" xfId="25853"/>
    <cellStyle name="Normal 3 18 5 3 2" xfId="26976"/>
    <cellStyle name="Normal 3 18 5 4" xfId="26415"/>
    <cellStyle name="Normal 3 18 6" xfId="2788"/>
    <cellStyle name="Normal 3 18 6 2" xfId="16848"/>
    <cellStyle name="Normal 3 18 6 2 2" xfId="26106"/>
    <cellStyle name="Normal 3 18 6 2 2 2" xfId="27229"/>
    <cellStyle name="Normal 3 18 6 2 3" xfId="26668"/>
    <cellStyle name="Normal 3 18 6 3" xfId="25916"/>
    <cellStyle name="Normal 3 18 6 3 2" xfId="27039"/>
    <cellStyle name="Normal 3 18 6 4" xfId="26478"/>
    <cellStyle name="Normal 3 18 7" xfId="2228"/>
    <cellStyle name="Normal 3 18 7 2" xfId="16849"/>
    <cellStyle name="Normal 3 18 7 2 2" xfId="26107"/>
    <cellStyle name="Normal 3 18 7 2 2 2" xfId="27230"/>
    <cellStyle name="Normal 3 18 7 2 3" xfId="26669"/>
    <cellStyle name="Normal 3 18 7 3" xfId="25826"/>
    <cellStyle name="Normal 3 18 7 3 2" xfId="26949"/>
    <cellStyle name="Normal 3 18 7 4" xfId="26388"/>
    <cellStyle name="Normal 3 18 8" xfId="2449"/>
    <cellStyle name="Normal 3 18 8 2" xfId="16850"/>
    <cellStyle name="Normal 3 18 8 2 2" xfId="26108"/>
    <cellStyle name="Normal 3 18 8 2 2 2" xfId="27231"/>
    <cellStyle name="Normal 3 18 8 2 3" xfId="26670"/>
    <cellStyle name="Normal 3 18 8 3" xfId="25866"/>
    <cellStyle name="Normal 3 18 8 3 2" xfId="26989"/>
    <cellStyle name="Normal 3 18 8 4" xfId="26428"/>
    <cellStyle name="Normal 3 18 9" xfId="16843"/>
    <cellStyle name="Normal 3 18 9 2" xfId="26101"/>
    <cellStyle name="Normal 3 18 9 2 2" xfId="27224"/>
    <cellStyle name="Normal 3 18 9 3" xfId="26663"/>
    <cellStyle name="Normal 3 19" xfId="1287"/>
    <cellStyle name="Normal 3 19 10" xfId="25768"/>
    <cellStyle name="Normal 3 19 10 2" xfId="26891"/>
    <cellStyle name="Normal 3 19 11" xfId="26330"/>
    <cellStyle name="Normal 3 19 2" xfId="2707"/>
    <cellStyle name="Normal 3 19 2 2" xfId="16852"/>
    <cellStyle name="Normal 3 19 2 2 2" xfId="26110"/>
    <cellStyle name="Normal 3 19 2 2 2 2" xfId="27233"/>
    <cellStyle name="Normal 3 19 2 2 3" xfId="26672"/>
    <cellStyle name="Normal 3 19 2 3" xfId="25907"/>
    <cellStyle name="Normal 3 19 2 3 2" xfId="27030"/>
    <cellStyle name="Normal 3 19 2 4" xfId="26469"/>
    <cellStyle name="Normal 3 19 3" xfId="2277"/>
    <cellStyle name="Normal 3 19 3 2" xfId="16853"/>
    <cellStyle name="Normal 3 19 3 2 2" xfId="26111"/>
    <cellStyle name="Normal 3 19 3 2 2 2" xfId="27234"/>
    <cellStyle name="Normal 3 19 3 2 3" xfId="26673"/>
    <cellStyle name="Normal 3 19 3 3" xfId="25834"/>
    <cellStyle name="Normal 3 19 3 3 2" xfId="26957"/>
    <cellStyle name="Normal 3 19 3 4" xfId="26396"/>
    <cellStyle name="Normal 3 19 4" xfId="2693"/>
    <cellStyle name="Normal 3 19 4 2" xfId="16854"/>
    <cellStyle name="Normal 3 19 4 2 2" xfId="26112"/>
    <cellStyle name="Normal 3 19 4 2 2 2" xfId="27235"/>
    <cellStyle name="Normal 3 19 4 2 3" xfId="26674"/>
    <cellStyle name="Normal 3 19 4 3" xfId="25906"/>
    <cellStyle name="Normal 3 19 4 3 2" xfId="27029"/>
    <cellStyle name="Normal 3 19 4 4" xfId="26468"/>
    <cellStyle name="Normal 3 19 5" xfId="2287"/>
    <cellStyle name="Normal 3 19 5 2" xfId="16855"/>
    <cellStyle name="Normal 3 19 5 2 2" xfId="26113"/>
    <cellStyle name="Normal 3 19 5 2 2 2" xfId="27236"/>
    <cellStyle name="Normal 3 19 5 2 3" xfId="26675"/>
    <cellStyle name="Normal 3 19 5 3" xfId="25836"/>
    <cellStyle name="Normal 3 19 5 3 2" xfId="26959"/>
    <cellStyle name="Normal 3 19 5 4" xfId="26398"/>
    <cellStyle name="Normal 3 19 6" xfId="2468"/>
    <cellStyle name="Normal 3 19 6 2" xfId="16856"/>
    <cellStyle name="Normal 3 19 6 2 2" xfId="26114"/>
    <cellStyle name="Normal 3 19 6 2 2 2" xfId="27237"/>
    <cellStyle name="Normal 3 19 6 2 3" xfId="26676"/>
    <cellStyle name="Normal 3 19 6 3" xfId="25872"/>
    <cellStyle name="Normal 3 19 6 3 2" xfId="26995"/>
    <cellStyle name="Normal 3 19 6 4" xfId="26434"/>
    <cellStyle name="Normal 3 19 7" xfId="2380"/>
    <cellStyle name="Normal 3 19 7 2" xfId="16857"/>
    <cellStyle name="Normal 3 19 7 2 2" xfId="26115"/>
    <cellStyle name="Normal 3 19 7 2 2 2" xfId="27238"/>
    <cellStyle name="Normal 3 19 7 2 3" xfId="26677"/>
    <cellStyle name="Normal 3 19 7 3" xfId="25852"/>
    <cellStyle name="Normal 3 19 7 3 2" xfId="26975"/>
    <cellStyle name="Normal 3 19 7 4" xfId="26414"/>
    <cellStyle name="Normal 3 19 8" xfId="2448"/>
    <cellStyle name="Normal 3 19 8 2" xfId="16858"/>
    <cellStyle name="Normal 3 19 8 2 2" xfId="26116"/>
    <cellStyle name="Normal 3 19 8 2 2 2" xfId="27239"/>
    <cellStyle name="Normal 3 19 8 2 3" xfId="26678"/>
    <cellStyle name="Normal 3 19 8 3" xfId="25865"/>
    <cellStyle name="Normal 3 19 8 3 2" xfId="26988"/>
    <cellStyle name="Normal 3 19 8 4" xfId="26427"/>
    <cellStyle name="Normal 3 19 9" xfId="16851"/>
    <cellStyle name="Normal 3 19 9 2" xfId="26109"/>
    <cellStyle name="Normal 3 19 9 2 2" xfId="27232"/>
    <cellStyle name="Normal 3 19 9 3" xfId="26671"/>
    <cellStyle name="Normal 3 2" xfId="87"/>
    <cellStyle name="Normal 3 2 10" xfId="2837"/>
    <cellStyle name="Normal 3 2 10 2" xfId="16860"/>
    <cellStyle name="Normal 3 2 10 2 2" xfId="26118"/>
    <cellStyle name="Normal 3 2 10 2 2 2" xfId="27241"/>
    <cellStyle name="Normal 3 2 10 2 3" xfId="26680"/>
    <cellStyle name="Normal 3 2 10 3" xfId="25925"/>
    <cellStyle name="Normal 3 2 10 3 2" xfId="27048"/>
    <cellStyle name="Normal 3 2 10 4" xfId="26487"/>
    <cellStyle name="Normal 3 2 11" xfId="2210"/>
    <cellStyle name="Normal 3 2 11 2" xfId="16861"/>
    <cellStyle name="Normal 3 2 11 2 2" xfId="26119"/>
    <cellStyle name="Normal 3 2 11 2 2 2" xfId="27242"/>
    <cellStyle name="Normal 3 2 11 2 3" xfId="26681"/>
    <cellStyle name="Normal 3 2 11 3" xfId="25823"/>
    <cellStyle name="Normal 3 2 11 3 2" xfId="26946"/>
    <cellStyle name="Normal 3 2 11 4" xfId="26385"/>
    <cellStyle name="Normal 3 2 12" xfId="2503"/>
    <cellStyle name="Normal 3 2 12 2" xfId="16862"/>
    <cellStyle name="Normal 3 2 12 2 2" xfId="26120"/>
    <cellStyle name="Normal 3 2 12 2 2 2" xfId="27243"/>
    <cellStyle name="Normal 3 2 12 2 3" xfId="26682"/>
    <cellStyle name="Normal 3 2 12 3" xfId="25878"/>
    <cellStyle name="Normal 3 2 12 3 2" xfId="27001"/>
    <cellStyle name="Normal 3 2 12 4" xfId="26440"/>
    <cellStyle name="Normal 3 2 13" xfId="2631"/>
    <cellStyle name="Normal 3 2 13 2" xfId="16863"/>
    <cellStyle name="Normal 3 2 13 2 2" xfId="26121"/>
    <cellStyle name="Normal 3 2 13 2 2 2" xfId="27244"/>
    <cellStyle name="Normal 3 2 13 2 3" xfId="26683"/>
    <cellStyle name="Normal 3 2 13 3" xfId="25896"/>
    <cellStyle name="Normal 3 2 13 3 2" xfId="27019"/>
    <cellStyle name="Normal 3 2 13 4" xfId="26458"/>
    <cellStyle name="Normal 3 2 14" xfId="2320"/>
    <cellStyle name="Normal 3 2 14 2" xfId="16864"/>
    <cellStyle name="Normal 3 2 14 2 2" xfId="26122"/>
    <cellStyle name="Normal 3 2 14 2 2 2" xfId="27245"/>
    <cellStyle name="Normal 3 2 14 2 3" xfId="26684"/>
    <cellStyle name="Normal 3 2 14 3" xfId="25845"/>
    <cellStyle name="Normal 3 2 14 3 2" xfId="26968"/>
    <cellStyle name="Normal 3 2 14 4" xfId="26407"/>
    <cellStyle name="Normal 3 2 15" xfId="2827"/>
    <cellStyle name="Normal 3 2 15 2" xfId="16865"/>
    <cellStyle name="Normal 3 2 15 2 2" xfId="26123"/>
    <cellStyle name="Normal 3 2 15 2 2 2" xfId="27246"/>
    <cellStyle name="Normal 3 2 15 2 3" xfId="26685"/>
    <cellStyle name="Normal 3 2 15 3" xfId="25922"/>
    <cellStyle name="Normal 3 2 15 3 2" xfId="27045"/>
    <cellStyle name="Normal 3 2 15 4" xfId="26484"/>
    <cellStyle name="Normal 3 2 16" xfId="11113"/>
    <cellStyle name="Normal 3 2 17" xfId="11114"/>
    <cellStyle name="Normal 3 2 18" xfId="11115"/>
    <cellStyle name="Normal 3 2 19" xfId="11116"/>
    <cellStyle name="Normal 3 2 2" xfId="1461"/>
    <cellStyle name="Normal 3 2 2 10" xfId="25775"/>
    <cellStyle name="Normal 3 2 2 10 2" xfId="26898"/>
    <cellStyle name="Normal 3 2 2 11" xfId="26337"/>
    <cellStyle name="Normal 3 2 2 12" xfId="27453"/>
    <cellStyle name="Normal 3 2 2 2" xfId="2798"/>
    <cellStyle name="Normal 3 2 2 2 2" xfId="16867"/>
    <cellStyle name="Normal 3 2 2 2 2 2" xfId="26125"/>
    <cellStyle name="Normal 3 2 2 2 2 2 2" xfId="27248"/>
    <cellStyle name="Normal 3 2 2 2 2 3" xfId="26687"/>
    <cellStyle name="Normal 3 2 2 2 3" xfId="25918"/>
    <cellStyle name="Normal 3 2 2 2 3 2" xfId="27041"/>
    <cellStyle name="Normal 3 2 2 2 4" xfId="26480"/>
    <cellStyle name="Normal 3 2 2 3" xfId="2876"/>
    <cellStyle name="Normal 3 2 2 3 2" xfId="16868"/>
    <cellStyle name="Normal 3 2 2 3 2 2" xfId="26126"/>
    <cellStyle name="Normal 3 2 2 3 2 2 2" xfId="27249"/>
    <cellStyle name="Normal 3 2 2 3 2 3" xfId="26688"/>
    <cellStyle name="Normal 3 2 2 3 3" xfId="25932"/>
    <cellStyle name="Normal 3 2 2 3 3 2" xfId="27055"/>
    <cellStyle name="Normal 3 2 2 3 4" xfId="26494"/>
    <cellStyle name="Normal 3 2 2 4" xfId="2094"/>
    <cellStyle name="Normal 3 2 2 4 2" xfId="16869"/>
    <cellStyle name="Normal 3 2 2 4 2 2" xfId="26127"/>
    <cellStyle name="Normal 3 2 2 4 2 2 2" xfId="27250"/>
    <cellStyle name="Normal 3 2 2 4 2 3" xfId="26689"/>
    <cellStyle name="Normal 3 2 2 4 3" xfId="25816"/>
    <cellStyle name="Normal 3 2 2 4 3 2" xfId="26939"/>
    <cellStyle name="Normal 3 2 2 4 4" xfId="26378"/>
    <cellStyle name="Normal 3 2 2 5" xfId="2159"/>
    <cellStyle name="Normal 3 2 2 5 2" xfId="16870"/>
    <cellStyle name="Normal 3 2 2 5 2 2" xfId="26128"/>
    <cellStyle name="Normal 3 2 2 5 2 2 2" xfId="27251"/>
    <cellStyle name="Normal 3 2 2 5 2 3" xfId="26690"/>
    <cellStyle name="Normal 3 2 2 5 3" xfId="25819"/>
    <cellStyle name="Normal 3 2 2 5 3 2" xfId="26942"/>
    <cellStyle name="Normal 3 2 2 5 4" xfId="26381"/>
    <cellStyle name="Normal 3 2 2 6" xfId="2881"/>
    <cellStyle name="Normal 3 2 2 6 2" xfId="16871"/>
    <cellStyle name="Normal 3 2 2 6 2 2" xfId="26129"/>
    <cellStyle name="Normal 3 2 2 6 2 2 2" xfId="27252"/>
    <cellStyle name="Normal 3 2 2 6 2 3" xfId="26691"/>
    <cellStyle name="Normal 3 2 2 6 3" xfId="25933"/>
    <cellStyle name="Normal 3 2 2 6 3 2" xfId="27056"/>
    <cellStyle name="Normal 3 2 2 6 4" xfId="26495"/>
    <cellStyle name="Normal 3 2 2 7" xfId="2967"/>
    <cellStyle name="Normal 3 2 2 7 2" xfId="16872"/>
    <cellStyle name="Normal 3 2 2 7 2 2" xfId="26130"/>
    <cellStyle name="Normal 3 2 2 7 2 2 2" xfId="27253"/>
    <cellStyle name="Normal 3 2 2 7 2 3" xfId="26692"/>
    <cellStyle name="Normal 3 2 2 7 3" xfId="25951"/>
    <cellStyle name="Normal 3 2 2 7 3 2" xfId="27074"/>
    <cellStyle name="Normal 3 2 2 7 4" xfId="26513"/>
    <cellStyle name="Normal 3 2 2 8" xfId="2552"/>
    <cellStyle name="Normal 3 2 2 8 2" xfId="16873"/>
    <cellStyle name="Normal 3 2 2 8 2 2" xfId="26131"/>
    <cellStyle name="Normal 3 2 2 8 2 2 2" xfId="27254"/>
    <cellStyle name="Normal 3 2 2 8 2 3" xfId="26693"/>
    <cellStyle name="Normal 3 2 2 8 3" xfId="25886"/>
    <cellStyle name="Normal 3 2 2 8 3 2" xfId="27009"/>
    <cellStyle name="Normal 3 2 2 8 4" xfId="26448"/>
    <cellStyle name="Normal 3 2 2 9" xfId="16866"/>
    <cellStyle name="Normal 3 2 2 9 2" xfId="26124"/>
    <cellStyle name="Normal 3 2 2 9 2 2" xfId="27247"/>
    <cellStyle name="Normal 3 2 2 9 3" xfId="26686"/>
    <cellStyle name="Normal 3 2 20" xfId="11117"/>
    <cellStyle name="Normal 3 2 20 10" xfId="22178"/>
    <cellStyle name="Normal 3 2 20 10 2" xfId="26293"/>
    <cellStyle name="Normal 3 2 20 10 2 2" xfId="27416"/>
    <cellStyle name="Normal 3 2 20 10 3" xfId="26855"/>
    <cellStyle name="Normal 3 2 20 11" xfId="22179"/>
    <cellStyle name="Normal 3 2 20 11 2" xfId="26294"/>
    <cellStyle name="Normal 3 2 20 11 2 2" xfId="27417"/>
    <cellStyle name="Normal 3 2 20 11 3" xfId="26856"/>
    <cellStyle name="Normal 3 2 20 12" xfId="22180"/>
    <cellStyle name="Normal 3 2 20 12 2" xfId="26295"/>
    <cellStyle name="Normal 3 2 20 12 2 2" xfId="27418"/>
    <cellStyle name="Normal 3 2 20 12 3" xfId="26857"/>
    <cellStyle name="Normal 3 2 20 13" xfId="22181"/>
    <cellStyle name="Normal 3 2 20 13 2" xfId="26296"/>
    <cellStyle name="Normal 3 2 20 13 2 2" xfId="27419"/>
    <cellStyle name="Normal 3 2 20 13 3" xfId="26858"/>
    <cellStyle name="Normal 3 2 20 14" xfId="22182"/>
    <cellStyle name="Normal 3 2 20 14 2" xfId="26297"/>
    <cellStyle name="Normal 3 2 20 14 2 2" xfId="27420"/>
    <cellStyle name="Normal 3 2 20 14 3" xfId="26859"/>
    <cellStyle name="Normal 3 2 20 15" xfId="26005"/>
    <cellStyle name="Normal 3 2 20 15 2" xfId="27128"/>
    <cellStyle name="Normal 3 2 20 16" xfId="26567"/>
    <cellStyle name="Normal 3 2 20 2" xfId="16874"/>
    <cellStyle name="Normal 3 2 20 2 2" xfId="26132"/>
    <cellStyle name="Normal 3 2 20 2 2 2" xfId="27255"/>
    <cellStyle name="Normal 3 2 20 2 3" xfId="26694"/>
    <cellStyle name="Normal 3 2 20 3" xfId="22183"/>
    <cellStyle name="Normal 3 2 20 3 2" xfId="26298"/>
    <cellStyle name="Normal 3 2 20 3 2 2" xfId="27421"/>
    <cellStyle name="Normal 3 2 20 3 3" xfId="26860"/>
    <cellStyle name="Normal 3 2 20 4" xfId="22184"/>
    <cellStyle name="Normal 3 2 20 4 2" xfId="26299"/>
    <cellStyle name="Normal 3 2 20 4 2 2" xfId="27422"/>
    <cellStyle name="Normal 3 2 20 4 3" xfId="26861"/>
    <cellStyle name="Normal 3 2 20 5" xfId="22185"/>
    <cellStyle name="Normal 3 2 20 5 2" xfId="26300"/>
    <cellStyle name="Normal 3 2 20 5 2 2" xfId="27423"/>
    <cellStyle name="Normal 3 2 20 5 3" xfId="26862"/>
    <cellStyle name="Normal 3 2 20 6" xfId="22186"/>
    <cellStyle name="Normal 3 2 20 6 2" xfId="26301"/>
    <cellStyle name="Normal 3 2 20 6 2 2" xfId="27424"/>
    <cellStyle name="Normal 3 2 20 6 3" xfId="26863"/>
    <cellStyle name="Normal 3 2 20 7" xfId="22187"/>
    <cellStyle name="Normal 3 2 20 7 2" xfId="26302"/>
    <cellStyle name="Normal 3 2 20 7 2 2" xfId="27425"/>
    <cellStyle name="Normal 3 2 20 7 3" xfId="26864"/>
    <cellStyle name="Normal 3 2 20 8" xfId="22188"/>
    <cellStyle name="Normal 3 2 20 8 2" xfId="26303"/>
    <cellStyle name="Normal 3 2 20 8 2 2" xfId="27426"/>
    <cellStyle name="Normal 3 2 20 8 3" xfId="26865"/>
    <cellStyle name="Normal 3 2 20 9" xfId="22189"/>
    <cellStyle name="Normal 3 2 20 9 2" xfId="26304"/>
    <cellStyle name="Normal 3 2 20 9 2 2" xfId="27427"/>
    <cellStyle name="Normal 3 2 20 9 3" xfId="26866"/>
    <cellStyle name="Normal 3 2 21" xfId="11118"/>
    <cellStyle name="Normal 3 2 22" xfId="11119"/>
    <cellStyle name="Normal 3 2 23" xfId="11120"/>
    <cellStyle name="Normal 3 2 24" xfId="16859"/>
    <cellStyle name="Normal 3 2 24 2" xfId="26117"/>
    <cellStyle name="Normal 3 2 24 2 2" xfId="27240"/>
    <cellStyle name="Normal 3 2 24 3" xfId="26679"/>
    <cellStyle name="Normal 3 2 25" xfId="17013"/>
    <cellStyle name="Normal 3 2 25 2" xfId="26267"/>
    <cellStyle name="Normal 3 2 25 2 2" xfId="27390"/>
    <cellStyle name="Normal 3 2 25 3" xfId="26829"/>
    <cellStyle name="Normal 3 2 26" xfId="22190"/>
    <cellStyle name="Normal 3 2 27" xfId="22191"/>
    <cellStyle name="Normal 3 2 28" xfId="22192"/>
    <cellStyle name="Normal 3 2 29" xfId="22193"/>
    <cellStyle name="Normal 3 2 3" xfId="1519"/>
    <cellStyle name="Normal 3 2 3 10" xfId="25776"/>
    <cellStyle name="Normal 3 2 3 10 2" xfId="26899"/>
    <cellStyle name="Normal 3 2 3 11" xfId="26338"/>
    <cellStyle name="Normal 3 2 3 2" xfId="2832"/>
    <cellStyle name="Normal 3 2 3 2 2" xfId="16876"/>
    <cellStyle name="Normal 3 2 3 2 2 2" xfId="26134"/>
    <cellStyle name="Normal 3 2 3 2 2 2 2" xfId="27257"/>
    <cellStyle name="Normal 3 2 3 2 2 3" xfId="26696"/>
    <cellStyle name="Normal 3 2 3 2 3" xfId="25923"/>
    <cellStyle name="Normal 3 2 3 2 3 2" xfId="27046"/>
    <cellStyle name="Normal 3 2 3 2 4" xfId="26485"/>
    <cellStyle name="Normal 3 2 3 3" xfId="2626"/>
    <cellStyle name="Normal 3 2 3 3 2" xfId="16877"/>
    <cellStyle name="Normal 3 2 3 3 2 2" xfId="26135"/>
    <cellStyle name="Normal 3 2 3 3 2 2 2" xfId="27258"/>
    <cellStyle name="Normal 3 2 3 3 2 3" xfId="26697"/>
    <cellStyle name="Normal 3 2 3 3 3" xfId="25894"/>
    <cellStyle name="Normal 3 2 3 3 3 2" xfId="27017"/>
    <cellStyle name="Normal 3 2 3 3 4" xfId="26456"/>
    <cellStyle name="Normal 3 2 3 4" xfId="2322"/>
    <cellStyle name="Normal 3 2 3 4 2" xfId="16878"/>
    <cellStyle name="Normal 3 2 3 4 2 2" xfId="26136"/>
    <cellStyle name="Normal 3 2 3 4 2 2 2" xfId="27259"/>
    <cellStyle name="Normal 3 2 3 4 2 3" xfId="26698"/>
    <cellStyle name="Normal 3 2 3 4 3" xfId="25847"/>
    <cellStyle name="Normal 3 2 3 4 3 2" xfId="26970"/>
    <cellStyle name="Normal 3 2 3 4 4" xfId="26409"/>
    <cellStyle name="Normal 3 2 3 5" xfId="2442"/>
    <cellStyle name="Normal 3 2 3 5 2" xfId="16879"/>
    <cellStyle name="Normal 3 2 3 5 2 2" xfId="26137"/>
    <cellStyle name="Normal 3 2 3 5 2 2 2" xfId="27260"/>
    <cellStyle name="Normal 3 2 3 5 2 3" xfId="26699"/>
    <cellStyle name="Normal 3 2 3 5 3" xfId="25863"/>
    <cellStyle name="Normal 3 2 3 5 3 2" xfId="26986"/>
    <cellStyle name="Normal 3 2 3 5 4" xfId="26425"/>
    <cellStyle name="Normal 3 2 3 6" xfId="2892"/>
    <cellStyle name="Normal 3 2 3 6 2" xfId="16880"/>
    <cellStyle name="Normal 3 2 3 6 2 2" xfId="26138"/>
    <cellStyle name="Normal 3 2 3 6 2 2 2" xfId="27261"/>
    <cellStyle name="Normal 3 2 3 6 2 3" xfId="26700"/>
    <cellStyle name="Normal 3 2 3 6 3" xfId="25937"/>
    <cellStyle name="Normal 3 2 3 6 3 2" xfId="27060"/>
    <cellStyle name="Normal 3 2 3 6 4" xfId="26499"/>
    <cellStyle name="Normal 3 2 3 7" xfId="2976"/>
    <cellStyle name="Normal 3 2 3 7 2" xfId="16881"/>
    <cellStyle name="Normal 3 2 3 7 2 2" xfId="26139"/>
    <cellStyle name="Normal 3 2 3 7 2 2 2" xfId="27262"/>
    <cellStyle name="Normal 3 2 3 7 2 3" xfId="26701"/>
    <cellStyle name="Normal 3 2 3 7 3" xfId="25954"/>
    <cellStyle name="Normal 3 2 3 7 3 2" xfId="27077"/>
    <cellStyle name="Normal 3 2 3 7 4" xfId="26516"/>
    <cellStyle name="Normal 3 2 3 8" xfId="3075"/>
    <cellStyle name="Normal 3 2 3 8 2" xfId="16882"/>
    <cellStyle name="Normal 3 2 3 8 2 2" xfId="26140"/>
    <cellStyle name="Normal 3 2 3 8 2 2 2" xfId="27263"/>
    <cellStyle name="Normal 3 2 3 8 2 3" xfId="26702"/>
    <cellStyle name="Normal 3 2 3 8 3" xfId="25973"/>
    <cellStyle name="Normal 3 2 3 8 3 2" xfId="27096"/>
    <cellStyle name="Normal 3 2 3 8 4" xfId="26535"/>
    <cellStyle name="Normal 3 2 3 9" xfId="16875"/>
    <cellStyle name="Normal 3 2 3 9 2" xfId="26133"/>
    <cellStyle name="Normal 3 2 3 9 2 2" xfId="27256"/>
    <cellStyle name="Normal 3 2 3 9 3" xfId="26695"/>
    <cellStyle name="Normal 3 2 30" xfId="22194"/>
    <cellStyle name="Normal 3 2 31" xfId="22195"/>
    <cellStyle name="Normal 3 2 32" xfId="22196"/>
    <cellStyle name="Normal 3 2 33" xfId="22197"/>
    <cellStyle name="Normal 3 2 34" xfId="22198"/>
    <cellStyle name="Normal 3 2 35" xfId="22199"/>
    <cellStyle name="Normal 3 2 36" xfId="22200"/>
    <cellStyle name="Normal 3 2 37" xfId="25757"/>
    <cellStyle name="Normal 3 2 37 2" xfId="26880"/>
    <cellStyle name="Normal 3 2 38" xfId="26319"/>
    <cellStyle name="Normal 3 2 39" xfId="27449"/>
    <cellStyle name="Normal 3 2 4" xfId="1396"/>
    <cellStyle name="Normal 3 2 4 10" xfId="25772"/>
    <cellStyle name="Normal 3 2 4 10 2" xfId="26895"/>
    <cellStyle name="Normal 3 2 4 11" xfId="26334"/>
    <cellStyle name="Normal 3 2 4 2" xfId="2775"/>
    <cellStyle name="Normal 3 2 4 2 2" xfId="16884"/>
    <cellStyle name="Normal 3 2 4 2 2 2" xfId="26142"/>
    <cellStyle name="Normal 3 2 4 2 2 2 2" xfId="27265"/>
    <cellStyle name="Normal 3 2 4 2 2 3" xfId="26704"/>
    <cellStyle name="Normal 3 2 4 2 3" xfId="25914"/>
    <cellStyle name="Normal 3 2 4 2 3 2" xfId="27037"/>
    <cellStyle name="Normal 3 2 4 2 4" xfId="26476"/>
    <cellStyle name="Normal 3 2 4 3" xfId="2816"/>
    <cellStyle name="Normal 3 2 4 3 2" xfId="16885"/>
    <cellStyle name="Normal 3 2 4 3 2 2" xfId="26143"/>
    <cellStyle name="Normal 3 2 4 3 2 2 2" xfId="27266"/>
    <cellStyle name="Normal 3 2 4 3 2 3" xfId="26705"/>
    <cellStyle name="Normal 3 2 4 3 3" xfId="25921"/>
    <cellStyle name="Normal 3 2 4 3 3 2" xfId="27044"/>
    <cellStyle name="Normal 3 2 4 3 4" xfId="26483"/>
    <cellStyle name="Normal 3 2 4 4" xfId="2625"/>
    <cellStyle name="Normal 3 2 4 4 2" xfId="16886"/>
    <cellStyle name="Normal 3 2 4 4 2 2" xfId="26144"/>
    <cellStyle name="Normal 3 2 4 4 2 2 2" xfId="27267"/>
    <cellStyle name="Normal 3 2 4 4 2 3" xfId="26706"/>
    <cellStyle name="Normal 3 2 4 4 3" xfId="25893"/>
    <cellStyle name="Normal 3 2 4 4 3 2" xfId="27016"/>
    <cellStyle name="Normal 3 2 4 4 4" xfId="26455"/>
    <cellStyle name="Normal 3 2 4 5" xfId="2323"/>
    <cellStyle name="Normal 3 2 4 5 2" xfId="16887"/>
    <cellStyle name="Normal 3 2 4 5 2 2" xfId="26145"/>
    <cellStyle name="Normal 3 2 4 5 2 2 2" xfId="27268"/>
    <cellStyle name="Normal 3 2 4 5 2 3" xfId="26707"/>
    <cellStyle name="Normal 3 2 4 5 3" xfId="25848"/>
    <cellStyle name="Normal 3 2 4 5 3 2" xfId="26971"/>
    <cellStyle name="Normal 3 2 4 5 4" xfId="26410"/>
    <cellStyle name="Normal 3 2 4 6" xfId="2441"/>
    <cellStyle name="Normal 3 2 4 6 2" xfId="16888"/>
    <cellStyle name="Normal 3 2 4 6 2 2" xfId="26146"/>
    <cellStyle name="Normal 3 2 4 6 2 2 2" xfId="27269"/>
    <cellStyle name="Normal 3 2 4 6 2 3" xfId="26708"/>
    <cellStyle name="Normal 3 2 4 6 3" xfId="25862"/>
    <cellStyle name="Normal 3 2 4 6 3 2" xfId="26985"/>
    <cellStyle name="Normal 3 2 4 6 4" xfId="26424"/>
    <cellStyle name="Normal 3 2 4 7" xfId="2392"/>
    <cellStyle name="Normal 3 2 4 7 2" xfId="16889"/>
    <cellStyle name="Normal 3 2 4 7 2 2" xfId="26147"/>
    <cellStyle name="Normal 3 2 4 7 2 2 2" xfId="27270"/>
    <cellStyle name="Normal 3 2 4 7 2 3" xfId="26709"/>
    <cellStyle name="Normal 3 2 4 7 3" xfId="25858"/>
    <cellStyle name="Normal 3 2 4 7 3 2" xfId="26981"/>
    <cellStyle name="Normal 3 2 4 7 4" xfId="26420"/>
    <cellStyle name="Normal 3 2 4 8" xfId="2554"/>
    <cellStyle name="Normal 3 2 4 8 2" xfId="16890"/>
    <cellStyle name="Normal 3 2 4 8 2 2" xfId="26148"/>
    <cellStyle name="Normal 3 2 4 8 2 2 2" xfId="27271"/>
    <cellStyle name="Normal 3 2 4 8 2 3" xfId="26710"/>
    <cellStyle name="Normal 3 2 4 8 3" xfId="25887"/>
    <cellStyle name="Normal 3 2 4 8 3 2" xfId="27010"/>
    <cellStyle name="Normal 3 2 4 8 4" xfId="26449"/>
    <cellStyle name="Normal 3 2 4 9" xfId="16883"/>
    <cellStyle name="Normal 3 2 4 9 2" xfId="26141"/>
    <cellStyle name="Normal 3 2 4 9 2 2" xfId="27264"/>
    <cellStyle name="Normal 3 2 4 9 3" xfId="26703"/>
    <cellStyle name="Normal 3 2 5" xfId="1451"/>
    <cellStyle name="Normal 3 2 5 10" xfId="25774"/>
    <cellStyle name="Normal 3 2 5 10 2" xfId="26897"/>
    <cellStyle name="Normal 3 2 5 11" xfId="26336"/>
    <cellStyle name="Normal 3 2 5 2" xfId="2795"/>
    <cellStyle name="Normal 3 2 5 2 2" xfId="16892"/>
    <cellStyle name="Normal 3 2 5 2 2 2" xfId="26150"/>
    <cellStyle name="Normal 3 2 5 2 2 2 2" xfId="27273"/>
    <cellStyle name="Normal 3 2 5 2 2 3" xfId="26712"/>
    <cellStyle name="Normal 3 2 5 2 3" xfId="25917"/>
    <cellStyle name="Normal 3 2 5 2 3 2" xfId="27040"/>
    <cellStyle name="Normal 3 2 5 2 4" xfId="26479"/>
    <cellStyle name="Normal 3 2 5 3" xfId="2224"/>
    <cellStyle name="Normal 3 2 5 3 2" xfId="16893"/>
    <cellStyle name="Normal 3 2 5 3 2 2" xfId="26151"/>
    <cellStyle name="Normal 3 2 5 3 2 2 2" xfId="27274"/>
    <cellStyle name="Normal 3 2 5 3 2 3" xfId="26713"/>
    <cellStyle name="Normal 3 2 5 3 3" xfId="25825"/>
    <cellStyle name="Normal 3 2 5 3 3 2" xfId="26948"/>
    <cellStyle name="Normal 3 2 5 3 4" xfId="26387"/>
    <cellStyle name="Normal 3 2 5 4" xfId="2488"/>
    <cellStyle name="Normal 3 2 5 4 2" xfId="16894"/>
    <cellStyle name="Normal 3 2 5 4 2 2" xfId="26152"/>
    <cellStyle name="Normal 3 2 5 4 2 2 2" xfId="27275"/>
    <cellStyle name="Normal 3 2 5 4 2 3" xfId="26714"/>
    <cellStyle name="Normal 3 2 5 4 3" xfId="25875"/>
    <cellStyle name="Normal 3 2 5 4 3 2" xfId="26998"/>
    <cellStyle name="Normal 3 2 5 4 4" xfId="26437"/>
    <cellStyle name="Normal 3 2 5 5" xfId="2844"/>
    <cellStyle name="Normal 3 2 5 5 2" xfId="16895"/>
    <cellStyle name="Normal 3 2 5 5 2 2" xfId="26153"/>
    <cellStyle name="Normal 3 2 5 5 2 2 2" xfId="27276"/>
    <cellStyle name="Normal 3 2 5 5 2 3" xfId="26715"/>
    <cellStyle name="Normal 3 2 5 5 3" xfId="25927"/>
    <cellStyle name="Normal 3 2 5 5 3 2" xfId="27050"/>
    <cellStyle name="Normal 3 2 5 5 4" xfId="26489"/>
    <cellStyle name="Normal 3 2 5 6" xfId="2627"/>
    <cellStyle name="Normal 3 2 5 6 2" xfId="16896"/>
    <cellStyle name="Normal 3 2 5 6 2 2" xfId="26154"/>
    <cellStyle name="Normal 3 2 5 6 2 2 2" xfId="27277"/>
    <cellStyle name="Normal 3 2 5 6 2 3" xfId="26716"/>
    <cellStyle name="Normal 3 2 5 6 3" xfId="25895"/>
    <cellStyle name="Normal 3 2 5 6 3 2" xfId="27018"/>
    <cellStyle name="Normal 3 2 5 6 4" xfId="26457"/>
    <cellStyle name="Normal 3 2 5 7" xfId="2321"/>
    <cellStyle name="Normal 3 2 5 7 2" xfId="16897"/>
    <cellStyle name="Normal 3 2 5 7 2 2" xfId="26155"/>
    <cellStyle name="Normal 3 2 5 7 2 2 2" xfId="27278"/>
    <cellStyle name="Normal 3 2 5 7 2 3" xfId="26717"/>
    <cellStyle name="Normal 3 2 5 7 3" xfId="25846"/>
    <cellStyle name="Normal 3 2 5 7 3 2" xfId="26969"/>
    <cellStyle name="Normal 3 2 5 7 4" xfId="26408"/>
    <cellStyle name="Normal 3 2 5 8" xfId="2391"/>
    <cellStyle name="Normal 3 2 5 8 2" xfId="16898"/>
    <cellStyle name="Normal 3 2 5 8 2 2" xfId="26156"/>
    <cellStyle name="Normal 3 2 5 8 2 2 2" xfId="27279"/>
    <cellStyle name="Normal 3 2 5 8 2 3" xfId="26718"/>
    <cellStyle name="Normal 3 2 5 8 3" xfId="25857"/>
    <cellStyle name="Normal 3 2 5 8 3 2" xfId="26980"/>
    <cellStyle name="Normal 3 2 5 8 4" xfId="26419"/>
    <cellStyle name="Normal 3 2 5 9" xfId="16891"/>
    <cellStyle name="Normal 3 2 5 9 2" xfId="26149"/>
    <cellStyle name="Normal 3 2 5 9 2 2" xfId="27272"/>
    <cellStyle name="Normal 3 2 5 9 3" xfId="26711"/>
    <cellStyle name="Normal 3 2 6" xfId="1757"/>
    <cellStyle name="Normal 3 2 6 10" xfId="25782"/>
    <cellStyle name="Normal 3 2 6 10 2" xfId="26905"/>
    <cellStyle name="Normal 3 2 6 11" xfId="26344"/>
    <cellStyle name="Normal 3 2 6 2" xfId="2919"/>
    <cellStyle name="Normal 3 2 6 2 2" xfId="16900"/>
    <cellStyle name="Normal 3 2 6 2 2 2" xfId="26158"/>
    <cellStyle name="Normal 3 2 6 2 2 2 2" xfId="27281"/>
    <cellStyle name="Normal 3 2 6 2 2 3" xfId="26720"/>
    <cellStyle name="Normal 3 2 6 2 3" xfId="25944"/>
    <cellStyle name="Normal 3 2 6 2 3 2" xfId="27067"/>
    <cellStyle name="Normal 3 2 6 2 4" xfId="26506"/>
    <cellStyle name="Normal 3 2 6 3" xfId="3001"/>
    <cellStyle name="Normal 3 2 6 3 2" xfId="16901"/>
    <cellStyle name="Normal 3 2 6 3 2 2" xfId="26159"/>
    <cellStyle name="Normal 3 2 6 3 2 2 2" xfId="27282"/>
    <cellStyle name="Normal 3 2 6 3 2 3" xfId="26721"/>
    <cellStyle name="Normal 3 2 6 3 3" xfId="25961"/>
    <cellStyle name="Normal 3 2 6 3 3 2" xfId="27084"/>
    <cellStyle name="Normal 3 2 6 3 4" xfId="26523"/>
    <cellStyle name="Normal 3 2 6 4" xfId="3068"/>
    <cellStyle name="Normal 3 2 6 4 2" xfId="16902"/>
    <cellStyle name="Normal 3 2 6 4 2 2" xfId="26160"/>
    <cellStyle name="Normal 3 2 6 4 2 2 2" xfId="27283"/>
    <cellStyle name="Normal 3 2 6 4 2 3" xfId="26722"/>
    <cellStyle name="Normal 3 2 6 4 3" xfId="25972"/>
    <cellStyle name="Normal 3 2 6 4 3 2" xfId="27095"/>
    <cellStyle name="Normal 3 2 6 4 4" xfId="26534"/>
    <cellStyle name="Normal 3 2 6 5" xfId="3125"/>
    <cellStyle name="Normal 3 2 6 5 2" xfId="16903"/>
    <cellStyle name="Normal 3 2 6 5 2 2" xfId="26161"/>
    <cellStyle name="Normal 3 2 6 5 2 2 2" xfId="27284"/>
    <cellStyle name="Normal 3 2 6 5 2 3" xfId="26723"/>
    <cellStyle name="Normal 3 2 6 5 3" xfId="25982"/>
    <cellStyle name="Normal 3 2 6 5 3 2" xfId="27105"/>
    <cellStyle name="Normal 3 2 6 5 4" xfId="26544"/>
    <cellStyle name="Normal 3 2 6 6" xfId="3176"/>
    <cellStyle name="Normal 3 2 6 6 2" xfId="16904"/>
    <cellStyle name="Normal 3 2 6 6 2 2" xfId="26162"/>
    <cellStyle name="Normal 3 2 6 6 2 2 2" xfId="27285"/>
    <cellStyle name="Normal 3 2 6 6 2 3" xfId="26724"/>
    <cellStyle name="Normal 3 2 6 6 3" xfId="25992"/>
    <cellStyle name="Normal 3 2 6 6 3 2" xfId="27115"/>
    <cellStyle name="Normal 3 2 6 6 4" xfId="26554"/>
    <cellStyle name="Normal 3 2 6 7" xfId="3210"/>
    <cellStyle name="Normal 3 2 6 7 2" xfId="16905"/>
    <cellStyle name="Normal 3 2 6 7 2 2" xfId="26163"/>
    <cellStyle name="Normal 3 2 6 7 2 2 2" xfId="27286"/>
    <cellStyle name="Normal 3 2 6 7 2 3" xfId="26725"/>
    <cellStyle name="Normal 3 2 6 7 3" xfId="25998"/>
    <cellStyle name="Normal 3 2 6 7 3 2" xfId="27121"/>
    <cellStyle name="Normal 3 2 6 7 4" xfId="26560"/>
    <cellStyle name="Normal 3 2 6 8" xfId="3230"/>
    <cellStyle name="Normal 3 2 6 8 2" xfId="16906"/>
    <cellStyle name="Normal 3 2 6 8 2 2" xfId="26164"/>
    <cellStyle name="Normal 3 2 6 8 2 2 2" xfId="27287"/>
    <cellStyle name="Normal 3 2 6 8 2 3" xfId="26726"/>
    <cellStyle name="Normal 3 2 6 8 3" xfId="26004"/>
    <cellStyle name="Normal 3 2 6 8 3 2" xfId="27127"/>
    <cellStyle name="Normal 3 2 6 8 4" xfId="26566"/>
    <cellStyle name="Normal 3 2 6 9" xfId="16899"/>
    <cellStyle name="Normal 3 2 6 9 2" xfId="26157"/>
    <cellStyle name="Normal 3 2 6 9 2 2" xfId="27280"/>
    <cellStyle name="Normal 3 2 6 9 3" xfId="26719"/>
    <cellStyle name="Normal 3 2 7" xfId="1788"/>
    <cellStyle name="Normal 3 2 7 2" xfId="16907"/>
    <cellStyle name="Normal 3 2 7 2 2" xfId="26165"/>
    <cellStyle name="Normal 3 2 7 2 2 2" xfId="27288"/>
    <cellStyle name="Normal 3 2 7 2 3" xfId="26727"/>
    <cellStyle name="Normal 3 2 7 3" xfId="25783"/>
    <cellStyle name="Normal 3 2 7 3 2" xfId="26906"/>
    <cellStyle name="Normal 3 2 7 4" xfId="26345"/>
    <cellStyle name="Normal 3 2 8" xfId="1861"/>
    <cellStyle name="Normal 3 2 8 2" xfId="16908"/>
    <cellStyle name="Normal 3 2 8 2 2" xfId="26166"/>
    <cellStyle name="Normal 3 2 8 2 2 2" xfId="27289"/>
    <cellStyle name="Normal 3 2 8 2 3" xfId="26728"/>
    <cellStyle name="Normal 3 2 8 3" xfId="25792"/>
    <cellStyle name="Normal 3 2 8 3 2" xfId="26915"/>
    <cellStyle name="Normal 3 2 8 4" xfId="26354"/>
    <cellStyle name="Normal 3 2 9" xfId="2165"/>
    <cellStyle name="Normal 3 2 9 2" xfId="16909"/>
    <cellStyle name="Normal 3 2 9 2 2" xfId="26167"/>
    <cellStyle name="Normal 3 2 9 2 2 2" xfId="27290"/>
    <cellStyle name="Normal 3 2 9 2 3" xfId="26729"/>
    <cellStyle name="Normal 3 2 9 3" xfId="25820"/>
    <cellStyle name="Normal 3 2 9 3 2" xfId="26943"/>
    <cellStyle name="Normal 3 2 9 4" xfId="26382"/>
    <cellStyle name="Normal 3 20" xfId="1320"/>
    <cellStyle name="Normal 3 20 10" xfId="25769"/>
    <cellStyle name="Normal 3 20 10 2" xfId="26892"/>
    <cellStyle name="Normal 3 20 11" xfId="26331"/>
    <cellStyle name="Normal 3 20 2" xfId="2728"/>
    <cellStyle name="Normal 3 20 2 2" xfId="16911"/>
    <cellStyle name="Normal 3 20 2 2 2" xfId="26169"/>
    <cellStyle name="Normal 3 20 2 2 2 2" xfId="27292"/>
    <cellStyle name="Normal 3 20 2 2 3" xfId="26731"/>
    <cellStyle name="Normal 3 20 2 3" xfId="25909"/>
    <cellStyle name="Normal 3 20 2 3 2" xfId="27032"/>
    <cellStyle name="Normal 3 20 2 4" xfId="26471"/>
    <cellStyle name="Normal 3 20 3" xfId="2264"/>
    <cellStyle name="Normal 3 20 3 2" xfId="16912"/>
    <cellStyle name="Normal 3 20 3 2 2" xfId="26170"/>
    <cellStyle name="Normal 3 20 3 2 2 2" xfId="27293"/>
    <cellStyle name="Normal 3 20 3 2 3" xfId="26732"/>
    <cellStyle name="Normal 3 20 3 3" xfId="25832"/>
    <cellStyle name="Normal 3 20 3 3 2" xfId="26955"/>
    <cellStyle name="Normal 3 20 3 4" xfId="26394"/>
    <cellStyle name="Normal 3 20 4" xfId="2476"/>
    <cellStyle name="Normal 3 20 4 2" xfId="16913"/>
    <cellStyle name="Normal 3 20 4 2 2" xfId="26171"/>
    <cellStyle name="Normal 3 20 4 2 2 2" xfId="27294"/>
    <cellStyle name="Normal 3 20 4 2 3" xfId="26733"/>
    <cellStyle name="Normal 3 20 4 3" xfId="25873"/>
    <cellStyle name="Normal 3 20 4 3 2" xfId="26996"/>
    <cellStyle name="Normal 3 20 4 4" xfId="26435"/>
    <cellStyle name="Normal 3 20 5" xfId="2373"/>
    <cellStyle name="Normal 3 20 5 2" xfId="16914"/>
    <cellStyle name="Normal 3 20 5 2 2" xfId="26172"/>
    <cellStyle name="Normal 3 20 5 2 2 2" xfId="27295"/>
    <cellStyle name="Normal 3 20 5 2 3" xfId="26734"/>
    <cellStyle name="Normal 3 20 5 3" xfId="25851"/>
    <cellStyle name="Normal 3 20 5 3 2" xfId="26974"/>
    <cellStyle name="Normal 3 20 5 4" xfId="26413"/>
    <cellStyle name="Normal 3 20 6" xfId="2889"/>
    <cellStyle name="Normal 3 20 6 2" xfId="16915"/>
    <cellStyle name="Normal 3 20 6 2 2" xfId="26173"/>
    <cellStyle name="Normal 3 20 6 2 2 2" xfId="27296"/>
    <cellStyle name="Normal 3 20 6 2 3" xfId="26735"/>
    <cellStyle name="Normal 3 20 6 3" xfId="25935"/>
    <cellStyle name="Normal 3 20 6 3 2" xfId="27058"/>
    <cellStyle name="Normal 3 20 6 4" xfId="26497"/>
    <cellStyle name="Normal 3 20 7" xfId="2973"/>
    <cellStyle name="Normal 3 20 7 2" xfId="16916"/>
    <cellStyle name="Normal 3 20 7 2 2" xfId="26174"/>
    <cellStyle name="Normal 3 20 7 2 2 2" xfId="27297"/>
    <cellStyle name="Normal 3 20 7 2 3" xfId="26736"/>
    <cellStyle name="Normal 3 20 7 3" xfId="25952"/>
    <cellStyle name="Normal 3 20 7 3 2" xfId="27075"/>
    <cellStyle name="Normal 3 20 7 4" xfId="26514"/>
    <cellStyle name="Normal 3 20 8" xfId="3200"/>
    <cellStyle name="Normal 3 20 8 2" xfId="16917"/>
    <cellStyle name="Normal 3 20 8 2 2" xfId="26175"/>
    <cellStyle name="Normal 3 20 8 2 2 2" xfId="27298"/>
    <cellStyle name="Normal 3 20 8 2 3" xfId="26737"/>
    <cellStyle name="Normal 3 20 8 3" xfId="25995"/>
    <cellStyle name="Normal 3 20 8 3 2" xfId="27118"/>
    <cellStyle name="Normal 3 20 8 4" xfId="26557"/>
    <cellStyle name="Normal 3 20 9" xfId="16910"/>
    <cellStyle name="Normal 3 20 9 2" xfId="26168"/>
    <cellStyle name="Normal 3 20 9 2 2" xfId="27291"/>
    <cellStyle name="Normal 3 20 9 3" xfId="26730"/>
    <cellStyle name="Normal 3 21" xfId="1352"/>
    <cellStyle name="Normal 3 21 10" xfId="25770"/>
    <cellStyle name="Normal 3 21 10 2" xfId="26893"/>
    <cellStyle name="Normal 3 21 11" xfId="26332"/>
    <cellStyle name="Normal 3 21 2" xfId="2746"/>
    <cellStyle name="Normal 3 21 2 2" xfId="16919"/>
    <cellStyle name="Normal 3 21 2 2 2" xfId="26177"/>
    <cellStyle name="Normal 3 21 2 2 2 2" xfId="27300"/>
    <cellStyle name="Normal 3 21 2 2 3" xfId="26739"/>
    <cellStyle name="Normal 3 21 2 3" xfId="25910"/>
    <cellStyle name="Normal 3 21 2 3 2" xfId="27033"/>
    <cellStyle name="Normal 3 21 2 4" xfId="26472"/>
    <cellStyle name="Normal 3 21 3" xfId="2251"/>
    <cellStyle name="Normal 3 21 3 2" xfId="16920"/>
    <cellStyle name="Normal 3 21 3 2 2" xfId="26178"/>
    <cellStyle name="Normal 3 21 3 2 2 2" xfId="27301"/>
    <cellStyle name="Normal 3 21 3 2 3" xfId="26740"/>
    <cellStyle name="Normal 3 21 3 3" xfId="25831"/>
    <cellStyle name="Normal 3 21 3 3 2" xfId="26954"/>
    <cellStyle name="Normal 3 21 3 4" xfId="26393"/>
    <cellStyle name="Normal 3 21 4" xfId="2536"/>
    <cellStyle name="Normal 3 21 4 2" xfId="16921"/>
    <cellStyle name="Normal 3 21 4 2 2" xfId="26179"/>
    <cellStyle name="Normal 3 21 4 2 2 2" xfId="27302"/>
    <cellStyle name="Normal 3 21 4 2 3" xfId="26741"/>
    <cellStyle name="Normal 3 21 4 3" xfId="25883"/>
    <cellStyle name="Normal 3 21 4 3 2" xfId="27006"/>
    <cellStyle name="Normal 3 21 4 4" xfId="26445"/>
    <cellStyle name="Normal 3 21 5" xfId="2679"/>
    <cellStyle name="Normal 3 21 5 2" xfId="16922"/>
    <cellStyle name="Normal 3 21 5 2 2" xfId="26180"/>
    <cellStyle name="Normal 3 21 5 2 2 2" xfId="27303"/>
    <cellStyle name="Normal 3 21 5 2 3" xfId="26742"/>
    <cellStyle name="Normal 3 21 5 3" xfId="25903"/>
    <cellStyle name="Normal 3 21 5 3 2" xfId="27026"/>
    <cellStyle name="Normal 3 21 5 4" xfId="26465"/>
    <cellStyle name="Normal 3 21 6" xfId="2871"/>
    <cellStyle name="Normal 3 21 6 2" xfId="16923"/>
    <cellStyle name="Normal 3 21 6 2 2" xfId="26181"/>
    <cellStyle name="Normal 3 21 6 2 2 2" xfId="27304"/>
    <cellStyle name="Normal 3 21 6 2 3" xfId="26743"/>
    <cellStyle name="Normal 3 21 6 3" xfId="25931"/>
    <cellStyle name="Normal 3 21 6 3 2" xfId="27054"/>
    <cellStyle name="Normal 3 21 6 4" xfId="26493"/>
    <cellStyle name="Normal 3 21 7" xfId="2099"/>
    <cellStyle name="Normal 3 21 7 2" xfId="16924"/>
    <cellStyle name="Normal 3 21 7 2 2" xfId="26182"/>
    <cellStyle name="Normal 3 21 7 2 2 2" xfId="27305"/>
    <cellStyle name="Normal 3 21 7 2 3" xfId="26744"/>
    <cellStyle name="Normal 3 21 7 3" xfId="25817"/>
    <cellStyle name="Normal 3 21 7 3 2" xfId="26940"/>
    <cellStyle name="Normal 3 21 7 4" xfId="26379"/>
    <cellStyle name="Normal 3 21 8" xfId="3148"/>
    <cellStyle name="Normal 3 21 8 2" xfId="16925"/>
    <cellStyle name="Normal 3 21 8 2 2" xfId="26183"/>
    <cellStyle name="Normal 3 21 8 2 2 2" xfId="27306"/>
    <cellStyle name="Normal 3 21 8 2 3" xfId="26745"/>
    <cellStyle name="Normal 3 21 8 3" xfId="25985"/>
    <cellStyle name="Normal 3 21 8 3 2" xfId="27108"/>
    <cellStyle name="Normal 3 21 8 4" xfId="26547"/>
    <cellStyle name="Normal 3 21 9" xfId="16918"/>
    <cellStyle name="Normal 3 21 9 2" xfId="26176"/>
    <cellStyle name="Normal 3 21 9 2 2" xfId="27299"/>
    <cellStyle name="Normal 3 21 9 3" xfId="26738"/>
    <cellStyle name="Normal 3 22" xfId="1372"/>
    <cellStyle name="Normal 3 22 10" xfId="25771"/>
    <cellStyle name="Normal 3 22 10 2" xfId="26894"/>
    <cellStyle name="Normal 3 22 11" xfId="26333"/>
    <cellStyle name="Normal 3 22 2" xfId="2759"/>
    <cellStyle name="Normal 3 22 2 2" xfId="16927"/>
    <cellStyle name="Normal 3 22 2 2 2" xfId="26185"/>
    <cellStyle name="Normal 3 22 2 2 2 2" xfId="27308"/>
    <cellStyle name="Normal 3 22 2 2 3" xfId="26747"/>
    <cellStyle name="Normal 3 22 2 3" xfId="25912"/>
    <cellStyle name="Normal 3 22 2 3 2" xfId="27035"/>
    <cellStyle name="Normal 3 22 2 4" xfId="26474"/>
    <cellStyle name="Normal 3 22 3" xfId="2244"/>
    <cellStyle name="Normal 3 22 3 2" xfId="16928"/>
    <cellStyle name="Normal 3 22 3 2 2" xfId="26186"/>
    <cellStyle name="Normal 3 22 3 2 2 2" xfId="27309"/>
    <cellStyle name="Normal 3 22 3 2 3" xfId="26748"/>
    <cellStyle name="Normal 3 22 3 3" xfId="25830"/>
    <cellStyle name="Normal 3 22 3 3 2" xfId="26953"/>
    <cellStyle name="Normal 3 22 3 4" xfId="26392"/>
    <cellStyle name="Normal 3 22 4" xfId="2953"/>
    <cellStyle name="Normal 3 22 4 2" xfId="16929"/>
    <cellStyle name="Normal 3 22 4 2 2" xfId="26187"/>
    <cellStyle name="Normal 3 22 4 2 2 2" xfId="27310"/>
    <cellStyle name="Normal 3 22 4 2 3" xfId="26749"/>
    <cellStyle name="Normal 3 22 4 3" xfId="25947"/>
    <cellStyle name="Normal 3 22 4 3 2" xfId="27070"/>
    <cellStyle name="Normal 3 22 4 4" xfId="26509"/>
    <cellStyle name="Normal 3 22 5" xfId="3031"/>
    <cellStyle name="Normal 3 22 5 2" xfId="16930"/>
    <cellStyle name="Normal 3 22 5 2 2" xfId="26188"/>
    <cellStyle name="Normal 3 22 5 2 2 2" xfId="27311"/>
    <cellStyle name="Normal 3 22 5 2 3" xfId="26750"/>
    <cellStyle name="Normal 3 22 5 3" xfId="25964"/>
    <cellStyle name="Normal 3 22 5 3 2" xfId="27087"/>
    <cellStyle name="Normal 3 22 5 4" xfId="26526"/>
    <cellStyle name="Normal 3 22 6" xfId="3094"/>
    <cellStyle name="Normal 3 22 6 2" xfId="16931"/>
    <cellStyle name="Normal 3 22 6 2 2" xfId="26189"/>
    <cellStyle name="Normal 3 22 6 2 2 2" xfId="27312"/>
    <cellStyle name="Normal 3 22 6 2 3" xfId="26751"/>
    <cellStyle name="Normal 3 22 6 3" xfId="25975"/>
    <cellStyle name="Normal 3 22 6 3 2" xfId="27098"/>
    <cellStyle name="Normal 3 22 6 4" xfId="26537"/>
    <cellStyle name="Normal 3 22 7" xfId="3145"/>
    <cellStyle name="Normal 3 22 7 2" xfId="16932"/>
    <cellStyle name="Normal 3 22 7 2 2" xfId="26190"/>
    <cellStyle name="Normal 3 22 7 2 2 2" xfId="27313"/>
    <cellStyle name="Normal 3 22 7 2 3" xfId="26752"/>
    <cellStyle name="Normal 3 22 7 3" xfId="25984"/>
    <cellStyle name="Normal 3 22 7 3 2" xfId="27107"/>
    <cellStyle name="Normal 3 22 7 4" xfId="26546"/>
    <cellStyle name="Normal 3 22 8" xfId="2404"/>
    <cellStyle name="Normal 3 22 8 2" xfId="16933"/>
    <cellStyle name="Normal 3 22 8 2 2" xfId="26191"/>
    <cellStyle name="Normal 3 22 8 2 2 2" xfId="27314"/>
    <cellStyle name="Normal 3 22 8 2 3" xfId="26753"/>
    <cellStyle name="Normal 3 22 8 3" xfId="25859"/>
    <cellStyle name="Normal 3 22 8 3 2" xfId="26982"/>
    <cellStyle name="Normal 3 22 8 4" xfId="26421"/>
    <cellStyle name="Normal 3 22 9" xfId="16926"/>
    <cellStyle name="Normal 3 22 9 2" xfId="26184"/>
    <cellStyle name="Normal 3 22 9 2 2" xfId="27307"/>
    <cellStyle name="Normal 3 22 9 3" xfId="26746"/>
    <cellStyle name="Normal 3 23" xfId="1429"/>
    <cellStyle name="Normal 3 23 10" xfId="25773"/>
    <cellStyle name="Normal 3 23 10 2" xfId="26896"/>
    <cellStyle name="Normal 3 23 11" xfId="26335"/>
    <cellStyle name="Normal 3 23 2" xfId="2786"/>
    <cellStyle name="Normal 3 23 2 2" xfId="16935"/>
    <cellStyle name="Normal 3 23 2 2 2" xfId="26193"/>
    <cellStyle name="Normal 3 23 2 2 2 2" xfId="27316"/>
    <cellStyle name="Normal 3 23 2 2 3" xfId="26755"/>
    <cellStyle name="Normal 3 23 2 3" xfId="25915"/>
    <cellStyle name="Normal 3 23 2 3 2" xfId="27038"/>
    <cellStyle name="Normal 3 23 2 4" xfId="26477"/>
    <cellStyle name="Normal 3 23 3" xfId="2229"/>
    <cellStyle name="Normal 3 23 3 2" xfId="16936"/>
    <cellStyle name="Normal 3 23 3 2 2" xfId="26194"/>
    <cellStyle name="Normal 3 23 3 2 2 2" xfId="27317"/>
    <cellStyle name="Normal 3 23 3 2 3" xfId="26756"/>
    <cellStyle name="Normal 3 23 3 3" xfId="25827"/>
    <cellStyle name="Normal 3 23 3 3 2" xfId="26950"/>
    <cellStyle name="Normal 3 23 3 4" xfId="26389"/>
    <cellStyle name="Normal 3 23 4" xfId="2482"/>
    <cellStyle name="Normal 3 23 4 2" xfId="16937"/>
    <cellStyle name="Normal 3 23 4 2 2" xfId="26195"/>
    <cellStyle name="Normal 3 23 4 2 2 2" xfId="27318"/>
    <cellStyle name="Normal 3 23 4 2 3" xfId="26757"/>
    <cellStyle name="Normal 3 23 4 3" xfId="25874"/>
    <cellStyle name="Normal 3 23 4 3 2" xfId="26997"/>
    <cellStyle name="Normal 3 23 4 4" xfId="26436"/>
    <cellStyle name="Normal 3 23 5" xfId="2369"/>
    <cellStyle name="Normal 3 23 5 2" xfId="16938"/>
    <cellStyle name="Normal 3 23 5 2 2" xfId="26196"/>
    <cellStyle name="Normal 3 23 5 2 2 2" xfId="27319"/>
    <cellStyle name="Normal 3 23 5 2 3" xfId="26758"/>
    <cellStyle name="Normal 3 23 5 3" xfId="25850"/>
    <cellStyle name="Normal 3 23 5 3 2" xfId="26973"/>
    <cellStyle name="Normal 3 23 5 4" xfId="26412"/>
    <cellStyle name="Normal 3 23 6" xfId="2407"/>
    <cellStyle name="Normal 3 23 6 2" xfId="16939"/>
    <cellStyle name="Normal 3 23 6 2 2" xfId="26197"/>
    <cellStyle name="Normal 3 23 6 2 2 2" xfId="27320"/>
    <cellStyle name="Normal 3 23 6 2 3" xfId="26759"/>
    <cellStyle name="Normal 3 23 6 3" xfId="25860"/>
    <cellStyle name="Normal 3 23 6 3 2" xfId="26983"/>
    <cellStyle name="Normal 3 23 6 4" xfId="26422"/>
    <cellStyle name="Normal 3 23 7" xfId="2748"/>
    <cellStyle name="Normal 3 23 7 2" xfId="16940"/>
    <cellStyle name="Normal 3 23 7 2 2" xfId="26198"/>
    <cellStyle name="Normal 3 23 7 2 2 2" xfId="27321"/>
    <cellStyle name="Normal 3 23 7 2 3" xfId="26760"/>
    <cellStyle name="Normal 3 23 7 3" xfId="25911"/>
    <cellStyle name="Normal 3 23 7 3 2" xfId="27034"/>
    <cellStyle name="Normal 3 23 7 4" xfId="26473"/>
    <cellStyle name="Normal 3 23 8" xfId="2505"/>
    <cellStyle name="Normal 3 23 8 2" xfId="16941"/>
    <cellStyle name="Normal 3 23 8 2 2" xfId="26199"/>
    <cellStyle name="Normal 3 23 8 2 2 2" xfId="27322"/>
    <cellStyle name="Normal 3 23 8 2 3" xfId="26761"/>
    <cellStyle name="Normal 3 23 8 3" xfId="25879"/>
    <cellStyle name="Normal 3 23 8 3 2" xfId="27002"/>
    <cellStyle name="Normal 3 23 8 4" xfId="26441"/>
    <cellStyle name="Normal 3 23 9" xfId="16934"/>
    <cellStyle name="Normal 3 23 9 2" xfId="26192"/>
    <cellStyle name="Normal 3 23 9 2 2" xfId="27315"/>
    <cellStyle name="Normal 3 23 9 3" xfId="26754"/>
    <cellStyle name="Normal 3 24" xfId="1546"/>
    <cellStyle name="Normal 3 24 10" xfId="25777"/>
    <cellStyle name="Normal 3 24 10 2" xfId="26900"/>
    <cellStyle name="Normal 3 24 11" xfId="26339"/>
    <cellStyle name="Normal 3 24 2" xfId="2843"/>
    <cellStyle name="Normal 3 24 2 2" xfId="16943"/>
    <cellStyle name="Normal 3 24 2 2 2" xfId="26201"/>
    <cellStyle name="Normal 3 24 2 2 2 2" xfId="27324"/>
    <cellStyle name="Normal 3 24 2 2 3" xfId="26763"/>
    <cellStyle name="Normal 3 24 2 3" xfId="25926"/>
    <cellStyle name="Normal 3 24 2 3 2" xfId="27049"/>
    <cellStyle name="Normal 3 24 2 4" xfId="26488"/>
    <cellStyle name="Normal 3 24 3" xfId="2726"/>
    <cellStyle name="Normal 3 24 3 2" xfId="16944"/>
    <cellStyle name="Normal 3 24 3 2 2" xfId="26202"/>
    <cellStyle name="Normal 3 24 3 2 2 2" xfId="27325"/>
    <cellStyle name="Normal 3 24 3 2 3" xfId="26764"/>
    <cellStyle name="Normal 3 24 3 3" xfId="25908"/>
    <cellStyle name="Normal 3 24 3 3 2" xfId="27031"/>
    <cellStyle name="Normal 3 24 3 4" xfId="26470"/>
    <cellStyle name="Normal 3 24 4" xfId="2266"/>
    <cellStyle name="Normal 3 24 4 2" xfId="16945"/>
    <cellStyle name="Normal 3 24 4 2 2" xfId="26203"/>
    <cellStyle name="Normal 3 24 4 2 2 2" xfId="27326"/>
    <cellStyle name="Normal 3 24 4 2 3" xfId="26765"/>
    <cellStyle name="Normal 3 24 4 3" xfId="25833"/>
    <cellStyle name="Normal 3 24 4 3 2" xfId="26956"/>
    <cellStyle name="Normal 3 24 4 4" xfId="26395"/>
    <cellStyle name="Normal 3 24 5" xfId="2603"/>
    <cellStyle name="Normal 3 24 5 2" xfId="16946"/>
    <cellStyle name="Normal 3 24 5 2 2" xfId="26204"/>
    <cellStyle name="Normal 3 24 5 2 2 2" xfId="27327"/>
    <cellStyle name="Normal 3 24 5 2 3" xfId="26766"/>
    <cellStyle name="Normal 3 24 5 3" xfId="25891"/>
    <cellStyle name="Normal 3 24 5 3 2" xfId="27014"/>
    <cellStyle name="Normal 3 24 5 4" xfId="26453"/>
    <cellStyle name="Normal 3 24 6" xfId="2955"/>
    <cellStyle name="Normal 3 24 6 2" xfId="16947"/>
    <cellStyle name="Normal 3 24 6 2 2" xfId="26205"/>
    <cellStyle name="Normal 3 24 6 2 2 2" xfId="27328"/>
    <cellStyle name="Normal 3 24 6 2 3" xfId="26767"/>
    <cellStyle name="Normal 3 24 6 3" xfId="25948"/>
    <cellStyle name="Normal 3 24 6 3 2" xfId="27071"/>
    <cellStyle name="Normal 3 24 6 4" xfId="26510"/>
    <cellStyle name="Normal 3 24 7" xfId="3034"/>
    <cellStyle name="Normal 3 24 7 2" xfId="16948"/>
    <cellStyle name="Normal 3 24 7 2 2" xfId="26206"/>
    <cellStyle name="Normal 3 24 7 2 2 2" xfId="27329"/>
    <cellStyle name="Normal 3 24 7 2 3" xfId="26768"/>
    <cellStyle name="Normal 3 24 7 3" xfId="25965"/>
    <cellStyle name="Normal 3 24 7 3 2" xfId="27088"/>
    <cellStyle name="Normal 3 24 7 4" xfId="26527"/>
    <cellStyle name="Normal 3 24 8" xfId="2302"/>
    <cellStyle name="Normal 3 24 8 2" xfId="16949"/>
    <cellStyle name="Normal 3 24 8 2 2" xfId="26207"/>
    <cellStyle name="Normal 3 24 8 2 2 2" xfId="27330"/>
    <cellStyle name="Normal 3 24 8 2 3" xfId="26769"/>
    <cellStyle name="Normal 3 24 8 3" xfId="25841"/>
    <cellStyle name="Normal 3 24 8 3 2" xfId="26964"/>
    <cellStyle name="Normal 3 24 8 4" xfId="26403"/>
    <cellStyle name="Normal 3 24 9" xfId="16942"/>
    <cellStyle name="Normal 3 24 9 2" xfId="26200"/>
    <cellStyle name="Normal 3 24 9 2 2" xfId="27323"/>
    <cellStyle name="Normal 3 24 9 3" xfId="26762"/>
    <cellStyle name="Normal 3 25" xfId="1599"/>
    <cellStyle name="Normal 3 25 10" xfId="25778"/>
    <cellStyle name="Normal 3 25 10 2" xfId="26901"/>
    <cellStyle name="Normal 3 25 11" xfId="26340"/>
    <cellStyle name="Normal 3 25 2" xfId="2865"/>
    <cellStyle name="Normal 3 25 2 2" xfId="16951"/>
    <cellStyle name="Normal 3 25 2 2 2" xfId="26209"/>
    <cellStyle name="Normal 3 25 2 2 2 2" xfId="27332"/>
    <cellStyle name="Normal 3 25 2 2 3" xfId="26771"/>
    <cellStyle name="Normal 3 25 2 3" xfId="25930"/>
    <cellStyle name="Normal 3 25 2 3 2" xfId="27053"/>
    <cellStyle name="Normal 3 25 2 4" xfId="26492"/>
    <cellStyle name="Normal 3 25 3" xfId="2198"/>
    <cellStyle name="Normal 3 25 3 2" xfId="16952"/>
    <cellStyle name="Normal 3 25 3 2 2" xfId="26210"/>
    <cellStyle name="Normal 3 25 3 2 2 2" xfId="27333"/>
    <cellStyle name="Normal 3 25 3 2 3" xfId="26772"/>
    <cellStyle name="Normal 3 25 3 3" xfId="25822"/>
    <cellStyle name="Normal 3 25 3 3 2" xfId="26945"/>
    <cellStyle name="Normal 3 25 3 4" xfId="26384"/>
    <cellStyle name="Normal 3 25 4" xfId="2512"/>
    <cellStyle name="Normal 3 25 4 2" xfId="16953"/>
    <cellStyle name="Normal 3 25 4 2 2" xfId="26211"/>
    <cellStyle name="Normal 3 25 4 2 2 2" xfId="27334"/>
    <cellStyle name="Normal 3 25 4 2 3" xfId="26773"/>
    <cellStyle name="Normal 3 25 4 3" xfId="25880"/>
    <cellStyle name="Normal 3 25 4 3 2" xfId="27003"/>
    <cellStyle name="Normal 3 25 4 4" xfId="26442"/>
    <cellStyle name="Normal 3 25 5" xfId="2543"/>
    <cellStyle name="Normal 3 25 5 2" xfId="16954"/>
    <cellStyle name="Normal 3 25 5 2 2" xfId="26212"/>
    <cellStyle name="Normal 3 25 5 2 2 2" xfId="27335"/>
    <cellStyle name="Normal 3 25 5 2 3" xfId="26774"/>
    <cellStyle name="Normal 3 25 5 3" xfId="25884"/>
    <cellStyle name="Normal 3 25 5 3 2" xfId="27007"/>
    <cellStyle name="Normal 3 25 5 4" xfId="26446"/>
    <cellStyle name="Normal 3 25 6" xfId="2930"/>
    <cellStyle name="Normal 3 25 6 2" xfId="16955"/>
    <cellStyle name="Normal 3 25 6 2 2" xfId="26213"/>
    <cellStyle name="Normal 3 25 6 2 2 2" xfId="27336"/>
    <cellStyle name="Normal 3 25 6 2 3" xfId="26775"/>
    <cellStyle name="Normal 3 25 6 3" xfId="25945"/>
    <cellStyle name="Normal 3 25 6 3 2" xfId="27068"/>
    <cellStyle name="Normal 3 25 6 4" xfId="26507"/>
    <cellStyle name="Normal 3 25 7" xfId="3010"/>
    <cellStyle name="Normal 3 25 7 2" xfId="16956"/>
    <cellStyle name="Normal 3 25 7 2 2" xfId="26214"/>
    <cellStyle name="Normal 3 25 7 2 2 2" xfId="27337"/>
    <cellStyle name="Normal 3 25 7 2 3" xfId="26776"/>
    <cellStyle name="Normal 3 25 7 3" xfId="25962"/>
    <cellStyle name="Normal 3 25 7 3 2" xfId="27085"/>
    <cellStyle name="Normal 3 25 7 4" xfId="26524"/>
    <cellStyle name="Normal 3 25 8" xfId="2833"/>
    <cellStyle name="Normal 3 25 8 2" xfId="16957"/>
    <cellStyle name="Normal 3 25 8 2 2" xfId="26215"/>
    <cellStyle name="Normal 3 25 8 2 2 2" xfId="27338"/>
    <cellStyle name="Normal 3 25 8 2 3" xfId="26777"/>
    <cellStyle name="Normal 3 25 8 3" xfId="25924"/>
    <cellStyle name="Normal 3 25 8 3 2" xfId="27047"/>
    <cellStyle name="Normal 3 25 8 4" xfId="26486"/>
    <cellStyle name="Normal 3 25 9" xfId="16950"/>
    <cellStyle name="Normal 3 25 9 2" xfId="26208"/>
    <cellStyle name="Normal 3 25 9 2 2" xfId="27331"/>
    <cellStyle name="Normal 3 25 9 3" xfId="26770"/>
    <cellStyle name="Normal 3 26" xfId="1651"/>
    <cellStyle name="Normal 3 26 10" xfId="25779"/>
    <cellStyle name="Normal 3 26 10 2" xfId="26902"/>
    <cellStyle name="Normal 3 26 11" xfId="26341"/>
    <cellStyle name="Normal 3 26 2" xfId="2891"/>
    <cellStyle name="Normal 3 26 2 2" xfId="16959"/>
    <cellStyle name="Normal 3 26 2 2 2" xfId="26217"/>
    <cellStyle name="Normal 3 26 2 2 2 2" xfId="27340"/>
    <cellStyle name="Normal 3 26 2 2 3" xfId="26779"/>
    <cellStyle name="Normal 3 26 2 3" xfId="25936"/>
    <cellStyle name="Normal 3 26 2 3 2" xfId="27059"/>
    <cellStyle name="Normal 3 26 2 4" xfId="26498"/>
    <cellStyle name="Normal 3 26 3" xfId="2975"/>
    <cellStyle name="Normal 3 26 3 2" xfId="16960"/>
    <cellStyle name="Normal 3 26 3 2 2" xfId="26218"/>
    <cellStyle name="Normal 3 26 3 2 2 2" xfId="27341"/>
    <cellStyle name="Normal 3 26 3 2 3" xfId="26780"/>
    <cellStyle name="Normal 3 26 3 3" xfId="25953"/>
    <cellStyle name="Normal 3 26 3 3 2" xfId="27076"/>
    <cellStyle name="Normal 3 26 3 4" xfId="26515"/>
    <cellStyle name="Normal 3 26 4" xfId="3047"/>
    <cellStyle name="Normal 3 26 4 2" xfId="16961"/>
    <cellStyle name="Normal 3 26 4 2 2" xfId="26219"/>
    <cellStyle name="Normal 3 26 4 2 2 2" xfId="27342"/>
    <cellStyle name="Normal 3 26 4 2 3" xfId="26781"/>
    <cellStyle name="Normal 3 26 4 3" xfId="25967"/>
    <cellStyle name="Normal 3 26 4 3 2" xfId="27090"/>
    <cellStyle name="Normal 3 26 4 4" xfId="26529"/>
    <cellStyle name="Normal 3 26 5" xfId="3107"/>
    <cellStyle name="Normal 3 26 5 2" xfId="16962"/>
    <cellStyle name="Normal 3 26 5 2 2" xfId="26220"/>
    <cellStyle name="Normal 3 26 5 2 2 2" xfId="27343"/>
    <cellStyle name="Normal 3 26 5 2 3" xfId="26782"/>
    <cellStyle name="Normal 3 26 5 3" xfId="25977"/>
    <cellStyle name="Normal 3 26 5 3 2" xfId="27100"/>
    <cellStyle name="Normal 3 26 5 4" xfId="26539"/>
    <cellStyle name="Normal 3 26 6" xfId="3159"/>
    <cellStyle name="Normal 3 26 6 2" xfId="16963"/>
    <cellStyle name="Normal 3 26 6 2 2" xfId="26221"/>
    <cellStyle name="Normal 3 26 6 2 2 2" xfId="27344"/>
    <cellStyle name="Normal 3 26 6 2 3" xfId="26783"/>
    <cellStyle name="Normal 3 26 6 3" xfId="25987"/>
    <cellStyle name="Normal 3 26 6 3 2" xfId="27110"/>
    <cellStyle name="Normal 3 26 6 4" xfId="26549"/>
    <cellStyle name="Normal 3 26 7" xfId="3197"/>
    <cellStyle name="Normal 3 26 7 2" xfId="16964"/>
    <cellStyle name="Normal 3 26 7 2 2" xfId="26222"/>
    <cellStyle name="Normal 3 26 7 2 2 2" xfId="27345"/>
    <cellStyle name="Normal 3 26 7 2 3" xfId="26784"/>
    <cellStyle name="Normal 3 26 7 3" xfId="25994"/>
    <cellStyle name="Normal 3 26 7 3 2" xfId="27117"/>
    <cellStyle name="Normal 3 26 7 4" xfId="26556"/>
    <cellStyle name="Normal 3 26 8" xfId="3221"/>
    <cellStyle name="Normal 3 26 8 2" xfId="16965"/>
    <cellStyle name="Normal 3 26 8 2 2" xfId="26223"/>
    <cellStyle name="Normal 3 26 8 2 2 2" xfId="27346"/>
    <cellStyle name="Normal 3 26 8 2 3" xfId="26785"/>
    <cellStyle name="Normal 3 26 8 3" xfId="26001"/>
    <cellStyle name="Normal 3 26 8 3 2" xfId="27124"/>
    <cellStyle name="Normal 3 26 8 4" xfId="26563"/>
    <cellStyle name="Normal 3 26 9" xfId="16958"/>
    <cellStyle name="Normal 3 26 9 2" xfId="26216"/>
    <cellStyle name="Normal 3 26 9 2 2" xfId="27339"/>
    <cellStyle name="Normal 3 26 9 3" xfId="26778"/>
    <cellStyle name="Normal 3 27" xfId="1685"/>
    <cellStyle name="Normal 3 27 10" xfId="25780"/>
    <cellStyle name="Normal 3 27 10 2" xfId="26903"/>
    <cellStyle name="Normal 3 27 11" xfId="26342"/>
    <cellStyle name="Normal 3 27 2" xfId="2909"/>
    <cellStyle name="Normal 3 27 2 2" xfId="16967"/>
    <cellStyle name="Normal 3 27 2 2 2" xfId="26225"/>
    <cellStyle name="Normal 3 27 2 2 2 2" xfId="27348"/>
    <cellStyle name="Normal 3 27 2 2 3" xfId="26787"/>
    <cellStyle name="Normal 3 27 2 3" xfId="25941"/>
    <cellStyle name="Normal 3 27 2 3 2" xfId="27064"/>
    <cellStyle name="Normal 3 27 2 4" xfId="26503"/>
    <cellStyle name="Normal 3 27 3" xfId="2991"/>
    <cellStyle name="Normal 3 27 3 2" xfId="16968"/>
    <cellStyle name="Normal 3 27 3 2 2" xfId="26226"/>
    <cellStyle name="Normal 3 27 3 2 2 2" xfId="27349"/>
    <cellStyle name="Normal 3 27 3 2 3" xfId="26788"/>
    <cellStyle name="Normal 3 27 3 3" xfId="25958"/>
    <cellStyle name="Normal 3 27 3 3 2" xfId="27081"/>
    <cellStyle name="Normal 3 27 3 4" xfId="26520"/>
    <cellStyle name="Normal 3 27 4" xfId="3059"/>
    <cellStyle name="Normal 3 27 4 2" xfId="16969"/>
    <cellStyle name="Normal 3 27 4 2 2" xfId="26227"/>
    <cellStyle name="Normal 3 27 4 2 2 2" xfId="27350"/>
    <cellStyle name="Normal 3 27 4 2 3" xfId="26789"/>
    <cellStyle name="Normal 3 27 4 3" xfId="25969"/>
    <cellStyle name="Normal 3 27 4 3 2" xfId="27092"/>
    <cellStyle name="Normal 3 27 4 4" xfId="26531"/>
    <cellStyle name="Normal 3 27 5" xfId="3117"/>
    <cellStyle name="Normal 3 27 5 2" xfId="16970"/>
    <cellStyle name="Normal 3 27 5 2 2" xfId="26228"/>
    <cellStyle name="Normal 3 27 5 2 2 2" xfId="27351"/>
    <cellStyle name="Normal 3 27 5 2 3" xfId="26790"/>
    <cellStyle name="Normal 3 27 5 3" xfId="25979"/>
    <cellStyle name="Normal 3 27 5 3 2" xfId="27102"/>
    <cellStyle name="Normal 3 27 5 4" xfId="26541"/>
    <cellStyle name="Normal 3 27 6" xfId="3168"/>
    <cellStyle name="Normal 3 27 6 2" xfId="16971"/>
    <cellStyle name="Normal 3 27 6 2 2" xfId="26229"/>
    <cellStyle name="Normal 3 27 6 2 2 2" xfId="27352"/>
    <cellStyle name="Normal 3 27 6 2 3" xfId="26791"/>
    <cellStyle name="Normal 3 27 6 3" xfId="25989"/>
    <cellStyle name="Normal 3 27 6 3 2" xfId="27112"/>
    <cellStyle name="Normal 3 27 6 4" xfId="26551"/>
    <cellStyle name="Normal 3 27 7" xfId="3204"/>
    <cellStyle name="Normal 3 27 7 2" xfId="16972"/>
    <cellStyle name="Normal 3 27 7 2 2" xfId="26230"/>
    <cellStyle name="Normal 3 27 7 2 2 2" xfId="27353"/>
    <cellStyle name="Normal 3 27 7 2 3" xfId="26792"/>
    <cellStyle name="Normal 3 27 7 3" xfId="25996"/>
    <cellStyle name="Normal 3 27 7 3 2" xfId="27119"/>
    <cellStyle name="Normal 3 27 7 4" xfId="26558"/>
    <cellStyle name="Normal 3 27 8" xfId="3225"/>
    <cellStyle name="Normal 3 27 8 2" xfId="16973"/>
    <cellStyle name="Normal 3 27 8 2 2" xfId="26231"/>
    <cellStyle name="Normal 3 27 8 2 2 2" xfId="27354"/>
    <cellStyle name="Normal 3 27 8 2 3" xfId="26793"/>
    <cellStyle name="Normal 3 27 8 3" xfId="26002"/>
    <cellStyle name="Normal 3 27 8 3 2" xfId="27125"/>
    <cellStyle name="Normal 3 27 8 4" xfId="26564"/>
    <cellStyle name="Normal 3 27 9" xfId="16966"/>
    <cellStyle name="Normal 3 27 9 2" xfId="26224"/>
    <cellStyle name="Normal 3 27 9 2 2" xfId="27347"/>
    <cellStyle name="Normal 3 27 9 3" xfId="26786"/>
    <cellStyle name="Normal 3 28" xfId="1731"/>
    <cellStyle name="Normal 3 28 10" xfId="25781"/>
    <cellStyle name="Normal 3 28 10 2" xfId="26904"/>
    <cellStyle name="Normal 3 28 11" xfId="26343"/>
    <cellStyle name="Normal 3 28 2" xfId="2918"/>
    <cellStyle name="Normal 3 28 2 2" xfId="16975"/>
    <cellStyle name="Normal 3 28 2 2 2" xfId="26233"/>
    <cellStyle name="Normal 3 28 2 2 2 2" xfId="27356"/>
    <cellStyle name="Normal 3 28 2 2 3" xfId="26795"/>
    <cellStyle name="Normal 3 28 2 3" xfId="25943"/>
    <cellStyle name="Normal 3 28 2 3 2" xfId="27066"/>
    <cellStyle name="Normal 3 28 2 4" xfId="26505"/>
    <cellStyle name="Normal 3 28 3" xfId="3000"/>
    <cellStyle name="Normal 3 28 3 2" xfId="16976"/>
    <cellStyle name="Normal 3 28 3 2 2" xfId="26234"/>
    <cellStyle name="Normal 3 28 3 2 2 2" xfId="27357"/>
    <cellStyle name="Normal 3 28 3 2 3" xfId="26796"/>
    <cellStyle name="Normal 3 28 3 3" xfId="25960"/>
    <cellStyle name="Normal 3 28 3 3 2" xfId="27083"/>
    <cellStyle name="Normal 3 28 3 4" xfId="26522"/>
    <cellStyle name="Normal 3 28 4" xfId="3067"/>
    <cellStyle name="Normal 3 28 4 2" xfId="16977"/>
    <cellStyle name="Normal 3 28 4 2 2" xfId="26235"/>
    <cellStyle name="Normal 3 28 4 2 2 2" xfId="27358"/>
    <cellStyle name="Normal 3 28 4 2 3" xfId="26797"/>
    <cellStyle name="Normal 3 28 4 3" xfId="25971"/>
    <cellStyle name="Normal 3 28 4 3 2" xfId="27094"/>
    <cellStyle name="Normal 3 28 4 4" xfId="26533"/>
    <cellStyle name="Normal 3 28 5" xfId="3124"/>
    <cellStyle name="Normal 3 28 5 2" xfId="16978"/>
    <cellStyle name="Normal 3 28 5 2 2" xfId="26236"/>
    <cellStyle name="Normal 3 28 5 2 2 2" xfId="27359"/>
    <cellStyle name="Normal 3 28 5 2 3" xfId="26798"/>
    <cellStyle name="Normal 3 28 5 3" xfId="25981"/>
    <cellStyle name="Normal 3 28 5 3 2" xfId="27104"/>
    <cellStyle name="Normal 3 28 5 4" xfId="26543"/>
    <cellStyle name="Normal 3 28 6" xfId="3175"/>
    <cellStyle name="Normal 3 28 6 2" xfId="16979"/>
    <cellStyle name="Normal 3 28 6 2 2" xfId="26237"/>
    <cellStyle name="Normal 3 28 6 2 2 2" xfId="27360"/>
    <cellStyle name="Normal 3 28 6 2 3" xfId="26799"/>
    <cellStyle name="Normal 3 28 6 3" xfId="25991"/>
    <cellStyle name="Normal 3 28 6 3 2" xfId="27114"/>
    <cellStyle name="Normal 3 28 6 4" xfId="26553"/>
    <cellStyle name="Normal 3 28 7" xfId="3209"/>
    <cellStyle name="Normal 3 28 7 2" xfId="16980"/>
    <cellStyle name="Normal 3 28 7 2 2" xfId="26238"/>
    <cellStyle name="Normal 3 28 7 2 2 2" xfId="27361"/>
    <cellStyle name="Normal 3 28 7 2 3" xfId="26800"/>
    <cellStyle name="Normal 3 28 7 3" xfId="25997"/>
    <cellStyle name="Normal 3 28 7 3 2" xfId="27120"/>
    <cellStyle name="Normal 3 28 7 4" xfId="26559"/>
    <cellStyle name="Normal 3 28 8" xfId="3229"/>
    <cellStyle name="Normal 3 28 8 2" xfId="16981"/>
    <cellStyle name="Normal 3 28 8 2 2" xfId="26239"/>
    <cellStyle name="Normal 3 28 8 2 2 2" xfId="27362"/>
    <cellStyle name="Normal 3 28 8 2 3" xfId="26801"/>
    <cellStyle name="Normal 3 28 8 3" xfId="26003"/>
    <cellStyle name="Normal 3 28 8 3 2" xfId="27126"/>
    <cellStyle name="Normal 3 28 8 4" xfId="26565"/>
    <cellStyle name="Normal 3 28 9" xfId="16974"/>
    <cellStyle name="Normal 3 28 9 2" xfId="26232"/>
    <cellStyle name="Normal 3 28 9 2 2" xfId="27355"/>
    <cellStyle name="Normal 3 28 9 3" xfId="26794"/>
    <cellStyle name="Normal 3 29" xfId="1814"/>
    <cellStyle name="Normal 3 29 2" xfId="16982"/>
    <cellStyle name="Normal 3 29 2 2" xfId="26240"/>
    <cellStyle name="Normal 3 29 2 2 2" xfId="27363"/>
    <cellStyle name="Normal 3 29 2 3" xfId="26802"/>
    <cellStyle name="Normal 3 29 3" xfId="25784"/>
    <cellStyle name="Normal 3 29 3 2" xfId="26907"/>
    <cellStyle name="Normal 3 29 4" xfId="26346"/>
    <cellStyle name="Normal 3 3" xfId="575"/>
    <cellStyle name="Normal 3 3 10" xfId="11121"/>
    <cellStyle name="Normal 3 3 11" xfId="11122"/>
    <cellStyle name="Normal 3 3 12" xfId="11123"/>
    <cellStyle name="Normal 3 3 13" xfId="11124"/>
    <cellStyle name="Normal 3 3 14" xfId="11125"/>
    <cellStyle name="Normal 3 3 15" xfId="11126"/>
    <cellStyle name="Normal 3 3 16" xfId="11127"/>
    <cellStyle name="Normal 3 3 17" xfId="11128"/>
    <cellStyle name="Normal 3 3 18" xfId="11129"/>
    <cellStyle name="Normal 3 3 19" xfId="11130"/>
    <cellStyle name="Normal 3 3 2" xfId="11131"/>
    <cellStyle name="Normal 3 3 20" xfId="11132"/>
    <cellStyle name="Normal 3 3 20 10" xfId="22201"/>
    <cellStyle name="Normal 3 3 20 10 2" xfId="26305"/>
    <cellStyle name="Normal 3 3 20 10 2 2" xfId="27428"/>
    <cellStyle name="Normal 3 3 20 10 3" xfId="26867"/>
    <cellStyle name="Normal 3 3 20 11" xfId="22202"/>
    <cellStyle name="Normal 3 3 20 11 2" xfId="26306"/>
    <cellStyle name="Normal 3 3 20 11 2 2" xfId="27429"/>
    <cellStyle name="Normal 3 3 20 11 3" xfId="26868"/>
    <cellStyle name="Normal 3 3 20 12" xfId="22203"/>
    <cellStyle name="Normal 3 3 20 12 2" xfId="26307"/>
    <cellStyle name="Normal 3 3 20 12 2 2" xfId="27430"/>
    <cellStyle name="Normal 3 3 20 12 3" xfId="26869"/>
    <cellStyle name="Normal 3 3 20 13" xfId="22204"/>
    <cellStyle name="Normal 3 3 20 13 2" xfId="26308"/>
    <cellStyle name="Normal 3 3 20 13 2 2" xfId="27431"/>
    <cellStyle name="Normal 3 3 20 13 3" xfId="26870"/>
    <cellStyle name="Normal 3 3 20 14" xfId="22205"/>
    <cellStyle name="Normal 3 3 20 14 2" xfId="26309"/>
    <cellStyle name="Normal 3 3 20 14 2 2" xfId="27432"/>
    <cellStyle name="Normal 3 3 20 14 3" xfId="26871"/>
    <cellStyle name="Normal 3 3 20 15" xfId="26006"/>
    <cellStyle name="Normal 3 3 20 15 2" xfId="27129"/>
    <cellStyle name="Normal 3 3 20 16" xfId="26568"/>
    <cellStyle name="Normal 3 3 20 2" xfId="16983"/>
    <cellStyle name="Normal 3 3 20 2 2" xfId="26241"/>
    <cellStyle name="Normal 3 3 20 2 2 2" xfId="27364"/>
    <cellStyle name="Normal 3 3 20 2 3" xfId="26803"/>
    <cellStyle name="Normal 3 3 20 3" xfId="22206"/>
    <cellStyle name="Normal 3 3 20 3 2" xfId="26310"/>
    <cellStyle name="Normal 3 3 20 3 2 2" xfId="27433"/>
    <cellStyle name="Normal 3 3 20 3 3" xfId="26872"/>
    <cellStyle name="Normal 3 3 20 4" xfId="22207"/>
    <cellStyle name="Normal 3 3 20 4 2" xfId="26311"/>
    <cellStyle name="Normal 3 3 20 4 2 2" xfId="27434"/>
    <cellStyle name="Normal 3 3 20 4 3" xfId="26873"/>
    <cellStyle name="Normal 3 3 20 5" xfId="22208"/>
    <cellStyle name="Normal 3 3 20 5 2" xfId="26312"/>
    <cellStyle name="Normal 3 3 20 5 2 2" xfId="27435"/>
    <cellStyle name="Normal 3 3 20 5 3" xfId="26874"/>
    <cellStyle name="Normal 3 3 20 6" xfId="22209"/>
    <cellStyle name="Normal 3 3 20 6 2" xfId="26313"/>
    <cellStyle name="Normal 3 3 20 6 2 2" xfId="27436"/>
    <cellStyle name="Normal 3 3 20 6 3" xfId="26875"/>
    <cellStyle name="Normal 3 3 20 7" xfId="22210"/>
    <cellStyle name="Normal 3 3 20 7 2" xfId="26314"/>
    <cellStyle name="Normal 3 3 20 7 2 2" xfId="27437"/>
    <cellStyle name="Normal 3 3 20 7 3" xfId="26876"/>
    <cellStyle name="Normal 3 3 20 8" xfId="22211"/>
    <cellStyle name="Normal 3 3 20 8 2" xfId="26315"/>
    <cellStyle name="Normal 3 3 20 8 2 2" xfId="27438"/>
    <cellStyle name="Normal 3 3 20 8 3" xfId="26877"/>
    <cellStyle name="Normal 3 3 20 9" xfId="22212"/>
    <cellStyle name="Normal 3 3 20 9 2" xfId="26316"/>
    <cellStyle name="Normal 3 3 20 9 2 2" xfId="27439"/>
    <cellStyle name="Normal 3 3 20 9 3" xfId="26878"/>
    <cellStyle name="Normal 3 3 21" xfId="11133"/>
    <cellStyle name="Normal 3 3 22" xfId="11134"/>
    <cellStyle name="Normal 3 3 23" xfId="11135"/>
    <cellStyle name="Normal 3 3 24" xfId="22213"/>
    <cellStyle name="Normal 3 3 25" xfId="22214"/>
    <cellStyle name="Normal 3 3 26" xfId="22215"/>
    <cellStyle name="Normal 3 3 27" xfId="22216"/>
    <cellStyle name="Normal 3 3 28" xfId="22217"/>
    <cellStyle name="Normal 3 3 29" xfId="22218"/>
    <cellStyle name="Normal 3 3 3" xfId="11136"/>
    <cellStyle name="Normal 3 3 30" xfId="22219"/>
    <cellStyle name="Normal 3 3 31" xfId="22220"/>
    <cellStyle name="Normal 3 3 32" xfId="22221"/>
    <cellStyle name="Normal 3 3 33" xfId="22222"/>
    <cellStyle name="Normal 3 3 34" xfId="22223"/>
    <cellStyle name="Normal 3 3 35" xfId="22224"/>
    <cellStyle name="Normal 3 3 36" xfId="22225"/>
    <cellStyle name="Normal 3 3 37" xfId="27536"/>
    <cellStyle name="Normal 3 3 4" xfId="11137"/>
    <cellStyle name="Normal 3 3 5" xfId="11138"/>
    <cellStyle name="Normal 3 3 6" xfId="11139"/>
    <cellStyle name="Normal 3 3 7" xfId="11140"/>
    <cellStyle name="Normal 3 3 8" xfId="11141"/>
    <cellStyle name="Normal 3 3 9" xfId="11142"/>
    <cellStyle name="Normal 3 30" xfId="1849"/>
    <cellStyle name="Normal 3 31" xfId="2131"/>
    <cellStyle name="Normal 3 31 2" xfId="16984"/>
    <cellStyle name="Normal 3 31 2 2" xfId="26242"/>
    <cellStyle name="Normal 3 31 2 2 2" xfId="27365"/>
    <cellStyle name="Normal 3 31 2 3" xfId="26804"/>
    <cellStyle name="Normal 3 31 3" xfId="25818"/>
    <cellStyle name="Normal 3 31 3 2" xfId="26941"/>
    <cellStyle name="Normal 3 31 4" xfId="26380"/>
    <cellStyle name="Normal 3 32" xfId="2934"/>
    <cellStyle name="Normal 3 32 2" xfId="16985"/>
    <cellStyle name="Normal 3 32 2 2" xfId="26243"/>
    <cellStyle name="Normal 3 32 2 2 2" xfId="27366"/>
    <cellStyle name="Normal 3 32 2 3" xfId="26805"/>
    <cellStyle name="Normal 3 32 3" xfId="25946"/>
    <cellStyle name="Normal 3 32 3 2" xfId="27069"/>
    <cellStyle name="Normal 3 32 4" xfId="26508"/>
    <cellStyle name="Normal 3 33" xfId="3014"/>
    <cellStyle name="Normal 3 33 2" xfId="16986"/>
    <cellStyle name="Normal 3 33 2 2" xfId="26244"/>
    <cellStyle name="Normal 3 33 2 2 2" xfId="27367"/>
    <cellStyle name="Normal 3 33 2 3" xfId="26806"/>
    <cellStyle name="Normal 3 33 3" xfId="25963"/>
    <cellStyle name="Normal 3 33 3 2" xfId="27086"/>
    <cellStyle name="Normal 3 33 4" xfId="26525"/>
    <cellStyle name="Normal 3 34" xfId="3079"/>
    <cellStyle name="Normal 3 34 2" xfId="16987"/>
    <cellStyle name="Normal 3 34 2 2" xfId="26245"/>
    <cellStyle name="Normal 3 34 2 2 2" xfId="27368"/>
    <cellStyle name="Normal 3 34 2 3" xfId="26807"/>
    <cellStyle name="Normal 3 34 3" xfId="25974"/>
    <cellStyle name="Normal 3 34 3 2" xfId="27097"/>
    <cellStyle name="Normal 3 34 4" xfId="26536"/>
    <cellStyle name="Normal 3 35" xfId="3134"/>
    <cellStyle name="Normal 3 35 2" xfId="16988"/>
    <cellStyle name="Normal 3 35 2 2" xfId="26246"/>
    <cellStyle name="Normal 3 35 2 2 2" xfId="27369"/>
    <cellStyle name="Normal 3 35 2 3" xfId="26808"/>
    <cellStyle name="Normal 3 35 3" xfId="25983"/>
    <cellStyle name="Normal 3 35 3 2" xfId="27106"/>
    <cellStyle name="Normal 3 35 4" xfId="26545"/>
    <cellStyle name="Normal 3 36" xfId="3183"/>
    <cellStyle name="Normal 3 36 2" xfId="16989"/>
    <cellStyle name="Normal 3 36 2 2" xfId="26247"/>
    <cellStyle name="Normal 3 36 2 2 2" xfId="27370"/>
    <cellStyle name="Normal 3 36 2 3" xfId="26809"/>
    <cellStyle name="Normal 3 36 3" xfId="25993"/>
    <cellStyle name="Normal 3 36 3 2" xfId="27116"/>
    <cellStyle name="Normal 3 36 4" xfId="26555"/>
    <cellStyle name="Normal 3 37" xfId="3212"/>
    <cellStyle name="Normal 3 37 2" xfId="16990"/>
    <cellStyle name="Normal 3 37 2 2" xfId="26248"/>
    <cellStyle name="Normal 3 37 2 2 2" xfId="27371"/>
    <cellStyle name="Normal 3 37 2 3" xfId="26810"/>
    <cellStyle name="Normal 3 37 3" xfId="25999"/>
    <cellStyle name="Normal 3 37 3 2" xfId="27122"/>
    <cellStyle name="Normal 3 37 4" xfId="26561"/>
    <cellStyle name="Normal 3 38" xfId="16778"/>
    <cellStyle name="Normal 3 38 2" xfId="26036"/>
    <cellStyle name="Normal 3 38 2 2" xfId="27159"/>
    <cellStyle name="Normal 3 38 3" xfId="26598"/>
    <cellStyle name="Normal 3 39" xfId="22226"/>
    <cellStyle name="Normal 3 4" xfId="576"/>
    <cellStyle name="Normal 3 4 10" xfId="11143"/>
    <cellStyle name="Normal 3 4 11" xfId="11144"/>
    <cellStyle name="Normal 3 4 12" xfId="11145"/>
    <cellStyle name="Normal 3 4 13" xfId="11146"/>
    <cellStyle name="Normal 3 4 14" xfId="11147"/>
    <cellStyle name="Normal 3 4 15" xfId="11148"/>
    <cellStyle name="Normal 3 4 16" xfId="11149"/>
    <cellStyle name="Normal 3 4 17" xfId="11150"/>
    <cellStyle name="Normal 3 4 18" xfId="11151"/>
    <cellStyle name="Normal 3 4 19" xfId="11152"/>
    <cellStyle name="Normal 3 4 2" xfId="11153"/>
    <cellStyle name="Normal 3 4 20" xfId="11154"/>
    <cellStyle name="Normal 3 4 21" xfId="11155"/>
    <cellStyle name="Normal 3 4 22" xfId="11156"/>
    <cellStyle name="Normal 3 4 23" xfId="22227"/>
    <cellStyle name="Normal 3 4 24" xfId="22228"/>
    <cellStyle name="Normal 3 4 25" xfId="22229"/>
    <cellStyle name="Normal 3 4 26" xfId="22230"/>
    <cellStyle name="Normal 3 4 27" xfId="22231"/>
    <cellStyle name="Normal 3 4 28" xfId="22232"/>
    <cellStyle name="Normal 3 4 29" xfId="22233"/>
    <cellStyle name="Normal 3 4 3" xfId="11157"/>
    <cellStyle name="Normal 3 4 30" xfId="22234"/>
    <cellStyle name="Normal 3 4 31" xfId="22235"/>
    <cellStyle name="Normal 3 4 32" xfId="22236"/>
    <cellStyle name="Normal 3 4 33" xfId="22237"/>
    <cellStyle name="Normal 3 4 34" xfId="22238"/>
    <cellStyle name="Normal 3 4 35" xfId="22239"/>
    <cellStyle name="Normal 3 4 4" xfId="11158"/>
    <cellStyle name="Normal 3 4 5" xfId="11159"/>
    <cellStyle name="Normal 3 4 6" xfId="11160"/>
    <cellStyle name="Normal 3 4 7" xfId="11161"/>
    <cellStyle name="Normal 3 4 8" xfId="11162"/>
    <cellStyle name="Normal 3 4 9" xfId="11163"/>
    <cellStyle name="Normal 3 40" xfId="22240"/>
    <cellStyle name="Normal 3 41" xfId="22241"/>
    <cellStyle name="Normal 3 42" xfId="22242"/>
    <cellStyle name="Normal 3 43" xfId="22243"/>
    <cellStyle name="Normal 3 44" xfId="22244"/>
    <cellStyle name="Normal 3 45" xfId="25756"/>
    <cellStyle name="Normal 3 45 2" xfId="26879"/>
    <cellStyle name="Normal 3 46" xfId="26318"/>
    <cellStyle name="Normal 3 5" xfId="577"/>
    <cellStyle name="Normal 3 5 10" xfId="11164"/>
    <cellStyle name="Normal 3 5 11" xfId="11165"/>
    <cellStyle name="Normal 3 5 12" xfId="11166"/>
    <cellStyle name="Normal 3 5 13" xfId="11167"/>
    <cellStyle name="Normal 3 5 14" xfId="11168"/>
    <cellStyle name="Normal 3 5 15" xfId="11169"/>
    <cellStyle name="Normal 3 5 16" xfId="11170"/>
    <cellStyle name="Normal 3 5 17" xfId="11171"/>
    <cellStyle name="Normal 3 5 18" xfId="11172"/>
    <cellStyle name="Normal 3 5 19" xfId="11173"/>
    <cellStyle name="Normal 3 5 2" xfId="11174"/>
    <cellStyle name="Normal 3 5 20" xfId="11175"/>
    <cellStyle name="Normal 3 5 21" xfId="11176"/>
    <cellStyle name="Normal 3 5 22" xfId="11177"/>
    <cellStyle name="Normal 3 5 23" xfId="22245"/>
    <cellStyle name="Normal 3 5 24" xfId="22246"/>
    <cellStyle name="Normal 3 5 25" xfId="22247"/>
    <cellStyle name="Normal 3 5 26" xfId="22248"/>
    <cellStyle name="Normal 3 5 27" xfId="22249"/>
    <cellStyle name="Normal 3 5 28" xfId="22250"/>
    <cellStyle name="Normal 3 5 29" xfId="22251"/>
    <cellStyle name="Normal 3 5 3" xfId="11178"/>
    <cellStyle name="Normal 3 5 30" xfId="22252"/>
    <cellStyle name="Normal 3 5 31" xfId="22253"/>
    <cellStyle name="Normal 3 5 32" xfId="22254"/>
    <cellStyle name="Normal 3 5 33" xfId="22255"/>
    <cellStyle name="Normal 3 5 34" xfId="22256"/>
    <cellStyle name="Normal 3 5 35" xfId="22257"/>
    <cellStyle name="Normal 3 5 4" xfId="11179"/>
    <cellStyle name="Normal 3 5 5" xfId="11180"/>
    <cellStyle name="Normal 3 5 6" xfId="11181"/>
    <cellStyle name="Normal 3 5 7" xfId="11182"/>
    <cellStyle name="Normal 3 5 8" xfId="11183"/>
    <cellStyle name="Normal 3 5 9" xfId="11184"/>
    <cellStyle name="Normal 3 6" xfId="578"/>
    <cellStyle name="Normal 3 6 10" xfId="11185"/>
    <cellStyle name="Normal 3 6 11" xfId="11186"/>
    <cellStyle name="Normal 3 6 12" xfId="11187"/>
    <cellStyle name="Normal 3 6 13" xfId="11188"/>
    <cellStyle name="Normal 3 6 14" xfId="11189"/>
    <cellStyle name="Normal 3 6 15" xfId="11190"/>
    <cellStyle name="Normal 3 6 16" xfId="11191"/>
    <cellStyle name="Normal 3 6 17" xfId="11192"/>
    <cellStyle name="Normal 3 6 18" xfId="11193"/>
    <cellStyle name="Normal 3 6 19" xfId="11194"/>
    <cellStyle name="Normal 3 6 2" xfId="11195"/>
    <cellStyle name="Normal 3 6 20" xfId="11196"/>
    <cellStyle name="Normal 3 6 21" xfId="11197"/>
    <cellStyle name="Normal 3 6 22" xfId="11198"/>
    <cellStyle name="Normal 3 6 23" xfId="22258"/>
    <cellStyle name="Normal 3 6 24" xfId="22259"/>
    <cellStyle name="Normal 3 6 25" xfId="22260"/>
    <cellStyle name="Normal 3 6 26" xfId="22261"/>
    <cellStyle name="Normal 3 6 27" xfId="22262"/>
    <cellStyle name="Normal 3 6 28" xfId="22263"/>
    <cellStyle name="Normal 3 6 29" xfId="22264"/>
    <cellStyle name="Normal 3 6 3" xfId="11199"/>
    <cellStyle name="Normal 3 6 30" xfId="22265"/>
    <cellStyle name="Normal 3 6 31" xfId="22266"/>
    <cellStyle name="Normal 3 6 32" xfId="22267"/>
    <cellStyle name="Normal 3 6 33" xfId="22268"/>
    <cellStyle name="Normal 3 6 34" xfId="22269"/>
    <cellStyle name="Normal 3 6 35" xfId="22270"/>
    <cellStyle name="Normal 3 6 4" xfId="11200"/>
    <cellStyle name="Normal 3 6 5" xfId="11201"/>
    <cellStyle name="Normal 3 6 6" xfId="11202"/>
    <cellStyle name="Normal 3 6 7" xfId="11203"/>
    <cellStyle name="Normal 3 6 8" xfId="11204"/>
    <cellStyle name="Normal 3 6 9" xfId="11205"/>
    <cellStyle name="Normal 3 7" xfId="579"/>
    <cellStyle name="Normal 3 7 10" xfId="11206"/>
    <cellStyle name="Normal 3 7 11" xfId="11207"/>
    <cellStyle name="Normal 3 7 12" xfId="11208"/>
    <cellStyle name="Normal 3 7 13" xfId="11209"/>
    <cellStyle name="Normal 3 7 14" xfId="11210"/>
    <cellStyle name="Normal 3 7 15" xfId="11211"/>
    <cellStyle name="Normal 3 7 16" xfId="11212"/>
    <cellStyle name="Normal 3 7 17" xfId="11213"/>
    <cellStyle name="Normal 3 7 18" xfId="11214"/>
    <cellStyle name="Normal 3 7 19" xfId="11215"/>
    <cellStyle name="Normal 3 7 2" xfId="11216"/>
    <cellStyle name="Normal 3 7 20" xfId="11217"/>
    <cellStyle name="Normal 3 7 21" xfId="11218"/>
    <cellStyle name="Normal 3 7 22" xfId="11219"/>
    <cellStyle name="Normal 3 7 23" xfId="22271"/>
    <cellStyle name="Normal 3 7 24" xfId="22272"/>
    <cellStyle name="Normal 3 7 25" xfId="22273"/>
    <cellStyle name="Normal 3 7 26" xfId="22274"/>
    <cellStyle name="Normal 3 7 27" xfId="22275"/>
    <cellStyle name="Normal 3 7 28" xfId="22276"/>
    <cellStyle name="Normal 3 7 29" xfId="22277"/>
    <cellStyle name="Normal 3 7 3" xfId="11220"/>
    <cellStyle name="Normal 3 7 30" xfId="22278"/>
    <cellStyle name="Normal 3 7 31" xfId="22279"/>
    <cellStyle name="Normal 3 7 32" xfId="22280"/>
    <cellStyle name="Normal 3 7 33" xfId="22281"/>
    <cellStyle name="Normal 3 7 34" xfId="22282"/>
    <cellStyle name="Normal 3 7 35" xfId="22283"/>
    <cellStyle name="Normal 3 7 4" xfId="11221"/>
    <cellStyle name="Normal 3 7 5" xfId="11222"/>
    <cellStyle name="Normal 3 7 6" xfId="11223"/>
    <cellStyle name="Normal 3 7 7" xfId="11224"/>
    <cellStyle name="Normal 3 7 8" xfId="11225"/>
    <cellStyle name="Normal 3 7 9" xfId="11226"/>
    <cellStyle name="Normal 3 8" xfId="580"/>
    <cellStyle name="Normal 3 9" xfId="957"/>
    <cellStyle name="Normal 3 9 10" xfId="25758"/>
    <cellStyle name="Normal 3 9 10 2" xfId="26881"/>
    <cellStyle name="Normal 3 9 11" xfId="26320"/>
    <cellStyle name="Normal 3 9 2" xfId="2530"/>
    <cellStyle name="Normal 3 9 2 2" xfId="16992"/>
    <cellStyle name="Normal 3 9 2 2 2" xfId="26250"/>
    <cellStyle name="Normal 3 9 2 2 2 2" xfId="27373"/>
    <cellStyle name="Normal 3 9 2 2 3" xfId="26812"/>
    <cellStyle name="Normal 3 9 2 3" xfId="25881"/>
    <cellStyle name="Normal 3 9 2 3 2" xfId="27004"/>
    <cellStyle name="Normal 3 9 2 4" xfId="26443"/>
    <cellStyle name="Normal 3 9 3" xfId="2896"/>
    <cellStyle name="Normal 3 9 3 2" xfId="16993"/>
    <cellStyle name="Normal 3 9 3 2 2" xfId="26251"/>
    <cellStyle name="Normal 3 9 3 2 2 2" xfId="27374"/>
    <cellStyle name="Normal 3 9 3 2 3" xfId="26813"/>
    <cellStyle name="Normal 3 9 3 3" xfId="25939"/>
    <cellStyle name="Normal 3 9 3 3 2" xfId="27062"/>
    <cellStyle name="Normal 3 9 3 4" xfId="26501"/>
    <cellStyle name="Normal 3 9 4" xfId="2980"/>
    <cellStyle name="Normal 3 9 4 2" xfId="16994"/>
    <cellStyle name="Normal 3 9 4 2 2" xfId="26252"/>
    <cellStyle name="Normal 3 9 4 2 2 2" xfId="27375"/>
    <cellStyle name="Normal 3 9 4 2 3" xfId="26814"/>
    <cellStyle name="Normal 3 9 4 3" xfId="25956"/>
    <cellStyle name="Normal 3 9 4 3 2" xfId="27079"/>
    <cellStyle name="Normal 3 9 4 4" xfId="26518"/>
    <cellStyle name="Normal 3 9 5" xfId="3050"/>
    <cellStyle name="Normal 3 9 5 2" xfId="16995"/>
    <cellStyle name="Normal 3 9 5 2 2" xfId="26253"/>
    <cellStyle name="Normal 3 9 5 2 2 2" xfId="27376"/>
    <cellStyle name="Normal 3 9 5 2 3" xfId="26815"/>
    <cellStyle name="Normal 3 9 5 3" xfId="25968"/>
    <cellStyle name="Normal 3 9 5 3 2" xfId="27091"/>
    <cellStyle name="Normal 3 9 5 4" xfId="26530"/>
    <cellStyle name="Normal 3 9 6" xfId="3109"/>
    <cellStyle name="Normal 3 9 6 2" xfId="16996"/>
    <cellStyle name="Normal 3 9 6 2 2" xfId="26254"/>
    <cellStyle name="Normal 3 9 6 2 2 2" xfId="27377"/>
    <cellStyle name="Normal 3 9 6 2 3" xfId="26816"/>
    <cellStyle name="Normal 3 9 6 3" xfId="25978"/>
    <cellStyle name="Normal 3 9 6 3 2" xfId="27101"/>
    <cellStyle name="Normal 3 9 6 4" xfId="26540"/>
    <cellStyle name="Normal 3 9 7" xfId="3160"/>
    <cellStyle name="Normal 3 9 7 2" xfId="16997"/>
    <cellStyle name="Normal 3 9 7 2 2" xfId="26255"/>
    <cellStyle name="Normal 3 9 7 2 2 2" xfId="27378"/>
    <cellStyle name="Normal 3 9 7 2 3" xfId="26817"/>
    <cellStyle name="Normal 3 9 7 3" xfId="25988"/>
    <cellStyle name="Normal 3 9 7 3 2" xfId="27111"/>
    <cellStyle name="Normal 3 9 7 4" xfId="26550"/>
    <cellStyle name="Normal 3 9 8" xfId="2286"/>
    <cellStyle name="Normal 3 9 8 2" xfId="16998"/>
    <cellStyle name="Normal 3 9 8 2 2" xfId="26256"/>
    <cellStyle name="Normal 3 9 8 2 2 2" xfId="27379"/>
    <cellStyle name="Normal 3 9 8 2 3" xfId="26818"/>
    <cellStyle name="Normal 3 9 8 3" xfId="25835"/>
    <cellStyle name="Normal 3 9 8 3 2" xfId="26958"/>
    <cellStyle name="Normal 3 9 8 4" xfId="26397"/>
    <cellStyle name="Normal 3 9 9" xfId="16991"/>
    <cellStyle name="Normal 3 9 9 2" xfId="26249"/>
    <cellStyle name="Normal 3 9 9 2 2" xfId="27372"/>
    <cellStyle name="Normal 3 9 9 3" xfId="26811"/>
    <cellStyle name="Normal 30" xfId="17000"/>
    <cellStyle name="Normal 31" xfId="17005"/>
    <cellStyle name="Normal 32" xfId="17007"/>
    <cellStyle name="Normal 32 2" xfId="26261"/>
    <cellStyle name="Normal 32 2 2" xfId="27384"/>
    <cellStyle name="Normal 32 3" xfId="26823"/>
    <cellStyle name="Normal 33" xfId="17012"/>
    <cellStyle name="Normal 33 2" xfId="26266"/>
    <cellStyle name="Normal 33 2 2" xfId="27389"/>
    <cellStyle name="Normal 33 3" xfId="26828"/>
    <cellStyle name="Normal 34" xfId="26317"/>
    <cellStyle name="Normal 35" xfId="27445"/>
    <cellStyle name="Normal 4" xfId="581"/>
    <cellStyle name="Normal 4 10" xfId="11227"/>
    <cellStyle name="Normal 4 11" xfId="11228"/>
    <cellStyle name="Normal 4 12" xfId="11229"/>
    <cellStyle name="Normal 4 13" xfId="11230"/>
    <cellStyle name="Normal 4 14" xfId="11231"/>
    <cellStyle name="Normal 4 15" xfId="11232"/>
    <cellStyle name="Normal 4 16" xfId="11233"/>
    <cellStyle name="Normal 4 17" xfId="11234"/>
    <cellStyle name="Normal 4 18" xfId="11235"/>
    <cellStyle name="Normal 4 19" xfId="11236"/>
    <cellStyle name="Normal 4 2" xfId="582"/>
    <cellStyle name="Normal 4 2 10" xfId="11237"/>
    <cellStyle name="Normal 4 2 11" xfId="11238"/>
    <cellStyle name="Normal 4 2 12" xfId="11239"/>
    <cellStyle name="Normal 4 2 13" xfId="11240"/>
    <cellStyle name="Normal 4 2 14" xfId="11241"/>
    <cellStyle name="Normal 4 2 15" xfId="11242"/>
    <cellStyle name="Normal 4 2 16" xfId="11243"/>
    <cellStyle name="Normal 4 2 17" xfId="11244"/>
    <cellStyle name="Normal 4 2 18" xfId="11245"/>
    <cellStyle name="Normal 4 2 19" xfId="11246"/>
    <cellStyle name="Normal 4 2 2" xfId="11247"/>
    <cellStyle name="Normal 4 2 20" xfId="11248"/>
    <cellStyle name="Normal 4 2 21" xfId="11249"/>
    <cellStyle name="Normal 4 2 22" xfId="11250"/>
    <cellStyle name="Normal 4 2 23" xfId="22284"/>
    <cellStyle name="Normal 4 2 24" xfId="22285"/>
    <cellStyle name="Normal 4 2 25" xfId="22286"/>
    <cellStyle name="Normal 4 2 26" xfId="22287"/>
    <cellStyle name="Normal 4 2 27" xfId="22288"/>
    <cellStyle name="Normal 4 2 28" xfId="22289"/>
    <cellStyle name="Normal 4 2 29" xfId="22290"/>
    <cellStyle name="Normal 4 2 3" xfId="11251"/>
    <cellStyle name="Normal 4 2 30" xfId="22291"/>
    <cellStyle name="Normal 4 2 31" xfId="22292"/>
    <cellStyle name="Normal 4 2 32" xfId="22293"/>
    <cellStyle name="Normal 4 2 33" xfId="22294"/>
    <cellStyle name="Normal 4 2 34" xfId="22295"/>
    <cellStyle name="Normal 4 2 35" xfId="22296"/>
    <cellStyle name="Normal 4 2 4" xfId="11252"/>
    <cellStyle name="Normal 4 2 5" xfId="11253"/>
    <cellStyle name="Normal 4 2 6" xfId="11254"/>
    <cellStyle name="Normal 4 2 7" xfId="11255"/>
    <cellStyle name="Normal 4 2 8" xfId="11256"/>
    <cellStyle name="Normal 4 2 9" xfId="11257"/>
    <cellStyle name="Normal 4 20" xfId="11258"/>
    <cellStyle name="Normal 4 21" xfId="11259"/>
    <cellStyle name="Normal 4 22" xfId="11260"/>
    <cellStyle name="Normal 4 23" xfId="11261"/>
    <cellStyle name="Normal 4 24" xfId="11262"/>
    <cellStyle name="Normal 4 25" xfId="11263"/>
    <cellStyle name="Normal 4 26" xfId="11264"/>
    <cellStyle name="Normal 4 27" xfId="11265"/>
    <cellStyle name="Normal 4 28" xfId="11266"/>
    <cellStyle name="Normal 4 29" xfId="11267"/>
    <cellStyle name="Normal 4 3" xfId="583"/>
    <cellStyle name="Normal 4 3 10" xfId="11268"/>
    <cellStyle name="Normal 4 3 11" xfId="11269"/>
    <cellStyle name="Normal 4 3 12" xfId="11270"/>
    <cellStyle name="Normal 4 3 13" xfId="11271"/>
    <cellStyle name="Normal 4 3 14" xfId="11272"/>
    <cellStyle name="Normal 4 3 15" xfId="11273"/>
    <cellStyle name="Normal 4 3 16" xfId="11274"/>
    <cellStyle name="Normal 4 3 17" xfId="11275"/>
    <cellStyle name="Normal 4 3 18" xfId="11276"/>
    <cellStyle name="Normal 4 3 19" xfId="11277"/>
    <cellStyle name="Normal 4 3 2" xfId="11278"/>
    <cellStyle name="Normal 4 3 20" xfId="11279"/>
    <cellStyle name="Normal 4 3 21" xfId="11280"/>
    <cellStyle name="Normal 4 3 22" xfId="11281"/>
    <cellStyle name="Normal 4 3 23" xfId="22297"/>
    <cellStyle name="Normal 4 3 24" xfId="22298"/>
    <cellStyle name="Normal 4 3 25" xfId="22299"/>
    <cellStyle name="Normal 4 3 26" xfId="22300"/>
    <cellStyle name="Normal 4 3 27" xfId="22301"/>
    <cellStyle name="Normal 4 3 28" xfId="22302"/>
    <cellStyle name="Normal 4 3 29" xfId="22303"/>
    <cellStyle name="Normal 4 3 3" xfId="11282"/>
    <cellStyle name="Normal 4 3 30" xfId="22304"/>
    <cellStyle name="Normal 4 3 31" xfId="22305"/>
    <cellStyle name="Normal 4 3 32" xfId="22306"/>
    <cellStyle name="Normal 4 3 33" xfId="22307"/>
    <cellStyle name="Normal 4 3 34" xfId="22308"/>
    <cellStyle name="Normal 4 3 35" xfId="22309"/>
    <cellStyle name="Normal 4 3 4" xfId="11283"/>
    <cellStyle name="Normal 4 3 5" xfId="11284"/>
    <cellStyle name="Normal 4 3 6" xfId="11285"/>
    <cellStyle name="Normal 4 3 7" xfId="11286"/>
    <cellStyle name="Normal 4 3 8" xfId="11287"/>
    <cellStyle name="Normal 4 3 9" xfId="11288"/>
    <cellStyle name="Normal 4 30" xfId="11289"/>
    <cellStyle name="Normal 4 31" xfId="11290"/>
    <cellStyle name="Normal 4 32" xfId="22310"/>
    <cellStyle name="Normal 4 33" xfId="22311"/>
    <cellStyle name="Normal 4 34" xfId="22312"/>
    <cellStyle name="Normal 4 35" xfId="22313"/>
    <cellStyle name="Normal 4 36" xfId="22314"/>
    <cellStyle name="Normal 4 37" xfId="22315"/>
    <cellStyle name="Normal 4 38" xfId="22316"/>
    <cellStyle name="Normal 4 39" xfId="22317"/>
    <cellStyle name="Normal 4 4" xfId="584"/>
    <cellStyle name="Normal 4 4 10" xfId="11291"/>
    <cellStyle name="Normal 4 4 11" xfId="11292"/>
    <cellStyle name="Normal 4 4 12" xfId="11293"/>
    <cellStyle name="Normal 4 4 13" xfId="11294"/>
    <cellStyle name="Normal 4 4 14" xfId="11295"/>
    <cellStyle name="Normal 4 4 15" xfId="11296"/>
    <cellStyle name="Normal 4 4 16" xfId="11297"/>
    <cellStyle name="Normal 4 4 17" xfId="11298"/>
    <cellStyle name="Normal 4 4 18" xfId="11299"/>
    <cellStyle name="Normal 4 4 19" xfId="11300"/>
    <cellStyle name="Normal 4 4 2" xfId="11301"/>
    <cellStyle name="Normal 4 4 20" xfId="11302"/>
    <cellStyle name="Normal 4 4 21" xfId="11303"/>
    <cellStyle name="Normal 4 4 22" xfId="11304"/>
    <cellStyle name="Normal 4 4 23" xfId="22318"/>
    <cellStyle name="Normal 4 4 24" xfId="22319"/>
    <cellStyle name="Normal 4 4 25" xfId="22320"/>
    <cellStyle name="Normal 4 4 26" xfId="22321"/>
    <cellStyle name="Normal 4 4 27" xfId="22322"/>
    <cellStyle name="Normal 4 4 28" xfId="22323"/>
    <cellStyle name="Normal 4 4 29" xfId="22324"/>
    <cellStyle name="Normal 4 4 3" xfId="11305"/>
    <cellStyle name="Normal 4 4 30" xfId="22325"/>
    <cellStyle name="Normal 4 4 31" xfId="22326"/>
    <cellStyle name="Normal 4 4 32" xfId="22327"/>
    <cellStyle name="Normal 4 4 33" xfId="22328"/>
    <cellStyle name="Normal 4 4 34" xfId="22329"/>
    <cellStyle name="Normal 4 4 35" xfId="22330"/>
    <cellStyle name="Normal 4 4 4" xfId="11306"/>
    <cellStyle name="Normal 4 4 5" xfId="11307"/>
    <cellStyle name="Normal 4 4 6" xfId="11308"/>
    <cellStyle name="Normal 4 4 7" xfId="11309"/>
    <cellStyle name="Normal 4 4 8" xfId="11310"/>
    <cellStyle name="Normal 4 4 9" xfId="11311"/>
    <cellStyle name="Normal 4 40" xfId="22331"/>
    <cellStyle name="Normal 4 41" xfId="22332"/>
    <cellStyle name="Normal 4 42" xfId="22333"/>
    <cellStyle name="Normal 4 43" xfId="22334"/>
    <cellStyle name="Normal 4 44" xfId="22335"/>
    <cellStyle name="Normal 4 5" xfId="585"/>
    <cellStyle name="Normal 4 5 10" xfId="11312"/>
    <cellStyle name="Normal 4 5 11" xfId="11313"/>
    <cellStyle name="Normal 4 5 12" xfId="11314"/>
    <cellStyle name="Normal 4 5 13" xfId="11315"/>
    <cellStyle name="Normal 4 5 14" xfId="11316"/>
    <cellStyle name="Normal 4 5 15" xfId="11317"/>
    <cellStyle name="Normal 4 5 16" xfId="11318"/>
    <cellStyle name="Normal 4 5 17" xfId="11319"/>
    <cellStyle name="Normal 4 5 18" xfId="11320"/>
    <cellStyle name="Normal 4 5 19" xfId="11321"/>
    <cellStyle name="Normal 4 5 2" xfId="11322"/>
    <cellStyle name="Normal 4 5 20" xfId="11323"/>
    <cellStyle name="Normal 4 5 21" xfId="11324"/>
    <cellStyle name="Normal 4 5 22" xfId="11325"/>
    <cellStyle name="Normal 4 5 23" xfId="22336"/>
    <cellStyle name="Normal 4 5 24" xfId="22337"/>
    <cellStyle name="Normal 4 5 25" xfId="22338"/>
    <cellStyle name="Normal 4 5 26" xfId="22339"/>
    <cellStyle name="Normal 4 5 27" xfId="22340"/>
    <cellStyle name="Normal 4 5 28" xfId="22341"/>
    <cellStyle name="Normal 4 5 29" xfId="22342"/>
    <cellStyle name="Normal 4 5 3" xfId="11326"/>
    <cellStyle name="Normal 4 5 30" xfId="22343"/>
    <cellStyle name="Normal 4 5 31" xfId="22344"/>
    <cellStyle name="Normal 4 5 32" xfId="22345"/>
    <cellStyle name="Normal 4 5 33" xfId="22346"/>
    <cellStyle name="Normal 4 5 34" xfId="22347"/>
    <cellStyle name="Normal 4 5 35" xfId="22348"/>
    <cellStyle name="Normal 4 5 4" xfId="11327"/>
    <cellStyle name="Normal 4 5 5" xfId="11328"/>
    <cellStyle name="Normal 4 5 6" xfId="11329"/>
    <cellStyle name="Normal 4 5 7" xfId="11330"/>
    <cellStyle name="Normal 4 5 8" xfId="11331"/>
    <cellStyle name="Normal 4 5 9" xfId="11332"/>
    <cellStyle name="Normal 4 6" xfId="586"/>
    <cellStyle name="Normal 4 6 10" xfId="11333"/>
    <cellStyle name="Normal 4 6 11" xfId="11334"/>
    <cellStyle name="Normal 4 6 12" xfId="11335"/>
    <cellStyle name="Normal 4 6 13" xfId="11336"/>
    <cellStyle name="Normal 4 6 14" xfId="11337"/>
    <cellStyle name="Normal 4 6 15" xfId="11338"/>
    <cellStyle name="Normal 4 6 16" xfId="11339"/>
    <cellStyle name="Normal 4 6 17" xfId="11340"/>
    <cellStyle name="Normal 4 6 18" xfId="11341"/>
    <cellStyle name="Normal 4 6 19" xfId="11342"/>
    <cellStyle name="Normal 4 6 2" xfId="11343"/>
    <cellStyle name="Normal 4 6 20" xfId="11344"/>
    <cellStyle name="Normal 4 6 21" xfId="11345"/>
    <cellStyle name="Normal 4 6 22" xfId="11346"/>
    <cellStyle name="Normal 4 6 23" xfId="22349"/>
    <cellStyle name="Normal 4 6 24" xfId="22350"/>
    <cellStyle name="Normal 4 6 25" xfId="22351"/>
    <cellStyle name="Normal 4 6 26" xfId="22352"/>
    <cellStyle name="Normal 4 6 27" xfId="22353"/>
    <cellStyle name="Normal 4 6 28" xfId="22354"/>
    <cellStyle name="Normal 4 6 29" xfId="22355"/>
    <cellStyle name="Normal 4 6 3" xfId="11347"/>
    <cellStyle name="Normal 4 6 30" xfId="22356"/>
    <cellStyle name="Normal 4 6 31" xfId="22357"/>
    <cellStyle name="Normal 4 6 32" xfId="22358"/>
    <cellStyle name="Normal 4 6 33" xfId="22359"/>
    <cellStyle name="Normal 4 6 34" xfId="22360"/>
    <cellStyle name="Normal 4 6 35" xfId="22361"/>
    <cellStyle name="Normal 4 6 4" xfId="11348"/>
    <cellStyle name="Normal 4 6 5" xfId="11349"/>
    <cellStyle name="Normal 4 6 6" xfId="11350"/>
    <cellStyle name="Normal 4 6 7" xfId="11351"/>
    <cellStyle name="Normal 4 6 8" xfId="11352"/>
    <cellStyle name="Normal 4 6 9" xfId="11353"/>
    <cellStyle name="Normal 4 7" xfId="587"/>
    <cellStyle name="Normal 4 7 10" xfId="11354"/>
    <cellStyle name="Normal 4 7 11" xfId="11355"/>
    <cellStyle name="Normal 4 7 12" xfId="11356"/>
    <cellStyle name="Normal 4 7 13" xfId="11357"/>
    <cellStyle name="Normal 4 7 14" xfId="11358"/>
    <cellStyle name="Normal 4 7 15" xfId="11359"/>
    <cellStyle name="Normal 4 7 16" xfId="11360"/>
    <cellStyle name="Normal 4 7 17" xfId="11361"/>
    <cellStyle name="Normal 4 7 18" xfId="11362"/>
    <cellStyle name="Normal 4 7 19" xfId="11363"/>
    <cellStyle name="Normal 4 7 2" xfId="11364"/>
    <cellStyle name="Normal 4 7 20" xfId="11365"/>
    <cellStyle name="Normal 4 7 21" xfId="11366"/>
    <cellStyle name="Normal 4 7 22" xfId="11367"/>
    <cellStyle name="Normal 4 7 23" xfId="22362"/>
    <cellStyle name="Normal 4 7 24" xfId="22363"/>
    <cellStyle name="Normal 4 7 25" xfId="22364"/>
    <cellStyle name="Normal 4 7 26" xfId="22365"/>
    <cellStyle name="Normal 4 7 27" xfId="22366"/>
    <cellStyle name="Normal 4 7 28" xfId="22367"/>
    <cellStyle name="Normal 4 7 29" xfId="22368"/>
    <cellStyle name="Normal 4 7 3" xfId="11368"/>
    <cellStyle name="Normal 4 7 30" xfId="22369"/>
    <cellStyle name="Normal 4 7 31" xfId="22370"/>
    <cellStyle name="Normal 4 7 32" xfId="22371"/>
    <cellStyle name="Normal 4 7 33" xfId="22372"/>
    <cellStyle name="Normal 4 7 34" xfId="22373"/>
    <cellStyle name="Normal 4 7 35" xfId="22374"/>
    <cellStyle name="Normal 4 7 4" xfId="11369"/>
    <cellStyle name="Normal 4 7 5" xfId="11370"/>
    <cellStyle name="Normal 4 7 6" xfId="11371"/>
    <cellStyle name="Normal 4 7 7" xfId="11372"/>
    <cellStyle name="Normal 4 7 8" xfId="11373"/>
    <cellStyle name="Normal 4 7 9" xfId="11374"/>
    <cellStyle name="Normal 4 8" xfId="588"/>
    <cellStyle name="Normal 4 9" xfId="1859"/>
    <cellStyle name="Normal 5" xfId="48"/>
    <cellStyle name="Normal 5 10" xfId="1545"/>
    <cellStyle name="Normal 5 11" xfId="1598"/>
    <cellStyle name="Normal 5 12" xfId="1650"/>
    <cellStyle name="Normal 5 13" xfId="1732"/>
    <cellStyle name="Normal 5 14" xfId="1813"/>
    <cellStyle name="Normal 5 15" xfId="1876"/>
    <cellStyle name="Normal 5 16" xfId="1873"/>
    <cellStyle name="Normal 5 17" xfId="1877"/>
    <cellStyle name="Normal 5 18" xfId="1906"/>
    <cellStyle name="Normal 5 19" xfId="1908"/>
    <cellStyle name="Normal 5 2" xfId="589"/>
    <cellStyle name="Normal 5 2 10" xfId="11375"/>
    <cellStyle name="Normal 5 2 11" xfId="11376"/>
    <cellStyle name="Normal 5 2 12" xfId="11377"/>
    <cellStyle name="Normal 5 2 13" xfId="11378"/>
    <cellStyle name="Normal 5 2 14" xfId="11379"/>
    <cellStyle name="Normal 5 2 15" xfId="11380"/>
    <cellStyle name="Normal 5 2 16" xfId="11381"/>
    <cellStyle name="Normal 5 2 17" xfId="11382"/>
    <cellStyle name="Normal 5 2 18" xfId="11383"/>
    <cellStyle name="Normal 5 2 19" xfId="11384"/>
    <cellStyle name="Normal 5 2 2" xfId="11385"/>
    <cellStyle name="Normal 5 2 20" xfId="11386"/>
    <cellStyle name="Normal 5 2 21" xfId="11387"/>
    <cellStyle name="Normal 5 2 22" xfId="11388"/>
    <cellStyle name="Normal 5 2 23" xfId="11389"/>
    <cellStyle name="Normal 5 2 24" xfId="22375"/>
    <cellStyle name="Normal 5 2 25" xfId="22376"/>
    <cellStyle name="Normal 5 2 26" xfId="22377"/>
    <cellStyle name="Normal 5 2 27" xfId="22378"/>
    <cellStyle name="Normal 5 2 28" xfId="22379"/>
    <cellStyle name="Normal 5 2 29" xfId="22380"/>
    <cellStyle name="Normal 5 2 3" xfId="11390"/>
    <cellStyle name="Normal 5 2 30" xfId="22381"/>
    <cellStyle name="Normal 5 2 31" xfId="22382"/>
    <cellStyle name="Normal 5 2 32" xfId="22383"/>
    <cellStyle name="Normal 5 2 33" xfId="22384"/>
    <cellStyle name="Normal 5 2 34" xfId="22385"/>
    <cellStyle name="Normal 5 2 35" xfId="22386"/>
    <cellStyle name="Normal 5 2 36" xfId="22387"/>
    <cellStyle name="Normal 5 2 4" xfId="11391"/>
    <cellStyle name="Normal 5 2 5" xfId="11392"/>
    <cellStyle name="Normal 5 2 6" xfId="11393"/>
    <cellStyle name="Normal 5 2 7" xfId="11394"/>
    <cellStyle name="Normal 5 2 8" xfId="11395"/>
    <cellStyle name="Normal 5 2 9" xfId="11396"/>
    <cellStyle name="Normal 5 20" xfId="1918"/>
    <cellStyle name="Normal 5 21" xfId="1879"/>
    <cellStyle name="Normal 5 22" xfId="1901"/>
    <cellStyle name="Normal 5 23" xfId="1915"/>
    <cellStyle name="Normal 5 24" xfId="1920"/>
    <cellStyle name="Normal 5 25" xfId="1912"/>
    <cellStyle name="Normal 5 26" xfId="1927"/>
    <cellStyle name="Normal 5 27" xfId="1914"/>
    <cellStyle name="Normal 5 28" xfId="1938"/>
    <cellStyle name="Normal 5 29" xfId="1940"/>
    <cellStyle name="Normal 5 3" xfId="590"/>
    <cellStyle name="Normal 5 3 10" xfId="11397"/>
    <cellStyle name="Normal 5 3 11" xfId="11398"/>
    <cellStyle name="Normal 5 3 12" xfId="11399"/>
    <cellStyle name="Normal 5 3 13" xfId="11400"/>
    <cellStyle name="Normal 5 3 14" xfId="11401"/>
    <cellStyle name="Normal 5 3 15" xfId="11402"/>
    <cellStyle name="Normal 5 3 16" xfId="11403"/>
    <cellStyle name="Normal 5 3 17" xfId="11404"/>
    <cellStyle name="Normal 5 3 18" xfId="11405"/>
    <cellStyle name="Normal 5 3 19" xfId="11406"/>
    <cellStyle name="Normal 5 3 2" xfId="11407"/>
    <cellStyle name="Normal 5 3 20" xfId="11408"/>
    <cellStyle name="Normal 5 3 21" xfId="11409"/>
    <cellStyle name="Normal 5 3 22" xfId="11410"/>
    <cellStyle name="Normal 5 3 23" xfId="11411"/>
    <cellStyle name="Normal 5 3 24" xfId="22388"/>
    <cellStyle name="Normal 5 3 25" xfId="22389"/>
    <cellStyle name="Normal 5 3 26" xfId="22390"/>
    <cellStyle name="Normal 5 3 27" xfId="22391"/>
    <cellStyle name="Normal 5 3 28" xfId="22392"/>
    <cellStyle name="Normal 5 3 29" xfId="22393"/>
    <cellStyle name="Normal 5 3 3" xfId="11412"/>
    <cellStyle name="Normal 5 3 30" xfId="22394"/>
    <cellStyle name="Normal 5 3 31" xfId="22395"/>
    <cellStyle name="Normal 5 3 32" xfId="22396"/>
    <cellStyle name="Normal 5 3 33" xfId="22397"/>
    <cellStyle name="Normal 5 3 34" xfId="22398"/>
    <cellStyle name="Normal 5 3 35" xfId="22399"/>
    <cellStyle name="Normal 5 3 36" xfId="22400"/>
    <cellStyle name="Normal 5 3 4" xfId="11413"/>
    <cellStyle name="Normal 5 3 5" xfId="11414"/>
    <cellStyle name="Normal 5 3 6" xfId="11415"/>
    <cellStyle name="Normal 5 3 7" xfId="11416"/>
    <cellStyle name="Normal 5 3 8" xfId="11417"/>
    <cellStyle name="Normal 5 3 9" xfId="11418"/>
    <cellStyle name="Normal 5 30" xfId="1942"/>
    <cellStyle name="Normal 5 31" xfId="1944"/>
    <cellStyle name="Normal 5 32" xfId="1946"/>
    <cellStyle name="Normal 5 33" xfId="1947"/>
    <cellStyle name="Normal 5 34" xfId="1948"/>
    <cellStyle name="Normal 5 35" xfId="1949"/>
    <cellStyle name="Normal 5 36" xfId="1950"/>
    <cellStyle name="Normal 5 37" xfId="1951"/>
    <cellStyle name="Normal 5 38" xfId="1923"/>
    <cellStyle name="Normal 5 39" xfId="1953"/>
    <cellStyle name="Normal 5 4" xfId="591"/>
    <cellStyle name="Normal 5 4 10" xfId="11419"/>
    <cellStyle name="Normal 5 4 11" xfId="11420"/>
    <cellStyle name="Normal 5 4 12" xfId="11421"/>
    <cellStyle name="Normal 5 4 13" xfId="11422"/>
    <cellStyle name="Normal 5 4 14" xfId="11423"/>
    <cellStyle name="Normal 5 4 15" xfId="11424"/>
    <cellStyle name="Normal 5 4 16" xfId="11425"/>
    <cellStyle name="Normal 5 4 17" xfId="11426"/>
    <cellStyle name="Normal 5 4 18" xfId="11427"/>
    <cellStyle name="Normal 5 4 19" xfId="11428"/>
    <cellStyle name="Normal 5 4 2" xfId="11429"/>
    <cellStyle name="Normal 5 4 20" xfId="11430"/>
    <cellStyle name="Normal 5 4 21" xfId="11431"/>
    <cellStyle name="Normal 5 4 22" xfId="11432"/>
    <cellStyle name="Normal 5 4 23" xfId="11433"/>
    <cellStyle name="Normal 5 4 24" xfId="22401"/>
    <cellStyle name="Normal 5 4 25" xfId="22402"/>
    <cellStyle name="Normal 5 4 26" xfId="22403"/>
    <cellStyle name="Normal 5 4 27" xfId="22404"/>
    <cellStyle name="Normal 5 4 28" xfId="22405"/>
    <cellStyle name="Normal 5 4 29" xfId="22406"/>
    <cellStyle name="Normal 5 4 3" xfId="11434"/>
    <cellStyle name="Normal 5 4 30" xfId="22407"/>
    <cellStyle name="Normal 5 4 31" xfId="22408"/>
    <cellStyle name="Normal 5 4 32" xfId="22409"/>
    <cellStyle name="Normal 5 4 33" xfId="22410"/>
    <cellStyle name="Normal 5 4 34" xfId="22411"/>
    <cellStyle name="Normal 5 4 35" xfId="22412"/>
    <cellStyle name="Normal 5 4 36" xfId="22413"/>
    <cellStyle name="Normal 5 4 4" xfId="11435"/>
    <cellStyle name="Normal 5 4 5" xfId="11436"/>
    <cellStyle name="Normal 5 4 6" xfId="11437"/>
    <cellStyle name="Normal 5 4 7" xfId="11438"/>
    <cellStyle name="Normal 5 4 8" xfId="11439"/>
    <cellStyle name="Normal 5 4 9" xfId="11440"/>
    <cellStyle name="Normal 5 40" xfId="1957"/>
    <cellStyle name="Normal 5 41" xfId="1961"/>
    <cellStyle name="Normal 5 42" xfId="1965"/>
    <cellStyle name="Normal 5 43" xfId="1969"/>
    <cellStyle name="Normal 5 44" xfId="1973"/>
    <cellStyle name="Normal 5 45" xfId="1977"/>
    <cellStyle name="Normal 5 46" xfId="1981"/>
    <cellStyle name="Normal 5 47" xfId="1985"/>
    <cellStyle name="Normal 5 48" xfId="1989"/>
    <cellStyle name="Normal 5 49" xfId="1993"/>
    <cellStyle name="Normal 5 5" xfId="592"/>
    <cellStyle name="Normal 5 5 10" xfId="11441"/>
    <cellStyle name="Normal 5 5 11" xfId="11442"/>
    <cellStyle name="Normal 5 5 12" xfId="11443"/>
    <cellStyle name="Normal 5 5 13" xfId="11444"/>
    <cellStyle name="Normal 5 5 14" xfId="11445"/>
    <cellStyle name="Normal 5 5 15" xfId="11446"/>
    <cellStyle name="Normal 5 5 16" xfId="11447"/>
    <cellStyle name="Normal 5 5 17" xfId="11448"/>
    <cellStyle name="Normal 5 5 18" xfId="11449"/>
    <cellStyle name="Normal 5 5 19" xfId="11450"/>
    <cellStyle name="Normal 5 5 2" xfId="11451"/>
    <cellStyle name="Normal 5 5 20" xfId="11452"/>
    <cellStyle name="Normal 5 5 21" xfId="11453"/>
    <cellStyle name="Normal 5 5 22" xfId="11454"/>
    <cellStyle name="Normal 5 5 23" xfId="11455"/>
    <cellStyle name="Normal 5 5 24" xfId="22414"/>
    <cellStyle name="Normal 5 5 25" xfId="22415"/>
    <cellStyle name="Normal 5 5 26" xfId="22416"/>
    <cellStyle name="Normal 5 5 27" xfId="22417"/>
    <cellStyle name="Normal 5 5 28" xfId="22418"/>
    <cellStyle name="Normal 5 5 29" xfId="22419"/>
    <cellStyle name="Normal 5 5 3" xfId="11456"/>
    <cellStyle name="Normal 5 5 30" xfId="22420"/>
    <cellStyle name="Normal 5 5 31" xfId="22421"/>
    <cellStyle name="Normal 5 5 32" xfId="22422"/>
    <cellStyle name="Normal 5 5 33" xfId="22423"/>
    <cellStyle name="Normal 5 5 34" xfId="22424"/>
    <cellStyle name="Normal 5 5 35" xfId="22425"/>
    <cellStyle name="Normal 5 5 36" xfId="22426"/>
    <cellStyle name="Normal 5 5 4" xfId="11457"/>
    <cellStyle name="Normal 5 5 5" xfId="11458"/>
    <cellStyle name="Normal 5 5 6" xfId="11459"/>
    <cellStyle name="Normal 5 5 7" xfId="11460"/>
    <cellStyle name="Normal 5 5 8" xfId="11461"/>
    <cellStyle name="Normal 5 5 9" xfId="11462"/>
    <cellStyle name="Normal 5 50" xfId="1997"/>
    <cellStyle name="Normal 5 51" xfId="2001"/>
    <cellStyle name="Normal 5 52" xfId="2005"/>
    <cellStyle name="Normal 5 53" xfId="2009"/>
    <cellStyle name="Normal 5 54" xfId="2013"/>
    <cellStyle name="Normal 5 55" xfId="2017"/>
    <cellStyle name="Normal 5 56" xfId="2021"/>
    <cellStyle name="Normal 5 57" xfId="2025"/>
    <cellStyle name="Normal 5 58" xfId="2029"/>
    <cellStyle name="Normal 5 59" xfId="2033"/>
    <cellStyle name="Normal 5 6" xfId="593"/>
    <cellStyle name="Normal 5 6 10" xfId="11463"/>
    <cellStyle name="Normal 5 6 11" xfId="11464"/>
    <cellStyle name="Normal 5 6 12" xfId="11465"/>
    <cellStyle name="Normal 5 6 13" xfId="11466"/>
    <cellStyle name="Normal 5 6 14" xfId="11467"/>
    <cellStyle name="Normal 5 6 15" xfId="11468"/>
    <cellStyle name="Normal 5 6 16" xfId="11469"/>
    <cellStyle name="Normal 5 6 17" xfId="11470"/>
    <cellStyle name="Normal 5 6 18" xfId="11471"/>
    <cellStyle name="Normal 5 6 19" xfId="11472"/>
    <cellStyle name="Normal 5 6 2" xfId="11473"/>
    <cellStyle name="Normal 5 6 20" xfId="11474"/>
    <cellStyle name="Normal 5 6 21" xfId="11475"/>
    <cellStyle name="Normal 5 6 22" xfId="11476"/>
    <cellStyle name="Normal 5 6 23" xfId="11477"/>
    <cellStyle name="Normal 5 6 24" xfId="22427"/>
    <cellStyle name="Normal 5 6 25" xfId="22428"/>
    <cellStyle name="Normal 5 6 26" xfId="22429"/>
    <cellStyle name="Normal 5 6 27" xfId="22430"/>
    <cellStyle name="Normal 5 6 28" xfId="22431"/>
    <cellStyle name="Normal 5 6 29" xfId="22432"/>
    <cellStyle name="Normal 5 6 3" xfId="11478"/>
    <cellStyle name="Normal 5 6 30" xfId="22433"/>
    <cellStyle name="Normal 5 6 31" xfId="22434"/>
    <cellStyle name="Normal 5 6 32" xfId="22435"/>
    <cellStyle name="Normal 5 6 33" xfId="22436"/>
    <cellStyle name="Normal 5 6 34" xfId="22437"/>
    <cellStyle name="Normal 5 6 35" xfId="22438"/>
    <cellStyle name="Normal 5 6 36" xfId="22439"/>
    <cellStyle name="Normal 5 6 4" xfId="11479"/>
    <cellStyle name="Normal 5 6 5" xfId="11480"/>
    <cellStyle name="Normal 5 6 6" xfId="11481"/>
    <cellStyle name="Normal 5 6 7" xfId="11482"/>
    <cellStyle name="Normal 5 6 8" xfId="11483"/>
    <cellStyle name="Normal 5 6 9" xfId="11484"/>
    <cellStyle name="Normal 5 60" xfId="2037"/>
    <cellStyle name="Normal 5 61" xfId="2041"/>
    <cellStyle name="Normal 5 62" xfId="2045"/>
    <cellStyle name="Normal 5 63" xfId="2049"/>
    <cellStyle name="Normal 5 64" xfId="2053"/>
    <cellStyle name="Normal 5 65" xfId="2057"/>
    <cellStyle name="Normal 5 66" xfId="2061"/>
    <cellStyle name="Normal 5 67" xfId="2069"/>
    <cellStyle name="Normal 5 68" xfId="2068"/>
    <cellStyle name="Normal 5 69" xfId="2074"/>
    <cellStyle name="Normal 5 7" xfId="594"/>
    <cellStyle name="Normal 5 7 10" xfId="11485"/>
    <cellStyle name="Normal 5 7 11" xfId="11486"/>
    <cellStyle name="Normal 5 7 12" xfId="11487"/>
    <cellStyle name="Normal 5 7 13" xfId="11488"/>
    <cellStyle name="Normal 5 7 14" xfId="11489"/>
    <cellStyle name="Normal 5 7 15" xfId="11490"/>
    <cellStyle name="Normal 5 7 16" xfId="11491"/>
    <cellStyle name="Normal 5 7 17" xfId="11492"/>
    <cellStyle name="Normal 5 7 18" xfId="11493"/>
    <cellStyle name="Normal 5 7 19" xfId="11494"/>
    <cellStyle name="Normal 5 7 2" xfId="11495"/>
    <cellStyle name="Normal 5 7 20" xfId="11496"/>
    <cellStyle name="Normal 5 7 21" xfId="11497"/>
    <cellStyle name="Normal 5 7 22" xfId="11498"/>
    <cellStyle name="Normal 5 7 23" xfId="11499"/>
    <cellStyle name="Normal 5 7 24" xfId="22440"/>
    <cellStyle name="Normal 5 7 25" xfId="22441"/>
    <cellStyle name="Normal 5 7 26" xfId="22442"/>
    <cellStyle name="Normal 5 7 27" xfId="22443"/>
    <cellStyle name="Normal 5 7 28" xfId="22444"/>
    <cellStyle name="Normal 5 7 29" xfId="22445"/>
    <cellStyle name="Normal 5 7 3" xfId="11500"/>
    <cellStyle name="Normal 5 7 30" xfId="22446"/>
    <cellStyle name="Normal 5 7 31" xfId="22447"/>
    <cellStyle name="Normal 5 7 32" xfId="22448"/>
    <cellStyle name="Normal 5 7 33" xfId="22449"/>
    <cellStyle name="Normal 5 7 34" xfId="22450"/>
    <cellStyle name="Normal 5 7 35" xfId="22451"/>
    <cellStyle name="Normal 5 7 36" xfId="22452"/>
    <cellStyle name="Normal 5 7 4" xfId="11501"/>
    <cellStyle name="Normal 5 7 5" xfId="11502"/>
    <cellStyle name="Normal 5 7 6" xfId="11503"/>
    <cellStyle name="Normal 5 7 7" xfId="11504"/>
    <cellStyle name="Normal 5 7 8" xfId="11505"/>
    <cellStyle name="Normal 5 7 9" xfId="11506"/>
    <cellStyle name="Normal 5 70" xfId="2132"/>
    <cellStyle name="Normal 5 71" xfId="2931"/>
    <cellStyle name="Normal 5 72" xfId="3011"/>
    <cellStyle name="Normal 5 73" xfId="3076"/>
    <cellStyle name="Normal 5 74" xfId="3132"/>
    <cellStyle name="Normal 5 75" xfId="3182"/>
    <cellStyle name="Normal 5 76" xfId="2527"/>
    <cellStyle name="Normal 5 77" xfId="22453"/>
    <cellStyle name="Normal 5 78" xfId="22454"/>
    <cellStyle name="Normal 5 79" xfId="22455"/>
    <cellStyle name="Normal 5 8" xfId="595"/>
    <cellStyle name="Normal 5 80" xfId="22456"/>
    <cellStyle name="Normal 5 81" xfId="22457"/>
    <cellStyle name="Normal 5 82" xfId="22458"/>
    <cellStyle name="Normal 5 83" xfId="22459"/>
    <cellStyle name="Normal 5 84" xfId="22460"/>
    <cellStyle name="Normal 5 85" xfId="22461"/>
    <cellStyle name="Normal 5 86" xfId="22462"/>
    <cellStyle name="Normal 5 9" xfId="1430"/>
    <cellStyle name="Normal 6" xfId="49"/>
    <cellStyle name="Normal 6 10" xfId="1222"/>
    <cellStyle name="Normal 6 11" xfId="1255"/>
    <cellStyle name="Normal 6 12" xfId="1288"/>
    <cellStyle name="Normal 6 13" xfId="1321"/>
    <cellStyle name="Normal 6 14" xfId="1353"/>
    <cellStyle name="Normal 6 15" xfId="1373"/>
    <cellStyle name="Normal 6 16" xfId="1431"/>
    <cellStyle name="Normal 6 17" xfId="1544"/>
    <cellStyle name="Normal 6 18" xfId="1597"/>
    <cellStyle name="Normal 6 19" xfId="1649"/>
    <cellStyle name="Normal 6 2" xfId="958"/>
    <cellStyle name="Normal 6 20" xfId="1733"/>
    <cellStyle name="Normal 6 21" xfId="1812"/>
    <cellStyle name="Normal 6 22" xfId="2133"/>
    <cellStyle name="Normal 6 23" xfId="2929"/>
    <cellStyle name="Normal 6 24" xfId="3009"/>
    <cellStyle name="Normal 6 25" xfId="3074"/>
    <cellStyle name="Normal 6 26" xfId="3131"/>
    <cellStyle name="Normal 6 27" xfId="3181"/>
    <cellStyle name="Normal 6 28" xfId="3161"/>
    <cellStyle name="Normal 6 3" xfId="991"/>
    <cellStyle name="Normal 6 4" xfId="1024"/>
    <cellStyle name="Normal 6 5" xfId="1056"/>
    <cellStyle name="Normal 6 6" xfId="1088"/>
    <cellStyle name="Normal 6 7" xfId="1108"/>
    <cellStyle name="Normal 6 8" xfId="1156"/>
    <cellStyle name="Normal 6 9" xfId="1190"/>
    <cellStyle name="Normal 67" xfId="27450"/>
    <cellStyle name="Normal 7" xfId="50"/>
    <cellStyle name="Normal 7 10" xfId="1223"/>
    <cellStyle name="Normal 7 11" xfId="1256"/>
    <cellStyle name="Normal 7 12" xfId="1289"/>
    <cellStyle name="Normal 7 13" xfId="1322"/>
    <cellStyle name="Normal 7 14" xfId="1354"/>
    <cellStyle name="Normal 7 15" xfId="1374"/>
    <cellStyle name="Normal 7 16" xfId="1432"/>
    <cellStyle name="Normal 7 17" xfId="1543"/>
    <cellStyle name="Normal 7 18" xfId="1596"/>
    <cellStyle name="Normal 7 19" xfId="1648"/>
    <cellStyle name="Normal 7 2" xfId="959"/>
    <cellStyle name="Normal 7 20" xfId="1734"/>
    <cellStyle name="Normal 7 21" xfId="1811"/>
    <cellStyle name="Normal 7 22" xfId="2134"/>
    <cellStyle name="Normal 7 23" xfId="2924"/>
    <cellStyle name="Normal 7 24" xfId="3006"/>
    <cellStyle name="Normal 7 25" xfId="3072"/>
    <cellStyle name="Normal 7 26" xfId="3129"/>
    <cellStyle name="Normal 7 27" xfId="3180"/>
    <cellStyle name="Normal 7 28" xfId="2685"/>
    <cellStyle name="Normal 7 3" xfId="992"/>
    <cellStyle name="Normal 7 4" xfId="1025"/>
    <cellStyle name="Normal 7 5" xfId="1057"/>
    <cellStyle name="Normal 7 6" xfId="1089"/>
    <cellStyle name="Normal 7 7" xfId="1109"/>
    <cellStyle name="Normal 7 8" xfId="1157"/>
    <cellStyle name="Normal 7 9" xfId="1191"/>
    <cellStyle name="Normal 8" xfId="51"/>
    <cellStyle name="Normal 8 10" xfId="1224"/>
    <cellStyle name="Normal 8 11" xfId="1257"/>
    <cellStyle name="Normal 8 12" xfId="1290"/>
    <cellStyle name="Normal 8 13" xfId="1323"/>
    <cellStyle name="Normal 8 14" xfId="1355"/>
    <cellStyle name="Normal 8 15" xfId="1375"/>
    <cellStyle name="Normal 8 16" xfId="1433"/>
    <cellStyle name="Normal 8 17" xfId="1542"/>
    <cellStyle name="Normal 8 18" xfId="1595"/>
    <cellStyle name="Normal 8 19" xfId="1647"/>
    <cellStyle name="Normal 8 2" xfId="960"/>
    <cellStyle name="Normal 8 20" xfId="1735"/>
    <cellStyle name="Normal 8 21" xfId="1810"/>
    <cellStyle name="Normal 8 22" xfId="2135"/>
    <cellStyle name="Normal 8 23" xfId="2921"/>
    <cellStyle name="Normal 8 24" xfId="3003"/>
    <cellStyle name="Normal 8 25" xfId="3070"/>
    <cellStyle name="Normal 8 26" xfId="3127"/>
    <cellStyle name="Normal 8 27" xfId="3178"/>
    <cellStyle name="Normal 8 28" xfId="3150"/>
    <cellStyle name="Normal 8 3" xfId="993"/>
    <cellStyle name="Normal 8 4" xfId="1026"/>
    <cellStyle name="Normal 8 5" xfId="1058"/>
    <cellStyle name="Normal 8 6" xfId="1090"/>
    <cellStyle name="Normal 8 7" xfId="1110"/>
    <cellStyle name="Normal 8 8" xfId="1158"/>
    <cellStyle name="Normal 8 9" xfId="1192"/>
    <cellStyle name="Normal 89" xfId="27454"/>
    <cellStyle name="Normal 9" xfId="1390"/>
    <cellStyle name="Normal 9 2" xfId="27452"/>
    <cellStyle name="Normal 9 3" xfId="27537"/>
    <cellStyle name="Normal_3Q 2007 - Financial Supplement" xfId="52"/>
    <cellStyle name="Normal_Current Portfolio Analysis_1 2" xfId="110"/>
    <cellStyle name="Normal_Sheet1" xfId="53"/>
    <cellStyle name="Normal_UA GAAP" xfId="926"/>
    <cellStyle name="Percent" xfId="54" builtinId="5"/>
    <cellStyle name="Percent 10" xfId="596"/>
    <cellStyle name="Percent 10 10" xfId="11507"/>
    <cellStyle name="Percent 10 11" xfId="11508"/>
    <cellStyle name="Percent 10 12" xfId="11509"/>
    <cellStyle name="Percent 10 13" xfId="11510"/>
    <cellStyle name="Percent 10 14" xfId="11511"/>
    <cellStyle name="Percent 10 15" xfId="11512"/>
    <cellStyle name="Percent 10 16" xfId="11513"/>
    <cellStyle name="Percent 10 17" xfId="11514"/>
    <cellStyle name="Percent 10 18" xfId="11515"/>
    <cellStyle name="Percent 10 19" xfId="11516"/>
    <cellStyle name="Percent 10 2" xfId="597"/>
    <cellStyle name="Percent 10 2 10" xfId="11517"/>
    <cellStyle name="Percent 10 2 11" xfId="11518"/>
    <cellStyle name="Percent 10 2 12" xfId="11519"/>
    <cellStyle name="Percent 10 2 13" xfId="11520"/>
    <cellStyle name="Percent 10 2 14" xfId="11521"/>
    <cellStyle name="Percent 10 2 15" xfId="11522"/>
    <cellStyle name="Percent 10 2 16" xfId="11523"/>
    <cellStyle name="Percent 10 2 17" xfId="11524"/>
    <cellStyle name="Percent 10 2 18" xfId="11525"/>
    <cellStyle name="Percent 10 2 19" xfId="11526"/>
    <cellStyle name="Percent 10 2 2" xfId="11527"/>
    <cellStyle name="Percent 10 2 20" xfId="11528"/>
    <cellStyle name="Percent 10 2 21" xfId="11529"/>
    <cellStyle name="Percent 10 2 22" xfId="11530"/>
    <cellStyle name="Percent 10 2 23" xfId="22463"/>
    <cellStyle name="Percent 10 2 24" xfId="22464"/>
    <cellStyle name="Percent 10 2 25" xfId="22465"/>
    <cellStyle name="Percent 10 2 26" xfId="22466"/>
    <cellStyle name="Percent 10 2 27" xfId="22467"/>
    <cellStyle name="Percent 10 2 28" xfId="22468"/>
    <cellStyle name="Percent 10 2 29" xfId="22469"/>
    <cellStyle name="Percent 10 2 3" xfId="11531"/>
    <cellStyle name="Percent 10 2 30" xfId="22470"/>
    <cellStyle name="Percent 10 2 31" xfId="22471"/>
    <cellStyle name="Percent 10 2 32" xfId="22472"/>
    <cellStyle name="Percent 10 2 33" xfId="22473"/>
    <cellStyle name="Percent 10 2 34" xfId="22474"/>
    <cellStyle name="Percent 10 2 35" xfId="22475"/>
    <cellStyle name="Percent 10 2 4" xfId="11532"/>
    <cellStyle name="Percent 10 2 5" xfId="11533"/>
    <cellStyle name="Percent 10 2 6" xfId="11534"/>
    <cellStyle name="Percent 10 2 7" xfId="11535"/>
    <cellStyle name="Percent 10 2 8" xfId="11536"/>
    <cellStyle name="Percent 10 2 9" xfId="11537"/>
    <cellStyle name="Percent 10 20" xfId="11538"/>
    <cellStyle name="Percent 10 21" xfId="11539"/>
    <cellStyle name="Percent 10 22" xfId="11540"/>
    <cellStyle name="Percent 10 23" xfId="11541"/>
    <cellStyle name="Percent 10 24" xfId="11542"/>
    <cellStyle name="Percent 10 25" xfId="11543"/>
    <cellStyle name="Percent 10 26" xfId="11544"/>
    <cellStyle name="Percent 10 27" xfId="11545"/>
    <cellStyle name="Percent 10 28" xfId="11546"/>
    <cellStyle name="Percent 10 29" xfId="11547"/>
    <cellStyle name="Percent 10 3" xfId="598"/>
    <cellStyle name="Percent 10 3 10" xfId="11548"/>
    <cellStyle name="Percent 10 3 11" xfId="11549"/>
    <cellStyle name="Percent 10 3 12" xfId="11550"/>
    <cellStyle name="Percent 10 3 13" xfId="11551"/>
    <cellStyle name="Percent 10 3 14" xfId="11552"/>
    <cellStyle name="Percent 10 3 15" xfId="11553"/>
    <cellStyle name="Percent 10 3 16" xfId="11554"/>
    <cellStyle name="Percent 10 3 17" xfId="11555"/>
    <cellStyle name="Percent 10 3 18" xfId="11556"/>
    <cellStyle name="Percent 10 3 19" xfId="11557"/>
    <cellStyle name="Percent 10 3 2" xfId="11558"/>
    <cellStyle name="Percent 10 3 20" xfId="11559"/>
    <cellStyle name="Percent 10 3 21" xfId="11560"/>
    <cellStyle name="Percent 10 3 22" xfId="11561"/>
    <cellStyle name="Percent 10 3 23" xfId="22476"/>
    <cellStyle name="Percent 10 3 24" xfId="22477"/>
    <cellStyle name="Percent 10 3 25" xfId="22478"/>
    <cellStyle name="Percent 10 3 26" xfId="22479"/>
    <cellStyle name="Percent 10 3 27" xfId="22480"/>
    <cellStyle name="Percent 10 3 28" xfId="22481"/>
    <cellStyle name="Percent 10 3 29" xfId="22482"/>
    <cellStyle name="Percent 10 3 3" xfId="11562"/>
    <cellStyle name="Percent 10 3 30" xfId="22483"/>
    <cellStyle name="Percent 10 3 31" xfId="22484"/>
    <cellStyle name="Percent 10 3 32" xfId="22485"/>
    <cellStyle name="Percent 10 3 33" xfId="22486"/>
    <cellStyle name="Percent 10 3 34" xfId="22487"/>
    <cellStyle name="Percent 10 3 35" xfId="22488"/>
    <cellStyle name="Percent 10 3 4" xfId="11563"/>
    <cellStyle name="Percent 10 3 5" xfId="11564"/>
    <cellStyle name="Percent 10 3 6" xfId="11565"/>
    <cellStyle name="Percent 10 3 7" xfId="11566"/>
    <cellStyle name="Percent 10 3 8" xfId="11567"/>
    <cellStyle name="Percent 10 3 9" xfId="11568"/>
    <cellStyle name="Percent 10 30" xfId="11569"/>
    <cellStyle name="Percent 10 31" xfId="22489"/>
    <cellStyle name="Percent 10 32" xfId="22490"/>
    <cellStyle name="Percent 10 33" xfId="22491"/>
    <cellStyle name="Percent 10 34" xfId="22492"/>
    <cellStyle name="Percent 10 35" xfId="22493"/>
    <cellStyle name="Percent 10 36" xfId="22494"/>
    <cellStyle name="Percent 10 37" xfId="22495"/>
    <cellStyle name="Percent 10 38" xfId="22496"/>
    <cellStyle name="Percent 10 39" xfId="22497"/>
    <cellStyle name="Percent 10 4" xfId="599"/>
    <cellStyle name="Percent 10 4 10" xfId="11570"/>
    <cellStyle name="Percent 10 4 11" xfId="11571"/>
    <cellStyle name="Percent 10 4 12" xfId="11572"/>
    <cellStyle name="Percent 10 4 13" xfId="11573"/>
    <cellStyle name="Percent 10 4 14" xfId="11574"/>
    <cellStyle name="Percent 10 4 15" xfId="11575"/>
    <cellStyle name="Percent 10 4 16" xfId="11576"/>
    <cellStyle name="Percent 10 4 17" xfId="11577"/>
    <cellStyle name="Percent 10 4 18" xfId="11578"/>
    <cellStyle name="Percent 10 4 19" xfId="11579"/>
    <cellStyle name="Percent 10 4 2" xfId="11580"/>
    <cellStyle name="Percent 10 4 20" xfId="11581"/>
    <cellStyle name="Percent 10 4 21" xfId="11582"/>
    <cellStyle name="Percent 10 4 22" xfId="11583"/>
    <cellStyle name="Percent 10 4 23" xfId="22498"/>
    <cellStyle name="Percent 10 4 24" xfId="22499"/>
    <cellStyle name="Percent 10 4 25" xfId="22500"/>
    <cellStyle name="Percent 10 4 26" xfId="22501"/>
    <cellStyle name="Percent 10 4 27" xfId="22502"/>
    <cellStyle name="Percent 10 4 28" xfId="22503"/>
    <cellStyle name="Percent 10 4 29" xfId="22504"/>
    <cellStyle name="Percent 10 4 3" xfId="11584"/>
    <cellStyle name="Percent 10 4 30" xfId="22505"/>
    <cellStyle name="Percent 10 4 31" xfId="22506"/>
    <cellStyle name="Percent 10 4 32" xfId="22507"/>
    <cellStyle name="Percent 10 4 33" xfId="22508"/>
    <cellStyle name="Percent 10 4 34" xfId="22509"/>
    <cellStyle name="Percent 10 4 35" xfId="22510"/>
    <cellStyle name="Percent 10 4 4" xfId="11585"/>
    <cellStyle name="Percent 10 4 5" xfId="11586"/>
    <cellStyle name="Percent 10 4 6" xfId="11587"/>
    <cellStyle name="Percent 10 4 7" xfId="11588"/>
    <cellStyle name="Percent 10 4 8" xfId="11589"/>
    <cellStyle name="Percent 10 4 9" xfId="11590"/>
    <cellStyle name="Percent 10 40" xfId="22511"/>
    <cellStyle name="Percent 10 41" xfId="22512"/>
    <cellStyle name="Percent 10 42" xfId="22513"/>
    <cellStyle name="Percent 10 43" xfId="22514"/>
    <cellStyle name="Percent 10 5" xfId="600"/>
    <cellStyle name="Percent 10 5 10" xfId="11591"/>
    <cellStyle name="Percent 10 5 11" xfId="11592"/>
    <cellStyle name="Percent 10 5 12" xfId="11593"/>
    <cellStyle name="Percent 10 5 13" xfId="11594"/>
    <cellStyle name="Percent 10 5 14" xfId="11595"/>
    <cellStyle name="Percent 10 5 15" xfId="11596"/>
    <cellStyle name="Percent 10 5 16" xfId="11597"/>
    <cellStyle name="Percent 10 5 17" xfId="11598"/>
    <cellStyle name="Percent 10 5 18" xfId="11599"/>
    <cellStyle name="Percent 10 5 19" xfId="11600"/>
    <cellStyle name="Percent 10 5 2" xfId="11601"/>
    <cellStyle name="Percent 10 5 20" xfId="11602"/>
    <cellStyle name="Percent 10 5 21" xfId="11603"/>
    <cellStyle name="Percent 10 5 22" xfId="11604"/>
    <cellStyle name="Percent 10 5 23" xfId="22515"/>
    <cellStyle name="Percent 10 5 24" xfId="22516"/>
    <cellStyle name="Percent 10 5 25" xfId="22517"/>
    <cellStyle name="Percent 10 5 26" xfId="22518"/>
    <cellStyle name="Percent 10 5 27" xfId="22519"/>
    <cellStyle name="Percent 10 5 28" xfId="22520"/>
    <cellStyle name="Percent 10 5 29" xfId="22521"/>
    <cellStyle name="Percent 10 5 3" xfId="11605"/>
    <cellStyle name="Percent 10 5 30" xfId="22522"/>
    <cellStyle name="Percent 10 5 31" xfId="22523"/>
    <cellStyle name="Percent 10 5 32" xfId="22524"/>
    <cellStyle name="Percent 10 5 33" xfId="22525"/>
    <cellStyle name="Percent 10 5 34" xfId="22526"/>
    <cellStyle name="Percent 10 5 35" xfId="22527"/>
    <cellStyle name="Percent 10 5 4" xfId="11606"/>
    <cellStyle name="Percent 10 5 5" xfId="11607"/>
    <cellStyle name="Percent 10 5 6" xfId="11608"/>
    <cellStyle name="Percent 10 5 7" xfId="11609"/>
    <cellStyle name="Percent 10 5 8" xfId="11610"/>
    <cellStyle name="Percent 10 5 9" xfId="11611"/>
    <cellStyle name="Percent 10 6" xfId="601"/>
    <cellStyle name="Percent 10 6 10" xfId="11612"/>
    <cellStyle name="Percent 10 6 11" xfId="11613"/>
    <cellStyle name="Percent 10 6 12" xfId="11614"/>
    <cellStyle name="Percent 10 6 13" xfId="11615"/>
    <cellStyle name="Percent 10 6 14" xfId="11616"/>
    <cellStyle name="Percent 10 6 15" xfId="11617"/>
    <cellStyle name="Percent 10 6 16" xfId="11618"/>
    <cellStyle name="Percent 10 6 17" xfId="11619"/>
    <cellStyle name="Percent 10 6 18" xfId="11620"/>
    <cellStyle name="Percent 10 6 19" xfId="11621"/>
    <cellStyle name="Percent 10 6 2" xfId="11622"/>
    <cellStyle name="Percent 10 6 20" xfId="11623"/>
    <cellStyle name="Percent 10 6 21" xfId="11624"/>
    <cellStyle name="Percent 10 6 22" xfId="11625"/>
    <cellStyle name="Percent 10 6 23" xfId="22528"/>
    <cellStyle name="Percent 10 6 24" xfId="22529"/>
    <cellStyle name="Percent 10 6 25" xfId="22530"/>
    <cellStyle name="Percent 10 6 26" xfId="22531"/>
    <cellStyle name="Percent 10 6 27" xfId="22532"/>
    <cellStyle name="Percent 10 6 28" xfId="22533"/>
    <cellStyle name="Percent 10 6 29" xfId="22534"/>
    <cellStyle name="Percent 10 6 3" xfId="11626"/>
    <cellStyle name="Percent 10 6 30" xfId="22535"/>
    <cellStyle name="Percent 10 6 31" xfId="22536"/>
    <cellStyle name="Percent 10 6 32" xfId="22537"/>
    <cellStyle name="Percent 10 6 33" xfId="22538"/>
    <cellStyle name="Percent 10 6 34" xfId="22539"/>
    <cellStyle name="Percent 10 6 35" xfId="22540"/>
    <cellStyle name="Percent 10 6 4" xfId="11627"/>
    <cellStyle name="Percent 10 6 5" xfId="11628"/>
    <cellStyle name="Percent 10 6 6" xfId="11629"/>
    <cellStyle name="Percent 10 6 7" xfId="11630"/>
    <cellStyle name="Percent 10 6 8" xfId="11631"/>
    <cellStyle name="Percent 10 6 9" xfId="11632"/>
    <cellStyle name="Percent 10 7" xfId="602"/>
    <cellStyle name="Percent 10 7 10" xfId="11633"/>
    <cellStyle name="Percent 10 7 11" xfId="11634"/>
    <cellStyle name="Percent 10 7 12" xfId="11635"/>
    <cellStyle name="Percent 10 7 13" xfId="11636"/>
    <cellStyle name="Percent 10 7 14" xfId="11637"/>
    <cellStyle name="Percent 10 7 15" xfId="11638"/>
    <cellStyle name="Percent 10 7 16" xfId="11639"/>
    <cellStyle name="Percent 10 7 17" xfId="11640"/>
    <cellStyle name="Percent 10 7 18" xfId="11641"/>
    <cellStyle name="Percent 10 7 19" xfId="11642"/>
    <cellStyle name="Percent 10 7 2" xfId="11643"/>
    <cellStyle name="Percent 10 7 20" xfId="11644"/>
    <cellStyle name="Percent 10 7 21" xfId="11645"/>
    <cellStyle name="Percent 10 7 22" xfId="11646"/>
    <cellStyle name="Percent 10 7 23" xfId="22541"/>
    <cellStyle name="Percent 10 7 24" xfId="22542"/>
    <cellStyle name="Percent 10 7 25" xfId="22543"/>
    <cellStyle name="Percent 10 7 26" xfId="22544"/>
    <cellStyle name="Percent 10 7 27" xfId="22545"/>
    <cellStyle name="Percent 10 7 28" xfId="22546"/>
    <cellStyle name="Percent 10 7 29" xfId="22547"/>
    <cellStyle name="Percent 10 7 3" xfId="11647"/>
    <cellStyle name="Percent 10 7 30" xfId="22548"/>
    <cellStyle name="Percent 10 7 31" xfId="22549"/>
    <cellStyle name="Percent 10 7 32" xfId="22550"/>
    <cellStyle name="Percent 10 7 33" xfId="22551"/>
    <cellStyle name="Percent 10 7 34" xfId="22552"/>
    <cellStyle name="Percent 10 7 35" xfId="22553"/>
    <cellStyle name="Percent 10 7 4" xfId="11648"/>
    <cellStyle name="Percent 10 7 5" xfId="11649"/>
    <cellStyle name="Percent 10 7 6" xfId="11650"/>
    <cellStyle name="Percent 10 7 7" xfId="11651"/>
    <cellStyle name="Percent 10 7 8" xfId="11652"/>
    <cellStyle name="Percent 10 7 9" xfId="11653"/>
    <cellStyle name="Percent 10 8" xfId="603"/>
    <cellStyle name="Percent 10 9" xfId="11654"/>
    <cellStyle name="Percent 11" xfId="604"/>
    <cellStyle name="Percent 11 10" xfId="11655"/>
    <cellStyle name="Percent 11 11" xfId="11656"/>
    <cellStyle name="Percent 11 12" xfId="11657"/>
    <cellStyle name="Percent 11 13" xfId="11658"/>
    <cellStyle name="Percent 11 14" xfId="11659"/>
    <cellStyle name="Percent 11 15" xfId="11660"/>
    <cellStyle name="Percent 11 16" xfId="11661"/>
    <cellStyle name="Percent 11 17" xfId="11662"/>
    <cellStyle name="Percent 11 18" xfId="11663"/>
    <cellStyle name="Percent 11 19" xfId="11664"/>
    <cellStyle name="Percent 11 2" xfId="605"/>
    <cellStyle name="Percent 11 2 10" xfId="11665"/>
    <cellStyle name="Percent 11 2 11" xfId="11666"/>
    <cellStyle name="Percent 11 2 12" xfId="11667"/>
    <cellStyle name="Percent 11 2 13" xfId="11668"/>
    <cellStyle name="Percent 11 2 14" xfId="11669"/>
    <cellStyle name="Percent 11 2 15" xfId="11670"/>
    <cellStyle name="Percent 11 2 16" xfId="11671"/>
    <cellStyle name="Percent 11 2 17" xfId="11672"/>
    <cellStyle name="Percent 11 2 18" xfId="11673"/>
    <cellStyle name="Percent 11 2 19" xfId="11674"/>
    <cellStyle name="Percent 11 2 2" xfId="11675"/>
    <cellStyle name="Percent 11 2 20" xfId="11676"/>
    <cellStyle name="Percent 11 2 21" xfId="11677"/>
    <cellStyle name="Percent 11 2 22" xfId="11678"/>
    <cellStyle name="Percent 11 2 23" xfId="22554"/>
    <cellStyle name="Percent 11 2 24" xfId="22555"/>
    <cellStyle name="Percent 11 2 25" xfId="22556"/>
    <cellStyle name="Percent 11 2 26" xfId="22557"/>
    <cellStyle name="Percent 11 2 27" xfId="22558"/>
    <cellStyle name="Percent 11 2 28" xfId="22559"/>
    <cellStyle name="Percent 11 2 29" xfId="22560"/>
    <cellStyle name="Percent 11 2 3" xfId="11679"/>
    <cellStyle name="Percent 11 2 30" xfId="22561"/>
    <cellStyle name="Percent 11 2 31" xfId="22562"/>
    <cellStyle name="Percent 11 2 32" xfId="22563"/>
    <cellStyle name="Percent 11 2 33" xfId="22564"/>
    <cellStyle name="Percent 11 2 34" xfId="22565"/>
    <cellStyle name="Percent 11 2 35" xfId="22566"/>
    <cellStyle name="Percent 11 2 4" xfId="11680"/>
    <cellStyle name="Percent 11 2 5" xfId="11681"/>
    <cellStyle name="Percent 11 2 6" xfId="11682"/>
    <cellStyle name="Percent 11 2 7" xfId="11683"/>
    <cellStyle name="Percent 11 2 8" xfId="11684"/>
    <cellStyle name="Percent 11 2 9" xfId="11685"/>
    <cellStyle name="Percent 11 20" xfId="11686"/>
    <cellStyle name="Percent 11 21" xfId="11687"/>
    <cellStyle name="Percent 11 22" xfId="11688"/>
    <cellStyle name="Percent 11 23" xfId="11689"/>
    <cellStyle name="Percent 11 24" xfId="11690"/>
    <cellStyle name="Percent 11 25" xfId="11691"/>
    <cellStyle name="Percent 11 26" xfId="11692"/>
    <cellStyle name="Percent 11 27" xfId="11693"/>
    <cellStyle name="Percent 11 28" xfId="11694"/>
    <cellStyle name="Percent 11 29" xfId="11695"/>
    <cellStyle name="Percent 11 3" xfId="606"/>
    <cellStyle name="Percent 11 3 10" xfId="11696"/>
    <cellStyle name="Percent 11 3 11" xfId="11697"/>
    <cellStyle name="Percent 11 3 12" xfId="11698"/>
    <cellStyle name="Percent 11 3 13" xfId="11699"/>
    <cellStyle name="Percent 11 3 14" xfId="11700"/>
    <cellStyle name="Percent 11 3 15" xfId="11701"/>
    <cellStyle name="Percent 11 3 16" xfId="11702"/>
    <cellStyle name="Percent 11 3 17" xfId="11703"/>
    <cellStyle name="Percent 11 3 18" xfId="11704"/>
    <cellStyle name="Percent 11 3 19" xfId="11705"/>
    <cellStyle name="Percent 11 3 2" xfId="11706"/>
    <cellStyle name="Percent 11 3 20" xfId="11707"/>
    <cellStyle name="Percent 11 3 21" xfId="11708"/>
    <cellStyle name="Percent 11 3 22" xfId="11709"/>
    <cellStyle name="Percent 11 3 23" xfId="22567"/>
    <cellStyle name="Percent 11 3 24" xfId="22568"/>
    <cellStyle name="Percent 11 3 25" xfId="22569"/>
    <cellStyle name="Percent 11 3 26" xfId="22570"/>
    <cellStyle name="Percent 11 3 27" xfId="22571"/>
    <cellStyle name="Percent 11 3 28" xfId="22572"/>
    <cellStyle name="Percent 11 3 29" xfId="22573"/>
    <cellStyle name="Percent 11 3 3" xfId="11710"/>
    <cellStyle name="Percent 11 3 30" xfId="22574"/>
    <cellStyle name="Percent 11 3 31" xfId="22575"/>
    <cellStyle name="Percent 11 3 32" xfId="22576"/>
    <cellStyle name="Percent 11 3 33" xfId="22577"/>
    <cellStyle name="Percent 11 3 34" xfId="22578"/>
    <cellStyle name="Percent 11 3 35" xfId="22579"/>
    <cellStyle name="Percent 11 3 4" xfId="11711"/>
    <cellStyle name="Percent 11 3 5" xfId="11712"/>
    <cellStyle name="Percent 11 3 6" xfId="11713"/>
    <cellStyle name="Percent 11 3 7" xfId="11714"/>
    <cellStyle name="Percent 11 3 8" xfId="11715"/>
    <cellStyle name="Percent 11 3 9" xfId="11716"/>
    <cellStyle name="Percent 11 30" xfId="11717"/>
    <cellStyle name="Percent 11 31" xfId="22580"/>
    <cellStyle name="Percent 11 32" xfId="22581"/>
    <cellStyle name="Percent 11 33" xfId="22582"/>
    <cellStyle name="Percent 11 34" xfId="22583"/>
    <cellStyle name="Percent 11 35" xfId="22584"/>
    <cellStyle name="Percent 11 36" xfId="22585"/>
    <cellStyle name="Percent 11 37" xfId="22586"/>
    <cellStyle name="Percent 11 38" xfId="22587"/>
    <cellStyle name="Percent 11 39" xfId="22588"/>
    <cellStyle name="Percent 11 4" xfId="607"/>
    <cellStyle name="Percent 11 4 10" xfId="11718"/>
    <cellStyle name="Percent 11 4 11" xfId="11719"/>
    <cellStyle name="Percent 11 4 12" xfId="11720"/>
    <cellStyle name="Percent 11 4 13" xfId="11721"/>
    <cellStyle name="Percent 11 4 14" xfId="11722"/>
    <cellStyle name="Percent 11 4 15" xfId="11723"/>
    <cellStyle name="Percent 11 4 16" xfId="11724"/>
    <cellStyle name="Percent 11 4 17" xfId="11725"/>
    <cellStyle name="Percent 11 4 18" xfId="11726"/>
    <cellStyle name="Percent 11 4 19" xfId="11727"/>
    <cellStyle name="Percent 11 4 2" xfId="11728"/>
    <cellStyle name="Percent 11 4 20" xfId="11729"/>
    <cellStyle name="Percent 11 4 21" xfId="11730"/>
    <cellStyle name="Percent 11 4 22" xfId="11731"/>
    <cellStyle name="Percent 11 4 23" xfId="22589"/>
    <cellStyle name="Percent 11 4 24" xfId="22590"/>
    <cellStyle name="Percent 11 4 25" xfId="22591"/>
    <cellStyle name="Percent 11 4 26" xfId="22592"/>
    <cellStyle name="Percent 11 4 27" xfId="22593"/>
    <cellStyle name="Percent 11 4 28" xfId="22594"/>
    <cellStyle name="Percent 11 4 29" xfId="22595"/>
    <cellStyle name="Percent 11 4 3" xfId="11732"/>
    <cellStyle name="Percent 11 4 30" xfId="22596"/>
    <cellStyle name="Percent 11 4 31" xfId="22597"/>
    <cellStyle name="Percent 11 4 32" xfId="22598"/>
    <cellStyle name="Percent 11 4 33" xfId="22599"/>
    <cellStyle name="Percent 11 4 34" xfId="22600"/>
    <cellStyle name="Percent 11 4 35" xfId="22601"/>
    <cellStyle name="Percent 11 4 4" xfId="11733"/>
    <cellStyle name="Percent 11 4 5" xfId="11734"/>
    <cellStyle name="Percent 11 4 6" xfId="11735"/>
    <cellStyle name="Percent 11 4 7" xfId="11736"/>
    <cellStyle name="Percent 11 4 8" xfId="11737"/>
    <cellStyle name="Percent 11 4 9" xfId="11738"/>
    <cellStyle name="Percent 11 40" xfId="22602"/>
    <cellStyle name="Percent 11 41" xfId="22603"/>
    <cellStyle name="Percent 11 42" xfId="22604"/>
    <cellStyle name="Percent 11 43" xfId="22605"/>
    <cellStyle name="Percent 11 5" xfId="608"/>
    <cellStyle name="Percent 11 5 10" xfId="11739"/>
    <cellStyle name="Percent 11 5 11" xfId="11740"/>
    <cellStyle name="Percent 11 5 12" xfId="11741"/>
    <cellStyle name="Percent 11 5 13" xfId="11742"/>
    <cellStyle name="Percent 11 5 14" xfId="11743"/>
    <cellStyle name="Percent 11 5 15" xfId="11744"/>
    <cellStyle name="Percent 11 5 16" xfId="11745"/>
    <cellStyle name="Percent 11 5 17" xfId="11746"/>
    <cellStyle name="Percent 11 5 18" xfId="11747"/>
    <cellStyle name="Percent 11 5 19" xfId="11748"/>
    <cellStyle name="Percent 11 5 2" xfId="11749"/>
    <cellStyle name="Percent 11 5 20" xfId="11750"/>
    <cellStyle name="Percent 11 5 21" xfId="11751"/>
    <cellStyle name="Percent 11 5 22" xfId="11752"/>
    <cellStyle name="Percent 11 5 23" xfId="22606"/>
    <cellStyle name="Percent 11 5 24" xfId="22607"/>
    <cellStyle name="Percent 11 5 25" xfId="22608"/>
    <cellStyle name="Percent 11 5 26" xfId="22609"/>
    <cellStyle name="Percent 11 5 27" xfId="22610"/>
    <cellStyle name="Percent 11 5 28" xfId="22611"/>
    <cellStyle name="Percent 11 5 29" xfId="22612"/>
    <cellStyle name="Percent 11 5 3" xfId="11753"/>
    <cellStyle name="Percent 11 5 30" xfId="22613"/>
    <cellStyle name="Percent 11 5 31" xfId="22614"/>
    <cellStyle name="Percent 11 5 32" xfId="22615"/>
    <cellStyle name="Percent 11 5 33" xfId="22616"/>
    <cellStyle name="Percent 11 5 34" xfId="22617"/>
    <cellStyle name="Percent 11 5 35" xfId="22618"/>
    <cellStyle name="Percent 11 5 4" xfId="11754"/>
    <cellStyle name="Percent 11 5 5" xfId="11755"/>
    <cellStyle name="Percent 11 5 6" xfId="11756"/>
    <cellStyle name="Percent 11 5 7" xfId="11757"/>
    <cellStyle name="Percent 11 5 8" xfId="11758"/>
    <cellStyle name="Percent 11 5 9" xfId="11759"/>
    <cellStyle name="Percent 11 6" xfId="609"/>
    <cellStyle name="Percent 11 6 10" xfId="11760"/>
    <cellStyle name="Percent 11 6 11" xfId="11761"/>
    <cellStyle name="Percent 11 6 12" xfId="11762"/>
    <cellStyle name="Percent 11 6 13" xfId="11763"/>
    <cellStyle name="Percent 11 6 14" xfId="11764"/>
    <cellStyle name="Percent 11 6 15" xfId="11765"/>
    <cellStyle name="Percent 11 6 16" xfId="11766"/>
    <cellStyle name="Percent 11 6 17" xfId="11767"/>
    <cellStyle name="Percent 11 6 18" xfId="11768"/>
    <cellStyle name="Percent 11 6 19" xfId="11769"/>
    <cellStyle name="Percent 11 6 2" xfId="11770"/>
    <cellStyle name="Percent 11 6 20" xfId="11771"/>
    <cellStyle name="Percent 11 6 21" xfId="11772"/>
    <cellStyle name="Percent 11 6 22" xfId="11773"/>
    <cellStyle name="Percent 11 6 23" xfId="22619"/>
    <cellStyle name="Percent 11 6 24" xfId="22620"/>
    <cellStyle name="Percent 11 6 25" xfId="22621"/>
    <cellStyle name="Percent 11 6 26" xfId="22622"/>
    <cellStyle name="Percent 11 6 27" xfId="22623"/>
    <cellStyle name="Percent 11 6 28" xfId="22624"/>
    <cellStyle name="Percent 11 6 29" xfId="22625"/>
    <cellStyle name="Percent 11 6 3" xfId="11774"/>
    <cellStyle name="Percent 11 6 30" xfId="22626"/>
    <cellStyle name="Percent 11 6 31" xfId="22627"/>
    <cellStyle name="Percent 11 6 32" xfId="22628"/>
    <cellStyle name="Percent 11 6 33" xfId="22629"/>
    <cellStyle name="Percent 11 6 34" xfId="22630"/>
    <cellStyle name="Percent 11 6 35" xfId="22631"/>
    <cellStyle name="Percent 11 6 4" xfId="11775"/>
    <cellStyle name="Percent 11 6 5" xfId="11776"/>
    <cellStyle name="Percent 11 6 6" xfId="11777"/>
    <cellStyle name="Percent 11 6 7" xfId="11778"/>
    <cellStyle name="Percent 11 6 8" xfId="11779"/>
    <cellStyle name="Percent 11 6 9" xfId="11780"/>
    <cellStyle name="Percent 11 7" xfId="610"/>
    <cellStyle name="Percent 11 7 10" xfId="11781"/>
    <cellStyle name="Percent 11 7 11" xfId="11782"/>
    <cellStyle name="Percent 11 7 12" xfId="11783"/>
    <cellStyle name="Percent 11 7 13" xfId="11784"/>
    <cellStyle name="Percent 11 7 14" xfId="11785"/>
    <cellStyle name="Percent 11 7 15" xfId="11786"/>
    <cellStyle name="Percent 11 7 16" xfId="11787"/>
    <cellStyle name="Percent 11 7 17" xfId="11788"/>
    <cellStyle name="Percent 11 7 18" xfId="11789"/>
    <cellStyle name="Percent 11 7 19" xfId="11790"/>
    <cellStyle name="Percent 11 7 2" xfId="11791"/>
    <cellStyle name="Percent 11 7 20" xfId="11792"/>
    <cellStyle name="Percent 11 7 21" xfId="11793"/>
    <cellStyle name="Percent 11 7 22" xfId="11794"/>
    <cellStyle name="Percent 11 7 23" xfId="22632"/>
    <cellStyle name="Percent 11 7 24" xfId="22633"/>
    <cellStyle name="Percent 11 7 25" xfId="22634"/>
    <cellStyle name="Percent 11 7 26" xfId="22635"/>
    <cellStyle name="Percent 11 7 27" xfId="22636"/>
    <cellStyle name="Percent 11 7 28" xfId="22637"/>
    <cellStyle name="Percent 11 7 29" xfId="22638"/>
    <cellStyle name="Percent 11 7 3" xfId="11795"/>
    <cellStyle name="Percent 11 7 30" xfId="22639"/>
    <cellStyle name="Percent 11 7 31" xfId="22640"/>
    <cellStyle name="Percent 11 7 32" xfId="22641"/>
    <cellStyle name="Percent 11 7 33" xfId="22642"/>
    <cellStyle name="Percent 11 7 34" xfId="22643"/>
    <cellStyle name="Percent 11 7 35" xfId="22644"/>
    <cellStyle name="Percent 11 7 4" xfId="11796"/>
    <cellStyle name="Percent 11 7 5" xfId="11797"/>
    <cellStyle name="Percent 11 7 6" xfId="11798"/>
    <cellStyle name="Percent 11 7 7" xfId="11799"/>
    <cellStyle name="Percent 11 7 8" xfId="11800"/>
    <cellStyle name="Percent 11 7 9" xfId="11801"/>
    <cellStyle name="Percent 11 8" xfId="611"/>
    <cellStyle name="Percent 11 9" xfId="11802"/>
    <cellStyle name="Percent 12" xfId="55"/>
    <cellStyle name="Percent 12 10" xfId="612"/>
    <cellStyle name="Percent 12 10 10" xfId="11803"/>
    <cellStyle name="Percent 12 10 11" xfId="11804"/>
    <cellStyle name="Percent 12 10 12" xfId="11805"/>
    <cellStyle name="Percent 12 10 13" xfId="11806"/>
    <cellStyle name="Percent 12 10 14" xfId="11807"/>
    <cellStyle name="Percent 12 10 15" xfId="11808"/>
    <cellStyle name="Percent 12 10 16" xfId="11809"/>
    <cellStyle name="Percent 12 10 17" xfId="11810"/>
    <cellStyle name="Percent 12 10 18" xfId="11811"/>
    <cellStyle name="Percent 12 10 19" xfId="11812"/>
    <cellStyle name="Percent 12 10 2" xfId="11813"/>
    <cellStyle name="Percent 12 10 20" xfId="11814"/>
    <cellStyle name="Percent 12 10 21" xfId="11815"/>
    <cellStyle name="Percent 12 10 22" xfId="11816"/>
    <cellStyle name="Percent 12 10 23" xfId="22645"/>
    <cellStyle name="Percent 12 10 24" xfId="22646"/>
    <cellStyle name="Percent 12 10 25" xfId="22647"/>
    <cellStyle name="Percent 12 10 26" xfId="22648"/>
    <cellStyle name="Percent 12 10 27" xfId="22649"/>
    <cellStyle name="Percent 12 10 28" xfId="22650"/>
    <cellStyle name="Percent 12 10 29" xfId="22651"/>
    <cellStyle name="Percent 12 10 3" xfId="11817"/>
    <cellStyle name="Percent 12 10 30" xfId="22652"/>
    <cellStyle name="Percent 12 10 31" xfId="22653"/>
    <cellStyle name="Percent 12 10 32" xfId="22654"/>
    <cellStyle name="Percent 12 10 33" xfId="22655"/>
    <cellStyle name="Percent 12 10 34" xfId="22656"/>
    <cellStyle name="Percent 12 10 35" xfId="22657"/>
    <cellStyle name="Percent 12 10 4" xfId="11818"/>
    <cellStyle name="Percent 12 10 5" xfId="11819"/>
    <cellStyle name="Percent 12 10 6" xfId="11820"/>
    <cellStyle name="Percent 12 10 7" xfId="11821"/>
    <cellStyle name="Percent 12 10 8" xfId="11822"/>
    <cellStyle name="Percent 12 10 9" xfId="11823"/>
    <cellStyle name="Percent 12 11" xfId="613"/>
    <cellStyle name="Percent 12 11 10" xfId="11824"/>
    <cellStyle name="Percent 12 11 11" xfId="11825"/>
    <cellStyle name="Percent 12 11 12" xfId="11826"/>
    <cellStyle name="Percent 12 11 13" xfId="11827"/>
    <cellStyle name="Percent 12 11 14" xfId="11828"/>
    <cellStyle name="Percent 12 11 15" xfId="11829"/>
    <cellStyle name="Percent 12 11 16" xfId="11830"/>
    <cellStyle name="Percent 12 11 17" xfId="11831"/>
    <cellStyle name="Percent 12 11 18" xfId="11832"/>
    <cellStyle name="Percent 12 11 19" xfId="11833"/>
    <cellStyle name="Percent 12 11 2" xfId="11834"/>
    <cellStyle name="Percent 12 11 20" xfId="11835"/>
    <cellStyle name="Percent 12 11 21" xfId="11836"/>
    <cellStyle name="Percent 12 11 22" xfId="11837"/>
    <cellStyle name="Percent 12 11 23" xfId="22658"/>
    <cellStyle name="Percent 12 11 24" xfId="22659"/>
    <cellStyle name="Percent 12 11 25" xfId="22660"/>
    <cellStyle name="Percent 12 11 26" xfId="22661"/>
    <cellStyle name="Percent 12 11 27" xfId="22662"/>
    <cellStyle name="Percent 12 11 28" xfId="22663"/>
    <cellStyle name="Percent 12 11 29" xfId="22664"/>
    <cellStyle name="Percent 12 11 3" xfId="11838"/>
    <cellStyle name="Percent 12 11 30" xfId="22665"/>
    <cellStyle name="Percent 12 11 31" xfId="22666"/>
    <cellStyle name="Percent 12 11 32" xfId="22667"/>
    <cellStyle name="Percent 12 11 33" xfId="22668"/>
    <cellStyle name="Percent 12 11 34" xfId="22669"/>
    <cellStyle name="Percent 12 11 35" xfId="22670"/>
    <cellStyle name="Percent 12 11 4" xfId="11839"/>
    <cellStyle name="Percent 12 11 5" xfId="11840"/>
    <cellStyle name="Percent 12 11 6" xfId="11841"/>
    <cellStyle name="Percent 12 11 7" xfId="11842"/>
    <cellStyle name="Percent 12 11 8" xfId="11843"/>
    <cellStyle name="Percent 12 11 9" xfId="11844"/>
    <cellStyle name="Percent 12 12" xfId="614"/>
    <cellStyle name="Percent 12 12 10" xfId="11845"/>
    <cellStyle name="Percent 12 12 11" xfId="11846"/>
    <cellStyle name="Percent 12 12 12" xfId="11847"/>
    <cellStyle name="Percent 12 12 13" xfId="11848"/>
    <cellStyle name="Percent 12 12 14" xfId="11849"/>
    <cellStyle name="Percent 12 12 15" xfId="11850"/>
    <cellStyle name="Percent 12 12 16" xfId="11851"/>
    <cellStyle name="Percent 12 12 17" xfId="11852"/>
    <cellStyle name="Percent 12 12 18" xfId="11853"/>
    <cellStyle name="Percent 12 12 19" xfId="11854"/>
    <cellStyle name="Percent 12 12 2" xfId="11855"/>
    <cellStyle name="Percent 12 12 20" xfId="11856"/>
    <cellStyle name="Percent 12 12 21" xfId="11857"/>
    <cellStyle name="Percent 12 12 22" xfId="11858"/>
    <cellStyle name="Percent 12 12 23" xfId="22671"/>
    <cellStyle name="Percent 12 12 24" xfId="22672"/>
    <cellStyle name="Percent 12 12 25" xfId="22673"/>
    <cellStyle name="Percent 12 12 26" xfId="22674"/>
    <cellStyle name="Percent 12 12 27" xfId="22675"/>
    <cellStyle name="Percent 12 12 28" xfId="22676"/>
    <cellStyle name="Percent 12 12 29" xfId="22677"/>
    <cellStyle name="Percent 12 12 3" xfId="11859"/>
    <cellStyle name="Percent 12 12 30" xfId="22678"/>
    <cellStyle name="Percent 12 12 31" xfId="22679"/>
    <cellStyle name="Percent 12 12 32" xfId="22680"/>
    <cellStyle name="Percent 12 12 33" xfId="22681"/>
    <cellStyle name="Percent 12 12 34" xfId="22682"/>
    <cellStyle name="Percent 12 12 35" xfId="22683"/>
    <cellStyle name="Percent 12 12 4" xfId="11860"/>
    <cellStyle name="Percent 12 12 5" xfId="11861"/>
    <cellStyle name="Percent 12 12 6" xfId="11862"/>
    <cellStyle name="Percent 12 12 7" xfId="11863"/>
    <cellStyle name="Percent 12 12 8" xfId="11864"/>
    <cellStyle name="Percent 12 12 9" xfId="11865"/>
    <cellStyle name="Percent 12 13" xfId="615"/>
    <cellStyle name="Percent 12 13 10" xfId="11866"/>
    <cellStyle name="Percent 12 13 11" xfId="11867"/>
    <cellStyle name="Percent 12 13 12" xfId="11868"/>
    <cellStyle name="Percent 12 13 13" xfId="11869"/>
    <cellStyle name="Percent 12 13 14" xfId="11870"/>
    <cellStyle name="Percent 12 13 15" xfId="11871"/>
    <cellStyle name="Percent 12 13 16" xfId="11872"/>
    <cellStyle name="Percent 12 13 17" xfId="11873"/>
    <cellStyle name="Percent 12 13 18" xfId="11874"/>
    <cellStyle name="Percent 12 13 19" xfId="11875"/>
    <cellStyle name="Percent 12 13 2" xfId="11876"/>
    <cellStyle name="Percent 12 13 20" xfId="11877"/>
    <cellStyle name="Percent 12 13 21" xfId="11878"/>
    <cellStyle name="Percent 12 13 22" xfId="11879"/>
    <cellStyle name="Percent 12 13 23" xfId="22684"/>
    <cellStyle name="Percent 12 13 24" xfId="22685"/>
    <cellStyle name="Percent 12 13 25" xfId="22686"/>
    <cellStyle name="Percent 12 13 26" xfId="22687"/>
    <cellStyle name="Percent 12 13 27" xfId="22688"/>
    <cellStyle name="Percent 12 13 28" xfId="22689"/>
    <cellStyle name="Percent 12 13 29" xfId="22690"/>
    <cellStyle name="Percent 12 13 3" xfId="11880"/>
    <cellStyle name="Percent 12 13 30" xfId="22691"/>
    <cellStyle name="Percent 12 13 31" xfId="22692"/>
    <cellStyle name="Percent 12 13 32" xfId="22693"/>
    <cellStyle name="Percent 12 13 33" xfId="22694"/>
    <cellStyle name="Percent 12 13 34" xfId="22695"/>
    <cellStyle name="Percent 12 13 35" xfId="22696"/>
    <cellStyle name="Percent 12 13 4" xfId="11881"/>
    <cellStyle name="Percent 12 13 5" xfId="11882"/>
    <cellStyle name="Percent 12 13 6" xfId="11883"/>
    <cellStyle name="Percent 12 13 7" xfId="11884"/>
    <cellStyle name="Percent 12 13 8" xfId="11885"/>
    <cellStyle name="Percent 12 13 9" xfId="11886"/>
    <cellStyle name="Percent 12 14" xfId="616"/>
    <cellStyle name="Percent 12 14 10" xfId="11887"/>
    <cellStyle name="Percent 12 14 11" xfId="11888"/>
    <cellStyle name="Percent 12 14 12" xfId="11889"/>
    <cellStyle name="Percent 12 14 13" xfId="11890"/>
    <cellStyle name="Percent 12 14 14" xfId="11891"/>
    <cellStyle name="Percent 12 14 15" xfId="11892"/>
    <cellStyle name="Percent 12 14 16" xfId="11893"/>
    <cellStyle name="Percent 12 14 17" xfId="11894"/>
    <cellStyle name="Percent 12 14 18" xfId="11895"/>
    <cellStyle name="Percent 12 14 19" xfId="11896"/>
    <cellStyle name="Percent 12 14 2" xfId="11897"/>
    <cellStyle name="Percent 12 14 20" xfId="11898"/>
    <cellStyle name="Percent 12 14 21" xfId="11899"/>
    <cellStyle name="Percent 12 14 22" xfId="11900"/>
    <cellStyle name="Percent 12 14 23" xfId="22697"/>
    <cellStyle name="Percent 12 14 24" xfId="22698"/>
    <cellStyle name="Percent 12 14 25" xfId="22699"/>
    <cellStyle name="Percent 12 14 26" xfId="22700"/>
    <cellStyle name="Percent 12 14 27" xfId="22701"/>
    <cellStyle name="Percent 12 14 28" xfId="22702"/>
    <cellStyle name="Percent 12 14 29" xfId="22703"/>
    <cellStyle name="Percent 12 14 3" xfId="11901"/>
    <cellStyle name="Percent 12 14 30" xfId="22704"/>
    <cellStyle name="Percent 12 14 31" xfId="22705"/>
    <cellStyle name="Percent 12 14 32" xfId="22706"/>
    <cellStyle name="Percent 12 14 33" xfId="22707"/>
    <cellStyle name="Percent 12 14 34" xfId="22708"/>
    <cellStyle name="Percent 12 14 35" xfId="22709"/>
    <cellStyle name="Percent 12 14 4" xfId="11902"/>
    <cellStyle name="Percent 12 14 5" xfId="11903"/>
    <cellStyle name="Percent 12 14 6" xfId="11904"/>
    <cellStyle name="Percent 12 14 7" xfId="11905"/>
    <cellStyle name="Percent 12 14 8" xfId="11906"/>
    <cellStyle name="Percent 12 14 9" xfId="11907"/>
    <cellStyle name="Percent 12 15" xfId="617"/>
    <cellStyle name="Percent 12 16" xfId="962"/>
    <cellStyle name="Percent 12 17" xfId="997"/>
    <cellStyle name="Percent 12 18" xfId="1030"/>
    <cellStyle name="Percent 12 19" xfId="1061"/>
    <cellStyle name="Percent 12 2" xfId="108"/>
    <cellStyle name="Percent 12 2 10" xfId="11908"/>
    <cellStyle name="Percent 12 2 11" xfId="11909"/>
    <cellStyle name="Percent 12 2 12" xfId="11910"/>
    <cellStyle name="Percent 12 2 13" xfId="11911"/>
    <cellStyle name="Percent 12 2 14" xfId="11912"/>
    <cellStyle name="Percent 12 2 15" xfId="11913"/>
    <cellStyle name="Percent 12 2 16" xfId="11914"/>
    <cellStyle name="Percent 12 2 17" xfId="11915"/>
    <cellStyle name="Percent 12 2 18" xfId="11916"/>
    <cellStyle name="Percent 12 2 19" xfId="11917"/>
    <cellStyle name="Percent 12 2 2" xfId="11918"/>
    <cellStyle name="Percent 12 2 20" xfId="11919"/>
    <cellStyle name="Percent 12 2 21" xfId="11920"/>
    <cellStyle name="Percent 12 2 22" xfId="11921"/>
    <cellStyle name="Percent 12 2 23" xfId="22710"/>
    <cellStyle name="Percent 12 2 24" xfId="22711"/>
    <cellStyle name="Percent 12 2 25" xfId="22712"/>
    <cellStyle name="Percent 12 2 26" xfId="22713"/>
    <cellStyle name="Percent 12 2 27" xfId="22714"/>
    <cellStyle name="Percent 12 2 28" xfId="22715"/>
    <cellStyle name="Percent 12 2 29" xfId="22716"/>
    <cellStyle name="Percent 12 2 3" xfId="11922"/>
    <cellStyle name="Percent 12 2 30" xfId="22717"/>
    <cellStyle name="Percent 12 2 31" xfId="22718"/>
    <cellStyle name="Percent 12 2 32" xfId="22719"/>
    <cellStyle name="Percent 12 2 33" xfId="22720"/>
    <cellStyle name="Percent 12 2 34" xfId="22721"/>
    <cellStyle name="Percent 12 2 35" xfId="22722"/>
    <cellStyle name="Percent 12 2 4" xfId="11923"/>
    <cellStyle name="Percent 12 2 5" xfId="11924"/>
    <cellStyle name="Percent 12 2 6" xfId="11925"/>
    <cellStyle name="Percent 12 2 7" xfId="11926"/>
    <cellStyle name="Percent 12 2 8" xfId="11927"/>
    <cellStyle name="Percent 12 2 9" xfId="11928"/>
    <cellStyle name="Percent 12 20" xfId="1091"/>
    <cellStyle name="Percent 12 21" xfId="1112"/>
    <cellStyle name="Percent 12 22" xfId="1160"/>
    <cellStyle name="Percent 12 23" xfId="1196"/>
    <cellStyle name="Percent 12 24" xfId="1228"/>
    <cellStyle name="Percent 12 25" xfId="1261"/>
    <cellStyle name="Percent 12 26" xfId="1294"/>
    <cellStyle name="Percent 12 27" xfId="1326"/>
    <cellStyle name="Percent 12 28" xfId="1356"/>
    <cellStyle name="Percent 12 29" xfId="1377"/>
    <cellStyle name="Percent 12 3" xfId="618"/>
    <cellStyle name="Percent 12 3 10" xfId="11929"/>
    <cellStyle name="Percent 12 3 11" xfId="11930"/>
    <cellStyle name="Percent 12 3 12" xfId="11931"/>
    <cellStyle name="Percent 12 3 13" xfId="11932"/>
    <cellStyle name="Percent 12 3 14" xfId="11933"/>
    <cellStyle name="Percent 12 3 15" xfId="11934"/>
    <cellStyle name="Percent 12 3 16" xfId="11935"/>
    <cellStyle name="Percent 12 3 17" xfId="11936"/>
    <cellStyle name="Percent 12 3 18" xfId="11937"/>
    <cellStyle name="Percent 12 3 19" xfId="11938"/>
    <cellStyle name="Percent 12 3 2" xfId="11939"/>
    <cellStyle name="Percent 12 3 20" xfId="11940"/>
    <cellStyle name="Percent 12 3 21" xfId="11941"/>
    <cellStyle name="Percent 12 3 22" xfId="11942"/>
    <cellStyle name="Percent 12 3 23" xfId="22723"/>
    <cellStyle name="Percent 12 3 24" xfId="22724"/>
    <cellStyle name="Percent 12 3 25" xfId="22725"/>
    <cellStyle name="Percent 12 3 26" xfId="22726"/>
    <cellStyle name="Percent 12 3 27" xfId="22727"/>
    <cellStyle name="Percent 12 3 28" xfId="22728"/>
    <cellStyle name="Percent 12 3 29" xfId="22729"/>
    <cellStyle name="Percent 12 3 3" xfId="11943"/>
    <cellStyle name="Percent 12 3 30" xfId="22730"/>
    <cellStyle name="Percent 12 3 31" xfId="22731"/>
    <cellStyle name="Percent 12 3 32" xfId="22732"/>
    <cellStyle name="Percent 12 3 33" xfId="22733"/>
    <cellStyle name="Percent 12 3 34" xfId="22734"/>
    <cellStyle name="Percent 12 3 35" xfId="22735"/>
    <cellStyle name="Percent 12 3 4" xfId="11944"/>
    <cellStyle name="Percent 12 3 5" xfId="11945"/>
    <cellStyle name="Percent 12 3 6" xfId="11946"/>
    <cellStyle name="Percent 12 3 7" xfId="11947"/>
    <cellStyle name="Percent 12 3 8" xfId="11948"/>
    <cellStyle name="Percent 12 3 9" xfId="11949"/>
    <cellStyle name="Percent 12 30" xfId="1434"/>
    <cellStyle name="Percent 12 31" xfId="1541"/>
    <cellStyle name="Percent 12 32" xfId="1594"/>
    <cellStyle name="Percent 12 33" xfId="1646"/>
    <cellStyle name="Percent 12 34" xfId="1736"/>
    <cellStyle name="Percent 12 35" xfId="1809"/>
    <cellStyle name="Percent 12 36" xfId="2136"/>
    <cellStyle name="Percent 12 37" xfId="2592"/>
    <cellStyle name="Percent 12 38" xfId="2339"/>
    <cellStyle name="Percent 12 39" xfId="2956"/>
    <cellStyle name="Percent 12 4" xfId="619"/>
    <cellStyle name="Percent 12 4 10" xfId="11950"/>
    <cellStyle name="Percent 12 4 11" xfId="11951"/>
    <cellStyle name="Percent 12 4 12" xfId="11952"/>
    <cellStyle name="Percent 12 4 13" xfId="11953"/>
    <cellStyle name="Percent 12 4 14" xfId="11954"/>
    <cellStyle name="Percent 12 4 15" xfId="11955"/>
    <cellStyle name="Percent 12 4 16" xfId="11956"/>
    <cellStyle name="Percent 12 4 17" xfId="11957"/>
    <cellStyle name="Percent 12 4 18" xfId="11958"/>
    <cellStyle name="Percent 12 4 19" xfId="11959"/>
    <cellStyle name="Percent 12 4 2" xfId="11960"/>
    <cellStyle name="Percent 12 4 20" xfId="11961"/>
    <cellStyle name="Percent 12 4 21" xfId="11962"/>
    <cellStyle name="Percent 12 4 22" xfId="11963"/>
    <cellStyle name="Percent 12 4 23" xfId="22736"/>
    <cellStyle name="Percent 12 4 24" xfId="22737"/>
    <cellStyle name="Percent 12 4 25" xfId="22738"/>
    <cellStyle name="Percent 12 4 26" xfId="22739"/>
    <cellStyle name="Percent 12 4 27" xfId="22740"/>
    <cellStyle name="Percent 12 4 28" xfId="22741"/>
    <cellStyle name="Percent 12 4 29" xfId="22742"/>
    <cellStyle name="Percent 12 4 3" xfId="11964"/>
    <cellStyle name="Percent 12 4 30" xfId="22743"/>
    <cellStyle name="Percent 12 4 31" xfId="22744"/>
    <cellStyle name="Percent 12 4 32" xfId="22745"/>
    <cellStyle name="Percent 12 4 33" xfId="22746"/>
    <cellStyle name="Percent 12 4 34" xfId="22747"/>
    <cellStyle name="Percent 12 4 35" xfId="22748"/>
    <cellStyle name="Percent 12 4 4" xfId="11965"/>
    <cellStyle name="Percent 12 4 5" xfId="11966"/>
    <cellStyle name="Percent 12 4 6" xfId="11967"/>
    <cellStyle name="Percent 12 4 7" xfId="11968"/>
    <cellStyle name="Percent 12 4 8" xfId="11969"/>
    <cellStyle name="Percent 12 4 9" xfId="11970"/>
    <cellStyle name="Percent 12 40" xfId="3035"/>
    <cellStyle name="Percent 12 41" xfId="3096"/>
    <cellStyle name="Percent 12 42" xfId="3194"/>
    <cellStyle name="Percent 12 43" xfId="22749"/>
    <cellStyle name="Percent 12 44" xfId="22750"/>
    <cellStyle name="Percent 12 45" xfId="22751"/>
    <cellStyle name="Percent 12 46" xfId="22752"/>
    <cellStyle name="Percent 12 47" xfId="22753"/>
    <cellStyle name="Percent 12 48" xfId="22754"/>
    <cellStyle name="Percent 12 49" xfId="22755"/>
    <cellStyle name="Percent 12 5" xfId="620"/>
    <cellStyle name="Percent 12 5 10" xfId="11971"/>
    <cellStyle name="Percent 12 5 11" xfId="11972"/>
    <cellStyle name="Percent 12 5 12" xfId="11973"/>
    <cellStyle name="Percent 12 5 13" xfId="11974"/>
    <cellStyle name="Percent 12 5 14" xfId="11975"/>
    <cellStyle name="Percent 12 5 15" xfId="11976"/>
    <cellStyle name="Percent 12 5 16" xfId="11977"/>
    <cellStyle name="Percent 12 5 17" xfId="11978"/>
    <cellStyle name="Percent 12 5 18" xfId="11979"/>
    <cellStyle name="Percent 12 5 19" xfId="11980"/>
    <cellStyle name="Percent 12 5 2" xfId="11981"/>
    <cellStyle name="Percent 12 5 20" xfId="11982"/>
    <cellStyle name="Percent 12 5 21" xfId="11983"/>
    <cellStyle name="Percent 12 5 22" xfId="11984"/>
    <cellStyle name="Percent 12 5 23" xfId="22756"/>
    <cellStyle name="Percent 12 5 24" xfId="22757"/>
    <cellStyle name="Percent 12 5 25" xfId="22758"/>
    <cellStyle name="Percent 12 5 26" xfId="22759"/>
    <cellStyle name="Percent 12 5 27" xfId="22760"/>
    <cellStyle name="Percent 12 5 28" xfId="22761"/>
    <cellStyle name="Percent 12 5 29" xfId="22762"/>
    <cellStyle name="Percent 12 5 3" xfId="11985"/>
    <cellStyle name="Percent 12 5 30" xfId="22763"/>
    <cellStyle name="Percent 12 5 31" xfId="22764"/>
    <cellStyle name="Percent 12 5 32" xfId="22765"/>
    <cellStyle name="Percent 12 5 33" xfId="22766"/>
    <cellStyle name="Percent 12 5 34" xfId="22767"/>
    <cellStyle name="Percent 12 5 35" xfId="22768"/>
    <cellStyle name="Percent 12 5 4" xfId="11986"/>
    <cellStyle name="Percent 12 5 5" xfId="11987"/>
    <cellStyle name="Percent 12 5 6" xfId="11988"/>
    <cellStyle name="Percent 12 5 7" xfId="11989"/>
    <cellStyle name="Percent 12 5 8" xfId="11990"/>
    <cellStyle name="Percent 12 5 9" xfId="11991"/>
    <cellStyle name="Percent 12 50" xfId="22769"/>
    <cellStyle name="Percent 12 6" xfId="621"/>
    <cellStyle name="Percent 12 6 10" xfId="11992"/>
    <cellStyle name="Percent 12 6 11" xfId="11993"/>
    <cellStyle name="Percent 12 6 12" xfId="11994"/>
    <cellStyle name="Percent 12 6 13" xfId="11995"/>
    <cellStyle name="Percent 12 6 14" xfId="11996"/>
    <cellStyle name="Percent 12 6 15" xfId="11997"/>
    <cellStyle name="Percent 12 6 16" xfId="11998"/>
    <cellStyle name="Percent 12 6 17" xfId="11999"/>
    <cellStyle name="Percent 12 6 18" xfId="12000"/>
    <cellStyle name="Percent 12 6 19" xfId="12001"/>
    <cellStyle name="Percent 12 6 2" xfId="12002"/>
    <cellStyle name="Percent 12 6 20" xfId="12003"/>
    <cellStyle name="Percent 12 6 21" xfId="12004"/>
    <cellStyle name="Percent 12 6 22" xfId="12005"/>
    <cellStyle name="Percent 12 6 23" xfId="22770"/>
    <cellStyle name="Percent 12 6 24" xfId="22771"/>
    <cellStyle name="Percent 12 6 25" xfId="22772"/>
    <cellStyle name="Percent 12 6 26" xfId="22773"/>
    <cellStyle name="Percent 12 6 27" xfId="22774"/>
    <cellStyle name="Percent 12 6 28" xfId="22775"/>
    <cellStyle name="Percent 12 6 29" xfId="22776"/>
    <cellStyle name="Percent 12 6 3" xfId="12006"/>
    <cellStyle name="Percent 12 6 30" xfId="22777"/>
    <cellStyle name="Percent 12 6 31" xfId="22778"/>
    <cellStyle name="Percent 12 6 32" xfId="22779"/>
    <cellStyle name="Percent 12 6 33" xfId="22780"/>
    <cellStyle name="Percent 12 6 34" xfId="22781"/>
    <cellStyle name="Percent 12 6 35" xfId="22782"/>
    <cellStyle name="Percent 12 6 4" xfId="12007"/>
    <cellStyle name="Percent 12 6 5" xfId="12008"/>
    <cellStyle name="Percent 12 6 6" xfId="12009"/>
    <cellStyle name="Percent 12 6 7" xfId="12010"/>
    <cellStyle name="Percent 12 6 8" xfId="12011"/>
    <cellStyle name="Percent 12 6 9" xfId="12012"/>
    <cellStyle name="Percent 12 7" xfId="622"/>
    <cellStyle name="Percent 12 7 10" xfId="12013"/>
    <cellStyle name="Percent 12 7 11" xfId="12014"/>
    <cellStyle name="Percent 12 7 12" xfId="12015"/>
    <cellStyle name="Percent 12 7 13" xfId="12016"/>
    <cellStyle name="Percent 12 7 14" xfId="12017"/>
    <cellStyle name="Percent 12 7 15" xfId="12018"/>
    <cellStyle name="Percent 12 7 16" xfId="12019"/>
    <cellStyle name="Percent 12 7 17" xfId="12020"/>
    <cellStyle name="Percent 12 7 18" xfId="12021"/>
    <cellStyle name="Percent 12 7 19" xfId="12022"/>
    <cellStyle name="Percent 12 7 2" xfId="12023"/>
    <cellStyle name="Percent 12 7 20" xfId="12024"/>
    <cellStyle name="Percent 12 7 21" xfId="12025"/>
    <cellStyle name="Percent 12 7 22" xfId="12026"/>
    <cellStyle name="Percent 12 7 23" xfId="22783"/>
    <cellStyle name="Percent 12 7 24" xfId="22784"/>
    <cellStyle name="Percent 12 7 25" xfId="22785"/>
    <cellStyle name="Percent 12 7 26" xfId="22786"/>
    <cellStyle name="Percent 12 7 27" xfId="22787"/>
    <cellStyle name="Percent 12 7 28" xfId="22788"/>
    <cellStyle name="Percent 12 7 29" xfId="22789"/>
    <cellStyle name="Percent 12 7 3" xfId="12027"/>
    <cellStyle name="Percent 12 7 30" xfId="22790"/>
    <cellStyle name="Percent 12 7 31" xfId="22791"/>
    <cellStyle name="Percent 12 7 32" xfId="22792"/>
    <cellStyle name="Percent 12 7 33" xfId="22793"/>
    <cellStyle name="Percent 12 7 34" xfId="22794"/>
    <cellStyle name="Percent 12 7 35" xfId="22795"/>
    <cellStyle name="Percent 12 7 4" xfId="12028"/>
    <cellStyle name="Percent 12 7 5" xfId="12029"/>
    <cellStyle name="Percent 12 7 6" xfId="12030"/>
    <cellStyle name="Percent 12 7 7" xfId="12031"/>
    <cellStyle name="Percent 12 7 8" xfId="12032"/>
    <cellStyle name="Percent 12 7 9" xfId="12033"/>
    <cellStyle name="Percent 12 8" xfId="623"/>
    <cellStyle name="Percent 12 8 10" xfId="12034"/>
    <cellStyle name="Percent 12 8 11" xfId="12035"/>
    <cellStyle name="Percent 12 8 12" xfId="12036"/>
    <cellStyle name="Percent 12 8 13" xfId="12037"/>
    <cellStyle name="Percent 12 8 14" xfId="12038"/>
    <cellStyle name="Percent 12 8 15" xfId="12039"/>
    <cellStyle name="Percent 12 8 16" xfId="12040"/>
    <cellStyle name="Percent 12 8 17" xfId="12041"/>
    <cellStyle name="Percent 12 8 18" xfId="12042"/>
    <cellStyle name="Percent 12 8 19" xfId="12043"/>
    <cellStyle name="Percent 12 8 2" xfId="12044"/>
    <cellStyle name="Percent 12 8 20" xfId="12045"/>
    <cellStyle name="Percent 12 8 21" xfId="12046"/>
    <cellStyle name="Percent 12 8 22" xfId="12047"/>
    <cellStyle name="Percent 12 8 23" xfId="22796"/>
    <cellStyle name="Percent 12 8 24" xfId="22797"/>
    <cellStyle name="Percent 12 8 25" xfId="22798"/>
    <cellStyle name="Percent 12 8 26" xfId="22799"/>
    <cellStyle name="Percent 12 8 27" xfId="22800"/>
    <cellStyle name="Percent 12 8 28" xfId="22801"/>
    <cellStyle name="Percent 12 8 29" xfId="22802"/>
    <cellStyle name="Percent 12 8 3" xfId="12048"/>
    <cellStyle name="Percent 12 8 30" xfId="22803"/>
    <cellStyle name="Percent 12 8 31" xfId="22804"/>
    <cellStyle name="Percent 12 8 32" xfId="22805"/>
    <cellStyle name="Percent 12 8 33" xfId="22806"/>
    <cellStyle name="Percent 12 8 34" xfId="22807"/>
    <cellStyle name="Percent 12 8 35" xfId="22808"/>
    <cellStyle name="Percent 12 8 4" xfId="12049"/>
    <cellStyle name="Percent 12 8 5" xfId="12050"/>
    <cellStyle name="Percent 12 8 6" xfId="12051"/>
    <cellStyle name="Percent 12 8 7" xfId="12052"/>
    <cellStyle name="Percent 12 8 8" xfId="12053"/>
    <cellStyle name="Percent 12 8 9" xfId="12054"/>
    <cellStyle name="Percent 12 9" xfId="624"/>
    <cellStyle name="Percent 12 9 10" xfId="12055"/>
    <cellStyle name="Percent 12 9 11" xfId="12056"/>
    <cellStyle name="Percent 12 9 12" xfId="12057"/>
    <cellStyle name="Percent 12 9 13" xfId="12058"/>
    <cellStyle name="Percent 12 9 14" xfId="12059"/>
    <cellStyle name="Percent 12 9 15" xfId="12060"/>
    <cellStyle name="Percent 12 9 16" xfId="12061"/>
    <cellStyle name="Percent 12 9 17" xfId="12062"/>
    <cellStyle name="Percent 12 9 18" xfId="12063"/>
    <cellStyle name="Percent 12 9 19" xfId="12064"/>
    <cellStyle name="Percent 12 9 2" xfId="12065"/>
    <cellStyle name="Percent 12 9 20" xfId="12066"/>
    <cellStyle name="Percent 12 9 21" xfId="12067"/>
    <cellStyle name="Percent 12 9 22" xfId="12068"/>
    <cellStyle name="Percent 12 9 23" xfId="22809"/>
    <cellStyle name="Percent 12 9 24" xfId="22810"/>
    <cellStyle name="Percent 12 9 25" xfId="22811"/>
    <cellStyle name="Percent 12 9 26" xfId="22812"/>
    <cellStyle name="Percent 12 9 27" xfId="22813"/>
    <cellStyle name="Percent 12 9 28" xfId="22814"/>
    <cellStyle name="Percent 12 9 29" xfId="22815"/>
    <cellStyle name="Percent 12 9 3" xfId="12069"/>
    <cellStyle name="Percent 12 9 30" xfId="22816"/>
    <cellStyle name="Percent 12 9 31" xfId="22817"/>
    <cellStyle name="Percent 12 9 32" xfId="22818"/>
    <cellStyle name="Percent 12 9 33" xfId="22819"/>
    <cellStyle name="Percent 12 9 34" xfId="22820"/>
    <cellStyle name="Percent 12 9 35" xfId="22821"/>
    <cellStyle name="Percent 12 9 4" xfId="12070"/>
    <cellStyle name="Percent 12 9 5" xfId="12071"/>
    <cellStyle name="Percent 12 9 6" xfId="12072"/>
    <cellStyle name="Percent 12 9 7" xfId="12073"/>
    <cellStyle name="Percent 12 9 8" xfId="12074"/>
    <cellStyle name="Percent 12 9 9" xfId="12075"/>
    <cellStyle name="Percent 13" xfId="56"/>
    <cellStyle name="Percent 13 10" xfId="625"/>
    <cellStyle name="Percent 13 10 10" xfId="12076"/>
    <cellStyle name="Percent 13 10 11" xfId="12077"/>
    <cellStyle name="Percent 13 10 12" xfId="12078"/>
    <cellStyle name="Percent 13 10 13" xfId="12079"/>
    <cellStyle name="Percent 13 10 14" xfId="12080"/>
    <cellStyle name="Percent 13 10 15" xfId="12081"/>
    <cellStyle name="Percent 13 10 16" xfId="12082"/>
    <cellStyle name="Percent 13 10 17" xfId="12083"/>
    <cellStyle name="Percent 13 10 18" xfId="12084"/>
    <cellStyle name="Percent 13 10 19" xfId="12085"/>
    <cellStyle name="Percent 13 10 2" xfId="12086"/>
    <cellStyle name="Percent 13 10 20" xfId="12087"/>
    <cellStyle name="Percent 13 10 21" xfId="12088"/>
    <cellStyle name="Percent 13 10 22" xfId="12089"/>
    <cellStyle name="Percent 13 10 23" xfId="22822"/>
    <cellStyle name="Percent 13 10 24" xfId="22823"/>
    <cellStyle name="Percent 13 10 25" xfId="22824"/>
    <cellStyle name="Percent 13 10 26" xfId="22825"/>
    <cellStyle name="Percent 13 10 27" xfId="22826"/>
    <cellStyle name="Percent 13 10 28" xfId="22827"/>
    <cellStyle name="Percent 13 10 29" xfId="22828"/>
    <cellStyle name="Percent 13 10 3" xfId="12090"/>
    <cellStyle name="Percent 13 10 30" xfId="22829"/>
    <cellStyle name="Percent 13 10 31" xfId="22830"/>
    <cellStyle name="Percent 13 10 32" xfId="22831"/>
    <cellStyle name="Percent 13 10 33" xfId="22832"/>
    <cellStyle name="Percent 13 10 34" xfId="22833"/>
    <cellStyle name="Percent 13 10 35" xfId="22834"/>
    <cellStyle name="Percent 13 10 4" xfId="12091"/>
    <cellStyle name="Percent 13 10 5" xfId="12092"/>
    <cellStyle name="Percent 13 10 6" xfId="12093"/>
    <cellStyle name="Percent 13 10 7" xfId="12094"/>
    <cellStyle name="Percent 13 10 8" xfId="12095"/>
    <cellStyle name="Percent 13 10 9" xfId="12096"/>
    <cellStyle name="Percent 13 11" xfId="626"/>
    <cellStyle name="Percent 13 11 10" xfId="12097"/>
    <cellStyle name="Percent 13 11 11" xfId="12098"/>
    <cellStyle name="Percent 13 11 12" xfId="12099"/>
    <cellStyle name="Percent 13 11 13" xfId="12100"/>
    <cellStyle name="Percent 13 11 14" xfId="12101"/>
    <cellStyle name="Percent 13 11 15" xfId="12102"/>
    <cellStyle name="Percent 13 11 16" xfId="12103"/>
    <cellStyle name="Percent 13 11 17" xfId="12104"/>
    <cellStyle name="Percent 13 11 18" xfId="12105"/>
    <cellStyle name="Percent 13 11 19" xfId="12106"/>
    <cellStyle name="Percent 13 11 2" xfId="12107"/>
    <cellStyle name="Percent 13 11 20" xfId="12108"/>
    <cellStyle name="Percent 13 11 21" xfId="12109"/>
    <cellStyle name="Percent 13 11 22" xfId="12110"/>
    <cellStyle name="Percent 13 11 23" xfId="22835"/>
    <cellStyle name="Percent 13 11 24" xfId="22836"/>
    <cellStyle name="Percent 13 11 25" xfId="22837"/>
    <cellStyle name="Percent 13 11 26" xfId="22838"/>
    <cellStyle name="Percent 13 11 27" xfId="22839"/>
    <cellStyle name="Percent 13 11 28" xfId="22840"/>
    <cellStyle name="Percent 13 11 29" xfId="22841"/>
    <cellStyle name="Percent 13 11 3" xfId="12111"/>
    <cellStyle name="Percent 13 11 30" xfId="22842"/>
    <cellStyle name="Percent 13 11 31" xfId="22843"/>
    <cellStyle name="Percent 13 11 32" xfId="22844"/>
    <cellStyle name="Percent 13 11 33" xfId="22845"/>
    <cellStyle name="Percent 13 11 34" xfId="22846"/>
    <cellStyle name="Percent 13 11 35" xfId="22847"/>
    <cellStyle name="Percent 13 11 4" xfId="12112"/>
    <cellStyle name="Percent 13 11 5" xfId="12113"/>
    <cellStyle name="Percent 13 11 6" xfId="12114"/>
    <cellStyle name="Percent 13 11 7" xfId="12115"/>
    <cellStyle name="Percent 13 11 8" xfId="12116"/>
    <cellStyle name="Percent 13 11 9" xfId="12117"/>
    <cellStyle name="Percent 13 12" xfId="627"/>
    <cellStyle name="Percent 13 12 10" xfId="12118"/>
    <cellStyle name="Percent 13 12 11" xfId="12119"/>
    <cellStyle name="Percent 13 12 12" xfId="12120"/>
    <cellStyle name="Percent 13 12 13" xfId="12121"/>
    <cellStyle name="Percent 13 12 14" xfId="12122"/>
    <cellStyle name="Percent 13 12 15" xfId="12123"/>
    <cellStyle name="Percent 13 12 16" xfId="12124"/>
    <cellStyle name="Percent 13 12 17" xfId="12125"/>
    <cellStyle name="Percent 13 12 18" xfId="12126"/>
    <cellStyle name="Percent 13 12 19" xfId="12127"/>
    <cellStyle name="Percent 13 12 2" xfId="12128"/>
    <cellStyle name="Percent 13 12 20" xfId="12129"/>
    <cellStyle name="Percent 13 12 21" xfId="12130"/>
    <cellStyle name="Percent 13 12 22" xfId="12131"/>
    <cellStyle name="Percent 13 12 23" xfId="22848"/>
    <cellStyle name="Percent 13 12 24" xfId="22849"/>
    <cellStyle name="Percent 13 12 25" xfId="22850"/>
    <cellStyle name="Percent 13 12 26" xfId="22851"/>
    <cellStyle name="Percent 13 12 27" xfId="22852"/>
    <cellStyle name="Percent 13 12 28" xfId="22853"/>
    <cellStyle name="Percent 13 12 29" xfId="22854"/>
    <cellStyle name="Percent 13 12 3" xfId="12132"/>
    <cellStyle name="Percent 13 12 30" xfId="22855"/>
    <cellStyle name="Percent 13 12 31" xfId="22856"/>
    <cellStyle name="Percent 13 12 32" xfId="22857"/>
    <cellStyle name="Percent 13 12 33" xfId="22858"/>
    <cellStyle name="Percent 13 12 34" xfId="22859"/>
    <cellStyle name="Percent 13 12 35" xfId="22860"/>
    <cellStyle name="Percent 13 12 4" xfId="12133"/>
    <cellStyle name="Percent 13 12 5" xfId="12134"/>
    <cellStyle name="Percent 13 12 6" xfId="12135"/>
    <cellStyle name="Percent 13 12 7" xfId="12136"/>
    <cellStyle name="Percent 13 12 8" xfId="12137"/>
    <cellStyle name="Percent 13 12 9" xfId="12138"/>
    <cellStyle name="Percent 13 13" xfId="628"/>
    <cellStyle name="Percent 13 13 10" xfId="12139"/>
    <cellStyle name="Percent 13 13 11" xfId="12140"/>
    <cellStyle name="Percent 13 13 12" xfId="12141"/>
    <cellStyle name="Percent 13 13 13" xfId="12142"/>
    <cellStyle name="Percent 13 13 14" xfId="12143"/>
    <cellStyle name="Percent 13 13 15" xfId="12144"/>
    <cellStyle name="Percent 13 13 16" xfId="12145"/>
    <cellStyle name="Percent 13 13 17" xfId="12146"/>
    <cellStyle name="Percent 13 13 18" xfId="12147"/>
    <cellStyle name="Percent 13 13 19" xfId="12148"/>
    <cellStyle name="Percent 13 13 2" xfId="12149"/>
    <cellStyle name="Percent 13 13 20" xfId="12150"/>
    <cellStyle name="Percent 13 13 21" xfId="12151"/>
    <cellStyle name="Percent 13 13 22" xfId="12152"/>
    <cellStyle name="Percent 13 13 23" xfId="22861"/>
    <cellStyle name="Percent 13 13 24" xfId="22862"/>
    <cellStyle name="Percent 13 13 25" xfId="22863"/>
    <cellStyle name="Percent 13 13 26" xfId="22864"/>
    <cellStyle name="Percent 13 13 27" xfId="22865"/>
    <cellStyle name="Percent 13 13 28" xfId="22866"/>
    <cellStyle name="Percent 13 13 29" xfId="22867"/>
    <cellStyle name="Percent 13 13 3" xfId="12153"/>
    <cellStyle name="Percent 13 13 30" xfId="22868"/>
    <cellStyle name="Percent 13 13 31" xfId="22869"/>
    <cellStyle name="Percent 13 13 32" xfId="22870"/>
    <cellStyle name="Percent 13 13 33" xfId="22871"/>
    <cellStyle name="Percent 13 13 34" xfId="22872"/>
    <cellStyle name="Percent 13 13 35" xfId="22873"/>
    <cellStyle name="Percent 13 13 4" xfId="12154"/>
    <cellStyle name="Percent 13 13 5" xfId="12155"/>
    <cellStyle name="Percent 13 13 6" xfId="12156"/>
    <cellStyle name="Percent 13 13 7" xfId="12157"/>
    <cellStyle name="Percent 13 13 8" xfId="12158"/>
    <cellStyle name="Percent 13 13 9" xfId="12159"/>
    <cellStyle name="Percent 13 14" xfId="629"/>
    <cellStyle name="Percent 13 14 10" xfId="12160"/>
    <cellStyle name="Percent 13 14 11" xfId="12161"/>
    <cellStyle name="Percent 13 14 12" xfId="12162"/>
    <cellStyle name="Percent 13 14 13" xfId="12163"/>
    <cellStyle name="Percent 13 14 14" xfId="12164"/>
    <cellStyle name="Percent 13 14 15" xfId="12165"/>
    <cellStyle name="Percent 13 14 16" xfId="12166"/>
    <cellStyle name="Percent 13 14 17" xfId="12167"/>
    <cellStyle name="Percent 13 14 18" xfId="12168"/>
    <cellStyle name="Percent 13 14 19" xfId="12169"/>
    <cellStyle name="Percent 13 14 2" xfId="12170"/>
    <cellStyle name="Percent 13 14 20" xfId="12171"/>
    <cellStyle name="Percent 13 14 21" xfId="12172"/>
    <cellStyle name="Percent 13 14 22" xfId="12173"/>
    <cellStyle name="Percent 13 14 23" xfId="22874"/>
    <cellStyle name="Percent 13 14 24" xfId="22875"/>
    <cellStyle name="Percent 13 14 25" xfId="22876"/>
    <cellStyle name="Percent 13 14 26" xfId="22877"/>
    <cellStyle name="Percent 13 14 27" xfId="22878"/>
    <cellStyle name="Percent 13 14 28" xfId="22879"/>
    <cellStyle name="Percent 13 14 29" xfId="22880"/>
    <cellStyle name="Percent 13 14 3" xfId="12174"/>
    <cellStyle name="Percent 13 14 30" xfId="22881"/>
    <cellStyle name="Percent 13 14 31" xfId="22882"/>
    <cellStyle name="Percent 13 14 32" xfId="22883"/>
    <cellStyle name="Percent 13 14 33" xfId="22884"/>
    <cellStyle name="Percent 13 14 34" xfId="22885"/>
    <cellStyle name="Percent 13 14 35" xfId="22886"/>
    <cellStyle name="Percent 13 14 4" xfId="12175"/>
    <cellStyle name="Percent 13 14 5" xfId="12176"/>
    <cellStyle name="Percent 13 14 6" xfId="12177"/>
    <cellStyle name="Percent 13 14 7" xfId="12178"/>
    <cellStyle name="Percent 13 14 8" xfId="12179"/>
    <cellStyle name="Percent 13 14 9" xfId="12180"/>
    <cellStyle name="Percent 13 15" xfId="630"/>
    <cellStyle name="Percent 13 16" xfId="963"/>
    <cellStyle name="Percent 13 17" xfId="998"/>
    <cellStyle name="Percent 13 18" xfId="1031"/>
    <cellStyle name="Percent 13 19" xfId="1062"/>
    <cellStyle name="Percent 13 2" xfId="116"/>
    <cellStyle name="Percent 13 2 10" xfId="12181"/>
    <cellStyle name="Percent 13 2 11" xfId="12182"/>
    <cellStyle name="Percent 13 2 12" xfId="12183"/>
    <cellStyle name="Percent 13 2 13" xfId="12184"/>
    <cellStyle name="Percent 13 2 14" xfId="12185"/>
    <cellStyle name="Percent 13 2 15" xfId="12186"/>
    <cellStyle name="Percent 13 2 16" xfId="12187"/>
    <cellStyle name="Percent 13 2 17" xfId="12188"/>
    <cellStyle name="Percent 13 2 18" xfId="12189"/>
    <cellStyle name="Percent 13 2 19" xfId="12190"/>
    <cellStyle name="Percent 13 2 2" xfId="12191"/>
    <cellStyle name="Percent 13 2 20" xfId="12192"/>
    <cellStyle name="Percent 13 2 21" xfId="12193"/>
    <cellStyle name="Percent 13 2 22" xfId="12194"/>
    <cellStyle name="Percent 13 2 23" xfId="22887"/>
    <cellStyle name="Percent 13 2 24" xfId="22888"/>
    <cellStyle name="Percent 13 2 25" xfId="22889"/>
    <cellStyle name="Percent 13 2 26" xfId="22890"/>
    <cellStyle name="Percent 13 2 27" xfId="22891"/>
    <cellStyle name="Percent 13 2 28" xfId="22892"/>
    <cellStyle name="Percent 13 2 29" xfId="22893"/>
    <cellStyle name="Percent 13 2 3" xfId="12195"/>
    <cellStyle name="Percent 13 2 30" xfId="22894"/>
    <cellStyle name="Percent 13 2 31" xfId="22895"/>
    <cellStyle name="Percent 13 2 32" xfId="22896"/>
    <cellStyle name="Percent 13 2 33" xfId="22897"/>
    <cellStyle name="Percent 13 2 34" xfId="22898"/>
    <cellStyle name="Percent 13 2 35" xfId="22899"/>
    <cellStyle name="Percent 13 2 4" xfId="12196"/>
    <cellStyle name="Percent 13 2 5" xfId="12197"/>
    <cellStyle name="Percent 13 2 6" xfId="12198"/>
    <cellStyle name="Percent 13 2 7" xfId="12199"/>
    <cellStyle name="Percent 13 2 8" xfId="12200"/>
    <cellStyle name="Percent 13 2 9" xfId="12201"/>
    <cellStyle name="Percent 13 20" xfId="1092"/>
    <cellStyle name="Percent 13 21" xfId="1113"/>
    <cellStyle name="Percent 13 22" xfId="1161"/>
    <cellStyle name="Percent 13 23" xfId="1197"/>
    <cellStyle name="Percent 13 24" xfId="1229"/>
    <cellStyle name="Percent 13 25" xfId="1262"/>
    <cellStyle name="Percent 13 26" xfId="1295"/>
    <cellStyle name="Percent 13 27" xfId="1327"/>
    <cellStyle name="Percent 13 28" xfId="1357"/>
    <cellStyle name="Percent 13 29" xfId="1378"/>
    <cellStyle name="Percent 13 3" xfId="631"/>
    <cellStyle name="Percent 13 3 10" xfId="12202"/>
    <cellStyle name="Percent 13 3 11" xfId="12203"/>
    <cellStyle name="Percent 13 3 12" xfId="12204"/>
    <cellStyle name="Percent 13 3 13" xfId="12205"/>
    <cellStyle name="Percent 13 3 14" xfId="12206"/>
    <cellStyle name="Percent 13 3 15" xfId="12207"/>
    <cellStyle name="Percent 13 3 16" xfId="12208"/>
    <cellStyle name="Percent 13 3 17" xfId="12209"/>
    <cellStyle name="Percent 13 3 18" xfId="12210"/>
    <cellStyle name="Percent 13 3 19" xfId="12211"/>
    <cellStyle name="Percent 13 3 2" xfId="12212"/>
    <cellStyle name="Percent 13 3 20" xfId="12213"/>
    <cellStyle name="Percent 13 3 21" xfId="12214"/>
    <cellStyle name="Percent 13 3 22" xfId="12215"/>
    <cellStyle name="Percent 13 3 23" xfId="22900"/>
    <cellStyle name="Percent 13 3 24" xfId="22901"/>
    <cellStyle name="Percent 13 3 25" xfId="22902"/>
    <cellStyle name="Percent 13 3 26" xfId="22903"/>
    <cellStyle name="Percent 13 3 27" xfId="22904"/>
    <cellStyle name="Percent 13 3 28" xfId="22905"/>
    <cellStyle name="Percent 13 3 29" xfId="22906"/>
    <cellStyle name="Percent 13 3 3" xfId="12216"/>
    <cellStyle name="Percent 13 3 30" xfId="22907"/>
    <cellStyle name="Percent 13 3 31" xfId="22908"/>
    <cellStyle name="Percent 13 3 32" xfId="22909"/>
    <cellStyle name="Percent 13 3 33" xfId="22910"/>
    <cellStyle name="Percent 13 3 34" xfId="22911"/>
    <cellStyle name="Percent 13 3 35" xfId="22912"/>
    <cellStyle name="Percent 13 3 4" xfId="12217"/>
    <cellStyle name="Percent 13 3 5" xfId="12218"/>
    <cellStyle name="Percent 13 3 6" xfId="12219"/>
    <cellStyle name="Percent 13 3 7" xfId="12220"/>
    <cellStyle name="Percent 13 3 8" xfId="12221"/>
    <cellStyle name="Percent 13 3 9" xfId="12222"/>
    <cellStyle name="Percent 13 30" xfId="1435"/>
    <cellStyle name="Percent 13 31" xfId="1540"/>
    <cellStyle name="Percent 13 32" xfId="1593"/>
    <cellStyle name="Percent 13 33" xfId="1645"/>
    <cellStyle name="Percent 13 34" xfId="1737"/>
    <cellStyle name="Percent 13 35" xfId="1808"/>
    <cellStyle name="Percent 13 36" xfId="2137"/>
    <cellStyle name="Percent 13 37" xfId="2574"/>
    <cellStyle name="Percent 13 38" xfId="2350"/>
    <cellStyle name="Percent 13 39" xfId="2420"/>
    <cellStyle name="Percent 13 4" xfId="632"/>
    <cellStyle name="Percent 13 4 10" xfId="12223"/>
    <cellStyle name="Percent 13 4 11" xfId="12224"/>
    <cellStyle name="Percent 13 4 12" xfId="12225"/>
    <cellStyle name="Percent 13 4 13" xfId="12226"/>
    <cellStyle name="Percent 13 4 14" xfId="12227"/>
    <cellStyle name="Percent 13 4 15" xfId="12228"/>
    <cellStyle name="Percent 13 4 16" xfId="12229"/>
    <cellStyle name="Percent 13 4 17" xfId="12230"/>
    <cellStyle name="Percent 13 4 18" xfId="12231"/>
    <cellStyle name="Percent 13 4 19" xfId="12232"/>
    <cellStyle name="Percent 13 4 2" xfId="12233"/>
    <cellStyle name="Percent 13 4 20" xfId="12234"/>
    <cellStyle name="Percent 13 4 21" xfId="12235"/>
    <cellStyle name="Percent 13 4 22" xfId="12236"/>
    <cellStyle name="Percent 13 4 23" xfId="22913"/>
    <cellStyle name="Percent 13 4 24" xfId="22914"/>
    <cellStyle name="Percent 13 4 25" xfId="22915"/>
    <cellStyle name="Percent 13 4 26" xfId="22916"/>
    <cellStyle name="Percent 13 4 27" xfId="22917"/>
    <cellStyle name="Percent 13 4 28" xfId="22918"/>
    <cellStyle name="Percent 13 4 29" xfId="22919"/>
    <cellStyle name="Percent 13 4 3" xfId="12237"/>
    <cellStyle name="Percent 13 4 30" xfId="22920"/>
    <cellStyle name="Percent 13 4 31" xfId="22921"/>
    <cellStyle name="Percent 13 4 32" xfId="22922"/>
    <cellStyle name="Percent 13 4 33" xfId="22923"/>
    <cellStyle name="Percent 13 4 34" xfId="22924"/>
    <cellStyle name="Percent 13 4 35" xfId="22925"/>
    <cellStyle name="Percent 13 4 4" xfId="12238"/>
    <cellStyle name="Percent 13 4 5" xfId="12239"/>
    <cellStyle name="Percent 13 4 6" xfId="12240"/>
    <cellStyle name="Percent 13 4 7" xfId="12241"/>
    <cellStyle name="Percent 13 4 8" xfId="12242"/>
    <cellStyle name="Percent 13 4 9" xfId="12243"/>
    <cellStyle name="Percent 13 40" xfId="2687"/>
    <cellStyle name="Percent 13 41" xfId="2291"/>
    <cellStyle name="Percent 13 42" xfId="2205"/>
    <cellStyle name="Percent 13 43" xfId="22926"/>
    <cellStyle name="Percent 13 44" xfId="22927"/>
    <cellStyle name="Percent 13 45" xfId="22928"/>
    <cellStyle name="Percent 13 46" xfId="22929"/>
    <cellStyle name="Percent 13 47" xfId="22930"/>
    <cellStyle name="Percent 13 48" xfId="22931"/>
    <cellStyle name="Percent 13 49" xfId="22932"/>
    <cellStyle name="Percent 13 5" xfId="633"/>
    <cellStyle name="Percent 13 5 10" xfId="12244"/>
    <cellStyle name="Percent 13 5 11" xfId="12245"/>
    <cellStyle name="Percent 13 5 12" xfId="12246"/>
    <cellStyle name="Percent 13 5 13" xfId="12247"/>
    <cellStyle name="Percent 13 5 14" xfId="12248"/>
    <cellStyle name="Percent 13 5 15" xfId="12249"/>
    <cellStyle name="Percent 13 5 16" xfId="12250"/>
    <cellStyle name="Percent 13 5 17" xfId="12251"/>
    <cellStyle name="Percent 13 5 18" xfId="12252"/>
    <cellStyle name="Percent 13 5 19" xfId="12253"/>
    <cellStyle name="Percent 13 5 2" xfId="12254"/>
    <cellStyle name="Percent 13 5 20" xfId="12255"/>
    <cellStyle name="Percent 13 5 21" xfId="12256"/>
    <cellStyle name="Percent 13 5 22" xfId="12257"/>
    <cellStyle name="Percent 13 5 23" xfId="22933"/>
    <cellStyle name="Percent 13 5 24" xfId="22934"/>
    <cellStyle name="Percent 13 5 25" xfId="22935"/>
    <cellStyle name="Percent 13 5 26" xfId="22936"/>
    <cellStyle name="Percent 13 5 27" xfId="22937"/>
    <cellStyle name="Percent 13 5 28" xfId="22938"/>
    <cellStyle name="Percent 13 5 29" xfId="22939"/>
    <cellStyle name="Percent 13 5 3" xfId="12258"/>
    <cellStyle name="Percent 13 5 30" xfId="22940"/>
    <cellStyle name="Percent 13 5 31" xfId="22941"/>
    <cellStyle name="Percent 13 5 32" xfId="22942"/>
    <cellStyle name="Percent 13 5 33" xfId="22943"/>
    <cellStyle name="Percent 13 5 34" xfId="22944"/>
    <cellStyle name="Percent 13 5 35" xfId="22945"/>
    <cellStyle name="Percent 13 5 4" xfId="12259"/>
    <cellStyle name="Percent 13 5 5" xfId="12260"/>
    <cellStyle name="Percent 13 5 6" xfId="12261"/>
    <cellStyle name="Percent 13 5 7" xfId="12262"/>
    <cellStyle name="Percent 13 5 8" xfId="12263"/>
    <cellStyle name="Percent 13 5 9" xfId="12264"/>
    <cellStyle name="Percent 13 50" xfId="22946"/>
    <cellStyle name="Percent 13 6" xfId="634"/>
    <cellStyle name="Percent 13 6 10" xfId="12265"/>
    <cellStyle name="Percent 13 6 11" xfId="12266"/>
    <cellStyle name="Percent 13 6 12" xfId="12267"/>
    <cellStyle name="Percent 13 6 13" xfId="12268"/>
    <cellStyle name="Percent 13 6 14" xfId="12269"/>
    <cellStyle name="Percent 13 6 15" xfId="12270"/>
    <cellStyle name="Percent 13 6 16" xfId="12271"/>
    <cellStyle name="Percent 13 6 17" xfId="12272"/>
    <cellStyle name="Percent 13 6 18" xfId="12273"/>
    <cellStyle name="Percent 13 6 19" xfId="12274"/>
    <cellStyle name="Percent 13 6 2" xfId="12275"/>
    <cellStyle name="Percent 13 6 20" xfId="12276"/>
    <cellStyle name="Percent 13 6 21" xfId="12277"/>
    <cellStyle name="Percent 13 6 22" xfId="12278"/>
    <cellStyle name="Percent 13 6 23" xfId="22947"/>
    <cellStyle name="Percent 13 6 24" xfId="22948"/>
    <cellStyle name="Percent 13 6 25" xfId="22949"/>
    <cellStyle name="Percent 13 6 26" xfId="22950"/>
    <cellStyle name="Percent 13 6 27" xfId="22951"/>
    <cellStyle name="Percent 13 6 28" xfId="22952"/>
    <cellStyle name="Percent 13 6 29" xfId="22953"/>
    <cellStyle name="Percent 13 6 3" xfId="12279"/>
    <cellStyle name="Percent 13 6 30" xfId="22954"/>
    <cellStyle name="Percent 13 6 31" xfId="22955"/>
    <cellStyle name="Percent 13 6 32" xfId="22956"/>
    <cellStyle name="Percent 13 6 33" xfId="22957"/>
    <cellStyle name="Percent 13 6 34" xfId="22958"/>
    <cellStyle name="Percent 13 6 35" xfId="22959"/>
    <cellStyle name="Percent 13 6 4" xfId="12280"/>
    <cellStyle name="Percent 13 6 5" xfId="12281"/>
    <cellStyle name="Percent 13 6 6" xfId="12282"/>
    <cellStyle name="Percent 13 6 7" xfId="12283"/>
    <cellStyle name="Percent 13 6 8" xfId="12284"/>
    <cellStyle name="Percent 13 6 9" xfId="12285"/>
    <cellStyle name="Percent 13 7" xfId="635"/>
    <cellStyle name="Percent 13 7 10" xfId="12286"/>
    <cellStyle name="Percent 13 7 11" xfId="12287"/>
    <cellStyle name="Percent 13 7 12" xfId="12288"/>
    <cellStyle name="Percent 13 7 13" xfId="12289"/>
    <cellStyle name="Percent 13 7 14" xfId="12290"/>
    <cellStyle name="Percent 13 7 15" xfId="12291"/>
    <cellStyle name="Percent 13 7 16" xfId="12292"/>
    <cellStyle name="Percent 13 7 17" xfId="12293"/>
    <cellStyle name="Percent 13 7 18" xfId="12294"/>
    <cellStyle name="Percent 13 7 19" xfId="12295"/>
    <cellStyle name="Percent 13 7 2" xfId="12296"/>
    <cellStyle name="Percent 13 7 20" xfId="12297"/>
    <cellStyle name="Percent 13 7 21" xfId="12298"/>
    <cellStyle name="Percent 13 7 22" xfId="12299"/>
    <cellStyle name="Percent 13 7 23" xfId="22960"/>
    <cellStyle name="Percent 13 7 24" xfId="22961"/>
    <cellStyle name="Percent 13 7 25" xfId="22962"/>
    <cellStyle name="Percent 13 7 26" xfId="22963"/>
    <cellStyle name="Percent 13 7 27" xfId="22964"/>
    <cellStyle name="Percent 13 7 28" xfId="22965"/>
    <cellStyle name="Percent 13 7 29" xfId="22966"/>
    <cellStyle name="Percent 13 7 3" xfId="12300"/>
    <cellStyle name="Percent 13 7 30" xfId="22967"/>
    <cellStyle name="Percent 13 7 31" xfId="22968"/>
    <cellStyle name="Percent 13 7 32" xfId="22969"/>
    <cellStyle name="Percent 13 7 33" xfId="22970"/>
    <cellStyle name="Percent 13 7 34" xfId="22971"/>
    <cellStyle name="Percent 13 7 35" xfId="22972"/>
    <cellStyle name="Percent 13 7 4" xfId="12301"/>
    <cellStyle name="Percent 13 7 5" xfId="12302"/>
    <cellStyle name="Percent 13 7 6" xfId="12303"/>
    <cellStyle name="Percent 13 7 7" xfId="12304"/>
    <cellStyle name="Percent 13 7 8" xfId="12305"/>
    <cellStyle name="Percent 13 7 9" xfId="12306"/>
    <cellStyle name="Percent 13 8" xfId="636"/>
    <cellStyle name="Percent 13 8 10" xfId="12307"/>
    <cellStyle name="Percent 13 8 11" xfId="12308"/>
    <cellStyle name="Percent 13 8 12" xfId="12309"/>
    <cellStyle name="Percent 13 8 13" xfId="12310"/>
    <cellStyle name="Percent 13 8 14" xfId="12311"/>
    <cellStyle name="Percent 13 8 15" xfId="12312"/>
    <cellStyle name="Percent 13 8 16" xfId="12313"/>
    <cellStyle name="Percent 13 8 17" xfId="12314"/>
    <cellStyle name="Percent 13 8 18" xfId="12315"/>
    <cellStyle name="Percent 13 8 19" xfId="12316"/>
    <cellStyle name="Percent 13 8 2" xfId="12317"/>
    <cellStyle name="Percent 13 8 20" xfId="12318"/>
    <cellStyle name="Percent 13 8 21" xfId="12319"/>
    <cellStyle name="Percent 13 8 22" xfId="12320"/>
    <cellStyle name="Percent 13 8 23" xfId="22973"/>
    <cellStyle name="Percent 13 8 24" xfId="22974"/>
    <cellStyle name="Percent 13 8 25" xfId="22975"/>
    <cellStyle name="Percent 13 8 26" xfId="22976"/>
    <cellStyle name="Percent 13 8 27" xfId="22977"/>
    <cellStyle name="Percent 13 8 28" xfId="22978"/>
    <cellStyle name="Percent 13 8 29" xfId="22979"/>
    <cellStyle name="Percent 13 8 3" xfId="12321"/>
    <cellStyle name="Percent 13 8 30" xfId="22980"/>
    <cellStyle name="Percent 13 8 31" xfId="22981"/>
    <cellStyle name="Percent 13 8 32" xfId="22982"/>
    <cellStyle name="Percent 13 8 33" xfId="22983"/>
    <cellStyle name="Percent 13 8 34" xfId="22984"/>
    <cellStyle name="Percent 13 8 35" xfId="22985"/>
    <cellStyle name="Percent 13 8 4" xfId="12322"/>
    <cellStyle name="Percent 13 8 5" xfId="12323"/>
    <cellStyle name="Percent 13 8 6" xfId="12324"/>
    <cellStyle name="Percent 13 8 7" xfId="12325"/>
    <cellStyle name="Percent 13 8 8" xfId="12326"/>
    <cellStyle name="Percent 13 8 9" xfId="12327"/>
    <cellStyle name="Percent 13 9" xfId="637"/>
    <cellStyle name="Percent 13 9 10" xfId="12328"/>
    <cellStyle name="Percent 13 9 11" xfId="12329"/>
    <cellStyle name="Percent 13 9 12" xfId="12330"/>
    <cellStyle name="Percent 13 9 13" xfId="12331"/>
    <cellStyle name="Percent 13 9 14" xfId="12332"/>
    <cellStyle name="Percent 13 9 15" xfId="12333"/>
    <cellStyle name="Percent 13 9 16" xfId="12334"/>
    <cellStyle name="Percent 13 9 17" xfId="12335"/>
    <cellStyle name="Percent 13 9 18" xfId="12336"/>
    <cellStyle name="Percent 13 9 19" xfId="12337"/>
    <cellStyle name="Percent 13 9 2" xfId="12338"/>
    <cellStyle name="Percent 13 9 20" xfId="12339"/>
    <cellStyle name="Percent 13 9 21" xfId="12340"/>
    <cellStyle name="Percent 13 9 22" xfId="12341"/>
    <cellStyle name="Percent 13 9 23" xfId="22986"/>
    <cellStyle name="Percent 13 9 24" xfId="22987"/>
    <cellStyle name="Percent 13 9 25" xfId="22988"/>
    <cellStyle name="Percent 13 9 26" xfId="22989"/>
    <cellStyle name="Percent 13 9 27" xfId="22990"/>
    <cellStyle name="Percent 13 9 28" xfId="22991"/>
    <cellStyle name="Percent 13 9 29" xfId="22992"/>
    <cellStyle name="Percent 13 9 3" xfId="12342"/>
    <cellStyle name="Percent 13 9 30" xfId="22993"/>
    <cellStyle name="Percent 13 9 31" xfId="22994"/>
    <cellStyle name="Percent 13 9 32" xfId="22995"/>
    <cellStyle name="Percent 13 9 33" xfId="22996"/>
    <cellStyle name="Percent 13 9 34" xfId="22997"/>
    <cellStyle name="Percent 13 9 35" xfId="22998"/>
    <cellStyle name="Percent 13 9 4" xfId="12343"/>
    <cellStyle name="Percent 13 9 5" xfId="12344"/>
    <cellStyle name="Percent 13 9 6" xfId="12345"/>
    <cellStyle name="Percent 13 9 7" xfId="12346"/>
    <cellStyle name="Percent 13 9 8" xfId="12347"/>
    <cellStyle name="Percent 13 9 9" xfId="12348"/>
    <cellStyle name="Percent 14" xfId="57"/>
    <cellStyle name="Percent 14 10" xfId="1230"/>
    <cellStyle name="Percent 14 11" xfId="1263"/>
    <cellStyle name="Percent 14 12" xfId="1296"/>
    <cellStyle name="Percent 14 13" xfId="1328"/>
    <cellStyle name="Percent 14 14" xfId="1358"/>
    <cellStyle name="Percent 14 15" xfId="1379"/>
    <cellStyle name="Percent 14 16" xfId="1436"/>
    <cellStyle name="Percent 14 17" xfId="1539"/>
    <cellStyle name="Percent 14 18" xfId="1592"/>
    <cellStyle name="Percent 14 19" xfId="1644"/>
    <cellStyle name="Percent 14 2" xfId="964"/>
    <cellStyle name="Percent 14 20" xfId="1738"/>
    <cellStyle name="Percent 14 21" xfId="1807"/>
    <cellStyle name="Percent 14 22" xfId="2138"/>
    <cellStyle name="Percent 14 23" xfId="2559"/>
    <cellStyle name="Percent 14 24" xfId="2356"/>
    <cellStyle name="Percent 14 25" xfId="2887"/>
    <cellStyle name="Percent 14 26" xfId="2971"/>
    <cellStyle name="Percent 14 27" xfId="3046"/>
    <cellStyle name="Percent 14 28" xfId="2444"/>
    <cellStyle name="Percent 14 3" xfId="999"/>
    <cellStyle name="Percent 14 4" xfId="1032"/>
    <cellStyle name="Percent 14 5" xfId="1063"/>
    <cellStyle name="Percent 14 6" xfId="1093"/>
    <cellStyle name="Percent 14 7" xfId="1114"/>
    <cellStyle name="Percent 14 8" xfId="1162"/>
    <cellStyle name="Percent 14 9" xfId="1198"/>
    <cellStyle name="Percent 15" xfId="58"/>
    <cellStyle name="Percent 15 10" xfId="638"/>
    <cellStyle name="Percent 15 10 10" xfId="12349"/>
    <cellStyle name="Percent 15 10 11" xfId="12350"/>
    <cellStyle name="Percent 15 10 12" xfId="12351"/>
    <cellStyle name="Percent 15 10 13" xfId="12352"/>
    <cellStyle name="Percent 15 10 14" xfId="12353"/>
    <cellStyle name="Percent 15 10 15" xfId="12354"/>
    <cellStyle name="Percent 15 10 16" xfId="12355"/>
    <cellStyle name="Percent 15 10 17" xfId="12356"/>
    <cellStyle name="Percent 15 10 18" xfId="12357"/>
    <cellStyle name="Percent 15 10 19" xfId="12358"/>
    <cellStyle name="Percent 15 10 2" xfId="12359"/>
    <cellStyle name="Percent 15 10 20" xfId="12360"/>
    <cellStyle name="Percent 15 10 21" xfId="12361"/>
    <cellStyle name="Percent 15 10 22" xfId="12362"/>
    <cellStyle name="Percent 15 10 23" xfId="22999"/>
    <cellStyle name="Percent 15 10 24" xfId="23000"/>
    <cellStyle name="Percent 15 10 25" xfId="23001"/>
    <cellStyle name="Percent 15 10 26" xfId="23002"/>
    <cellStyle name="Percent 15 10 27" xfId="23003"/>
    <cellStyle name="Percent 15 10 28" xfId="23004"/>
    <cellStyle name="Percent 15 10 29" xfId="23005"/>
    <cellStyle name="Percent 15 10 3" xfId="12363"/>
    <cellStyle name="Percent 15 10 30" xfId="23006"/>
    <cellStyle name="Percent 15 10 31" xfId="23007"/>
    <cellStyle name="Percent 15 10 32" xfId="23008"/>
    <cellStyle name="Percent 15 10 33" xfId="23009"/>
    <cellStyle name="Percent 15 10 34" xfId="23010"/>
    <cellStyle name="Percent 15 10 35" xfId="23011"/>
    <cellStyle name="Percent 15 10 4" xfId="12364"/>
    <cellStyle name="Percent 15 10 5" xfId="12365"/>
    <cellStyle name="Percent 15 10 6" xfId="12366"/>
    <cellStyle name="Percent 15 10 7" xfId="12367"/>
    <cellStyle name="Percent 15 10 8" xfId="12368"/>
    <cellStyle name="Percent 15 10 9" xfId="12369"/>
    <cellStyle name="Percent 15 11" xfId="639"/>
    <cellStyle name="Percent 15 11 10" xfId="12370"/>
    <cellStyle name="Percent 15 11 11" xfId="12371"/>
    <cellStyle name="Percent 15 11 12" xfId="12372"/>
    <cellStyle name="Percent 15 11 13" xfId="12373"/>
    <cellStyle name="Percent 15 11 14" xfId="12374"/>
    <cellStyle name="Percent 15 11 15" xfId="12375"/>
    <cellStyle name="Percent 15 11 16" xfId="12376"/>
    <cellStyle name="Percent 15 11 17" xfId="12377"/>
    <cellStyle name="Percent 15 11 18" xfId="12378"/>
    <cellStyle name="Percent 15 11 19" xfId="12379"/>
    <cellStyle name="Percent 15 11 2" xfId="12380"/>
    <cellStyle name="Percent 15 11 20" xfId="12381"/>
    <cellStyle name="Percent 15 11 21" xfId="12382"/>
    <cellStyle name="Percent 15 11 22" xfId="12383"/>
    <cellStyle name="Percent 15 11 23" xfId="23012"/>
    <cellStyle name="Percent 15 11 24" xfId="23013"/>
    <cellStyle name="Percent 15 11 25" xfId="23014"/>
    <cellStyle name="Percent 15 11 26" xfId="23015"/>
    <cellStyle name="Percent 15 11 27" xfId="23016"/>
    <cellStyle name="Percent 15 11 28" xfId="23017"/>
    <cellStyle name="Percent 15 11 29" xfId="23018"/>
    <cellStyle name="Percent 15 11 3" xfId="12384"/>
    <cellStyle name="Percent 15 11 30" xfId="23019"/>
    <cellStyle name="Percent 15 11 31" xfId="23020"/>
    <cellStyle name="Percent 15 11 32" xfId="23021"/>
    <cellStyle name="Percent 15 11 33" xfId="23022"/>
    <cellStyle name="Percent 15 11 34" xfId="23023"/>
    <cellStyle name="Percent 15 11 35" xfId="23024"/>
    <cellStyle name="Percent 15 11 4" xfId="12385"/>
    <cellStyle name="Percent 15 11 5" xfId="12386"/>
    <cellStyle name="Percent 15 11 6" xfId="12387"/>
    <cellStyle name="Percent 15 11 7" xfId="12388"/>
    <cellStyle name="Percent 15 11 8" xfId="12389"/>
    <cellStyle name="Percent 15 11 9" xfId="12390"/>
    <cellStyle name="Percent 15 12" xfId="640"/>
    <cellStyle name="Percent 15 12 10" xfId="12391"/>
    <cellStyle name="Percent 15 12 11" xfId="12392"/>
    <cellStyle name="Percent 15 12 12" xfId="12393"/>
    <cellStyle name="Percent 15 12 13" xfId="12394"/>
    <cellStyle name="Percent 15 12 14" xfId="12395"/>
    <cellStyle name="Percent 15 12 15" xfId="12396"/>
    <cellStyle name="Percent 15 12 16" xfId="12397"/>
    <cellStyle name="Percent 15 12 17" xfId="12398"/>
    <cellStyle name="Percent 15 12 18" xfId="12399"/>
    <cellStyle name="Percent 15 12 19" xfId="12400"/>
    <cellStyle name="Percent 15 12 2" xfId="12401"/>
    <cellStyle name="Percent 15 12 20" xfId="12402"/>
    <cellStyle name="Percent 15 12 21" xfId="12403"/>
    <cellStyle name="Percent 15 12 22" xfId="12404"/>
    <cellStyle name="Percent 15 12 23" xfId="23025"/>
    <cellStyle name="Percent 15 12 24" xfId="23026"/>
    <cellStyle name="Percent 15 12 25" xfId="23027"/>
    <cellStyle name="Percent 15 12 26" xfId="23028"/>
    <cellStyle name="Percent 15 12 27" xfId="23029"/>
    <cellStyle name="Percent 15 12 28" xfId="23030"/>
    <cellStyle name="Percent 15 12 29" xfId="23031"/>
    <cellStyle name="Percent 15 12 3" xfId="12405"/>
    <cellStyle name="Percent 15 12 30" xfId="23032"/>
    <cellStyle name="Percent 15 12 31" xfId="23033"/>
    <cellStyle name="Percent 15 12 32" xfId="23034"/>
    <cellStyle name="Percent 15 12 33" xfId="23035"/>
    <cellStyle name="Percent 15 12 34" xfId="23036"/>
    <cellStyle name="Percent 15 12 35" xfId="23037"/>
    <cellStyle name="Percent 15 12 4" xfId="12406"/>
    <cellStyle name="Percent 15 12 5" xfId="12407"/>
    <cellStyle name="Percent 15 12 6" xfId="12408"/>
    <cellStyle name="Percent 15 12 7" xfId="12409"/>
    <cellStyle name="Percent 15 12 8" xfId="12410"/>
    <cellStyle name="Percent 15 12 9" xfId="12411"/>
    <cellStyle name="Percent 15 13" xfId="641"/>
    <cellStyle name="Percent 15 13 10" xfId="12412"/>
    <cellStyle name="Percent 15 13 11" xfId="12413"/>
    <cellStyle name="Percent 15 13 12" xfId="12414"/>
    <cellStyle name="Percent 15 13 13" xfId="12415"/>
    <cellStyle name="Percent 15 13 14" xfId="12416"/>
    <cellStyle name="Percent 15 13 15" xfId="12417"/>
    <cellStyle name="Percent 15 13 16" xfId="12418"/>
    <cellStyle name="Percent 15 13 17" xfId="12419"/>
    <cellStyle name="Percent 15 13 18" xfId="12420"/>
    <cellStyle name="Percent 15 13 19" xfId="12421"/>
    <cellStyle name="Percent 15 13 2" xfId="12422"/>
    <cellStyle name="Percent 15 13 20" xfId="12423"/>
    <cellStyle name="Percent 15 13 21" xfId="12424"/>
    <cellStyle name="Percent 15 13 22" xfId="12425"/>
    <cellStyle name="Percent 15 13 23" xfId="23038"/>
    <cellStyle name="Percent 15 13 24" xfId="23039"/>
    <cellStyle name="Percent 15 13 25" xfId="23040"/>
    <cellStyle name="Percent 15 13 26" xfId="23041"/>
    <cellStyle name="Percent 15 13 27" xfId="23042"/>
    <cellStyle name="Percent 15 13 28" xfId="23043"/>
    <cellStyle name="Percent 15 13 29" xfId="23044"/>
    <cellStyle name="Percent 15 13 3" xfId="12426"/>
    <cellStyle name="Percent 15 13 30" xfId="23045"/>
    <cellStyle name="Percent 15 13 31" xfId="23046"/>
    <cellStyle name="Percent 15 13 32" xfId="23047"/>
    <cellStyle name="Percent 15 13 33" xfId="23048"/>
    <cellStyle name="Percent 15 13 34" xfId="23049"/>
    <cellStyle name="Percent 15 13 35" xfId="23050"/>
    <cellStyle name="Percent 15 13 4" xfId="12427"/>
    <cellStyle name="Percent 15 13 5" xfId="12428"/>
    <cellStyle name="Percent 15 13 6" xfId="12429"/>
    <cellStyle name="Percent 15 13 7" xfId="12430"/>
    <cellStyle name="Percent 15 13 8" xfId="12431"/>
    <cellStyle name="Percent 15 13 9" xfId="12432"/>
    <cellStyle name="Percent 15 14" xfId="642"/>
    <cellStyle name="Percent 15 14 10" xfId="12433"/>
    <cellStyle name="Percent 15 14 11" xfId="12434"/>
    <cellStyle name="Percent 15 14 12" xfId="12435"/>
    <cellStyle name="Percent 15 14 13" xfId="12436"/>
    <cellStyle name="Percent 15 14 14" xfId="12437"/>
    <cellStyle name="Percent 15 14 15" xfId="12438"/>
    <cellStyle name="Percent 15 14 16" xfId="12439"/>
    <cellStyle name="Percent 15 14 17" xfId="12440"/>
    <cellStyle name="Percent 15 14 18" xfId="12441"/>
    <cellStyle name="Percent 15 14 19" xfId="12442"/>
    <cellStyle name="Percent 15 14 2" xfId="12443"/>
    <cellStyle name="Percent 15 14 20" xfId="12444"/>
    <cellStyle name="Percent 15 14 21" xfId="12445"/>
    <cellStyle name="Percent 15 14 22" xfId="12446"/>
    <cellStyle name="Percent 15 14 23" xfId="23051"/>
    <cellStyle name="Percent 15 14 24" xfId="23052"/>
    <cellStyle name="Percent 15 14 25" xfId="23053"/>
    <cellStyle name="Percent 15 14 26" xfId="23054"/>
    <cellStyle name="Percent 15 14 27" xfId="23055"/>
    <cellStyle name="Percent 15 14 28" xfId="23056"/>
    <cellStyle name="Percent 15 14 29" xfId="23057"/>
    <cellStyle name="Percent 15 14 3" xfId="12447"/>
    <cellStyle name="Percent 15 14 30" xfId="23058"/>
    <cellStyle name="Percent 15 14 31" xfId="23059"/>
    <cellStyle name="Percent 15 14 32" xfId="23060"/>
    <cellStyle name="Percent 15 14 33" xfId="23061"/>
    <cellStyle name="Percent 15 14 34" xfId="23062"/>
    <cellStyle name="Percent 15 14 35" xfId="23063"/>
    <cellStyle name="Percent 15 14 4" xfId="12448"/>
    <cellStyle name="Percent 15 14 5" xfId="12449"/>
    <cellStyle name="Percent 15 14 6" xfId="12450"/>
    <cellStyle name="Percent 15 14 7" xfId="12451"/>
    <cellStyle name="Percent 15 14 8" xfId="12452"/>
    <cellStyle name="Percent 15 14 9" xfId="12453"/>
    <cellStyle name="Percent 15 15" xfId="643"/>
    <cellStyle name="Percent 15 16" xfId="1437"/>
    <cellStyle name="Percent 15 17" xfId="1538"/>
    <cellStyle name="Percent 15 18" xfId="1591"/>
    <cellStyle name="Percent 15 19" xfId="1643"/>
    <cellStyle name="Percent 15 2" xfId="118"/>
    <cellStyle name="Percent 15 2 10" xfId="12454"/>
    <cellStyle name="Percent 15 2 11" xfId="12455"/>
    <cellStyle name="Percent 15 2 12" xfId="12456"/>
    <cellStyle name="Percent 15 2 13" xfId="12457"/>
    <cellStyle name="Percent 15 2 14" xfId="12458"/>
    <cellStyle name="Percent 15 2 15" xfId="12459"/>
    <cellStyle name="Percent 15 2 16" xfId="12460"/>
    <cellStyle name="Percent 15 2 17" xfId="12461"/>
    <cellStyle name="Percent 15 2 18" xfId="12462"/>
    <cellStyle name="Percent 15 2 19" xfId="12463"/>
    <cellStyle name="Percent 15 2 2" xfId="12464"/>
    <cellStyle name="Percent 15 2 20" xfId="12465"/>
    <cellStyle name="Percent 15 2 21" xfId="12466"/>
    <cellStyle name="Percent 15 2 22" xfId="12467"/>
    <cellStyle name="Percent 15 2 23" xfId="23064"/>
    <cellStyle name="Percent 15 2 24" xfId="23065"/>
    <cellStyle name="Percent 15 2 25" xfId="23066"/>
    <cellStyle name="Percent 15 2 26" xfId="23067"/>
    <cellStyle name="Percent 15 2 27" xfId="23068"/>
    <cellStyle name="Percent 15 2 28" xfId="23069"/>
    <cellStyle name="Percent 15 2 29" xfId="23070"/>
    <cellStyle name="Percent 15 2 3" xfId="12468"/>
    <cellStyle name="Percent 15 2 30" xfId="23071"/>
    <cellStyle name="Percent 15 2 31" xfId="23072"/>
    <cellStyle name="Percent 15 2 32" xfId="23073"/>
    <cellStyle name="Percent 15 2 33" xfId="23074"/>
    <cellStyle name="Percent 15 2 34" xfId="23075"/>
    <cellStyle name="Percent 15 2 35" xfId="23076"/>
    <cellStyle name="Percent 15 2 4" xfId="12469"/>
    <cellStyle name="Percent 15 2 5" xfId="12470"/>
    <cellStyle name="Percent 15 2 6" xfId="12471"/>
    <cellStyle name="Percent 15 2 7" xfId="12472"/>
    <cellStyle name="Percent 15 2 8" xfId="12473"/>
    <cellStyle name="Percent 15 2 9" xfId="12474"/>
    <cellStyle name="Percent 15 20" xfId="1739"/>
    <cellStyle name="Percent 15 21" xfId="1693"/>
    <cellStyle name="Percent 15 22" xfId="1806"/>
    <cellStyle name="Percent 15 23" xfId="2139"/>
    <cellStyle name="Percent 15 24" xfId="2541"/>
    <cellStyle name="Percent 15 25" xfId="2946"/>
    <cellStyle name="Percent 15 26" xfId="3026"/>
    <cellStyle name="Percent 15 27" xfId="3089"/>
    <cellStyle name="Percent 15 28" xfId="3140"/>
    <cellStyle name="Percent 15 29" xfId="2218"/>
    <cellStyle name="Percent 15 3" xfId="644"/>
    <cellStyle name="Percent 15 3 10" xfId="12475"/>
    <cellStyle name="Percent 15 3 11" xfId="12476"/>
    <cellStyle name="Percent 15 3 12" xfId="12477"/>
    <cellStyle name="Percent 15 3 13" xfId="12478"/>
    <cellStyle name="Percent 15 3 14" xfId="12479"/>
    <cellStyle name="Percent 15 3 15" xfId="12480"/>
    <cellStyle name="Percent 15 3 16" xfId="12481"/>
    <cellStyle name="Percent 15 3 17" xfId="12482"/>
    <cellStyle name="Percent 15 3 18" xfId="12483"/>
    <cellStyle name="Percent 15 3 19" xfId="12484"/>
    <cellStyle name="Percent 15 3 2" xfId="12485"/>
    <cellStyle name="Percent 15 3 20" xfId="12486"/>
    <cellStyle name="Percent 15 3 21" xfId="12487"/>
    <cellStyle name="Percent 15 3 22" xfId="12488"/>
    <cellStyle name="Percent 15 3 23" xfId="23077"/>
    <cellStyle name="Percent 15 3 24" xfId="23078"/>
    <cellStyle name="Percent 15 3 25" xfId="23079"/>
    <cellStyle name="Percent 15 3 26" xfId="23080"/>
    <cellStyle name="Percent 15 3 27" xfId="23081"/>
    <cellStyle name="Percent 15 3 28" xfId="23082"/>
    <cellStyle name="Percent 15 3 29" xfId="23083"/>
    <cellStyle name="Percent 15 3 3" xfId="12489"/>
    <cellStyle name="Percent 15 3 30" xfId="23084"/>
    <cellStyle name="Percent 15 3 31" xfId="23085"/>
    <cellStyle name="Percent 15 3 32" xfId="23086"/>
    <cellStyle name="Percent 15 3 33" xfId="23087"/>
    <cellStyle name="Percent 15 3 34" xfId="23088"/>
    <cellStyle name="Percent 15 3 35" xfId="23089"/>
    <cellStyle name="Percent 15 3 4" xfId="12490"/>
    <cellStyle name="Percent 15 3 5" xfId="12491"/>
    <cellStyle name="Percent 15 3 6" xfId="12492"/>
    <cellStyle name="Percent 15 3 7" xfId="12493"/>
    <cellStyle name="Percent 15 3 8" xfId="12494"/>
    <cellStyle name="Percent 15 3 9" xfId="12495"/>
    <cellStyle name="Percent 15 30" xfId="12496"/>
    <cellStyle name="Percent 15 31" xfId="12497"/>
    <cellStyle name="Percent 15 32" xfId="12498"/>
    <cellStyle name="Percent 15 33" xfId="12499"/>
    <cellStyle name="Percent 15 34" xfId="12500"/>
    <cellStyle name="Percent 15 35" xfId="12501"/>
    <cellStyle name="Percent 15 36" xfId="12502"/>
    <cellStyle name="Percent 15 37" xfId="12503"/>
    <cellStyle name="Percent 15 38" xfId="23090"/>
    <cellStyle name="Percent 15 39" xfId="23091"/>
    <cellStyle name="Percent 15 4" xfId="645"/>
    <cellStyle name="Percent 15 4 10" xfId="12504"/>
    <cellStyle name="Percent 15 4 11" xfId="12505"/>
    <cellStyle name="Percent 15 4 12" xfId="12506"/>
    <cellStyle name="Percent 15 4 13" xfId="12507"/>
    <cellStyle name="Percent 15 4 14" xfId="12508"/>
    <cellStyle name="Percent 15 4 15" xfId="12509"/>
    <cellStyle name="Percent 15 4 16" xfId="12510"/>
    <cellStyle name="Percent 15 4 17" xfId="12511"/>
    <cellStyle name="Percent 15 4 18" xfId="12512"/>
    <cellStyle name="Percent 15 4 19" xfId="12513"/>
    <cellStyle name="Percent 15 4 2" xfId="12514"/>
    <cellStyle name="Percent 15 4 20" xfId="12515"/>
    <cellStyle name="Percent 15 4 21" xfId="12516"/>
    <cellStyle name="Percent 15 4 22" xfId="12517"/>
    <cellStyle name="Percent 15 4 23" xfId="23092"/>
    <cellStyle name="Percent 15 4 24" xfId="23093"/>
    <cellStyle name="Percent 15 4 25" xfId="23094"/>
    <cellStyle name="Percent 15 4 26" xfId="23095"/>
    <cellStyle name="Percent 15 4 27" xfId="23096"/>
    <cellStyle name="Percent 15 4 28" xfId="23097"/>
    <cellStyle name="Percent 15 4 29" xfId="23098"/>
    <cellStyle name="Percent 15 4 3" xfId="12518"/>
    <cellStyle name="Percent 15 4 30" xfId="23099"/>
    <cellStyle name="Percent 15 4 31" xfId="23100"/>
    <cellStyle name="Percent 15 4 32" xfId="23101"/>
    <cellStyle name="Percent 15 4 33" xfId="23102"/>
    <cellStyle name="Percent 15 4 34" xfId="23103"/>
    <cellStyle name="Percent 15 4 35" xfId="23104"/>
    <cellStyle name="Percent 15 4 4" xfId="12519"/>
    <cellStyle name="Percent 15 4 5" xfId="12520"/>
    <cellStyle name="Percent 15 4 6" xfId="12521"/>
    <cellStyle name="Percent 15 4 7" xfId="12522"/>
    <cellStyle name="Percent 15 4 8" xfId="12523"/>
    <cellStyle name="Percent 15 4 9" xfId="12524"/>
    <cellStyle name="Percent 15 40" xfId="23105"/>
    <cellStyle name="Percent 15 41" xfId="23106"/>
    <cellStyle name="Percent 15 42" xfId="23107"/>
    <cellStyle name="Percent 15 43" xfId="23108"/>
    <cellStyle name="Percent 15 44" xfId="23109"/>
    <cellStyle name="Percent 15 45" xfId="23110"/>
    <cellStyle name="Percent 15 46" xfId="23111"/>
    <cellStyle name="Percent 15 47" xfId="23112"/>
    <cellStyle name="Percent 15 48" xfId="23113"/>
    <cellStyle name="Percent 15 49" xfId="23114"/>
    <cellStyle name="Percent 15 5" xfId="646"/>
    <cellStyle name="Percent 15 5 10" xfId="12525"/>
    <cellStyle name="Percent 15 5 11" xfId="12526"/>
    <cellStyle name="Percent 15 5 12" xfId="12527"/>
    <cellStyle name="Percent 15 5 13" xfId="12528"/>
    <cellStyle name="Percent 15 5 14" xfId="12529"/>
    <cellStyle name="Percent 15 5 15" xfId="12530"/>
    <cellStyle name="Percent 15 5 16" xfId="12531"/>
    <cellStyle name="Percent 15 5 17" xfId="12532"/>
    <cellStyle name="Percent 15 5 18" xfId="12533"/>
    <cellStyle name="Percent 15 5 19" xfId="12534"/>
    <cellStyle name="Percent 15 5 2" xfId="12535"/>
    <cellStyle name="Percent 15 5 20" xfId="12536"/>
    <cellStyle name="Percent 15 5 21" xfId="12537"/>
    <cellStyle name="Percent 15 5 22" xfId="12538"/>
    <cellStyle name="Percent 15 5 23" xfId="23115"/>
    <cellStyle name="Percent 15 5 24" xfId="23116"/>
    <cellStyle name="Percent 15 5 25" xfId="23117"/>
    <cellStyle name="Percent 15 5 26" xfId="23118"/>
    <cellStyle name="Percent 15 5 27" xfId="23119"/>
    <cellStyle name="Percent 15 5 28" xfId="23120"/>
    <cellStyle name="Percent 15 5 29" xfId="23121"/>
    <cellStyle name="Percent 15 5 3" xfId="12539"/>
    <cellStyle name="Percent 15 5 30" xfId="23122"/>
    <cellStyle name="Percent 15 5 31" xfId="23123"/>
    <cellStyle name="Percent 15 5 32" xfId="23124"/>
    <cellStyle name="Percent 15 5 33" xfId="23125"/>
    <cellStyle name="Percent 15 5 34" xfId="23126"/>
    <cellStyle name="Percent 15 5 35" xfId="23127"/>
    <cellStyle name="Percent 15 5 4" xfId="12540"/>
    <cellStyle name="Percent 15 5 5" xfId="12541"/>
    <cellStyle name="Percent 15 5 6" xfId="12542"/>
    <cellStyle name="Percent 15 5 7" xfId="12543"/>
    <cellStyle name="Percent 15 5 8" xfId="12544"/>
    <cellStyle name="Percent 15 5 9" xfId="12545"/>
    <cellStyle name="Percent 15 50" xfId="23128"/>
    <cellStyle name="Percent 15 6" xfId="647"/>
    <cellStyle name="Percent 15 6 10" xfId="12546"/>
    <cellStyle name="Percent 15 6 11" xfId="12547"/>
    <cellStyle name="Percent 15 6 12" xfId="12548"/>
    <cellStyle name="Percent 15 6 13" xfId="12549"/>
    <cellStyle name="Percent 15 6 14" xfId="12550"/>
    <cellStyle name="Percent 15 6 15" xfId="12551"/>
    <cellStyle name="Percent 15 6 16" xfId="12552"/>
    <cellStyle name="Percent 15 6 17" xfId="12553"/>
    <cellStyle name="Percent 15 6 18" xfId="12554"/>
    <cellStyle name="Percent 15 6 19" xfId="12555"/>
    <cellStyle name="Percent 15 6 2" xfId="12556"/>
    <cellStyle name="Percent 15 6 20" xfId="12557"/>
    <cellStyle name="Percent 15 6 21" xfId="12558"/>
    <cellStyle name="Percent 15 6 22" xfId="12559"/>
    <cellStyle name="Percent 15 6 23" xfId="23129"/>
    <cellStyle name="Percent 15 6 24" xfId="23130"/>
    <cellStyle name="Percent 15 6 25" xfId="23131"/>
    <cellStyle name="Percent 15 6 26" xfId="23132"/>
    <cellStyle name="Percent 15 6 27" xfId="23133"/>
    <cellStyle name="Percent 15 6 28" xfId="23134"/>
    <cellStyle name="Percent 15 6 29" xfId="23135"/>
    <cellStyle name="Percent 15 6 3" xfId="12560"/>
    <cellStyle name="Percent 15 6 30" xfId="23136"/>
    <cellStyle name="Percent 15 6 31" xfId="23137"/>
    <cellStyle name="Percent 15 6 32" xfId="23138"/>
    <cellStyle name="Percent 15 6 33" xfId="23139"/>
    <cellStyle name="Percent 15 6 34" xfId="23140"/>
    <cellStyle name="Percent 15 6 35" xfId="23141"/>
    <cellStyle name="Percent 15 6 4" xfId="12561"/>
    <cellStyle name="Percent 15 6 5" xfId="12562"/>
    <cellStyle name="Percent 15 6 6" xfId="12563"/>
    <cellStyle name="Percent 15 6 7" xfId="12564"/>
    <cellStyle name="Percent 15 6 8" xfId="12565"/>
    <cellStyle name="Percent 15 6 9" xfId="12566"/>
    <cellStyle name="Percent 15 7" xfId="648"/>
    <cellStyle name="Percent 15 7 10" xfId="12567"/>
    <cellStyle name="Percent 15 7 11" xfId="12568"/>
    <cellStyle name="Percent 15 7 12" xfId="12569"/>
    <cellStyle name="Percent 15 7 13" xfId="12570"/>
    <cellStyle name="Percent 15 7 14" xfId="12571"/>
    <cellStyle name="Percent 15 7 15" xfId="12572"/>
    <cellStyle name="Percent 15 7 16" xfId="12573"/>
    <cellStyle name="Percent 15 7 17" xfId="12574"/>
    <cellStyle name="Percent 15 7 18" xfId="12575"/>
    <cellStyle name="Percent 15 7 19" xfId="12576"/>
    <cellStyle name="Percent 15 7 2" xfId="12577"/>
    <cellStyle name="Percent 15 7 20" xfId="12578"/>
    <cellStyle name="Percent 15 7 21" xfId="12579"/>
    <cellStyle name="Percent 15 7 22" xfId="12580"/>
    <cellStyle name="Percent 15 7 23" xfId="23142"/>
    <cellStyle name="Percent 15 7 24" xfId="23143"/>
    <cellStyle name="Percent 15 7 25" xfId="23144"/>
    <cellStyle name="Percent 15 7 26" xfId="23145"/>
    <cellStyle name="Percent 15 7 27" xfId="23146"/>
    <cellStyle name="Percent 15 7 28" xfId="23147"/>
    <cellStyle name="Percent 15 7 29" xfId="23148"/>
    <cellStyle name="Percent 15 7 3" xfId="12581"/>
    <cellStyle name="Percent 15 7 30" xfId="23149"/>
    <cellStyle name="Percent 15 7 31" xfId="23150"/>
    <cellStyle name="Percent 15 7 32" xfId="23151"/>
    <cellStyle name="Percent 15 7 33" xfId="23152"/>
    <cellStyle name="Percent 15 7 34" xfId="23153"/>
    <cellStyle name="Percent 15 7 35" xfId="23154"/>
    <cellStyle name="Percent 15 7 4" xfId="12582"/>
    <cellStyle name="Percent 15 7 5" xfId="12583"/>
    <cellStyle name="Percent 15 7 6" xfId="12584"/>
    <cellStyle name="Percent 15 7 7" xfId="12585"/>
    <cellStyle name="Percent 15 7 8" xfId="12586"/>
    <cellStyle name="Percent 15 7 9" xfId="12587"/>
    <cellStyle name="Percent 15 8" xfId="649"/>
    <cellStyle name="Percent 15 8 10" xfId="12588"/>
    <cellStyle name="Percent 15 8 11" xfId="12589"/>
    <cellStyle name="Percent 15 8 12" xfId="12590"/>
    <cellStyle name="Percent 15 8 13" xfId="12591"/>
    <cellStyle name="Percent 15 8 14" xfId="12592"/>
    <cellStyle name="Percent 15 8 15" xfId="12593"/>
    <cellStyle name="Percent 15 8 16" xfId="12594"/>
    <cellStyle name="Percent 15 8 17" xfId="12595"/>
    <cellStyle name="Percent 15 8 18" xfId="12596"/>
    <cellStyle name="Percent 15 8 19" xfId="12597"/>
    <cellStyle name="Percent 15 8 2" xfId="12598"/>
    <cellStyle name="Percent 15 8 20" xfId="12599"/>
    <cellStyle name="Percent 15 8 21" xfId="12600"/>
    <cellStyle name="Percent 15 8 22" xfId="12601"/>
    <cellStyle name="Percent 15 8 23" xfId="23155"/>
    <cellStyle name="Percent 15 8 24" xfId="23156"/>
    <cellStyle name="Percent 15 8 25" xfId="23157"/>
    <cellStyle name="Percent 15 8 26" xfId="23158"/>
    <cellStyle name="Percent 15 8 27" xfId="23159"/>
    <cellStyle name="Percent 15 8 28" xfId="23160"/>
    <cellStyle name="Percent 15 8 29" xfId="23161"/>
    <cellStyle name="Percent 15 8 3" xfId="12602"/>
    <cellStyle name="Percent 15 8 30" xfId="23162"/>
    <cellStyle name="Percent 15 8 31" xfId="23163"/>
    <cellStyle name="Percent 15 8 32" xfId="23164"/>
    <cellStyle name="Percent 15 8 33" xfId="23165"/>
    <cellStyle name="Percent 15 8 34" xfId="23166"/>
    <cellStyle name="Percent 15 8 35" xfId="23167"/>
    <cellStyle name="Percent 15 8 4" xfId="12603"/>
    <cellStyle name="Percent 15 8 5" xfId="12604"/>
    <cellStyle name="Percent 15 8 6" xfId="12605"/>
    <cellStyle name="Percent 15 8 7" xfId="12606"/>
    <cellStyle name="Percent 15 8 8" xfId="12607"/>
    <cellStyle name="Percent 15 8 9" xfId="12608"/>
    <cellStyle name="Percent 15 9" xfId="650"/>
    <cellStyle name="Percent 15 9 10" xfId="12609"/>
    <cellStyle name="Percent 15 9 11" xfId="12610"/>
    <cellStyle name="Percent 15 9 12" xfId="12611"/>
    <cellStyle name="Percent 15 9 13" xfId="12612"/>
    <cellStyle name="Percent 15 9 14" xfId="12613"/>
    <cellStyle name="Percent 15 9 15" xfId="12614"/>
    <cellStyle name="Percent 15 9 16" xfId="12615"/>
    <cellStyle name="Percent 15 9 17" xfId="12616"/>
    <cellStyle name="Percent 15 9 18" xfId="12617"/>
    <cellStyle name="Percent 15 9 19" xfId="12618"/>
    <cellStyle name="Percent 15 9 2" xfId="12619"/>
    <cellStyle name="Percent 15 9 20" xfId="12620"/>
    <cellStyle name="Percent 15 9 21" xfId="12621"/>
    <cellStyle name="Percent 15 9 22" xfId="12622"/>
    <cellStyle name="Percent 15 9 23" xfId="23168"/>
    <cellStyle name="Percent 15 9 24" xfId="23169"/>
    <cellStyle name="Percent 15 9 25" xfId="23170"/>
    <cellStyle name="Percent 15 9 26" xfId="23171"/>
    <cellStyle name="Percent 15 9 27" xfId="23172"/>
    <cellStyle name="Percent 15 9 28" xfId="23173"/>
    <cellStyle name="Percent 15 9 29" xfId="23174"/>
    <cellStyle name="Percent 15 9 3" xfId="12623"/>
    <cellStyle name="Percent 15 9 30" xfId="23175"/>
    <cellStyle name="Percent 15 9 31" xfId="23176"/>
    <cellStyle name="Percent 15 9 32" xfId="23177"/>
    <cellStyle name="Percent 15 9 33" xfId="23178"/>
    <cellStyle name="Percent 15 9 34" xfId="23179"/>
    <cellStyle name="Percent 15 9 35" xfId="23180"/>
    <cellStyle name="Percent 15 9 4" xfId="12624"/>
    <cellStyle name="Percent 15 9 5" xfId="12625"/>
    <cellStyle name="Percent 15 9 6" xfId="12626"/>
    <cellStyle name="Percent 15 9 7" xfId="12627"/>
    <cellStyle name="Percent 15 9 8" xfId="12628"/>
    <cellStyle name="Percent 15 9 9" xfId="12629"/>
    <cellStyle name="Percent 16" xfId="59"/>
    <cellStyle name="Percent 16 10" xfId="651"/>
    <cellStyle name="Percent 16 10 10" xfId="12630"/>
    <cellStyle name="Percent 16 10 11" xfId="12631"/>
    <cellStyle name="Percent 16 10 12" xfId="12632"/>
    <cellStyle name="Percent 16 10 13" xfId="12633"/>
    <cellStyle name="Percent 16 10 14" xfId="12634"/>
    <cellStyle name="Percent 16 10 15" xfId="12635"/>
    <cellStyle name="Percent 16 10 16" xfId="12636"/>
    <cellStyle name="Percent 16 10 17" xfId="12637"/>
    <cellStyle name="Percent 16 10 18" xfId="12638"/>
    <cellStyle name="Percent 16 10 19" xfId="12639"/>
    <cellStyle name="Percent 16 10 2" xfId="12640"/>
    <cellStyle name="Percent 16 10 20" xfId="12641"/>
    <cellStyle name="Percent 16 10 21" xfId="12642"/>
    <cellStyle name="Percent 16 10 22" xfId="12643"/>
    <cellStyle name="Percent 16 10 23" xfId="23181"/>
    <cellStyle name="Percent 16 10 24" xfId="23182"/>
    <cellStyle name="Percent 16 10 25" xfId="23183"/>
    <cellStyle name="Percent 16 10 26" xfId="23184"/>
    <cellStyle name="Percent 16 10 27" xfId="23185"/>
    <cellStyle name="Percent 16 10 28" xfId="23186"/>
    <cellStyle name="Percent 16 10 29" xfId="23187"/>
    <cellStyle name="Percent 16 10 3" xfId="12644"/>
    <cellStyle name="Percent 16 10 30" xfId="23188"/>
    <cellStyle name="Percent 16 10 31" xfId="23189"/>
    <cellStyle name="Percent 16 10 32" xfId="23190"/>
    <cellStyle name="Percent 16 10 33" xfId="23191"/>
    <cellStyle name="Percent 16 10 34" xfId="23192"/>
    <cellStyle name="Percent 16 10 35" xfId="23193"/>
    <cellStyle name="Percent 16 10 4" xfId="12645"/>
    <cellStyle name="Percent 16 10 5" xfId="12646"/>
    <cellStyle name="Percent 16 10 6" xfId="12647"/>
    <cellStyle name="Percent 16 10 7" xfId="12648"/>
    <cellStyle name="Percent 16 10 8" xfId="12649"/>
    <cellStyle name="Percent 16 10 9" xfId="12650"/>
    <cellStyle name="Percent 16 11" xfId="652"/>
    <cellStyle name="Percent 16 11 10" xfId="12651"/>
    <cellStyle name="Percent 16 11 11" xfId="12652"/>
    <cellStyle name="Percent 16 11 12" xfId="12653"/>
    <cellStyle name="Percent 16 11 13" xfId="12654"/>
    <cellStyle name="Percent 16 11 14" xfId="12655"/>
    <cellStyle name="Percent 16 11 15" xfId="12656"/>
    <cellStyle name="Percent 16 11 16" xfId="12657"/>
    <cellStyle name="Percent 16 11 17" xfId="12658"/>
    <cellStyle name="Percent 16 11 18" xfId="12659"/>
    <cellStyle name="Percent 16 11 19" xfId="12660"/>
    <cellStyle name="Percent 16 11 2" xfId="12661"/>
    <cellStyle name="Percent 16 11 20" xfId="12662"/>
    <cellStyle name="Percent 16 11 21" xfId="12663"/>
    <cellStyle name="Percent 16 11 22" xfId="12664"/>
    <cellStyle name="Percent 16 11 23" xfId="23194"/>
    <cellStyle name="Percent 16 11 24" xfId="23195"/>
    <cellStyle name="Percent 16 11 25" xfId="23196"/>
    <cellStyle name="Percent 16 11 26" xfId="23197"/>
    <cellStyle name="Percent 16 11 27" xfId="23198"/>
    <cellStyle name="Percent 16 11 28" xfId="23199"/>
    <cellStyle name="Percent 16 11 29" xfId="23200"/>
    <cellStyle name="Percent 16 11 3" xfId="12665"/>
    <cellStyle name="Percent 16 11 30" xfId="23201"/>
    <cellStyle name="Percent 16 11 31" xfId="23202"/>
    <cellStyle name="Percent 16 11 32" xfId="23203"/>
    <cellStyle name="Percent 16 11 33" xfId="23204"/>
    <cellStyle name="Percent 16 11 34" xfId="23205"/>
    <cellStyle name="Percent 16 11 35" xfId="23206"/>
    <cellStyle name="Percent 16 11 4" xfId="12666"/>
    <cellStyle name="Percent 16 11 5" xfId="12667"/>
    <cellStyle name="Percent 16 11 6" xfId="12668"/>
    <cellStyle name="Percent 16 11 7" xfId="12669"/>
    <cellStyle name="Percent 16 11 8" xfId="12670"/>
    <cellStyle name="Percent 16 11 9" xfId="12671"/>
    <cellStyle name="Percent 16 12" xfId="653"/>
    <cellStyle name="Percent 16 12 10" xfId="12672"/>
    <cellStyle name="Percent 16 12 11" xfId="12673"/>
    <cellStyle name="Percent 16 12 12" xfId="12674"/>
    <cellStyle name="Percent 16 12 13" xfId="12675"/>
    <cellStyle name="Percent 16 12 14" xfId="12676"/>
    <cellStyle name="Percent 16 12 15" xfId="12677"/>
    <cellStyle name="Percent 16 12 16" xfId="12678"/>
    <cellStyle name="Percent 16 12 17" xfId="12679"/>
    <cellStyle name="Percent 16 12 18" xfId="12680"/>
    <cellStyle name="Percent 16 12 19" xfId="12681"/>
    <cellStyle name="Percent 16 12 2" xfId="12682"/>
    <cellStyle name="Percent 16 12 20" xfId="12683"/>
    <cellStyle name="Percent 16 12 21" xfId="12684"/>
    <cellStyle name="Percent 16 12 22" xfId="12685"/>
    <cellStyle name="Percent 16 12 23" xfId="23207"/>
    <cellStyle name="Percent 16 12 24" xfId="23208"/>
    <cellStyle name="Percent 16 12 25" xfId="23209"/>
    <cellStyle name="Percent 16 12 26" xfId="23210"/>
    <cellStyle name="Percent 16 12 27" xfId="23211"/>
    <cellStyle name="Percent 16 12 28" xfId="23212"/>
    <cellStyle name="Percent 16 12 29" xfId="23213"/>
    <cellStyle name="Percent 16 12 3" xfId="12686"/>
    <cellStyle name="Percent 16 12 30" xfId="23214"/>
    <cellStyle name="Percent 16 12 31" xfId="23215"/>
    <cellStyle name="Percent 16 12 32" xfId="23216"/>
    <cellStyle name="Percent 16 12 33" xfId="23217"/>
    <cellStyle name="Percent 16 12 34" xfId="23218"/>
    <cellStyle name="Percent 16 12 35" xfId="23219"/>
    <cellStyle name="Percent 16 12 4" xfId="12687"/>
    <cellStyle name="Percent 16 12 5" xfId="12688"/>
    <cellStyle name="Percent 16 12 6" xfId="12689"/>
    <cellStyle name="Percent 16 12 7" xfId="12690"/>
    <cellStyle name="Percent 16 12 8" xfId="12691"/>
    <cellStyle name="Percent 16 12 9" xfId="12692"/>
    <cellStyle name="Percent 16 13" xfId="654"/>
    <cellStyle name="Percent 16 13 10" xfId="12693"/>
    <cellStyle name="Percent 16 13 11" xfId="12694"/>
    <cellStyle name="Percent 16 13 12" xfId="12695"/>
    <cellStyle name="Percent 16 13 13" xfId="12696"/>
    <cellStyle name="Percent 16 13 14" xfId="12697"/>
    <cellStyle name="Percent 16 13 15" xfId="12698"/>
    <cellStyle name="Percent 16 13 16" xfId="12699"/>
    <cellStyle name="Percent 16 13 17" xfId="12700"/>
    <cellStyle name="Percent 16 13 18" xfId="12701"/>
    <cellStyle name="Percent 16 13 19" xfId="12702"/>
    <cellStyle name="Percent 16 13 2" xfId="12703"/>
    <cellStyle name="Percent 16 13 20" xfId="12704"/>
    <cellStyle name="Percent 16 13 21" xfId="12705"/>
    <cellStyle name="Percent 16 13 22" xfId="12706"/>
    <cellStyle name="Percent 16 13 23" xfId="23220"/>
    <cellStyle name="Percent 16 13 24" xfId="23221"/>
    <cellStyle name="Percent 16 13 25" xfId="23222"/>
    <cellStyle name="Percent 16 13 26" xfId="23223"/>
    <cellStyle name="Percent 16 13 27" xfId="23224"/>
    <cellStyle name="Percent 16 13 28" xfId="23225"/>
    <cellStyle name="Percent 16 13 29" xfId="23226"/>
    <cellStyle name="Percent 16 13 3" xfId="12707"/>
    <cellStyle name="Percent 16 13 30" xfId="23227"/>
    <cellStyle name="Percent 16 13 31" xfId="23228"/>
    <cellStyle name="Percent 16 13 32" xfId="23229"/>
    <cellStyle name="Percent 16 13 33" xfId="23230"/>
    <cellStyle name="Percent 16 13 34" xfId="23231"/>
    <cellStyle name="Percent 16 13 35" xfId="23232"/>
    <cellStyle name="Percent 16 13 4" xfId="12708"/>
    <cellStyle name="Percent 16 13 5" xfId="12709"/>
    <cellStyle name="Percent 16 13 6" xfId="12710"/>
    <cellStyle name="Percent 16 13 7" xfId="12711"/>
    <cellStyle name="Percent 16 13 8" xfId="12712"/>
    <cellStyle name="Percent 16 13 9" xfId="12713"/>
    <cellStyle name="Percent 16 14" xfId="655"/>
    <cellStyle name="Percent 16 14 10" xfId="12714"/>
    <cellStyle name="Percent 16 14 11" xfId="12715"/>
    <cellStyle name="Percent 16 14 12" xfId="12716"/>
    <cellStyle name="Percent 16 14 13" xfId="12717"/>
    <cellStyle name="Percent 16 14 14" xfId="12718"/>
    <cellStyle name="Percent 16 14 15" xfId="12719"/>
    <cellStyle name="Percent 16 14 16" xfId="12720"/>
    <cellStyle name="Percent 16 14 17" xfId="12721"/>
    <cellStyle name="Percent 16 14 18" xfId="12722"/>
    <cellStyle name="Percent 16 14 19" xfId="12723"/>
    <cellStyle name="Percent 16 14 2" xfId="12724"/>
    <cellStyle name="Percent 16 14 20" xfId="12725"/>
    <cellStyle name="Percent 16 14 21" xfId="12726"/>
    <cellStyle name="Percent 16 14 22" xfId="12727"/>
    <cellStyle name="Percent 16 14 23" xfId="23233"/>
    <cellStyle name="Percent 16 14 24" xfId="23234"/>
    <cellStyle name="Percent 16 14 25" xfId="23235"/>
    <cellStyle name="Percent 16 14 26" xfId="23236"/>
    <cellStyle name="Percent 16 14 27" xfId="23237"/>
    <cellStyle name="Percent 16 14 28" xfId="23238"/>
    <cellStyle name="Percent 16 14 29" xfId="23239"/>
    <cellStyle name="Percent 16 14 3" xfId="12728"/>
    <cellStyle name="Percent 16 14 30" xfId="23240"/>
    <cellStyle name="Percent 16 14 31" xfId="23241"/>
    <cellStyle name="Percent 16 14 32" xfId="23242"/>
    <cellStyle name="Percent 16 14 33" xfId="23243"/>
    <cellStyle name="Percent 16 14 34" xfId="23244"/>
    <cellStyle name="Percent 16 14 35" xfId="23245"/>
    <cellStyle name="Percent 16 14 4" xfId="12729"/>
    <cellStyle name="Percent 16 14 5" xfId="12730"/>
    <cellStyle name="Percent 16 14 6" xfId="12731"/>
    <cellStyle name="Percent 16 14 7" xfId="12732"/>
    <cellStyle name="Percent 16 14 8" xfId="12733"/>
    <cellStyle name="Percent 16 14 9" xfId="12734"/>
    <cellStyle name="Percent 16 15" xfId="656"/>
    <cellStyle name="Percent 16 16" xfId="1438"/>
    <cellStyle name="Percent 16 17" xfId="1537"/>
    <cellStyle name="Percent 16 18" xfId="1590"/>
    <cellStyle name="Percent 16 19" xfId="1642"/>
    <cellStyle name="Percent 16 2" xfId="119"/>
    <cellStyle name="Percent 16 2 10" xfId="12735"/>
    <cellStyle name="Percent 16 2 11" xfId="12736"/>
    <cellStyle name="Percent 16 2 12" xfId="12737"/>
    <cellStyle name="Percent 16 2 13" xfId="12738"/>
    <cellStyle name="Percent 16 2 14" xfId="12739"/>
    <cellStyle name="Percent 16 2 15" xfId="12740"/>
    <cellStyle name="Percent 16 2 16" xfId="12741"/>
    <cellStyle name="Percent 16 2 17" xfId="12742"/>
    <cellStyle name="Percent 16 2 18" xfId="12743"/>
    <cellStyle name="Percent 16 2 19" xfId="12744"/>
    <cellStyle name="Percent 16 2 2" xfId="12745"/>
    <cellStyle name="Percent 16 2 20" xfId="12746"/>
    <cellStyle name="Percent 16 2 21" xfId="12747"/>
    <cellStyle name="Percent 16 2 22" xfId="12748"/>
    <cellStyle name="Percent 16 2 23" xfId="23246"/>
    <cellStyle name="Percent 16 2 24" xfId="23247"/>
    <cellStyle name="Percent 16 2 25" xfId="23248"/>
    <cellStyle name="Percent 16 2 26" xfId="23249"/>
    <cellStyle name="Percent 16 2 27" xfId="23250"/>
    <cellStyle name="Percent 16 2 28" xfId="23251"/>
    <cellStyle name="Percent 16 2 29" xfId="23252"/>
    <cellStyle name="Percent 16 2 3" xfId="12749"/>
    <cellStyle name="Percent 16 2 30" xfId="23253"/>
    <cellStyle name="Percent 16 2 31" xfId="23254"/>
    <cellStyle name="Percent 16 2 32" xfId="23255"/>
    <cellStyle name="Percent 16 2 33" xfId="23256"/>
    <cellStyle name="Percent 16 2 34" xfId="23257"/>
    <cellStyle name="Percent 16 2 35" xfId="23258"/>
    <cellStyle name="Percent 16 2 4" xfId="12750"/>
    <cellStyle name="Percent 16 2 5" xfId="12751"/>
    <cellStyle name="Percent 16 2 6" xfId="12752"/>
    <cellStyle name="Percent 16 2 7" xfId="12753"/>
    <cellStyle name="Percent 16 2 8" xfId="12754"/>
    <cellStyle name="Percent 16 2 9" xfId="12755"/>
    <cellStyle name="Percent 16 20" xfId="1740"/>
    <cellStyle name="Percent 16 21" xfId="1694"/>
    <cellStyle name="Percent 16 22" xfId="1805"/>
    <cellStyle name="Percent 16 23" xfId="2140"/>
    <cellStyle name="Percent 16 24" xfId="2880"/>
    <cellStyle name="Percent 16 25" xfId="2966"/>
    <cellStyle name="Percent 16 26" xfId="3041"/>
    <cellStyle name="Percent 16 27" xfId="3103"/>
    <cellStyle name="Percent 16 28" xfId="3157"/>
    <cellStyle name="Percent 16 29" xfId="2347"/>
    <cellStyle name="Percent 16 3" xfId="657"/>
    <cellStyle name="Percent 16 3 10" xfId="12756"/>
    <cellStyle name="Percent 16 3 11" xfId="12757"/>
    <cellStyle name="Percent 16 3 12" xfId="12758"/>
    <cellStyle name="Percent 16 3 13" xfId="12759"/>
    <cellStyle name="Percent 16 3 14" xfId="12760"/>
    <cellStyle name="Percent 16 3 15" xfId="12761"/>
    <cellStyle name="Percent 16 3 16" xfId="12762"/>
    <cellStyle name="Percent 16 3 17" xfId="12763"/>
    <cellStyle name="Percent 16 3 18" xfId="12764"/>
    <cellStyle name="Percent 16 3 19" xfId="12765"/>
    <cellStyle name="Percent 16 3 2" xfId="12766"/>
    <cellStyle name="Percent 16 3 20" xfId="12767"/>
    <cellStyle name="Percent 16 3 21" xfId="12768"/>
    <cellStyle name="Percent 16 3 22" xfId="12769"/>
    <cellStyle name="Percent 16 3 23" xfId="23259"/>
    <cellStyle name="Percent 16 3 24" xfId="23260"/>
    <cellStyle name="Percent 16 3 25" xfId="23261"/>
    <cellStyle name="Percent 16 3 26" xfId="23262"/>
    <cellStyle name="Percent 16 3 27" xfId="23263"/>
    <cellStyle name="Percent 16 3 28" xfId="23264"/>
    <cellStyle name="Percent 16 3 29" xfId="23265"/>
    <cellStyle name="Percent 16 3 3" xfId="12770"/>
    <cellStyle name="Percent 16 3 30" xfId="23266"/>
    <cellStyle name="Percent 16 3 31" xfId="23267"/>
    <cellStyle name="Percent 16 3 32" xfId="23268"/>
    <cellStyle name="Percent 16 3 33" xfId="23269"/>
    <cellStyle name="Percent 16 3 34" xfId="23270"/>
    <cellStyle name="Percent 16 3 35" xfId="23271"/>
    <cellStyle name="Percent 16 3 4" xfId="12771"/>
    <cellStyle name="Percent 16 3 5" xfId="12772"/>
    <cellStyle name="Percent 16 3 6" xfId="12773"/>
    <cellStyle name="Percent 16 3 7" xfId="12774"/>
    <cellStyle name="Percent 16 3 8" xfId="12775"/>
    <cellStyle name="Percent 16 3 9" xfId="12776"/>
    <cellStyle name="Percent 16 30" xfId="12777"/>
    <cellStyle name="Percent 16 31" xfId="12778"/>
    <cellStyle name="Percent 16 32" xfId="12779"/>
    <cellStyle name="Percent 16 33" xfId="12780"/>
    <cellStyle name="Percent 16 34" xfId="12781"/>
    <cellStyle name="Percent 16 35" xfId="12782"/>
    <cellStyle name="Percent 16 36" xfId="12783"/>
    <cellStyle name="Percent 16 37" xfId="12784"/>
    <cellStyle name="Percent 16 38" xfId="23272"/>
    <cellStyle name="Percent 16 39" xfId="23273"/>
    <cellStyle name="Percent 16 4" xfId="658"/>
    <cellStyle name="Percent 16 4 10" xfId="12785"/>
    <cellStyle name="Percent 16 4 11" xfId="12786"/>
    <cellStyle name="Percent 16 4 12" xfId="12787"/>
    <cellStyle name="Percent 16 4 13" xfId="12788"/>
    <cellStyle name="Percent 16 4 14" xfId="12789"/>
    <cellStyle name="Percent 16 4 15" xfId="12790"/>
    <cellStyle name="Percent 16 4 16" xfId="12791"/>
    <cellStyle name="Percent 16 4 17" xfId="12792"/>
    <cellStyle name="Percent 16 4 18" xfId="12793"/>
    <cellStyle name="Percent 16 4 19" xfId="12794"/>
    <cellStyle name="Percent 16 4 2" xfId="12795"/>
    <cellStyle name="Percent 16 4 20" xfId="12796"/>
    <cellStyle name="Percent 16 4 21" xfId="12797"/>
    <cellStyle name="Percent 16 4 22" xfId="12798"/>
    <cellStyle name="Percent 16 4 23" xfId="23274"/>
    <cellStyle name="Percent 16 4 24" xfId="23275"/>
    <cellStyle name="Percent 16 4 25" xfId="23276"/>
    <cellStyle name="Percent 16 4 26" xfId="23277"/>
    <cellStyle name="Percent 16 4 27" xfId="23278"/>
    <cellStyle name="Percent 16 4 28" xfId="23279"/>
    <cellStyle name="Percent 16 4 29" xfId="23280"/>
    <cellStyle name="Percent 16 4 3" xfId="12799"/>
    <cellStyle name="Percent 16 4 30" xfId="23281"/>
    <cellStyle name="Percent 16 4 31" xfId="23282"/>
    <cellStyle name="Percent 16 4 32" xfId="23283"/>
    <cellStyle name="Percent 16 4 33" xfId="23284"/>
    <cellStyle name="Percent 16 4 34" xfId="23285"/>
    <cellStyle name="Percent 16 4 35" xfId="23286"/>
    <cellStyle name="Percent 16 4 4" xfId="12800"/>
    <cellStyle name="Percent 16 4 5" xfId="12801"/>
    <cellStyle name="Percent 16 4 6" xfId="12802"/>
    <cellStyle name="Percent 16 4 7" xfId="12803"/>
    <cellStyle name="Percent 16 4 8" xfId="12804"/>
    <cellStyle name="Percent 16 4 9" xfId="12805"/>
    <cellStyle name="Percent 16 40" xfId="23287"/>
    <cellStyle name="Percent 16 41" xfId="23288"/>
    <cellStyle name="Percent 16 42" xfId="23289"/>
    <cellStyle name="Percent 16 43" xfId="23290"/>
    <cellStyle name="Percent 16 44" xfId="23291"/>
    <cellStyle name="Percent 16 45" xfId="23292"/>
    <cellStyle name="Percent 16 46" xfId="23293"/>
    <cellStyle name="Percent 16 47" xfId="23294"/>
    <cellStyle name="Percent 16 48" xfId="23295"/>
    <cellStyle name="Percent 16 49" xfId="23296"/>
    <cellStyle name="Percent 16 5" xfId="659"/>
    <cellStyle name="Percent 16 5 10" xfId="12806"/>
    <cellStyle name="Percent 16 5 11" xfId="12807"/>
    <cellStyle name="Percent 16 5 12" xfId="12808"/>
    <cellStyle name="Percent 16 5 13" xfId="12809"/>
    <cellStyle name="Percent 16 5 14" xfId="12810"/>
    <cellStyle name="Percent 16 5 15" xfId="12811"/>
    <cellStyle name="Percent 16 5 16" xfId="12812"/>
    <cellStyle name="Percent 16 5 17" xfId="12813"/>
    <cellStyle name="Percent 16 5 18" xfId="12814"/>
    <cellStyle name="Percent 16 5 19" xfId="12815"/>
    <cellStyle name="Percent 16 5 2" xfId="12816"/>
    <cellStyle name="Percent 16 5 20" xfId="12817"/>
    <cellStyle name="Percent 16 5 21" xfId="12818"/>
    <cellStyle name="Percent 16 5 22" xfId="12819"/>
    <cellStyle name="Percent 16 5 23" xfId="23297"/>
    <cellStyle name="Percent 16 5 24" xfId="23298"/>
    <cellStyle name="Percent 16 5 25" xfId="23299"/>
    <cellStyle name="Percent 16 5 26" xfId="23300"/>
    <cellStyle name="Percent 16 5 27" xfId="23301"/>
    <cellStyle name="Percent 16 5 28" xfId="23302"/>
    <cellStyle name="Percent 16 5 29" xfId="23303"/>
    <cellStyle name="Percent 16 5 3" xfId="12820"/>
    <cellStyle name="Percent 16 5 30" xfId="23304"/>
    <cellStyle name="Percent 16 5 31" xfId="23305"/>
    <cellStyle name="Percent 16 5 32" xfId="23306"/>
    <cellStyle name="Percent 16 5 33" xfId="23307"/>
    <cellStyle name="Percent 16 5 34" xfId="23308"/>
    <cellStyle name="Percent 16 5 35" xfId="23309"/>
    <cellStyle name="Percent 16 5 4" xfId="12821"/>
    <cellStyle name="Percent 16 5 5" xfId="12822"/>
    <cellStyle name="Percent 16 5 6" xfId="12823"/>
    <cellStyle name="Percent 16 5 7" xfId="12824"/>
    <cellStyle name="Percent 16 5 8" xfId="12825"/>
    <cellStyle name="Percent 16 5 9" xfId="12826"/>
    <cellStyle name="Percent 16 50" xfId="23310"/>
    <cellStyle name="Percent 16 6" xfId="660"/>
    <cellStyle name="Percent 16 6 10" xfId="12827"/>
    <cellStyle name="Percent 16 6 11" xfId="12828"/>
    <cellStyle name="Percent 16 6 12" xfId="12829"/>
    <cellStyle name="Percent 16 6 13" xfId="12830"/>
    <cellStyle name="Percent 16 6 14" xfId="12831"/>
    <cellStyle name="Percent 16 6 15" xfId="12832"/>
    <cellStyle name="Percent 16 6 16" xfId="12833"/>
    <cellStyle name="Percent 16 6 17" xfId="12834"/>
    <cellStyle name="Percent 16 6 18" xfId="12835"/>
    <cellStyle name="Percent 16 6 19" xfId="12836"/>
    <cellStyle name="Percent 16 6 2" xfId="12837"/>
    <cellStyle name="Percent 16 6 20" xfId="12838"/>
    <cellStyle name="Percent 16 6 21" xfId="12839"/>
    <cellStyle name="Percent 16 6 22" xfId="12840"/>
    <cellStyle name="Percent 16 6 23" xfId="23311"/>
    <cellStyle name="Percent 16 6 24" xfId="23312"/>
    <cellStyle name="Percent 16 6 25" xfId="23313"/>
    <cellStyle name="Percent 16 6 26" xfId="23314"/>
    <cellStyle name="Percent 16 6 27" xfId="23315"/>
    <cellStyle name="Percent 16 6 28" xfId="23316"/>
    <cellStyle name="Percent 16 6 29" xfId="23317"/>
    <cellStyle name="Percent 16 6 3" xfId="12841"/>
    <cellStyle name="Percent 16 6 30" xfId="23318"/>
    <cellStyle name="Percent 16 6 31" xfId="23319"/>
    <cellStyle name="Percent 16 6 32" xfId="23320"/>
    <cellStyle name="Percent 16 6 33" xfId="23321"/>
    <cellStyle name="Percent 16 6 34" xfId="23322"/>
    <cellStyle name="Percent 16 6 35" xfId="23323"/>
    <cellStyle name="Percent 16 6 4" xfId="12842"/>
    <cellStyle name="Percent 16 6 5" xfId="12843"/>
    <cellStyle name="Percent 16 6 6" xfId="12844"/>
    <cellStyle name="Percent 16 6 7" xfId="12845"/>
    <cellStyle name="Percent 16 6 8" xfId="12846"/>
    <cellStyle name="Percent 16 6 9" xfId="12847"/>
    <cellStyle name="Percent 16 7" xfId="661"/>
    <cellStyle name="Percent 16 7 10" xfId="12848"/>
    <cellStyle name="Percent 16 7 11" xfId="12849"/>
    <cellStyle name="Percent 16 7 12" xfId="12850"/>
    <cellStyle name="Percent 16 7 13" xfId="12851"/>
    <cellStyle name="Percent 16 7 14" xfId="12852"/>
    <cellStyle name="Percent 16 7 15" xfId="12853"/>
    <cellStyle name="Percent 16 7 16" xfId="12854"/>
    <cellStyle name="Percent 16 7 17" xfId="12855"/>
    <cellStyle name="Percent 16 7 18" xfId="12856"/>
    <cellStyle name="Percent 16 7 19" xfId="12857"/>
    <cellStyle name="Percent 16 7 2" xfId="12858"/>
    <cellStyle name="Percent 16 7 20" xfId="12859"/>
    <cellStyle name="Percent 16 7 21" xfId="12860"/>
    <cellStyle name="Percent 16 7 22" xfId="12861"/>
    <cellStyle name="Percent 16 7 23" xfId="23324"/>
    <cellStyle name="Percent 16 7 24" xfId="23325"/>
    <cellStyle name="Percent 16 7 25" xfId="23326"/>
    <cellStyle name="Percent 16 7 26" xfId="23327"/>
    <cellStyle name="Percent 16 7 27" xfId="23328"/>
    <cellStyle name="Percent 16 7 28" xfId="23329"/>
    <cellStyle name="Percent 16 7 29" xfId="23330"/>
    <cellStyle name="Percent 16 7 3" xfId="12862"/>
    <cellStyle name="Percent 16 7 30" xfId="23331"/>
    <cellStyle name="Percent 16 7 31" xfId="23332"/>
    <cellStyle name="Percent 16 7 32" xfId="23333"/>
    <cellStyle name="Percent 16 7 33" xfId="23334"/>
    <cellStyle name="Percent 16 7 34" xfId="23335"/>
    <cellStyle name="Percent 16 7 35" xfId="23336"/>
    <cellStyle name="Percent 16 7 4" xfId="12863"/>
    <cellStyle name="Percent 16 7 5" xfId="12864"/>
    <cellStyle name="Percent 16 7 6" xfId="12865"/>
    <cellStyle name="Percent 16 7 7" xfId="12866"/>
    <cellStyle name="Percent 16 7 8" xfId="12867"/>
    <cellStyle name="Percent 16 7 9" xfId="12868"/>
    <cellStyle name="Percent 16 8" xfId="662"/>
    <cellStyle name="Percent 16 8 10" xfId="12869"/>
    <cellStyle name="Percent 16 8 11" xfId="12870"/>
    <cellStyle name="Percent 16 8 12" xfId="12871"/>
    <cellStyle name="Percent 16 8 13" xfId="12872"/>
    <cellStyle name="Percent 16 8 14" xfId="12873"/>
    <cellStyle name="Percent 16 8 15" xfId="12874"/>
    <cellStyle name="Percent 16 8 16" xfId="12875"/>
    <cellStyle name="Percent 16 8 17" xfId="12876"/>
    <cellStyle name="Percent 16 8 18" xfId="12877"/>
    <cellStyle name="Percent 16 8 19" xfId="12878"/>
    <cellStyle name="Percent 16 8 2" xfId="12879"/>
    <cellStyle name="Percent 16 8 20" xfId="12880"/>
    <cellStyle name="Percent 16 8 21" xfId="12881"/>
    <cellStyle name="Percent 16 8 22" xfId="12882"/>
    <cellStyle name="Percent 16 8 23" xfId="23337"/>
    <cellStyle name="Percent 16 8 24" xfId="23338"/>
    <cellStyle name="Percent 16 8 25" xfId="23339"/>
    <cellStyle name="Percent 16 8 26" xfId="23340"/>
    <cellStyle name="Percent 16 8 27" xfId="23341"/>
    <cellStyle name="Percent 16 8 28" xfId="23342"/>
    <cellStyle name="Percent 16 8 29" xfId="23343"/>
    <cellStyle name="Percent 16 8 3" xfId="12883"/>
    <cellStyle name="Percent 16 8 30" xfId="23344"/>
    <cellStyle name="Percent 16 8 31" xfId="23345"/>
    <cellStyle name="Percent 16 8 32" xfId="23346"/>
    <cellStyle name="Percent 16 8 33" xfId="23347"/>
    <cellStyle name="Percent 16 8 34" xfId="23348"/>
    <cellStyle name="Percent 16 8 35" xfId="23349"/>
    <cellStyle name="Percent 16 8 4" xfId="12884"/>
    <cellStyle name="Percent 16 8 5" xfId="12885"/>
    <cellStyle name="Percent 16 8 6" xfId="12886"/>
    <cellStyle name="Percent 16 8 7" xfId="12887"/>
    <cellStyle name="Percent 16 8 8" xfId="12888"/>
    <cellStyle name="Percent 16 8 9" xfId="12889"/>
    <cellStyle name="Percent 16 9" xfId="663"/>
    <cellStyle name="Percent 16 9 10" xfId="12890"/>
    <cellStyle name="Percent 16 9 11" xfId="12891"/>
    <cellStyle name="Percent 16 9 12" xfId="12892"/>
    <cellStyle name="Percent 16 9 13" xfId="12893"/>
    <cellStyle name="Percent 16 9 14" xfId="12894"/>
    <cellStyle name="Percent 16 9 15" xfId="12895"/>
    <cellStyle name="Percent 16 9 16" xfId="12896"/>
    <cellStyle name="Percent 16 9 17" xfId="12897"/>
    <cellStyle name="Percent 16 9 18" xfId="12898"/>
    <cellStyle name="Percent 16 9 19" xfId="12899"/>
    <cellStyle name="Percent 16 9 2" xfId="12900"/>
    <cellStyle name="Percent 16 9 20" xfId="12901"/>
    <cellStyle name="Percent 16 9 21" xfId="12902"/>
    <cellStyle name="Percent 16 9 22" xfId="12903"/>
    <cellStyle name="Percent 16 9 23" xfId="23350"/>
    <cellStyle name="Percent 16 9 24" xfId="23351"/>
    <cellStyle name="Percent 16 9 25" xfId="23352"/>
    <cellStyle name="Percent 16 9 26" xfId="23353"/>
    <cellStyle name="Percent 16 9 27" xfId="23354"/>
    <cellStyle name="Percent 16 9 28" xfId="23355"/>
    <cellStyle name="Percent 16 9 29" xfId="23356"/>
    <cellStyle name="Percent 16 9 3" xfId="12904"/>
    <cellStyle name="Percent 16 9 30" xfId="23357"/>
    <cellStyle name="Percent 16 9 31" xfId="23358"/>
    <cellStyle name="Percent 16 9 32" xfId="23359"/>
    <cellStyle name="Percent 16 9 33" xfId="23360"/>
    <cellStyle name="Percent 16 9 34" xfId="23361"/>
    <cellStyle name="Percent 16 9 35" xfId="23362"/>
    <cellStyle name="Percent 16 9 4" xfId="12905"/>
    <cellStyle name="Percent 16 9 5" xfId="12906"/>
    <cellStyle name="Percent 16 9 6" xfId="12907"/>
    <cellStyle name="Percent 16 9 7" xfId="12908"/>
    <cellStyle name="Percent 16 9 8" xfId="12909"/>
    <cellStyle name="Percent 16 9 9" xfId="12910"/>
    <cellStyle name="Percent 17" xfId="60"/>
    <cellStyle name="Percent 17 10" xfId="664"/>
    <cellStyle name="Percent 17 10 10" xfId="12911"/>
    <cellStyle name="Percent 17 10 11" xfId="12912"/>
    <cellStyle name="Percent 17 10 12" xfId="12913"/>
    <cellStyle name="Percent 17 10 13" xfId="12914"/>
    <cellStyle name="Percent 17 10 14" xfId="12915"/>
    <cellStyle name="Percent 17 10 15" xfId="12916"/>
    <cellStyle name="Percent 17 10 16" xfId="12917"/>
    <cellStyle name="Percent 17 10 17" xfId="12918"/>
    <cellStyle name="Percent 17 10 18" xfId="12919"/>
    <cellStyle name="Percent 17 10 19" xfId="12920"/>
    <cellStyle name="Percent 17 10 2" xfId="12921"/>
    <cellStyle name="Percent 17 10 20" xfId="12922"/>
    <cellStyle name="Percent 17 10 21" xfId="12923"/>
    <cellStyle name="Percent 17 10 22" xfId="12924"/>
    <cellStyle name="Percent 17 10 23" xfId="23363"/>
    <cellStyle name="Percent 17 10 24" xfId="23364"/>
    <cellStyle name="Percent 17 10 25" xfId="23365"/>
    <cellStyle name="Percent 17 10 26" xfId="23366"/>
    <cellStyle name="Percent 17 10 27" xfId="23367"/>
    <cellStyle name="Percent 17 10 28" xfId="23368"/>
    <cellStyle name="Percent 17 10 29" xfId="23369"/>
    <cellStyle name="Percent 17 10 3" xfId="12925"/>
    <cellStyle name="Percent 17 10 30" xfId="23370"/>
    <cellStyle name="Percent 17 10 31" xfId="23371"/>
    <cellStyle name="Percent 17 10 32" xfId="23372"/>
    <cellStyle name="Percent 17 10 33" xfId="23373"/>
    <cellStyle name="Percent 17 10 34" xfId="23374"/>
    <cellStyle name="Percent 17 10 35" xfId="23375"/>
    <cellStyle name="Percent 17 10 4" xfId="12926"/>
    <cellStyle name="Percent 17 10 5" xfId="12927"/>
    <cellStyle name="Percent 17 10 6" xfId="12928"/>
    <cellStyle name="Percent 17 10 7" xfId="12929"/>
    <cellStyle name="Percent 17 10 8" xfId="12930"/>
    <cellStyle name="Percent 17 10 9" xfId="12931"/>
    <cellStyle name="Percent 17 11" xfId="665"/>
    <cellStyle name="Percent 17 11 10" xfId="12932"/>
    <cellStyle name="Percent 17 11 11" xfId="12933"/>
    <cellStyle name="Percent 17 11 12" xfId="12934"/>
    <cellStyle name="Percent 17 11 13" xfId="12935"/>
    <cellStyle name="Percent 17 11 14" xfId="12936"/>
    <cellStyle name="Percent 17 11 15" xfId="12937"/>
    <cellStyle name="Percent 17 11 16" xfId="12938"/>
    <cellStyle name="Percent 17 11 17" xfId="12939"/>
    <cellStyle name="Percent 17 11 18" xfId="12940"/>
    <cellStyle name="Percent 17 11 19" xfId="12941"/>
    <cellStyle name="Percent 17 11 2" xfId="12942"/>
    <cellStyle name="Percent 17 11 20" xfId="12943"/>
    <cellStyle name="Percent 17 11 21" xfId="12944"/>
    <cellStyle name="Percent 17 11 22" xfId="12945"/>
    <cellStyle name="Percent 17 11 23" xfId="23376"/>
    <cellStyle name="Percent 17 11 24" xfId="23377"/>
    <cellStyle name="Percent 17 11 25" xfId="23378"/>
    <cellStyle name="Percent 17 11 26" xfId="23379"/>
    <cellStyle name="Percent 17 11 27" xfId="23380"/>
    <cellStyle name="Percent 17 11 28" xfId="23381"/>
    <cellStyle name="Percent 17 11 29" xfId="23382"/>
    <cellStyle name="Percent 17 11 3" xfId="12946"/>
    <cellStyle name="Percent 17 11 30" xfId="23383"/>
    <cellStyle name="Percent 17 11 31" xfId="23384"/>
    <cellStyle name="Percent 17 11 32" xfId="23385"/>
    <cellStyle name="Percent 17 11 33" xfId="23386"/>
    <cellStyle name="Percent 17 11 34" xfId="23387"/>
    <cellStyle name="Percent 17 11 35" xfId="23388"/>
    <cellStyle name="Percent 17 11 4" xfId="12947"/>
    <cellStyle name="Percent 17 11 5" xfId="12948"/>
    <cellStyle name="Percent 17 11 6" xfId="12949"/>
    <cellStyle name="Percent 17 11 7" xfId="12950"/>
    <cellStyle name="Percent 17 11 8" xfId="12951"/>
    <cellStyle name="Percent 17 11 9" xfId="12952"/>
    <cellStyle name="Percent 17 12" xfId="666"/>
    <cellStyle name="Percent 17 12 10" xfId="12953"/>
    <cellStyle name="Percent 17 12 11" xfId="12954"/>
    <cellStyle name="Percent 17 12 12" xfId="12955"/>
    <cellStyle name="Percent 17 12 13" xfId="12956"/>
    <cellStyle name="Percent 17 12 14" xfId="12957"/>
    <cellStyle name="Percent 17 12 15" xfId="12958"/>
    <cellStyle name="Percent 17 12 16" xfId="12959"/>
    <cellStyle name="Percent 17 12 17" xfId="12960"/>
    <cellStyle name="Percent 17 12 18" xfId="12961"/>
    <cellStyle name="Percent 17 12 19" xfId="12962"/>
    <cellStyle name="Percent 17 12 2" xfId="12963"/>
    <cellStyle name="Percent 17 12 20" xfId="12964"/>
    <cellStyle name="Percent 17 12 21" xfId="12965"/>
    <cellStyle name="Percent 17 12 22" xfId="12966"/>
    <cellStyle name="Percent 17 12 23" xfId="23389"/>
    <cellStyle name="Percent 17 12 24" xfId="23390"/>
    <cellStyle name="Percent 17 12 25" xfId="23391"/>
    <cellStyle name="Percent 17 12 26" xfId="23392"/>
    <cellStyle name="Percent 17 12 27" xfId="23393"/>
    <cellStyle name="Percent 17 12 28" xfId="23394"/>
    <cellStyle name="Percent 17 12 29" xfId="23395"/>
    <cellStyle name="Percent 17 12 3" xfId="12967"/>
    <cellStyle name="Percent 17 12 30" xfId="23396"/>
    <cellStyle name="Percent 17 12 31" xfId="23397"/>
    <cellStyle name="Percent 17 12 32" xfId="23398"/>
    <cellStyle name="Percent 17 12 33" xfId="23399"/>
    <cellStyle name="Percent 17 12 34" xfId="23400"/>
    <cellStyle name="Percent 17 12 35" xfId="23401"/>
    <cellStyle name="Percent 17 12 4" xfId="12968"/>
    <cellStyle name="Percent 17 12 5" xfId="12969"/>
    <cellStyle name="Percent 17 12 6" xfId="12970"/>
    <cellStyle name="Percent 17 12 7" xfId="12971"/>
    <cellStyle name="Percent 17 12 8" xfId="12972"/>
    <cellStyle name="Percent 17 12 9" xfId="12973"/>
    <cellStyle name="Percent 17 13" xfId="667"/>
    <cellStyle name="Percent 17 13 10" xfId="12974"/>
    <cellStyle name="Percent 17 13 11" xfId="12975"/>
    <cellStyle name="Percent 17 13 12" xfId="12976"/>
    <cellStyle name="Percent 17 13 13" xfId="12977"/>
    <cellStyle name="Percent 17 13 14" xfId="12978"/>
    <cellStyle name="Percent 17 13 15" xfId="12979"/>
    <cellStyle name="Percent 17 13 16" xfId="12980"/>
    <cellStyle name="Percent 17 13 17" xfId="12981"/>
    <cellStyle name="Percent 17 13 18" xfId="12982"/>
    <cellStyle name="Percent 17 13 19" xfId="12983"/>
    <cellStyle name="Percent 17 13 2" xfId="12984"/>
    <cellStyle name="Percent 17 13 20" xfId="12985"/>
    <cellStyle name="Percent 17 13 21" xfId="12986"/>
    <cellStyle name="Percent 17 13 22" xfId="12987"/>
    <cellStyle name="Percent 17 13 23" xfId="23402"/>
    <cellStyle name="Percent 17 13 24" xfId="23403"/>
    <cellStyle name="Percent 17 13 25" xfId="23404"/>
    <cellStyle name="Percent 17 13 26" xfId="23405"/>
    <cellStyle name="Percent 17 13 27" xfId="23406"/>
    <cellStyle name="Percent 17 13 28" xfId="23407"/>
    <cellStyle name="Percent 17 13 29" xfId="23408"/>
    <cellStyle name="Percent 17 13 3" xfId="12988"/>
    <cellStyle name="Percent 17 13 30" xfId="23409"/>
    <cellStyle name="Percent 17 13 31" xfId="23410"/>
    <cellStyle name="Percent 17 13 32" xfId="23411"/>
    <cellStyle name="Percent 17 13 33" xfId="23412"/>
    <cellStyle name="Percent 17 13 34" xfId="23413"/>
    <cellStyle name="Percent 17 13 35" xfId="23414"/>
    <cellStyle name="Percent 17 13 4" xfId="12989"/>
    <cellStyle name="Percent 17 13 5" xfId="12990"/>
    <cellStyle name="Percent 17 13 6" xfId="12991"/>
    <cellStyle name="Percent 17 13 7" xfId="12992"/>
    <cellStyle name="Percent 17 13 8" xfId="12993"/>
    <cellStyle name="Percent 17 13 9" xfId="12994"/>
    <cellStyle name="Percent 17 14" xfId="668"/>
    <cellStyle name="Percent 17 14 10" xfId="12995"/>
    <cellStyle name="Percent 17 14 11" xfId="12996"/>
    <cellStyle name="Percent 17 14 12" xfId="12997"/>
    <cellStyle name="Percent 17 14 13" xfId="12998"/>
    <cellStyle name="Percent 17 14 14" xfId="12999"/>
    <cellStyle name="Percent 17 14 15" xfId="13000"/>
    <cellStyle name="Percent 17 14 16" xfId="13001"/>
    <cellStyle name="Percent 17 14 17" xfId="13002"/>
    <cellStyle name="Percent 17 14 18" xfId="13003"/>
    <cellStyle name="Percent 17 14 19" xfId="13004"/>
    <cellStyle name="Percent 17 14 2" xfId="13005"/>
    <cellStyle name="Percent 17 14 20" xfId="13006"/>
    <cellStyle name="Percent 17 14 21" xfId="13007"/>
    <cellStyle name="Percent 17 14 22" xfId="13008"/>
    <cellStyle name="Percent 17 14 23" xfId="23415"/>
    <cellStyle name="Percent 17 14 24" xfId="23416"/>
    <cellStyle name="Percent 17 14 25" xfId="23417"/>
    <cellStyle name="Percent 17 14 26" xfId="23418"/>
    <cellStyle name="Percent 17 14 27" xfId="23419"/>
    <cellStyle name="Percent 17 14 28" xfId="23420"/>
    <cellStyle name="Percent 17 14 29" xfId="23421"/>
    <cellStyle name="Percent 17 14 3" xfId="13009"/>
    <cellStyle name="Percent 17 14 30" xfId="23422"/>
    <cellStyle name="Percent 17 14 31" xfId="23423"/>
    <cellStyle name="Percent 17 14 32" xfId="23424"/>
    <cellStyle name="Percent 17 14 33" xfId="23425"/>
    <cellStyle name="Percent 17 14 34" xfId="23426"/>
    <cellStyle name="Percent 17 14 35" xfId="23427"/>
    <cellStyle name="Percent 17 14 4" xfId="13010"/>
    <cellStyle name="Percent 17 14 5" xfId="13011"/>
    <cellStyle name="Percent 17 14 6" xfId="13012"/>
    <cellStyle name="Percent 17 14 7" xfId="13013"/>
    <cellStyle name="Percent 17 14 8" xfId="13014"/>
    <cellStyle name="Percent 17 14 9" xfId="13015"/>
    <cellStyle name="Percent 17 15" xfId="669"/>
    <cellStyle name="Percent 17 16" xfId="1439"/>
    <cellStyle name="Percent 17 17" xfId="1536"/>
    <cellStyle name="Percent 17 18" xfId="1589"/>
    <cellStyle name="Percent 17 19" xfId="1641"/>
    <cellStyle name="Percent 17 2" xfId="670"/>
    <cellStyle name="Percent 17 2 10" xfId="13016"/>
    <cellStyle name="Percent 17 2 11" xfId="13017"/>
    <cellStyle name="Percent 17 2 12" xfId="13018"/>
    <cellStyle name="Percent 17 2 13" xfId="13019"/>
    <cellStyle name="Percent 17 2 14" xfId="13020"/>
    <cellStyle name="Percent 17 2 15" xfId="13021"/>
    <cellStyle name="Percent 17 2 16" xfId="13022"/>
    <cellStyle name="Percent 17 2 17" xfId="13023"/>
    <cellStyle name="Percent 17 2 18" xfId="13024"/>
    <cellStyle name="Percent 17 2 19" xfId="13025"/>
    <cellStyle name="Percent 17 2 2" xfId="13026"/>
    <cellStyle name="Percent 17 2 20" xfId="13027"/>
    <cellStyle name="Percent 17 2 21" xfId="13028"/>
    <cellStyle name="Percent 17 2 22" xfId="13029"/>
    <cellStyle name="Percent 17 2 23" xfId="23428"/>
    <cellStyle name="Percent 17 2 24" xfId="23429"/>
    <cellStyle name="Percent 17 2 25" xfId="23430"/>
    <cellStyle name="Percent 17 2 26" xfId="23431"/>
    <cellStyle name="Percent 17 2 27" xfId="23432"/>
    <cellStyle name="Percent 17 2 28" xfId="23433"/>
    <cellStyle name="Percent 17 2 29" xfId="23434"/>
    <cellStyle name="Percent 17 2 3" xfId="13030"/>
    <cellStyle name="Percent 17 2 30" xfId="23435"/>
    <cellStyle name="Percent 17 2 31" xfId="23436"/>
    <cellStyle name="Percent 17 2 32" xfId="23437"/>
    <cellStyle name="Percent 17 2 33" xfId="23438"/>
    <cellStyle name="Percent 17 2 34" xfId="23439"/>
    <cellStyle name="Percent 17 2 35" xfId="23440"/>
    <cellStyle name="Percent 17 2 4" xfId="13031"/>
    <cellStyle name="Percent 17 2 5" xfId="13032"/>
    <cellStyle name="Percent 17 2 6" xfId="13033"/>
    <cellStyle name="Percent 17 2 7" xfId="13034"/>
    <cellStyle name="Percent 17 2 8" xfId="13035"/>
    <cellStyle name="Percent 17 2 9" xfId="13036"/>
    <cellStyle name="Percent 17 20" xfId="1741"/>
    <cellStyle name="Percent 17 21" xfId="1804"/>
    <cellStyle name="Percent 17 22" xfId="2141"/>
    <cellStyle name="Percent 17 23" xfId="2822"/>
    <cellStyle name="Percent 17 24" xfId="2213"/>
    <cellStyle name="Percent 17 25" xfId="2499"/>
    <cellStyle name="Percent 17 26" xfId="2680"/>
    <cellStyle name="Percent 17 27" xfId="2850"/>
    <cellStyle name="Percent 17 28" xfId="3044"/>
    <cellStyle name="Percent 17 29" xfId="13037"/>
    <cellStyle name="Percent 17 3" xfId="671"/>
    <cellStyle name="Percent 17 3 10" xfId="13038"/>
    <cellStyle name="Percent 17 3 11" xfId="13039"/>
    <cellStyle name="Percent 17 3 12" xfId="13040"/>
    <cellStyle name="Percent 17 3 13" xfId="13041"/>
    <cellStyle name="Percent 17 3 14" xfId="13042"/>
    <cellStyle name="Percent 17 3 15" xfId="13043"/>
    <cellStyle name="Percent 17 3 16" xfId="13044"/>
    <cellStyle name="Percent 17 3 17" xfId="13045"/>
    <cellStyle name="Percent 17 3 18" xfId="13046"/>
    <cellStyle name="Percent 17 3 19" xfId="13047"/>
    <cellStyle name="Percent 17 3 2" xfId="13048"/>
    <cellStyle name="Percent 17 3 20" xfId="13049"/>
    <cellStyle name="Percent 17 3 21" xfId="13050"/>
    <cellStyle name="Percent 17 3 22" xfId="13051"/>
    <cellStyle name="Percent 17 3 23" xfId="23441"/>
    <cellStyle name="Percent 17 3 24" xfId="23442"/>
    <cellStyle name="Percent 17 3 25" xfId="23443"/>
    <cellStyle name="Percent 17 3 26" xfId="23444"/>
    <cellStyle name="Percent 17 3 27" xfId="23445"/>
    <cellStyle name="Percent 17 3 28" xfId="23446"/>
    <cellStyle name="Percent 17 3 29" xfId="23447"/>
    <cellStyle name="Percent 17 3 3" xfId="13052"/>
    <cellStyle name="Percent 17 3 30" xfId="23448"/>
    <cellStyle name="Percent 17 3 31" xfId="23449"/>
    <cellStyle name="Percent 17 3 32" xfId="23450"/>
    <cellStyle name="Percent 17 3 33" xfId="23451"/>
    <cellStyle name="Percent 17 3 34" xfId="23452"/>
    <cellStyle name="Percent 17 3 35" xfId="23453"/>
    <cellStyle name="Percent 17 3 4" xfId="13053"/>
    <cellStyle name="Percent 17 3 5" xfId="13054"/>
    <cellStyle name="Percent 17 3 6" xfId="13055"/>
    <cellStyle name="Percent 17 3 7" xfId="13056"/>
    <cellStyle name="Percent 17 3 8" xfId="13057"/>
    <cellStyle name="Percent 17 3 9" xfId="13058"/>
    <cellStyle name="Percent 17 30" xfId="13059"/>
    <cellStyle name="Percent 17 31" xfId="13060"/>
    <cellStyle name="Percent 17 32" xfId="13061"/>
    <cellStyle name="Percent 17 33" xfId="13062"/>
    <cellStyle name="Percent 17 34" xfId="13063"/>
    <cellStyle name="Percent 17 35" xfId="13064"/>
    <cellStyle name="Percent 17 36" xfId="13065"/>
    <cellStyle name="Percent 17 37" xfId="13066"/>
    <cellStyle name="Percent 17 38" xfId="23454"/>
    <cellStyle name="Percent 17 39" xfId="23455"/>
    <cellStyle name="Percent 17 4" xfId="672"/>
    <cellStyle name="Percent 17 4 10" xfId="13067"/>
    <cellStyle name="Percent 17 4 11" xfId="13068"/>
    <cellStyle name="Percent 17 4 12" xfId="13069"/>
    <cellStyle name="Percent 17 4 13" xfId="13070"/>
    <cellStyle name="Percent 17 4 14" xfId="13071"/>
    <cellStyle name="Percent 17 4 15" xfId="13072"/>
    <cellStyle name="Percent 17 4 16" xfId="13073"/>
    <cellStyle name="Percent 17 4 17" xfId="13074"/>
    <cellStyle name="Percent 17 4 18" xfId="13075"/>
    <cellStyle name="Percent 17 4 19" xfId="13076"/>
    <cellStyle name="Percent 17 4 2" xfId="13077"/>
    <cellStyle name="Percent 17 4 20" xfId="13078"/>
    <cellStyle name="Percent 17 4 21" xfId="13079"/>
    <cellStyle name="Percent 17 4 22" xfId="13080"/>
    <cellStyle name="Percent 17 4 23" xfId="23456"/>
    <cellStyle name="Percent 17 4 24" xfId="23457"/>
    <cellStyle name="Percent 17 4 25" xfId="23458"/>
    <cellStyle name="Percent 17 4 26" xfId="23459"/>
    <cellStyle name="Percent 17 4 27" xfId="23460"/>
    <cellStyle name="Percent 17 4 28" xfId="23461"/>
    <cellStyle name="Percent 17 4 29" xfId="23462"/>
    <cellStyle name="Percent 17 4 3" xfId="13081"/>
    <cellStyle name="Percent 17 4 30" xfId="23463"/>
    <cellStyle name="Percent 17 4 31" xfId="23464"/>
    <cellStyle name="Percent 17 4 32" xfId="23465"/>
    <cellStyle name="Percent 17 4 33" xfId="23466"/>
    <cellStyle name="Percent 17 4 34" xfId="23467"/>
    <cellStyle name="Percent 17 4 35" xfId="23468"/>
    <cellStyle name="Percent 17 4 4" xfId="13082"/>
    <cellStyle name="Percent 17 4 5" xfId="13083"/>
    <cellStyle name="Percent 17 4 6" xfId="13084"/>
    <cellStyle name="Percent 17 4 7" xfId="13085"/>
    <cellStyle name="Percent 17 4 8" xfId="13086"/>
    <cellStyle name="Percent 17 4 9" xfId="13087"/>
    <cellStyle name="Percent 17 40" xfId="23469"/>
    <cellStyle name="Percent 17 41" xfId="23470"/>
    <cellStyle name="Percent 17 42" xfId="23471"/>
    <cellStyle name="Percent 17 43" xfId="23472"/>
    <cellStyle name="Percent 17 44" xfId="23473"/>
    <cellStyle name="Percent 17 45" xfId="23474"/>
    <cellStyle name="Percent 17 46" xfId="23475"/>
    <cellStyle name="Percent 17 47" xfId="23476"/>
    <cellStyle name="Percent 17 48" xfId="23477"/>
    <cellStyle name="Percent 17 49" xfId="23478"/>
    <cellStyle name="Percent 17 5" xfId="673"/>
    <cellStyle name="Percent 17 5 10" xfId="13088"/>
    <cellStyle name="Percent 17 5 11" xfId="13089"/>
    <cellStyle name="Percent 17 5 12" xfId="13090"/>
    <cellStyle name="Percent 17 5 13" xfId="13091"/>
    <cellStyle name="Percent 17 5 14" xfId="13092"/>
    <cellStyle name="Percent 17 5 15" xfId="13093"/>
    <cellStyle name="Percent 17 5 16" xfId="13094"/>
    <cellStyle name="Percent 17 5 17" xfId="13095"/>
    <cellStyle name="Percent 17 5 18" xfId="13096"/>
    <cellStyle name="Percent 17 5 19" xfId="13097"/>
    <cellStyle name="Percent 17 5 2" xfId="13098"/>
    <cellStyle name="Percent 17 5 20" xfId="13099"/>
    <cellStyle name="Percent 17 5 21" xfId="13100"/>
    <cellStyle name="Percent 17 5 22" xfId="13101"/>
    <cellStyle name="Percent 17 5 23" xfId="23479"/>
    <cellStyle name="Percent 17 5 24" xfId="23480"/>
    <cellStyle name="Percent 17 5 25" xfId="23481"/>
    <cellStyle name="Percent 17 5 26" xfId="23482"/>
    <cellStyle name="Percent 17 5 27" xfId="23483"/>
    <cellStyle name="Percent 17 5 28" xfId="23484"/>
    <cellStyle name="Percent 17 5 29" xfId="23485"/>
    <cellStyle name="Percent 17 5 3" xfId="13102"/>
    <cellStyle name="Percent 17 5 30" xfId="23486"/>
    <cellStyle name="Percent 17 5 31" xfId="23487"/>
    <cellStyle name="Percent 17 5 32" xfId="23488"/>
    <cellStyle name="Percent 17 5 33" xfId="23489"/>
    <cellStyle name="Percent 17 5 34" xfId="23490"/>
    <cellStyle name="Percent 17 5 35" xfId="23491"/>
    <cellStyle name="Percent 17 5 4" xfId="13103"/>
    <cellStyle name="Percent 17 5 5" xfId="13104"/>
    <cellStyle name="Percent 17 5 6" xfId="13105"/>
    <cellStyle name="Percent 17 5 7" xfId="13106"/>
    <cellStyle name="Percent 17 5 8" xfId="13107"/>
    <cellStyle name="Percent 17 5 9" xfId="13108"/>
    <cellStyle name="Percent 17 50" xfId="23492"/>
    <cellStyle name="Percent 17 6" xfId="674"/>
    <cellStyle name="Percent 17 6 10" xfId="13109"/>
    <cellStyle name="Percent 17 6 11" xfId="13110"/>
    <cellStyle name="Percent 17 6 12" xfId="13111"/>
    <cellStyle name="Percent 17 6 13" xfId="13112"/>
    <cellStyle name="Percent 17 6 14" xfId="13113"/>
    <cellStyle name="Percent 17 6 15" xfId="13114"/>
    <cellStyle name="Percent 17 6 16" xfId="13115"/>
    <cellStyle name="Percent 17 6 17" xfId="13116"/>
    <cellStyle name="Percent 17 6 18" xfId="13117"/>
    <cellStyle name="Percent 17 6 19" xfId="13118"/>
    <cellStyle name="Percent 17 6 2" xfId="13119"/>
    <cellStyle name="Percent 17 6 20" xfId="13120"/>
    <cellStyle name="Percent 17 6 21" xfId="13121"/>
    <cellStyle name="Percent 17 6 22" xfId="13122"/>
    <cellStyle name="Percent 17 6 23" xfId="23493"/>
    <cellStyle name="Percent 17 6 24" xfId="23494"/>
    <cellStyle name="Percent 17 6 25" xfId="23495"/>
    <cellStyle name="Percent 17 6 26" xfId="23496"/>
    <cellStyle name="Percent 17 6 27" xfId="23497"/>
    <cellStyle name="Percent 17 6 28" xfId="23498"/>
    <cellStyle name="Percent 17 6 29" xfId="23499"/>
    <cellStyle name="Percent 17 6 3" xfId="13123"/>
    <cellStyle name="Percent 17 6 30" xfId="23500"/>
    <cellStyle name="Percent 17 6 31" xfId="23501"/>
    <cellStyle name="Percent 17 6 32" xfId="23502"/>
    <cellStyle name="Percent 17 6 33" xfId="23503"/>
    <cellStyle name="Percent 17 6 34" xfId="23504"/>
    <cellStyle name="Percent 17 6 35" xfId="23505"/>
    <cellStyle name="Percent 17 6 4" xfId="13124"/>
    <cellStyle name="Percent 17 6 5" xfId="13125"/>
    <cellStyle name="Percent 17 6 6" xfId="13126"/>
    <cellStyle name="Percent 17 6 7" xfId="13127"/>
    <cellStyle name="Percent 17 6 8" xfId="13128"/>
    <cellStyle name="Percent 17 6 9" xfId="13129"/>
    <cellStyle name="Percent 17 7" xfId="675"/>
    <cellStyle name="Percent 17 7 10" xfId="13130"/>
    <cellStyle name="Percent 17 7 11" xfId="13131"/>
    <cellStyle name="Percent 17 7 12" xfId="13132"/>
    <cellStyle name="Percent 17 7 13" xfId="13133"/>
    <cellStyle name="Percent 17 7 14" xfId="13134"/>
    <cellStyle name="Percent 17 7 15" xfId="13135"/>
    <cellStyle name="Percent 17 7 16" xfId="13136"/>
    <cellStyle name="Percent 17 7 17" xfId="13137"/>
    <cellStyle name="Percent 17 7 18" xfId="13138"/>
    <cellStyle name="Percent 17 7 19" xfId="13139"/>
    <cellStyle name="Percent 17 7 2" xfId="13140"/>
    <cellStyle name="Percent 17 7 20" xfId="13141"/>
    <cellStyle name="Percent 17 7 21" xfId="13142"/>
    <cellStyle name="Percent 17 7 22" xfId="13143"/>
    <cellStyle name="Percent 17 7 23" xfId="23506"/>
    <cellStyle name="Percent 17 7 24" xfId="23507"/>
    <cellStyle name="Percent 17 7 25" xfId="23508"/>
    <cellStyle name="Percent 17 7 26" xfId="23509"/>
    <cellStyle name="Percent 17 7 27" xfId="23510"/>
    <cellStyle name="Percent 17 7 28" xfId="23511"/>
    <cellStyle name="Percent 17 7 29" xfId="23512"/>
    <cellStyle name="Percent 17 7 3" xfId="13144"/>
    <cellStyle name="Percent 17 7 30" xfId="23513"/>
    <cellStyle name="Percent 17 7 31" xfId="23514"/>
    <cellStyle name="Percent 17 7 32" xfId="23515"/>
    <cellStyle name="Percent 17 7 33" xfId="23516"/>
    <cellStyle name="Percent 17 7 34" xfId="23517"/>
    <cellStyle name="Percent 17 7 35" xfId="23518"/>
    <cellStyle name="Percent 17 7 4" xfId="13145"/>
    <cellStyle name="Percent 17 7 5" xfId="13146"/>
    <cellStyle name="Percent 17 7 6" xfId="13147"/>
    <cellStyle name="Percent 17 7 7" xfId="13148"/>
    <cellStyle name="Percent 17 7 8" xfId="13149"/>
    <cellStyle name="Percent 17 7 9" xfId="13150"/>
    <cellStyle name="Percent 17 8" xfId="676"/>
    <cellStyle name="Percent 17 8 10" xfId="13151"/>
    <cellStyle name="Percent 17 8 11" xfId="13152"/>
    <cellStyle name="Percent 17 8 12" xfId="13153"/>
    <cellStyle name="Percent 17 8 13" xfId="13154"/>
    <cellStyle name="Percent 17 8 14" xfId="13155"/>
    <cellStyle name="Percent 17 8 15" xfId="13156"/>
    <cellStyle name="Percent 17 8 16" xfId="13157"/>
    <cellStyle name="Percent 17 8 17" xfId="13158"/>
    <cellStyle name="Percent 17 8 18" xfId="13159"/>
    <cellStyle name="Percent 17 8 19" xfId="13160"/>
    <cellStyle name="Percent 17 8 2" xfId="13161"/>
    <cellStyle name="Percent 17 8 20" xfId="13162"/>
    <cellStyle name="Percent 17 8 21" xfId="13163"/>
    <cellStyle name="Percent 17 8 22" xfId="13164"/>
    <cellStyle name="Percent 17 8 23" xfId="23519"/>
    <cellStyle name="Percent 17 8 24" xfId="23520"/>
    <cellStyle name="Percent 17 8 25" xfId="23521"/>
    <cellStyle name="Percent 17 8 26" xfId="23522"/>
    <cellStyle name="Percent 17 8 27" xfId="23523"/>
    <cellStyle name="Percent 17 8 28" xfId="23524"/>
    <cellStyle name="Percent 17 8 29" xfId="23525"/>
    <cellStyle name="Percent 17 8 3" xfId="13165"/>
    <cellStyle name="Percent 17 8 30" xfId="23526"/>
    <cellStyle name="Percent 17 8 31" xfId="23527"/>
    <cellStyle name="Percent 17 8 32" xfId="23528"/>
    <cellStyle name="Percent 17 8 33" xfId="23529"/>
    <cellStyle name="Percent 17 8 34" xfId="23530"/>
    <cellStyle name="Percent 17 8 35" xfId="23531"/>
    <cellStyle name="Percent 17 8 4" xfId="13166"/>
    <cellStyle name="Percent 17 8 5" xfId="13167"/>
    <cellStyle name="Percent 17 8 6" xfId="13168"/>
    <cellStyle name="Percent 17 8 7" xfId="13169"/>
    <cellStyle name="Percent 17 8 8" xfId="13170"/>
    <cellStyle name="Percent 17 8 9" xfId="13171"/>
    <cellStyle name="Percent 17 9" xfId="677"/>
    <cellStyle name="Percent 17 9 10" xfId="13172"/>
    <cellStyle name="Percent 17 9 11" xfId="13173"/>
    <cellStyle name="Percent 17 9 12" xfId="13174"/>
    <cellStyle name="Percent 17 9 13" xfId="13175"/>
    <cellStyle name="Percent 17 9 14" xfId="13176"/>
    <cellStyle name="Percent 17 9 15" xfId="13177"/>
    <cellStyle name="Percent 17 9 16" xfId="13178"/>
    <cellStyle name="Percent 17 9 17" xfId="13179"/>
    <cellStyle name="Percent 17 9 18" xfId="13180"/>
    <cellStyle name="Percent 17 9 19" xfId="13181"/>
    <cellStyle name="Percent 17 9 2" xfId="13182"/>
    <cellStyle name="Percent 17 9 20" xfId="13183"/>
    <cellStyle name="Percent 17 9 21" xfId="13184"/>
    <cellStyle name="Percent 17 9 22" xfId="13185"/>
    <cellStyle name="Percent 17 9 23" xfId="23532"/>
    <cellStyle name="Percent 17 9 24" xfId="23533"/>
    <cellStyle name="Percent 17 9 25" xfId="23534"/>
    <cellStyle name="Percent 17 9 26" xfId="23535"/>
    <cellStyle name="Percent 17 9 27" xfId="23536"/>
    <cellStyle name="Percent 17 9 28" xfId="23537"/>
    <cellStyle name="Percent 17 9 29" xfId="23538"/>
    <cellStyle name="Percent 17 9 3" xfId="13186"/>
    <cellStyle name="Percent 17 9 30" xfId="23539"/>
    <cellStyle name="Percent 17 9 31" xfId="23540"/>
    <cellStyle name="Percent 17 9 32" xfId="23541"/>
    <cellStyle name="Percent 17 9 33" xfId="23542"/>
    <cellStyle name="Percent 17 9 34" xfId="23543"/>
    <cellStyle name="Percent 17 9 35" xfId="23544"/>
    <cellStyle name="Percent 17 9 4" xfId="13187"/>
    <cellStyle name="Percent 17 9 5" xfId="13188"/>
    <cellStyle name="Percent 17 9 6" xfId="13189"/>
    <cellStyle name="Percent 17 9 7" xfId="13190"/>
    <cellStyle name="Percent 17 9 8" xfId="13191"/>
    <cellStyle name="Percent 17 9 9" xfId="13192"/>
    <cellStyle name="Percent 18" xfId="1848"/>
    <cellStyle name="Percent 18 2" xfId="16999"/>
    <cellStyle name="Percent 18 2 2" xfId="26257"/>
    <cellStyle name="Percent 18 2 2 2" xfId="27380"/>
    <cellStyle name="Percent 18 2 3" xfId="26819"/>
    <cellStyle name="Percent 18 3" xfId="25788"/>
    <cellStyle name="Percent 18 3 2" xfId="26911"/>
    <cellStyle name="Percent 18 4" xfId="26350"/>
    <cellStyle name="Percent 19" xfId="17010"/>
    <cellStyle name="Percent 19 2" xfId="26264"/>
    <cellStyle name="Percent 19 2 2" xfId="27387"/>
    <cellStyle name="Percent 19 3" xfId="26826"/>
    <cellStyle name="Percent 2" xfId="678"/>
    <cellStyle name="Percent 2 10" xfId="13193"/>
    <cellStyle name="Percent 2 10 2" xfId="27538"/>
    <cellStyle name="Percent 2 10 3" xfId="27539"/>
    <cellStyle name="Percent 2 10 4" xfId="27540"/>
    <cellStyle name="Percent 2 10 5" xfId="27541"/>
    <cellStyle name="Percent 2 11" xfId="13194"/>
    <cellStyle name="Percent 2 11 2" xfId="27542"/>
    <cellStyle name="Percent 2 11 3" xfId="27543"/>
    <cellStyle name="Percent 2 11 4" xfId="27544"/>
    <cellStyle name="Percent 2 11 5" xfId="27545"/>
    <cellStyle name="Percent 2 12" xfId="13195"/>
    <cellStyle name="Percent 2 12 2" xfId="27546"/>
    <cellStyle name="Percent 2 12 3" xfId="27547"/>
    <cellStyle name="Percent 2 12 4" xfId="27548"/>
    <cellStyle name="Percent 2 12 5" xfId="27549"/>
    <cellStyle name="Percent 2 13" xfId="13196"/>
    <cellStyle name="Percent 2 13 2" xfId="27550"/>
    <cellStyle name="Percent 2 13 3" xfId="27551"/>
    <cellStyle name="Percent 2 13 4" xfId="27552"/>
    <cellStyle name="Percent 2 13 5" xfId="27553"/>
    <cellStyle name="Percent 2 14" xfId="13197"/>
    <cellStyle name="Percent 2 14 2" xfId="27554"/>
    <cellStyle name="Percent 2 14 3" xfId="27555"/>
    <cellStyle name="Percent 2 14 4" xfId="27556"/>
    <cellStyle name="Percent 2 14 5" xfId="27557"/>
    <cellStyle name="Percent 2 15" xfId="13198"/>
    <cellStyle name="Percent 2 15 2" xfId="27558"/>
    <cellStyle name="Percent 2 15 3" xfId="27559"/>
    <cellStyle name="Percent 2 16" xfId="13199"/>
    <cellStyle name="Percent 2 16 2" xfId="27560"/>
    <cellStyle name="Percent 2 16 3" xfId="27561"/>
    <cellStyle name="Percent 2 17" xfId="13200"/>
    <cellStyle name="Percent 2 17 2" xfId="27562"/>
    <cellStyle name="Percent 2 17 3" xfId="27563"/>
    <cellStyle name="Percent 2 18" xfId="13201"/>
    <cellStyle name="Percent 2 18 2" xfId="27564"/>
    <cellStyle name="Percent 2 18 3" xfId="27565"/>
    <cellStyle name="Percent 2 19" xfId="13202"/>
    <cellStyle name="Percent 2 19 2" xfId="27566"/>
    <cellStyle name="Percent 2 19 3" xfId="27567"/>
    <cellStyle name="Percent 2 2" xfId="679"/>
    <cellStyle name="Percent 2 2 2" xfId="27568"/>
    <cellStyle name="Percent 2 2 3" xfId="27569"/>
    <cellStyle name="Percent 2 2 4" xfId="27570"/>
    <cellStyle name="Percent 2 2 5" xfId="27571"/>
    <cellStyle name="Percent 2 20" xfId="13203"/>
    <cellStyle name="Percent 2 21" xfId="13204"/>
    <cellStyle name="Percent 2 22" xfId="13205"/>
    <cellStyle name="Percent 2 23" xfId="13206"/>
    <cellStyle name="Percent 2 24" xfId="13207"/>
    <cellStyle name="Percent 2 25" xfId="13208"/>
    <cellStyle name="Percent 2 26" xfId="13209"/>
    <cellStyle name="Percent 2 27" xfId="13210"/>
    <cellStyle name="Percent 2 28" xfId="13211"/>
    <cellStyle name="Percent 2 29" xfId="13212"/>
    <cellStyle name="Percent 2 3" xfId="680"/>
    <cellStyle name="Percent 2 3 2" xfId="27572"/>
    <cellStyle name="Percent 2 3 3" xfId="27573"/>
    <cellStyle name="Percent 2 3 4" xfId="27574"/>
    <cellStyle name="Percent 2 3 5" xfId="27575"/>
    <cellStyle name="Percent 2 30" xfId="13213"/>
    <cellStyle name="Percent 2 31" xfId="23545"/>
    <cellStyle name="Percent 2 32" xfId="23546"/>
    <cellStyle name="Percent 2 33" xfId="23547"/>
    <cellStyle name="Percent 2 34" xfId="23548"/>
    <cellStyle name="Percent 2 35" xfId="23549"/>
    <cellStyle name="Percent 2 36" xfId="23550"/>
    <cellStyle name="Percent 2 37" xfId="23551"/>
    <cellStyle name="Percent 2 38" xfId="23552"/>
    <cellStyle name="Percent 2 39" xfId="23553"/>
    <cellStyle name="Percent 2 4" xfId="681"/>
    <cellStyle name="Percent 2 4 2" xfId="27576"/>
    <cellStyle name="Percent 2 4 3" xfId="27577"/>
    <cellStyle name="Percent 2 4 4" xfId="27578"/>
    <cellStyle name="Percent 2 4 5" xfId="27579"/>
    <cellStyle name="Percent 2 40" xfId="23554"/>
    <cellStyle name="Percent 2 41" xfId="23555"/>
    <cellStyle name="Percent 2 42" xfId="23556"/>
    <cellStyle name="Percent 2 43" xfId="23557"/>
    <cellStyle name="Percent 2 5" xfId="682"/>
    <cellStyle name="Percent 2 5 2" xfId="27580"/>
    <cellStyle name="Percent 2 5 3" xfId="27581"/>
    <cellStyle name="Percent 2 5 4" xfId="27582"/>
    <cellStyle name="Percent 2 5 5" xfId="27583"/>
    <cellStyle name="Percent 2 6" xfId="683"/>
    <cellStyle name="Percent 2 6 2" xfId="27584"/>
    <cellStyle name="Percent 2 6 3" xfId="27585"/>
    <cellStyle name="Percent 2 6 4" xfId="27586"/>
    <cellStyle name="Percent 2 6 5" xfId="27587"/>
    <cellStyle name="Percent 2 7" xfId="1852"/>
    <cellStyle name="Percent 2 7 2" xfId="27589"/>
    <cellStyle name="Percent 2 7 3" xfId="27590"/>
    <cellStyle name="Percent 2 7 4" xfId="27591"/>
    <cellStyle name="Percent 2 7 5" xfId="27592"/>
    <cellStyle name="Percent 2 7 6" xfId="27588"/>
    <cellStyle name="Percent 2 8" xfId="13214"/>
    <cellStyle name="Percent 2 8 2" xfId="27593"/>
    <cellStyle name="Percent 2 8 3" xfId="27594"/>
    <cellStyle name="Percent 2 8 4" xfId="27595"/>
    <cellStyle name="Percent 2 8 5" xfId="27596"/>
    <cellStyle name="Percent 2 9" xfId="13215"/>
    <cellStyle name="Percent 2 9 2" xfId="27597"/>
    <cellStyle name="Percent 2 9 3" xfId="27598"/>
    <cellStyle name="Percent 2 9 4" xfId="27599"/>
    <cellStyle name="Percent 2 9 5" xfId="27600"/>
    <cellStyle name="Percent 20" xfId="27448"/>
    <cellStyle name="Percent 22" xfId="1111"/>
    <cellStyle name="Percent 22 2" xfId="2612"/>
    <cellStyle name="Percent 22 3" xfId="2950"/>
    <cellStyle name="Percent 22 4" xfId="3029"/>
    <cellStyle name="Percent 22 5" xfId="3092"/>
    <cellStyle name="Percent 22 6" xfId="3143"/>
    <cellStyle name="Percent 22 7" xfId="3188"/>
    <cellStyle name="Percent 22 8" xfId="3144"/>
    <cellStyle name="Percent 23" xfId="61"/>
    <cellStyle name="Percent 23 10" xfId="684"/>
    <cellStyle name="Percent 23 10 10" xfId="13216"/>
    <cellStyle name="Percent 23 10 11" xfId="13217"/>
    <cellStyle name="Percent 23 10 12" xfId="13218"/>
    <cellStyle name="Percent 23 10 13" xfId="13219"/>
    <cellStyle name="Percent 23 10 14" xfId="13220"/>
    <cellStyle name="Percent 23 10 15" xfId="13221"/>
    <cellStyle name="Percent 23 10 16" xfId="13222"/>
    <cellStyle name="Percent 23 10 17" xfId="13223"/>
    <cellStyle name="Percent 23 10 18" xfId="13224"/>
    <cellStyle name="Percent 23 10 19" xfId="13225"/>
    <cellStyle name="Percent 23 10 2" xfId="13226"/>
    <cellStyle name="Percent 23 10 20" xfId="13227"/>
    <cellStyle name="Percent 23 10 21" xfId="13228"/>
    <cellStyle name="Percent 23 10 22" xfId="13229"/>
    <cellStyle name="Percent 23 10 23" xfId="23558"/>
    <cellStyle name="Percent 23 10 24" xfId="23559"/>
    <cellStyle name="Percent 23 10 25" xfId="23560"/>
    <cellStyle name="Percent 23 10 26" xfId="23561"/>
    <cellStyle name="Percent 23 10 27" xfId="23562"/>
    <cellStyle name="Percent 23 10 28" xfId="23563"/>
    <cellStyle name="Percent 23 10 29" xfId="23564"/>
    <cellStyle name="Percent 23 10 3" xfId="13230"/>
    <cellStyle name="Percent 23 10 30" xfId="23565"/>
    <cellStyle name="Percent 23 10 31" xfId="23566"/>
    <cellStyle name="Percent 23 10 32" xfId="23567"/>
    <cellStyle name="Percent 23 10 33" xfId="23568"/>
    <cellStyle name="Percent 23 10 34" xfId="23569"/>
    <cellStyle name="Percent 23 10 35" xfId="23570"/>
    <cellStyle name="Percent 23 10 4" xfId="13231"/>
    <cellStyle name="Percent 23 10 5" xfId="13232"/>
    <cellStyle name="Percent 23 10 6" xfId="13233"/>
    <cellStyle name="Percent 23 10 7" xfId="13234"/>
    <cellStyle name="Percent 23 10 8" xfId="13235"/>
    <cellStyle name="Percent 23 10 9" xfId="13236"/>
    <cellStyle name="Percent 23 11" xfId="685"/>
    <cellStyle name="Percent 23 11 10" xfId="13237"/>
    <cellStyle name="Percent 23 11 11" xfId="13238"/>
    <cellStyle name="Percent 23 11 12" xfId="13239"/>
    <cellStyle name="Percent 23 11 13" xfId="13240"/>
    <cellStyle name="Percent 23 11 14" xfId="13241"/>
    <cellStyle name="Percent 23 11 15" xfId="13242"/>
    <cellStyle name="Percent 23 11 16" xfId="13243"/>
    <cellStyle name="Percent 23 11 17" xfId="13244"/>
    <cellStyle name="Percent 23 11 18" xfId="13245"/>
    <cellStyle name="Percent 23 11 19" xfId="13246"/>
    <cellStyle name="Percent 23 11 2" xfId="13247"/>
    <cellStyle name="Percent 23 11 20" xfId="13248"/>
    <cellStyle name="Percent 23 11 21" xfId="13249"/>
    <cellStyle name="Percent 23 11 22" xfId="13250"/>
    <cellStyle name="Percent 23 11 23" xfId="23571"/>
    <cellStyle name="Percent 23 11 24" xfId="23572"/>
    <cellStyle name="Percent 23 11 25" xfId="23573"/>
    <cellStyle name="Percent 23 11 26" xfId="23574"/>
    <cellStyle name="Percent 23 11 27" xfId="23575"/>
    <cellStyle name="Percent 23 11 28" xfId="23576"/>
    <cellStyle name="Percent 23 11 29" xfId="23577"/>
    <cellStyle name="Percent 23 11 3" xfId="13251"/>
    <cellStyle name="Percent 23 11 30" xfId="23578"/>
    <cellStyle name="Percent 23 11 31" xfId="23579"/>
    <cellStyle name="Percent 23 11 32" xfId="23580"/>
    <cellStyle name="Percent 23 11 33" xfId="23581"/>
    <cellStyle name="Percent 23 11 34" xfId="23582"/>
    <cellStyle name="Percent 23 11 35" xfId="23583"/>
    <cellStyle name="Percent 23 11 4" xfId="13252"/>
    <cellStyle name="Percent 23 11 5" xfId="13253"/>
    <cellStyle name="Percent 23 11 6" xfId="13254"/>
    <cellStyle name="Percent 23 11 7" xfId="13255"/>
    <cellStyle name="Percent 23 11 8" xfId="13256"/>
    <cellStyle name="Percent 23 11 9" xfId="13257"/>
    <cellStyle name="Percent 23 12" xfId="686"/>
    <cellStyle name="Percent 23 12 10" xfId="13258"/>
    <cellStyle name="Percent 23 12 11" xfId="13259"/>
    <cellStyle name="Percent 23 12 12" xfId="13260"/>
    <cellStyle name="Percent 23 12 13" xfId="13261"/>
    <cellStyle name="Percent 23 12 14" xfId="13262"/>
    <cellStyle name="Percent 23 12 15" xfId="13263"/>
    <cellStyle name="Percent 23 12 16" xfId="13264"/>
    <cellStyle name="Percent 23 12 17" xfId="13265"/>
    <cellStyle name="Percent 23 12 18" xfId="13266"/>
    <cellStyle name="Percent 23 12 19" xfId="13267"/>
    <cellStyle name="Percent 23 12 2" xfId="13268"/>
    <cellStyle name="Percent 23 12 20" xfId="13269"/>
    <cellStyle name="Percent 23 12 21" xfId="13270"/>
    <cellStyle name="Percent 23 12 22" xfId="13271"/>
    <cellStyle name="Percent 23 12 23" xfId="23584"/>
    <cellStyle name="Percent 23 12 24" xfId="23585"/>
    <cellStyle name="Percent 23 12 25" xfId="23586"/>
    <cellStyle name="Percent 23 12 26" xfId="23587"/>
    <cellStyle name="Percent 23 12 27" xfId="23588"/>
    <cellStyle name="Percent 23 12 28" xfId="23589"/>
    <cellStyle name="Percent 23 12 29" xfId="23590"/>
    <cellStyle name="Percent 23 12 3" xfId="13272"/>
    <cellStyle name="Percent 23 12 30" xfId="23591"/>
    <cellStyle name="Percent 23 12 31" xfId="23592"/>
    <cellStyle name="Percent 23 12 32" xfId="23593"/>
    <cellStyle name="Percent 23 12 33" xfId="23594"/>
    <cellStyle name="Percent 23 12 34" xfId="23595"/>
    <cellStyle name="Percent 23 12 35" xfId="23596"/>
    <cellStyle name="Percent 23 12 4" xfId="13273"/>
    <cellStyle name="Percent 23 12 5" xfId="13274"/>
    <cellStyle name="Percent 23 12 6" xfId="13275"/>
    <cellStyle name="Percent 23 12 7" xfId="13276"/>
    <cellStyle name="Percent 23 12 8" xfId="13277"/>
    <cellStyle name="Percent 23 12 9" xfId="13278"/>
    <cellStyle name="Percent 23 13" xfId="687"/>
    <cellStyle name="Percent 23 13 10" xfId="13279"/>
    <cellStyle name="Percent 23 13 11" xfId="13280"/>
    <cellStyle name="Percent 23 13 12" xfId="13281"/>
    <cellStyle name="Percent 23 13 13" xfId="13282"/>
    <cellStyle name="Percent 23 13 14" xfId="13283"/>
    <cellStyle name="Percent 23 13 15" xfId="13284"/>
    <cellStyle name="Percent 23 13 16" xfId="13285"/>
    <cellStyle name="Percent 23 13 17" xfId="13286"/>
    <cellStyle name="Percent 23 13 18" xfId="13287"/>
    <cellStyle name="Percent 23 13 19" xfId="13288"/>
    <cellStyle name="Percent 23 13 2" xfId="13289"/>
    <cellStyle name="Percent 23 13 20" xfId="13290"/>
    <cellStyle name="Percent 23 13 21" xfId="13291"/>
    <cellStyle name="Percent 23 13 22" xfId="13292"/>
    <cellStyle name="Percent 23 13 23" xfId="23597"/>
    <cellStyle name="Percent 23 13 24" xfId="23598"/>
    <cellStyle name="Percent 23 13 25" xfId="23599"/>
    <cellStyle name="Percent 23 13 26" xfId="23600"/>
    <cellStyle name="Percent 23 13 27" xfId="23601"/>
    <cellStyle name="Percent 23 13 28" xfId="23602"/>
    <cellStyle name="Percent 23 13 29" xfId="23603"/>
    <cellStyle name="Percent 23 13 3" xfId="13293"/>
    <cellStyle name="Percent 23 13 30" xfId="23604"/>
    <cellStyle name="Percent 23 13 31" xfId="23605"/>
    <cellStyle name="Percent 23 13 32" xfId="23606"/>
    <cellStyle name="Percent 23 13 33" xfId="23607"/>
    <cellStyle name="Percent 23 13 34" xfId="23608"/>
    <cellStyle name="Percent 23 13 35" xfId="23609"/>
    <cellStyle name="Percent 23 13 4" xfId="13294"/>
    <cellStyle name="Percent 23 13 5" xfId="13295"/>
    <cellStyle name="Percent 23 13 6" xfId="13296"/>
    <cellStyle name="Percent 23 13 7" xfId="13297"/>
    <cellStyle name="Percent 23 13 8" xfId="13298"/>
    <cellStyle name="Percent 23 13 9" xfId="13299"/>
    <cellStyle name="Percent 23 14" xfId="688"/>
    <cellStyle name="Percent 23 14 10" xfId="13300"/>
    <cellStyle name="Percent 23 14 11" xfId="13301"/>
    <cellStyle name="Percent 23 14 12" xfId="13302"/>
    <cellStyle name="Percent 23 14 13" xfId="13303"/>
    <cellStyle name="Percent 23 14 14" xfId="13304"/>
    <cellStyle name="Percent 23 14 15" xfId="13305"/>
    <cellStyle name="Percent 23 14 16" xfId="13306"/>
    <cellStyle name="Percent 23 14 17" xfId="13307"/>
    <cellStyle name="Percent 23 14 18" xfId="13308"/>
    <cellStyle name="Percent 23 14 19" xfId="13309"/>
    <cellStyle name="Percent 23 14 2" xfId="13310"/>
    <cellStyle name="Percent 23 14 20" xfId="13311"/>
    <cellStyle name="Percent 23 14 21" xfId="13312"/>
    <cellStyle name="Percent 23 14 22" xfId="13313"/>
    <cellStyle name="Percent 23 14 23" xfId="23610"/>
    <cellStyle name="Percent 23 14 24" xfId="23611"/>
    <cellStyle name="Percent 23 14 25" xfId="23612"/>
    <cellStyle name="Percent 23 14 26" xfId="23613"/>
    <cellStyle name="Percent 23 14 27" xfId="23614"/>
    <cellStyle name="Percent 23 14 28" xfId="23615"/>
    <cellStyle name="Percent 23 14 29" xfId="23616"/>
    <cellStyle name="Percent 23 14 3" xfId="13314"/>
    <cellStyle name="Percent 23 14 30" xfId="23617"/>
    <cellStyle name="Percent 23 14 31" xfId="23618"/>
    <cellStyle name="Percent 23 14 32" xfId="23619"/>
    <cellStyle name="Percent 23 14 33" xfId="23620"/>
    <cellStyle name="Percent 23 14 34" xfId="23621"/>
    <cellStyle name="Percent 23 14 35" xfId="23622"/>
    <cellStyle name="Percent 23 14 4" xfId="13315"/>
    <cellStyle name="Percent 23 14 5" xfId="13316"/>
    <cellStyle name="Percent 23 14 6" xfId="13317"/>
    <cellStyle name="Percent 23 14 7" xfId="13318"/>
    <cellStyle name="Percent 23 14 8" xfId="13319"/>
    <cellStyle name="Percent 23 14 9" xfId="13320"/>
    <cellStyle name="Percent 23 15" xfId="689"/>
    <cellStyle name="Percent 23 16" xfId="1440"/>
    <cellStyle name="Percent 23 17" xfId="1535"/>
    <cellStyle name="Percent 23 18" xfId="1588"/>
    <cellStyle name="Percent 23 19" xfId="1640"/>
    <cellStyle name="Percent 23 2" xfId="690"/>
    <cellStyle name="Percent 23 2 10" xfId="13321"/>
    <cellStyle name="Percent 23 2 11" xfId="13322"/>
    <cellStyle name="Percent 23 2 12" xfId="13323"/>
    <cellStyle name="Percent 23 2 13" xfId="13324"/>
    <cellStyle name="Percent 23 2 14" xfId="13325"/>
    <cellStyle name="Percent 23 2 15" xfId="13326"/>
    <cellStyle name="Percent 23 2 16" xfId="13327"/>
    <cellStyle name="Percent 23 2 17" xfId="13328"/>
    <cellStyle name="Percent 23 2 18" xfId="13329"/>
    <cellStyle name="Percent 23 2 19" xfId="13330"/>
    <cellStyle name="Percent 23 2 2" xfId="13331"/>
    <cellStyle name="Percent 23 2 20" xfId="13332"/>
    <cellStyle name="Percent 23 2 21" xfId="13333"/>
    <cellStyle name="Percent 23 2 22" xfId="13334"/>
    <cellStyle name="Percent 23 2 23" xfId="23623"/>
    <cellStyle name="Percent 23 2 24" xfId="23624"/>
    <cellStyle name="Percent 23 2 25" xfId="23625"/>
    <cellStyle name="Percent 23 2 26" xfId="23626"/>
    <cellStyle name="Percent 23 2 27" xfId="23627"/>
    <cellStyle name="Percent 23 2 28" xfId="23628"/>
    <cellStyle name="Percent 23 2 29" xfId="23629"/>
    <cellStyle name="Percent 23 2 3" xfId="13335"/>
    <cellStyle name="Percent 23 2 30" xfId="23630"/>
    <cellStyle name="Percent 23 2 31" xfId="23631"/>
    <cellStyle name="Percent 23 2 32" xfId="23632"/>
    <cellStyle name="Percent 23 2 33" xfId="23633"/>
    <cellStyle name="Percent 23 2 34" xfId="23634"/>
    <cellStyle name="Percent 23 2 35" xfId="23635"/>
    <cellStyle name="Percent 23 2 4" xfId="13336"/>
    <cellStyle name="Percent 23 2 5" xfId="13337"/>
    <cellStyle name="Percent 23 2 6" xfId="13338"/>
    <cellStyle name="Percent 23 2 7" xfId="13339"/>
    <cellStyle name="Percent 23 2 8" xfId="13340"/>
    <cellStyle name="Percent 23 2 9" xfId="13341"/>
    <cellStyle name="Percent 23 20" xfId="1742"/>
    <cellStyle name="Percent 23 21" xfId="1803"/>
    <cellStyle name="Percent 23 22" xfId="2142"/>
    <cellStyle name="Percent 23 23" xfId="2812"/>
    <cellStyle name="Percent 23 24" xfId="2688"/>
    <cellStyle name="Percent 23 25" xfId="2815"/>
    <cellStyle name="Percent 23 26" xfId="2633"/>
    <cellStyle name="Percent 23 27" xfId="2318"/>
    <cellStyle name="Percent 23 28" xfId="2316"/>
    <cellStyle name="Percent 23 29" xfId="13342"/>
    <cellStyle name="Percent 23 3" xfId="691"/>
    <cellStyle name="Percent 23 3 10" xfId="13343"/>
    <cellStyle name="Percent 23 3 11" xfId="13344"/>
    <cellStyle name="Percent 23 3 12" xfId="13345"/>
    <cellStyle name="Percent 23 3 13" xfId="13346"/>
    <cellStyle name="Percent 23 3 14" xfId="13347"/>
    <cellStyle name="Percent 23 3 15" xfId="13348"/>
    <cellStyle name="Percent 23 3 16" xfId="13349"/>
    <cellStyle name="Percent 23 3 17" xfId="13350"/>
    <cellStyle name="Percent 23 3 18" xfId="13351"/>
    <cellStyle name="Percent 23 3 19" xfId="13352"/>
    <cellStyle name="Percent 23 3 2" xfId="13353"/>
    <cellStyle name="Percent 23 3 20" xfId="13354"/>
    <cellStyle name="Percent 23 3 21" xfId="13355"/>
    <cellStyle name="Percent 23 3 22" xfId="13356"/>
    <cellStyle name="Percent 23 3 23" xfId="23636"/>
    <cellStyle name="Percent 23 3 24" xfId="23637"/>
    <cellStyle name="Percent 23 3 25" xfId="23638"/>
    <cellStyle name="Percent 23 3 26" xfId="23639"/>
    <cellStyle name="Percent 23 3 27" xfId="23640"/>
    <cellStyle name="Percent 23 3 28" xfId="23641"/>
    <cellStyle name="Percent 23 3 29" xfId="23642"/>
    <cellStyle name="Percent 23 3 3" xfId="13357"/>
    <cellStyle name="Percent 23 3 30" xfId="23643"/>
    <cellStyle name="Percent 23 3 31" xfId="23644"/>
    <cellStyle name="Percent 23 3 32" xfId="23645"/>
    <cellStyle name="Percent 23 3 33" xfId="23646"/>
    <cellStyle name="Percent 23 3 34" xfId="23647"/>
    <cellStyle name="Percent 23 3 35" xfId="23648"/>
    <cellStyle name="Percent 23 3 4" xfId="13358"/>
    <cellStyle name="Percent 23 3 5" xfId="13359"/>
    <cellStyle name="Percent 23 3 6" xfId="13360"/>
    <cellStyle name="Percent 23 3 7" xfId="13361"/>
    <cellStyle name="Percent 23 3 8" xfId="13362"/>
    <cellStyle name="Percent 23 3 9" xfId="13363"/>
    <cellStyle name="Percent 23 30" xfId="13364"/>
    <cellStyle name="Percent 23 31" xfId="13365"/>
    <cellStyle name="Percent 23 32" xfId="13366"/>
    <cellStyle name="Percent 23 33" xfId="13367"/>
    <cellStyle name="Percent 23 34" xfId="13368"/>
    <cellStyle name="Percent 23 35" xfId="13369"/>
    <cellStyle name="Percent 23 36" xfId="13370"/>
    <cellStyle name="Percent 23 37" xfId="13371"/>
    <cellStyle name="Percent 23 38" xfId="23649"/>
    <cellStyle name="Percent 23 39" xfId="23650"/>
    <cellStyle name="Percent 23 4" xfId="692"/>
    <cellStyle name="Percent 23 4 10" xfId="13372"/>
    <cellStyle name="Percent 23 4 11" xfId="13373"/>
    <cellStyle name="Percent 23 4 12" xfId="13374"/>
    <cellStyle name="Percent 23 4 13" xfId="13375"/>
    <cellStyle name="Percent 23 4 14" xfId="13376"/>
    <cellStyle name="Percent 23 4 15" xfId="13377"/>
    <cellStyle name="Percent 23 4 16" xfId="13378"/>
    <cellStyle name="Percent 23 4 17" xfId="13379"/>
    <cellStyle name="Percent 23 4 18" xfId="13380"/>
    <cellStyle name="Percent 23 4 19" xfId="13381"/>
    <cellStyle name="Percent 23 4 2" xfId="13382"/>
    <cellStyle name="Percent 23 4 20" xfId="13383"/>
    <cellStyle name="Percent 23 4 21" xfId="13384"/>
    <cellStyle name="Percent 23 4 22" xfId="13385"/>
    <cellStyle name="Percent 23 4 23" xfId="23651"/>
    <cellStyle name="Percent 23 4 24" xfId="23652"/>
    <cellStyle name="Percent 23 4 25" xfId="23653"/>
    <cellStyle name="Percent 23 4 26" xfId="23654"/>
    <cellStyle name="Percent 23 4 27" xfId="23655"/>
    <cellStyle name="Percent 23 4 28" xfId="23656"/>
    <cellStyle name="Percent 23 4 29" xfId="23657"/>
    <cellStyle name="Percent 23 4 3" xfId="13386"/>
    <cellStyle name="Percent 23 4 30" xfId="23658"/>
    <cellStyle name="Percent 23 4 31" xfId="23659"/>
    <cellStyle name="Percent 23 4 32" xfId="23660"/>
    <cellStyle name="Percent 23 4 33" xfId="23661"/>
    <cellStyle name="Percent 23 4 34" xfId="23662"/>
    <cellStyle name="Percent 23 4 35" xfId="23663"/>
    <cellStyle name="Percent 23 4 4" xfId="13387"/>
    <cellStyle name="Percent 23 4 5" xfId="13388"/>
    <cellStyle name="Percent 23 4 6" xfId="13389"/>
    <cellStyle name="Percent 23 4 7" xfId="13390"/>
    <cellStyle name="Percent 23 4 8" xfId="13391"/>
    <cellStyle name="Percent 23 4 9" xfId="13392"/>
    <cellStyle name="Percent 23 40" xfId="23664"/>
    <cellStyle name="Percent 23 41" xfId="23665"/>
    <cellStyle name="Percent 23 42" xfId="23666"/>
    <cellStyle name="Percent 23 43" xfId="23667"/>
    <cellStyle name="Percent 23 44" xfId="23668"/>
    <cellStyle name="Percent 23 45" xfId="23669"/>
    <cellStyle name="Percent 23 46" xfId="23670"/>
    <cellStyle name="Percent 23 47" xfId="23671"/>
    <cellStyle name="Percent 23 48" xfId="23672"/>
    <cellStyle name="Percent 23 49" xfId="23673"/>
    <cellStyle name="Percent 23 5" xfId="693"/>
    <cellStyle name="Percent 23 5 10" xfId="13393"/>
    <cellStyle name="Percent 23 5 11" xfId="13394"/>
    <cellStyle name="Percent 23 5 12" xfId="13395"/>
    <cellStyle name="Percent 23 5 13" xfId="13396"/>
    <cellStyle name="Percent 23 5 14" xfId="13397"/>
    <cellStyle name="Percent 23 5 15" xfId="13398"/>
    <cellStyle name="Percent 23 5 16" xfId="13399"/>
    <cellStyle name="Percent 23 5 17" xfId="13400"/>
    <cellStyle name="Percent 23 5 18" xfId="13401"/>
    <cellStyle name="Percent 23 5 19" xfId="13402"/>
    <cellStyle name="Percent 23 5 2" xfId="13403"/>
    <cellStyle name="Percent 23 5 20" xfId="13404"/>
    <cellStyle name="Percent 23 5 21" xfId="13405"/>
    <cellStyle name="Percent 23 5 22" xfId="13406"/>
    <cellStyle name="Percent 23 5 23" xfId="23674"/>
    <cellStyle name="Percent 23 5 24" xfId="23675"/>
    <cellStyle name="Percent 23 5 25" xfId="23676"/>
    <cellStyle name="Percent 23 5 26" xfId="23677"/>
    <cellStyle name="Percent 23 5 27" xfId="23678"/>
    <cellStyle name="Percent 23 5 28" xfId="23679"/>
    <cellStyle name="Percent 23 5 29" xfId="23680"/>
    <cellStyle name="Percent 23 5 3" xfId="13407"/>
    <cellStyle name="Percent 23 5 30" xfId="23681"/>
    <cellStyle name="Percent 23 5 31" xfId="23682"/>
    <cellStyle name="Percent 23 5 32" xfId="23683"/>
    <cellStyle name="Percent 23 5 33" xfId="23684"/>
    <cellStyle name="Percent 23 5 34" xfId="23685"/>
    <cellStyle name="Percent 23 5 35" xfId="23686"/>
    <cellStyle name="Percent 23 5 4" xfId="13408"/>
    <cellStyle name="Percent 23 5 5" xfId="13409"/>
    <cellStyle name="Percent 23 5 6" xfId="13410"/>
    <cellStyle name="Percent 23 5 7" xfId="13411"/>
    <cellStyle name="Percent 23 5 8" xfId="13412"/>
    <cellStyle name="Percent 23 5 9" xfId="13413"/>
    <cellStyle name="Percent 23 50" xfId="23687"/>
    <cellStyle name="Percent 23 6" xfId="694"/>
    <cellStyle name="Percent 23 6 10" xfId="13414"/>
    <cellStyle name="Percent 23 6 11" xfId="13415"/>
    <cellStyle name="Percent 23 6 12" xfId="13416"/>
    <cellStyle name="Percent 23 6 13" xfId="13417"/>
    <cellStyle name="Percent 23 6 14" xfId="13418"/>
    <cellStyle name="Percent 23 6 15" xfId="13419"/>
    <cellStyle name="Percent 23 6 16" xfId="13420"/>
    <cellStyle name="Percent 23 6 17" xfId="13421"/>
    <cellStyle name="Percent 23 6 18" xfId="13422"/>
    <cellStyle name="Percent 23 6 19" xfId="13423"/>
    <cellStyle name="Percent 23 6 2" xfId="13424"/>
    <cellStyle name="Percent 23 6 20" xfId="13425"/>
    <cellStyle name="Percent 23 6 21" xfId="13426"/>
    <cellStyle name="Percent 23 6 22" xfId="13427"/>
    <cellStyle name="Percent 23 6 23" xfId="23688"/>
    <cellStyle name="Percent 23 6 24" xfId="23689"/>
    <cellStyle name="Percent 23 6 25" xfId="23690"/>
    <cellStyle name="Percent 23 6 26" xfId="23691"/>
    <cellStyle name="Percent 23 6 27" xfId="23692"/>
    <cellStyle name="Percent 23 6 28" xfId="23693"/>
    <cellStyle name="Percent 23 6 29" xfId="23694"/>
    <cellStyle name="Percent 23 6 3" xfId="13428"/>
    <cellStyle name="Percent 23 6 30" xfId="23695"/>
    <cellStyle name="Percent 23 6 31" xfId="23696"/>
    <cellStyle name="Percent 23 6 32" xfId="23697"/>
    <cellStyle name="Percent 23 6 33" xfId="23698"/>
    <cellStyle name="Percent 23 6 34" xfId="23699"/>
    <cellStyle name="Percent 23 6 35" xfId="23700"/>
    <cellStyle name="Percent 23 6 4" xfId="13429"/>
    <cellStyle name="Percent 23 6 5" xfId="13430"/>
    <cellStyle name="Percent 23 6 6" xfId="13431"/>
    <cellStyle name="Percent 23 6 7" xfId="13432"/>
    <cellStyle name="Percent 23 6 8" xfId="13433"/>
    <cellStyle name="Percent 23 6 9" xfId="13434"/>
    <cellStyle name="Percent 23 7" xfId="695"/>
    <cellStyle name="Percent 23 7 10" xfId="13435"/>
    <cellStyle name="Percent 23 7 11" xfId="13436"/>
    <cellStyle name="Percent 23 7 12" xfId="13437"/>
    <cellStyle name="Percent 23 7 13" xfId="13438"/>
    <cellStyle name="Percent 23 7 14" xfId="13439"/>
    <cellStyle name="Percent 23 7 15" xfId="13440"/>
    <cellStyle name="Percent 23 7 16" xfId="13441"/>
    <cellStyle name="Percent 23 7 17" xfId="13442"/>
    <cellStyle name="Percent 23 7 18" xfId="13443"/>
    <cellStyle name="Percent 23 7 19" xfId="13444"/>
    <cellStyle name="Percent 23 7 2" xfId="13445"/>
    <cellStyle name="Percent 23 7 20" xfId="13446"/>
    <cellStyle name="Percent 23 7 21" xfId="13447"/>
    <cellStyle name="Percent 23 7 22" xfId="13448"/>
    <cellStyle name="Percent 23 7 23" xfId="23701"/>
    <cellStyle name="Percent 23 7 24" xfId="23702"/>
    <cellStyle name="Percent 23 7 25" xfId="23703"/>
    <cellStyle name="Percent 23 7 26" xfId="23704"/>
    <cellStyle name="Percent 23 7 27" xfId="23705"/>
    <cellStyle name="Percent 23 7 28" xfId="23706"/>
    <cellStyle name="Percent 23 7 29" xfId="23707"/>
    <cellStyle name="Percent 23 7 3" xfId="13449"/>
    <cellStyle name="Percent 23 7 30" xfId="23708"/>
    <cellStyle name="Percent 23 7 31" xfId="23709"/>
    <cellStyle name="Percent 23 7 32" xfId="23710"/>
    <cellStyle name="Percent 23 7 33" xfId="23711"/>
    <cellStyle name="Percent 23 7 34" xfId="23712"/>
    <cellStyle name="Percent 23 7 35" xfId="23713"/>
    <cellStyle name="Percent 23 7 4" xfId="13450"/>
    <cellStyle name="Percent 23 7 5" xfId="13451"/>
    <cellStyle name="Percent 23 7 6" xfId="13452"/>
    <cellStyle name="Percent 23 7 7" xfId="13453"/>
    <cellStyle name="Percent 23 7 8" xfId="13454"/>
    <cellStyle name="Percent 23 7 9" xfId="13455"/>
    <cellStyle name="Percent 23 8" xfId="696"/>
    <cellStyle name="Percent 23 8 10" xfId="13456"/>
    <cellStyle name="Percent 23 8 11" xfId="13457"/>
    <cellStyle name="Percent 23 8 12" xfId="13458"/>
    <cellStyle name="Percent 23 8 13" xfId="13459"/>
    <cellStyle name="Percent 23 8 14" xfId="13460"/>
    <cellStyle name="Percent 23 8 15" xfId="13461"/>
    <cellStyle name="Percent 23 8 16" xfId="13462"/>
    <cellStyle name="Percent 23 8 17" xfId="13463"/>
    <cellStyle name="Percent 23 8 18" xfId="13464"/>
    <cellStyle name="Percent 23 8 19" xfId="13465"/>
    <cellStyle name="Percent 23 8 2" xfId="13466"/>
    <cellStyle name="Percent 23 8 20" xfId="13467"/>
    <cellStyle name="Percent 23 8 21" xfId="13468"/>
    <cellStyle name="Percent 23 8 22" xfId="13469"/>
    <cellStyle name="Percent 23 8 23" xfId="23714"/>
    <cellStyle name="Percent 23 8 24" xfId="23715"/>
    <cellStyle name="Percent 23 8 25" xfId="23716"/>
    <cellStyle name="Percent 23 8 26" xfId="23717"/>
    <cellStyle name="Percent 23 8 27" xfId="23718"/>
    <cellStyle name="Percent 23 8 28" xfId="23719"/>
    <cellStyle name="Percent 23 8 29" xfId="23720"/>
    <cellStyle name="Percent 23 8 3" xfId="13470"/>
    <cellStyle name="Percent 23 8 30" xfId="23721"/>
    <cellStyle name="Percent 23 8 31" xfId="23722"/>
    <cellStyle name="Percent 23 8 32" xfId="23723"/>
    <cellStyle name="Percent 23 8 33" xfId="23724"/>
    <cellStyle name="Percent 23 8 34" xfId="23725"/>
    <cellStyle name="Percent 23 8 35" xfId="23726"/>
    <cellStyle name="Percent 23 8 4" xfId="13471"/>
    <cellStyle name="Percent 23 8 5" xfId="13472"/>
    <cellStyle name="Percent 23 8 6" xfId="13473"/>
    <cellStyle name="Percent 23 8 7" xfId="13474"/>
    <cellStyle name="Percent 23 8 8" xfId="13475"/>
    <cellStyle name="Percent 23 8 9" xfId="13476"/>
    <cellStyle name="Percent 23 9" xfId="697"/>
    <cellStyle name="Percent 23 9 10" xfId="13477"/>
    <cellStyle name="Percent 23 9 11" xfId="13478"/>
    <cellStyle name="Percent 23 9 12" xfId="13479"/>
    <cellStyle name="Percent 23 9 13" xfId="13480"/>
    <cellStyle name="Percent 23 9 14" xfId="13481"/>
    <cellStyle name="Percent 23 9 15" xfId="13482"/>
    <cellStyle name="Percent 23 9 16" xfId="13483"/>
    <cellStyle name="Percent 23 9 17" xfId="13484"/>
    <cellStyle name="Percent 23 9 18" xfId="13485"/>
    <cellStyle name="Percent 23 9 19" xfId="13486"/>
    <cellStyle name="Percent 23 9 2" xfId="13487"/>
    <cellStyle name="Percent 23 9 20" xfId="13488"/>
    <cellStyle name="Percent 23 9 21" xfId="13489"/>
    <cellStyle name="Percent 23 9 22" xfId="13490"/>
    <cellStyle name="Percent 23 9 23" xfId="23727"/>
    <cellStyle name="Percent 23 9 24" xfId="23728"/>
    <cellStyle name="Percent 23 9 25" xfId="23729"/>
    <cellStyle name="Percent 23 9 26" xfId="23730"/>
    <cellStyle name="Percent 23 9 27" xfId="23731"/>
    <cellStyle name="Percent 23 9 28" xfId="23732"/>
    <cellStyle name="Percent 23 9 29" xfId="23733"/>
    <cellStyle name="Percent 23 9 3" xfId="13491"/>
    <cellStyle name="Percent 23 9 30" xfId="23734"/>
    <cellStyle name="Percent 23 9 31" xfId="23735"/>
    <cellStyle name="Percent 23 9 32" xfId="23736"/>
    <cellStyle name="Percent 23 9 33" xfId="23737"/>
    <cellStyle name="Percent 23 9 34" xfId="23738"/>
    <cellStyle name="Percent 23 9 35" xfId="23739"/>
    <cellStyle name="Percent 23 9 4" xfId="13492"/>
    <cellStyle name="Percent 23 9 5" xfId="13493"/>
    <cellStyle name="Percent 23 9 6" xfId="13494"/>
    <cellStyle name="Percent 23 9 7" xfId="13495"/>
    <cellStyle name="Percent 23 9 8" xfId="13496"/>
    <cellStyle name="Percent 23 9 9" xfId="13497"/>
    <cellStyle name="Percent 26" xfId="1376"/>
    <cellStyle name="Percent 26 2" xfId="2762"/>
    <cellStyle name="Percent 26 3" xfId="2242"/>
    <cellStyle name="Percent 26 4" xfId="2695"/>
    <cellStyle name="Percent 26 5" xfId="2285"/>
    <cellStyle name="Percent 26 6" xfId="2469"/>
    <cellStyle name="Percent 26 7" xfId="2379"/>
    <cellStyle name="Percent 26 8" xfId="2520"/>
    <cellStyle name="Percent 3" xfId="698"/>
    <cellStyle name="Percent 3 10" xfId="699"/>
    <cellStyle name="Percent 3 10 10" xfId="13498"/>
    <cellStyle name="Percent 3 10 11" xfId="13499"/>
    <cellStyle name="Percent 3 10 12" xfId="13500"/>
    <cellStyle name="Percent 3 10 13" xfId="13501"/>
    <cellStyle name="Percent 3 10 14" xfId="13502"/>
    <cellStyle name="Percent 3 10 15" xfId="13503"/>
    <cellStyle name="Percent 3 10 16" xfId="13504"/>
    <cellStyle name="Percent 3 10 17" xfId="13505"/>
    <cellStyle name="Percent 3 10 18" xfId="13506"/>
    <cellStyle name="Percent 3 10 19" xfId="13507"/>
    <cellStyle name="Percent 3 10 2" xfId="700"/>
    <cellStyle name="Percent 3 10 20" xfId="13508"/>
    <cellStyle name="Percent 3 10 21" xfId="13509"/>
    <cellStyle name="Percent 3 10 22" xfId="13510"/>
    <cellStyle name="Percent 3 10 23" xfId="13511"/>
    <cellStyle name="Percent 3 10 24" xfId="13512"/>
    <cellStyle name="Percent 3 10 25" xfId="23740"/>
    <cellStyle name="Percent 3 10 26" xfId="23741"/>
    <cellStyle name="Percent 3 10 27" xfId="23742"/>
    <cellStyle name="Percent 3 10 28" xfId="23743"/>
    <cellStyle name="Percent 3 10 29" xfId="23744"/>
    <cellStyle name="Percent 3 10 3" xfId="13513"/>
    <cellStyle name="Percent 3 10 30" xfId="23745"/>
    <cellStyle name="Percent 3 10 31" xfId="23746"/>
    <cellStyle name="Percent 3 10 32" xfId="23747"/>
    <cellStyle name="Percent 3 10 33" xfId="23748"/>
    <cellStyle name="Percent 3 10 34" xfId="23749"/>
    <cellStyle name="Percent 3 10 35" xfId="23750"/>
    <cellStyle name="Percent 3 10 36" xfId="23751"/>
    <cellStyle name="Percent 3 10 37" xfId="23752"/>
    <cellStyle name="Percent 3 10 4" xfId="13514"/>
    <cellStyle name="Percent 3 10 5" xfId="13515"/>
    <cellStyle name="Percent 3 10 6" xfId="13516"/>
    <cellStyle name="Percent 3 10 7" xfId="13517"/>
    <cellStyle name="Percent 3 10 8" xfId="13518"/>
    <cellStyle name="Percent 3 10 9" xfId="13519"/>
    <cellStyle name="Percent 3 11" xfId="701"/>
    <cellStyle name="Percent 3 11 10" xfId="13520"/>
    <cellStyle name="Percent 3 11 11" xfId="13521"/>
    <cellStyle name="Percent 3 11 12" xfId="13522"/>
    <cellStyle name="Percent 3 11 13" xfId="13523"/>
    <cellStyle name="Percent 3 11 14" xfId="13524"/>
    <cellStyle name="Percent 3 11 15" xfId="13525"/>
    <cellStyle name="Percent 3 11 16" xfId="13526"/>
    <cellStyle name="Percent 3 11 17" xfId="13527"/>
    <cellStyle name="Percent 3 11 18" xfId="13528"/>
    <cellStyle name="Percent 3 11 19" xfId="13529"/>
    <cellStyle name="Percent 3 11 2" xfId="702"/>
    <cellStyle name="Percent 3 11 20" xfId="13530"/>
    <cellStyle name="Percent 3 11 21" xfId="13531"/>
    <cellStyle name="Percent 3 11 22" xfId="13532"/>
    <cellStyle name="Percent 3 11 23" xfId="13533"/>
    <cellStyle name="Percent 3 11 24" xfId="13534"/>
    <cellStyle name="Percent 3 11 25" xfId="23753"/>
    <cellStyle name="Percent 3 11 26" xfId="23754"/>
    <cellStyle name="Percent 3 11 27" xfId="23755"/>
    <cellStyle name="Percent 3 11 28" xfId="23756"/>
    <cellStyle name="Percent 3 11 29" xfId="23757"/>
    <cellStyle name="Percent 3 11 3" xfId="13535"/>
    <cellStyle name="Percent 3 11 30" xfId="23758"/>
    <cellStyle name="Percent 3 11 31" xfId="23759"/>
    <cellStyle name="Percent 3 11 32" xfId="23760"/>
    <cellStyle name="Percent 3 11 33" xfId="23761"/>
    <cellStyle name="Percent 3 11 34" xfId="23762"/>
    <cellStyle name="Percent 3 11 35" xfId="23763"/>
    <cellStyle name="Percent 3 11 36" xfId="23764"/>
    <cellStyle name="Percent 3 11 37" xfId="23765"/>
    <cellStyle name="Percent 3 11 4" xfId="13536"/>
    <cellStyle name="Percent 3 11 5" xfId="13537"/>
    <cellStyle name="Percent 3 11 6" xfId="13538"/>
    <cellStyle name="Percent 3 11 7" xfId="13539"/>
    <cellStyle name="Percent 3 11 8" xfId="13540"/>
    <cellStyle name="Percent 3 11 9" xfId="13541"/>
    <cellStyle name="Percent 3 12" xfId="703"/>
    <cellStyle name="Percent 3 12 10" xfId="13542"/>
    <cellStyle name="Percent 3 12 11" xfId="13543"/>
    <cellStyle name="Percent 3 12 12" xfId="13544"/>
    <cellStyle name="Percent 3 12 13" xfId="13545"/>
    <cellStyle name="Percent 3 12 14" xfId="13546"/>
    <cellStyle name="Percent 3 12 15" xfId="13547"/>
    <cellStyle name="Percent 3 12 16" xfId="13548"/>
    <cellStyle name="Percent 3 12 17" xfId="13549"/>
    <cellStyle name="Percent 3 12 18" xfId="13550"/>
    <cellStyle name="Percent 3 12 19" xfId="13551"/>
    <cellStyle name="Percent 3 12 2" xfId="704"/>
    <cellStyle name="Percent 3 12 20" xfId="13552"/>
    <cellStyle name="Percent 3 12 21" xfId="13553"/>
    <cellStyle name="Percent 3 12 22" xfId="13554"/>
    <cellStyle name="Percent 3 12 23" xfId="13555"/>
    <cellStyle name="Percent 3 12 24" xfId="13556"/>
    <cellStyle name="Percent 3 12 25" xfId="23766"/>
    <cellStyle name="Percent 3 12 26" xfId="23767"/>
    <cellStyle name="Percent 3 12 27" xfId="23768"/>
    <cellStyle name="Percent 3 12 28" xfId="23769"/>
    <cellStyle name="Percent 3 12 29" xfId="23770"/>
    <cellStyle name="Percent 3 12 3" xfId="13557"/>
    <cellStyle name="Percent 3 12 30" xfId="23771"/>
    <cellStyle name="Percent 3 12 31" xfId="23772"/>
    <cellStyle name="Percent 3 12 32" xfId="23773"/>
    <cellStyle name="Percent 3 12 33" xfId="23774"/>
    <cellStyle name="Percent 3 12 34" xfId="23775"/>
    <cellStyle name="Percent 3 12 35" xfId="23776"/>
    <cellStyle name="Percent 3 12 36" xfId="23777"/>
    <cellStyle name="Percent 3 12 37" xfId="23778"/>
    <cellStyle name="Percent 3 12 4" xfId="13558"/>
    <cellStyle name="Percent 3 12 5" xfId="13559"/>
    <cellStyle name="Percent 3 12 6" xfId="13560"/>
    <cellStyle name="Percent 3 12 7" xfId="13561"/>
    <cellStyle name="Percent 3 12 8" xfId="13562"/>
    <cellStyle name="Percent 3 12 9" xfId="13563"/>
    <cellStyle name="Percent 3 13" xfId="705"/>
    <cellStyle name="Percent 3 13 10" xfId="13564"/>
    <cellStyle name="Percent 3 13 11" xfId="13565"/>
    <cellStyle name="Percent 3 13 12" xfId="13566"/>
    <cellStyle name="Percent 3 13 13" xfId="13567"/>
    <cellStyle name="Percent 3 13 14" xfId="13568"/>
    <cellStyle name="Percent 3 13 15" xfId="13569"/>
    <cellStyle name="Percent 3 13 16" xfId="13570"/>
    <cellStyle name="Percent 3 13 17" xfId="13571"/>
    <cellStyle name="Percent 3 13 18" xfId="13572"/>
    <cellStyle name="Percent 3 13 19" xfId="13573"/>
    <cellStyle name="Percent 3 13 2" xfId="706"/>
    <cellStyle name="Percent 3 13 20" xfId="13574"/>
    <cellStyle name="Percent 3 13 21" xfId="13575"/>
    <cellStyle name="Percent 3 13 22" xfId="13576"/>
    <cellStyle name="Percent 3 13 23" xfId="13577"/>
    <cellStyle name="Percent 3 13 24" xfId="13578"/>
    <cellStyle name="Percent 3 13 25" xfId="23779"/>
    <cellStyle name="Percent 3 13 26" xfId="23780"/>
    <cellStyle name="Percent 3 13 27" xfId="23781"/>
    <cellStyle name="Percent 3 13 28" xfId="23782"/>
    <cellStyle name="Percent 3 13 29" xfId="23783"/>
    <cellStyle name="Percent 3 13 3" xfId="13579"/>
    <cellStyle name="Percent 3 13 30" xfId="23784"/>
    <cellStyle name="Percent 3 13 31" xfId="23785"/>
    <cellStyle name="Percent 3 13 32" xfId="23786"/>
    <cellStyle name="Percent 3 13 33" xfId="23787"/>
    <cellStyle name="Percent 3 13 34" xfId="23788"/>
    <cellStyle name="Percent 3 13 35" xfId="23789"/>
    <cellStyle name="Percent 3 13 36" xfId="23790"/>
    <cellStyle name="Percent 3 13 37" xfId="23791"/>
    <cellStyle name="Percent 3 13 4" xfId="13580"/>
    <cellStyle name="Percent 3 13 5" xfId="13581"/>
    <cellStyle name="Percent 3 13 6" xfId="13582"/>
    <cellStyle name="Percent 3 13 7" xfId="13583"/>
    <cellStyle name="Percent 3 13 8" xfId="13584"/>
    <cellStyle name="Percent 3 13 9" xfId="13585"/>
    <cellStyle name="Percent 3 14" xfId="707"/>
    <cellStyle name="Percent 3 14 10" xfId="13586"/>
    <cellStyle name="Percent 3 14 11" xfId="13587"/>
    <cellStyle name="Percent 3 14 12" xfId="13588"/>
    <cellStyle name="Percent 3 14 13" xfId="13589"/>
    <cellStyle name="Percent 3 14 14" xfId="13590"/>
    <cellStyle name="Percent 3 14 15" xfId="13591"/>
    <cellStyle name="Percent 3 14 16" xfId="13592"/>
    <cellStyle name="Percent 3 14 17" xfId="13593"/>
    <cellStyle name="Percent 3 14 18" xfId="13594"/>
    <cellStyle name="Percent 3 14 19" xfId="13595"/>
    <cellStyle name="Percent 3 14 2" xfId="708"/>
    <cellStyle name="Percent 3 14 20" xfId="13596"/>
    <cellStyle name="Percent 3 14 21" xfId="13597"/>
    <cellStyle name="Percent 3 14 22" xfId="13598"/>
    <cellStyle name="Percent 3 14 23" xfId="13599"/>
    <cellStyle name="Percent 3 14 24" xfId="13600"/>
    <cellStyle name="Percent 3 14 25" xfId="23792"/>
    <cellStyle name="Percent 3 14 26" xfId="23793"/>
    <cellStyle name="Percent 3 14 27" xfId="23794"/>
    <cellStyle name="Percent 3 14 28" xfId="23795"/>
    <cellStyle name="Percent 3 14 29" xfId="23796"/>
    <cellStyle name="Percent 3 14 3" xfId="13601"/>
    <cellStyle name="Percent 3 14 30" xfId="23797"/>
    <cellStyle name="Percent 3 14 31" xfId="23798"/>
    <cellStyle name="Percent 3 14 32" xfId="23799"/>
    <cellStyle name="Percent 3 14 33" xfId="23800"/>
    <cellStyle name="Percent 3 14 34" xfId="23801"/>
    <cellStyle name="Percent 3 14 35" xfId="23802"/>
    <cellStyle name="Percent 3 14 36" xfId="23803"/>
    <cellStyle name="Percent 3 14 37" xfId="23804"/>
    <cellStyle name="Percent 3 14 4" xfId="13602"/>
    <cellStyle name="Percent 3 14 5" xfId="13603"/>
    <cellStyle name="Percent 3 14 6" xfId="13604"/>
    <cellStyle name="Percent 3 14 7" xfId="13605"/>
    <cellStyle name="Percent 3 14 8" xfId="13606"/>
    <cellStyle name="Percent 3 14 9" xfId="13607"/>
    <cellStyle name="Percent 3 15" xfId="709"/>
    <cellStyle name="Percent 3 15 10" xfId="13608"/>
    <cellStyle name="Percent 3 15 11" xfId="13609"/>
    <cellStyle name="Percent 3 15 12" xfId="13610"/>
    <cellStyle name="Percent 3 15 13" xfId="13611"/>
    <cellStyle name="Percent 3 15 14" xfId="13612"/>
    <cellStyle name="Percent 3 15 15" xfId="13613"/>
    <cellStyle name="Percent 3 15 16" xfId="13614"/>
    <cellStyle name="Percent 3 15 17" xfId="13615"/>
    <cellStyle name="Percent 3 15 18" xfId="13616"/>
    <cellStyle name="Percent 3 15 19" xfId="13617"/>
    <cellStyle name="Percent 3 15 2" xfId="710"/>
    <cellStyle name="Percent 3 15 20" xfId="13618"/>
    <cellStyle name="Percent 3 15 21" xfId="13619"/>
    <cellStyle name="Percent 3 15 22" xfId="13620"/>
    <cellStyle name="Percent 3 15 23" xfId="13621"/>
    <cellStyle name="Percent 3 15 24" xfId="13622"/>
    <cellStyle name="Percent 3 15 25" xfId="23805"/>
    <cellStyle name="Percent 3 15 26" xfId="23806"/>
    <cellStyle name="Percent 3 15 27" xfId="23807"/>
    <cellStyle name="Percent 3 15 28" xfId="23808"/>
    <cellStyle name="Percent 3 15 29" xfId="23809"/>
    <cellStyle name="Percent 3 15 3" xfId="13623"/>
    <cellStyle name="Percent 3 15 30" xfId="23810"/>
    <cellStyle name="Percent 3 15 31" xfId="23811"/>
    <cellStyle name="Percent 3 15 32" xfId="23812"/>
    <cellStyle name="Percent 3 15 33" xfId="23813"/>
    <cellStyle name="Percent 3 15 34" xfId="23814"/>
    <cellStyle name="Percent 3 15 35" xfId="23815"/>
    <cellStyle name="Percent 3 15 36" xfId="23816"/>
    <cellStyle name="Percent 3 15 37" xfId="23817"/>
    <cellStyle name="Percent 3 15 4" xfId="13624"/>
    <cellStyle name="Percent 3 15 5" xfId="13625"/>
    <cellStyle name="Percent 3 15 6" xfId="13626"/>
    <cellStyle name="Percent 3 15 7" xfId="13627"/>
    <cellStyle name="Percent 3 15 8" xfId="13628"/>
    <cellStyle name="Percent 3 15 9" xfId="13629"/>
    <cellStyle name="Percent 3 16" xfId="711"/>
    <cellStyle name="Percent 3 16 10" xfId="13630"/>
    <cellStyle name="Percent 3 16 11" xfId="13631"/>
    <cellStyle name="Percent 3 16 12" xfId="13632"/>
    <cellStyle name="Percent 3 16 13" xfId="13633"/>
    <cellStyle name="Percent 3 16 14" xfId="13634"/>
    <cellStyle name="Percent 3 16 15" xfId="13635"/>
    <cellStyle name="Percent 3 16 16" xfId="13636"/>
    <cellStyle name="Percent 3 16 17" xfId="13637"/>
    <cellStyle name="Percent 3 16 18" xfId="13638"/>
    <cellStyle name="Percent 3 16 19" xfId="13639"/>
    <cellStyle name="Percent 3 16 2" xfId="712"/>
    <cellStyle name="Percent 3 16 20" xfId="13640"/>
    <cellStyle name="Percent 3 16 21" xfId="13641"/>
    <cellStyle name="Percent 3 16 22" xfId="13642"/>
    <cellStyle name="Percent 3 16 23" xfId="13643"/>
    <cellStyle name="Percent 3 16 24" xfId="13644"/>
    <cellStyle name="Percent 3 16 25" xfId="23818"/>
    <cellStyle name="Percent 3 16 26" xfId="23819"/>
    <cellStyle name="Percent 3 16 27" xfId="23820"/>
    <cellStyle name="Percent 3 16 28" xfId="23821"/>
    <cellStyle name="Percent 3 16 29" xfId="23822"/>
    <cellStyle name="Percent 3 16 3" xfId="13645"/>
    <cellStyle name="Percent 3 16 30" xfId="23823"/>
    <cellStyle name="Percent 3 16 31" xfId="23824"/>
    <cellStyle name="Percent 3 16 32" xfId="23825"/>
    <cellStyle name="Percent 3 16 33" xfId="23826"/>
    <cellStyle name="Percent 3 16 34" xfId="23827"/>
    <cellStyle name="Percent 3 16 35" xfId="23828"/>
    <cellStyle name="Percent 3 16 36" xfId="23829"/>
    <cellStyle name="Percent 3 16 37" xfId="23830"/>
    <cellStyle name="Percent 3 16 4" xfId="13646"/>
    <cellStyle name="Percent 3 16 5" xfId="13647"/>
    <cellStyle name="Percent 3 16 6" xfId="13648"/>
    <cellStyle name="Percent 3 16 7" xfId="13649"/>
    <cellStyle name="Percent 3 16 8" xfId="13650"/>
    <cellStyle name="Percent 3 16 9" xfId="13651"/>
    <cellStyle name="Percent 3 17" xfId="713"/>
    <cellStyle name="Percent 3 17 10" xfId="13652"/>
    <cellStyle name="Percent 3 17 11" xfId="13653"/>
    <cellStyle name="Percent 3 17 12" xfId="13654"/>
    <cellStyle name="Percent 3 17 13" xfId="13655"/>
    <cellStyle name="Percent 3 17 14" xfId="13656"/>
    <cellStyle name="Percent 3 17 15" xfId="13657"/>
    <cellStyle name="Percent 3 17 16" xfId="13658"/>
    <cellStyle name="Percent 3 17 17" xfId="13659"/>
    <cellStyle name="Percent 3 17 18" xfId="13660"/>
    <cellStyle name="Percent 3 17 19" xfId="13661"/>
    <cellStyle name="Percent 3 17 2" xfId="714"/>
    <cellStyle name="Percent 3 17 20" xfId="13662"/>
    <cellStyle name="Percent 3 17 21" xfId="13663"/>
    <cellStyle name="Percent 3 17 22" xfId="13664"/>
    <cellStyle name="Percent 3 17 23" xfId="13665"/>
    <cellStyle name="Percent 3 17 24" xfId="13666"/>
    <cellStyle name="Percent 3 17 25" xfId="23831"/>
    <cellStyle name="Percent 3 17 26" xfId="23832"/>
    <cellStyle name="Percent 3 17 27" xfId="23833"/>
    <cellStyle name="Percent 3 17 28" xfId="23834"/>
    <cellStyle name="Percent 3 17 29" xfId="23835"/>
    <cellStyle name="Percent 3 17 3" xfId="13667"/>
    <cellStyle name="Percent 3 17 30" xfId="23836"/>
    <cellStyle name="Percent 3 17 31" xfId="23837"/>
    <cellStyle name="Percent 3 17 32" xfId="23838"/>
    <cellStyle name="Percent 3 17 33" xfId="23839"/>
    <cellStyle name="Percent 3 17 34" xfId="23840"/>
    <cellStyle name="Percent 3 17 35" xfId="23841"/>
    <cellStyle name="Percent 3 17 36" xfId="23842"/>
    <cellStyle name="Percent 3 17 37" xfId="23843"/>
    <cellStyle name="Percent 3 17 4" xfId="13668"/>
    <cellStyle name="Percent 3 17 5" xfId="13669"/>
    <cellStyle name="Percent 3 17 6" xfId="13670"/>
    <cellStyle name="Percent 3 17 7" xfId="13671"/>
    <cellStyle name="Percent 3 17 8" xfId="13672"/>
    <cellStyle name="Percent 3 17 9" xfId="13673"/>
    <cellStyle name="Percent 3 18" xfId="715"/>
    <cellStyle name="Percent 3 18 10" xfId="13674"/>
    <cellStyle name="Percent 3 18 11" xfId="13675"/>
    <cellStyle name="Percent 3 18 12" xfId="13676"/>
    <cellStyle name="Percent 3 18 13" xfId="13677"/>
    <cellStyle name="Percent 3 18 14" xfId="13678"/>
    <cellStyle name="Percent 3 18 15" xfId="13679"/>
    <cellStyle name="Percent 3 18 16" xfId="13680"/>
    <cellStyle name="Percent 3 18 17" xfId="13681"/>
    <cellStyle name="Percent 3 18 18" xfId="13682"/>
    <cellStyle name="Percent 3 18 19" xfId="13683"/>
    <cellStyle name="Percent 3 18 2" xfId="716"/>
    <cellStyle name="Percent 3 18 20" xfId="13684"/>
    <cellStyle name="Percent 3 18 21" xfId="13685"/>
    <cellStyle name="Percent 3 18 22" xfId="13686"/>
    <cellStyle name="Percent 3 18 23" xfId="13687"/>
    <cellStyle name="Percent 3 18 24" xfId="13688"/>
    <cellStyle name="Percent 3 18 25" xfId="23844"/>
    <cellStyle name="Percent 3 18 26" xfId="23845"/>
    <cellStyle name="Percent 3 18 27" xfId="23846"/>
    <cellStyle name="Percent 3 18 28" xfId="23847"/>
    <cellStyle name="Percent 3 18 29" xfId="23848"/>
    <cellStyle name="Percent 3 18 3" xfId="13689"/>
    <cellStyle name="Percent 3 18 30" xfId="23849"/>
    <cellStyle name="Percent 3 18 31" xfId="23850"/>
    <cellStyle name="Percent 3 18 32" xfId="23851"/>
    <cellStyle name="Percent 3 18 33" xfId="23852"/>
    <cellStyle name="Percent 3 18 34" xfId="23853"/>
    <cellStyle name="Percent 3 18 35" xfId="23854"/>
    <cellStyle name="Percent 3 18 36" xfId="23855"/>
    <cellStyle name="Percent 3 18 37" xfId="23856"/>
    <cellStyle name="Percent 3 18 4" xfId="13690"/>
    <cellStyle name="Percent 3 18 5" xfId="13691"/>
    <cellStyle name="Percent 3 18 6" xfId="13692"/>
    <cellStyle name="Percent 3 18 7" xfId="13693"/>
    <cellStyle name="Percent 3 18 8" xfId="13694"/>
    <cellStyle name="Percent 3 18 9" xfId="13695"/>
    <cellStyle name="Percent 3 19" xfId="717"/>
    <cellStyle name="Percent 3 19 10" xfId="13696"/>
    <cellStyle name="Percent 3 19 11" xfId="13697"/>
    <cellStyle name="Percent 3 19 12" xfId="13698"/>
    <cellStyle name="Percent 3 19 13" xfId="13699"/>
    <cellStyle name="Percent 3 19 14" xfId="13700"/>
    <cellStyle name="Percent 3 19 15" xfId="13701"/>
    <cellStyle name="Percent 3 19 16" xfId="13702"/>
    <cellStyle name="Percent 3 19 17" xfId="13703"/>
    <cellStyle name="Percent 3 19 18" xfId="13704"/>
    <cellStyle name="Percent 3 19 19" xfId="13705"/>
    <cellStyle name="Percent 3 19 2" xfId="13706"/>
    <cellStyle name="Percent 3 19 20" xfId="13707"/>
    <cellStyle name="Percent 3 19 21" xfId="13708"/>
    <cellStyle name="Percent 3 19 22" xfId="13709"/>
    <cellStyle name="Percent 3 19 23" xfId="23857"/>
    <cellStyle name="Percent 3 19 24" xfId="23858"/>
    <cellStyle name="Percent 3 19 25" xfId="23859"/>
    <cellStyle name="Percent 3 19 26" xfId="23860"/>
    <cellStyle name="Percent 3 19 27" xfId="23861"/>
    <cellStyle name="Percent 3 19 28" xfId="23862"/>
    <cellStyle name="Percent 3 19 29" xfId="23863"/>
    <cellStyle name="Percent 3 19 3" xfId="13710"/>
    <cellStyle name="Percent 3 19 30" xfId="23864"/>
    <cellStyle name="Percent 3 19 31" xfId="23865"/>
    <cellStyle name="Percent 3 19 32" xfId="23866"/>
    <cellStyle name="Percent 3 19 33" xfId="23867"/>
    <cellStyle name="Percent 3 19 34" xfId="23868"/>
    <cellStyle name="Percent 3 19 35" xfId="23869"/>
    <cellStyle name="Percent 3 19 4" xfId="13711"/>
    <cellStyle name="Percent 3 19 5" xfId="13712"/>
    <cellStyle name="Percent 3 19 6" xfId="13713"/>
    <cellStyle name="Percent 3 19 7" xfId="13714"/>
    <cellStyle name="Percent 3 19 8" xfId="13715"/>
    <cellStyle name="Percent 3 19 9" xfId="13716"/>
    <cellStyle name="Percent 3 2" xfId="718"/>
    <cellStyle name="Percent 3 2 10" xfId="13717"/>
    <cellStyle name="Percent 3 2 11" xfId="13718"/>
    <cellStyle name="Percent 3 2 12" xfId="13719"/>
    <cellStyle name="Percent 3 2 13" xfId="13720"/>
    <cellStyle name="Percent 3 2 14" xfId="13721"/>
    <cellStyle name="Percent 3 2 15" xfId="13722"/>
    <cellStyle name="Percent 3 2 16" xfId="13723"/>
    <cellStyle name="Percent 3 2 17" xfId="13724"/>
    <cellStyle name="Percent 3 2 18" xfId="13725"/>
    <cellStyle name="Percent 3 2 19" xfId="13726"/>
    <cellStyle name="Percent 3 2 2" xfId="719"/>
    <cellStyle name="Percent 3 2 20" xfId="13727"/>
    <cellStyle name="Percent 3 2 21" xfId="13728"/>
    <cellStyle name="Percent 3 2 22" xfId="13729"/>
    <cellStyle name="Percent 3 2 23" xfId="13730"/>
    <cellStyle name="Percent 3 2 24" xfId="13731"/>
    <cellStyle name="Percent 3 2 25" xfId="23870"/>
    <cellStyle name="Percent 3 2 26" xfId="23871"/>
    <cellStyle name="Percent 3 2 27" xfId="23872"/>
    <cellStyle name="Percent 3 2 28" xfId="23873"/>
    <cellStyle name="Percent 3 2 29" xfId="23874"/>
    <cellStyle name="Percent 3 2 3" xfId="13732"/>
    <cellStyle name="Percent 3 2 30" xfId="23875"/>
    <cellStyle name="Percent 3 2 31" xfId="23876"/>
    <cellStyle name="Percent 3 2 32" xfId="23877"/>
    <cellStyle name="Percent 3 2 33" xfId="23878"/>
    <cellStyle name="Percent 3 2 34" xfId="23879"/>
    <cellStyle name="Percent 3 2 35" xfId="23880"/>
    <cellStyle name="Percent 3 2 36" xfId="23881"/>
    <cellStyle name="Percent 3 2 37" xfId="23882"/>
    <cellStyle name="Percent 3 2 4" xfId="13733"/>
    <cellStyle name="Percent 3 2 5" xfId="13734"/>
    <cellStyle name="Percent 3 2 6" xfId="13735"/>
    <cellStyle name="Percent 3 2 7" xfId="13736"/>
    <cellStyle name="Percent 3 2 8" xfId="13737"/>
    <cellStyle name="Percent 3 2 9" xfId="13738"/>
    <cellStyle name="Percent 3 20" xfId="720"/>
    <cellStyle name="Percent 3 20 10" xfId="13739"/>
    <cellStyle name="Percent 3 20 11" xfId="13740"/>
    <cellStyle name="Percent 3 20 12" xfId="13741"/>
    <cellStyle name="Percent 3 20 13" xfId="13742"/>
    <cellStyle name="Percent 3 20 14" xfId="13743"/>
    <cellStyle name="Percent 3 20 15" xfId="13744"/>
    <cellStyle name="Percent 3 20 16" xfId="13745"/>
    <cellStyle name="Percent 3 20 17" xfId="13746"/>
    <cellStyle name="Percent 3 20 18" xfId="13747"/>
    <cellStyle name="Percent 3 20 19" xfId="13748"/>
    <cellStyle name="Percent 3 20 2" xfId="13749"/>
    <cellStyle name="Percent 3 20 20" xfId="13750"/>
    <cellStyle name="Percent 3 20 21" xfId="13751"/>
    <cellStyle name="Percent 3 20 22" xfId="13752"/>
    <cellStyle name="Percent 3 20 23" xfId="23883"/>
    <cellStyle name="Percent 3 20 24" xfId="23884"/>
    <cellStyle name="Percent 3 20 25" xfId="23885"/>
    <cellStyle name="Percent 3 20 26" xfId="23886"/>
    <cellStyle name="Percent 3 20 27" xfId="23887"/>
    <cellStyle name="Percent 3 20 28" xfId="23888"/>
    <cellStyle name="Percent 3 20 29" xfId="23889"/>
    <cellStyle name="Percent 3 20 3" xfId="13753"/>
    <cellStyle name="Percent 3 20 30" xfId="23890"/>
    <cellStyle name="Percent 3 20 31" xfId="23891"/>
    <cellStyle name="Percent 3 20 32" xfId="23892"/>
    <cellStyle name="Percent 3 20 33" xfId="23893"/>
    <cellStyle name="Percent 3 20 34" xfId="23894"/>
    <cellStyle name="Percent 3 20 35" xfId="23895"/>
    <cellStyle name="Percent 3 20 4" xfId="13754"/>
    <cellStyle name="Percent 3 20 5" xfId="13755"/>
    <cellStyle name="Percent 3 20 6" xfId="13756"/>
    <cellStyle name="Percent 3 20 7" xfId="13757"/>
    <cellStyle name="Percent 3 20 8" xfId="13758"/>
    <cellStyle name="Percent 3 20 9" xfId="13759"/>
    <cellStyle name="Percent 3 21" xfId="721"/>
    <cellStyle name="Percent 3 21 10" xfId="13760"/>
    <cellStyle name="Percent 3 21 11" xfId="13761"/>
    <cellStyle name="Percent 3 21 12" xfId="13762"/>
    <cellStyle name="Percent 3 21 13" xfId="13763"/>
    <cellStyle name="Percent 3 21 14" xfId="13764"/>
    <cellStyle name="Percent 3 21 15" xfId="13765"/>
    <cellStyle name="Percent 3 21 16" xfId="13766"/>
    <cellStyle name="Percent 3 21 17" xfId="13767"/>
    <cellStyle name="Percent 3 21 18" xfId="13768"/>
    <cellStyle name="Percent 3 21 19" xfId="13769"/>
    <cellStyle name="Percent 3 21 2" xfId="13770"/>
    <cellStyle name="Percent 3 21 20" xfId="13771"/>
    <cellStyle name="Percent 3 21 21" xfId="13772"/>
    <cellStyle name="Percent 3 21 22" xfId="13773"/>
    <cellStyle name="Percent 3 21 23" xfId="23896"/>
    <cellStyle name="Percent 3 21 24" xfId="23897"/>
    <cellStyle name="Percent 3 21 25" xfId="23898"/>
    <cellStyle name="Percent 3 21 26" xfId="23899"/>
    <cellStyle name="Percent 3 21 27" xfId="23900"/>
    <cellStyle name="Percent 3 21 28" xfId="23901"/>
    <cellStyle name="Percent 3 21 29" xfId="23902"/>
    <cellStyle name="Percent 3 21 3" xfId="13774"/>
    <cellStyle name="Percent 3 21 30" xfId="23903"/>
    <cellStyle name="Percent 3 21 31" xfId="23904"/>
    <cellStyle name="Percent 3 21 32" xfId="23905"/>
    <cellStyle name="Percent 3 21 33" xfId="23906"/>
    <cellStyle name="Percent 3 21 34" xfId="23907"/>
    <cellStyle name="Percent 3 21 35" xfId="23908"/>
    <cellStyle name="Percent 3 21 4" xfId="13775"/>
    <cellStyle name="Percent 3 21 5" xfId="13776"/>
    <cellStyle name="Percent 3 21 6" xfId="13777"/>
    <cellStyle name="Percent 3 21 7" xfId="13778"/>
    <cellStyle name="Percent 3 21 8" xfId="13779"/>
    <cellStyle name="Percent 3 21 9" xfId="13780"/>
    <cellStyle name="Percent 3 22" xfId="722"/>
    <cellStyle name="Percent 3 22 10" xfId="13781"/>
    <cellStyle name="Percent 3 22 11" xfId="13782"/>
    <cellStyle name="Percent 3 22 12" xfId="13783"/>
    <cellStyle name="Percent 3 22 13" xfId="13784"/>
    <cellStyle name="Percent 3 22 14" xfId="13785"/>
    <cellStyle name="Percent 3 22 15" xfId="13786"/>
    <cellStyle name="Percent 3 22 16" xfId="13787"/>
    <cellStyle name="Percent 3 22 17" xfId="13788"/>
    <cellStyle name="Percent 3 22 18" xfId="13789"/>
    <cellStyle name="Percent 3 22 19" xfId="13790"/>
    <cellStyle name="Percent 3 22 2" xfId="13791"/>
    <cellStyle name="Percent 3 22 20" xfId="13792"/>
    <cellStyle name="Percent 3 22 21" xfId="13793"/>
    <cellStyle name="Percent 3 22 22" xfId="13794"/>
    <cellStyle name="Percent 3 22 23" xfId="23909"/>
    <cellStyle name="Percent 3 22 24" xfId="23910"/>
    <cellStyle name="Percent 3 22 25" xfId="23911"/>
    <cellStyle name="Percent 3 22 26" xfId="23912"/>
    <cellStyle name="Percent 3 22 27" xfId="23913"/>
    <cellStyle name="Percent 3 22 28" xfId="23914"/>
    <cellStyle name="Percent 3 22 29" xfId="23915"/>
    <cellStyle name="Percent 3 22 3" xfId="13795"/>
    <cellStyle name="Percent 3 22 30" xfId="23916"/>
    <cellStyle name="Percent 3 22 31" xfId="23917"/>
    <cellStyle name="Percent 3 22 32" xfId="23918"/>
    <cellStyle name="Percent 3 22 33" xfId="23919"/>
    <cellStyle name="Percent 3 22 34" xfId="23920"/>
    <cellStyle name="Percent 3 22 35" xfId="23921"/>
    <cellStyle name="Percent 3 22 4" xfId="13796"/>
    <cellStyle name="Percent 3 22 5" xfId="13797"/>
    <cellStyle name="Percent 3 22 6" xfId="13798"/>
    <cellStyle name="Percent 3 22 7" xfId="13799"/>
    <cellStyle name="Percent 3 22 8" xfId="13800"/>
    <cellStyle name="Percent 3 22 9" xfId="13801"/>
    <cellStyle name="Percent 3 23" xfId="723"/>
    <cellStyle name="Percent 3 23 10" xfId="13802"/>
    <cellStyle name="Percent 3 23 11" xfId="13803"/>
    <cellStyle name="Percent 3 23 12" xfId="13804"/>
    <cellStyle name="Percent 3 23 13" xfId="13805"/>
    <cellStyle name="Percent 3 23 14" xfId="13806"/>
    <cellStyle name="Percent 3 23 15" xfId="13807"/>
    <cellStyle name="Percent 3 23 16" xfId="13808"/>
    <cellStyle name="Percent 3 23 17" xfId="13809"/>
    <cellStyle name="Percent 3 23 18" xfId="13810"/>
    <cellStyle name="Percent 3 23 19" xfId="13811"/>
    <cellStyle name="Percent 3 23 2" xfId="13812"/>
    <cellStyle name="Percent 3 23 20" xfId="13813"/>
    <cellStyle name="Percent 3 23 21" xfId="13814"/>
    <cellStyle name="Percent 3 23 22" xfId="13815"/>
    <cellStyle name="Percent 3 23 23" xfId="23922"/>
    <cellStyle name="Percent 3 23 24" xfId="23923"/>
    <cellStyle name="Percent 3 23 25" xfId="23924"/>
    <cellStyle name="Percent 3 23 26" xfId="23925"/>
    <cellStyle name="Percent 3 23 27" xfId="23926"/>
    <cellStyle name="Percent 3 23 28" xfId="23927"/>
    <cellStyle name="Percent 3 23 29" xfId="23928"/>
    <cellStyle name="Percent 3 23 3" xfId="13816"/>
    <cellStyle name="Percent 3 23 30" xfId="23929"/>
    <cellStyle name="Percent 3 23 31" xfId="23930"/>
    <cellStyle name="Percent 3 23 32" xfId="23931"/>
    <cellStyle name="Percent 3 23 33" xfId="23932"/>
    <cellStyle name="Percent 3 23 34" xfId="23933"/>
    <cellStyle name="Percent 3 23 35" xfId="23934"/>
    <cellStyle name="Percent 3 23 4" xfId="13817"/>
    <cellStyle name="Percent 3 23 5" xfId="13818"/>
    <cellStyle name="Percent 3 23 6" xfId="13819"/>
    <cellStyle name="Percent 3 23 7" xfId="13820"/>
    <cellStyle name="Percent 3 23 8" xfId="13821"/>
    <cellStyle name="Percent 3 23 9" xfId="13822"/>
    <cellStyle name="Percent 3 24" xfId="724"/>
    <cellStyle name="Percent 3 24 10" xfId="13823"/>
    <cellStyle name="Percent 3 24 11" xfId="13824"/>
    <cellStyle name="Percent 3 24 12" xfId="13825"/>
    <cellStyle name="Percent 3 24 13" xfId="13826"/>
    <cellStyle name="Percent 3 24 14" xfId="13827"/>
    <cellStyle name="Percent 3 24 15" xfId="13828"/>
    <cellStyle name="Percent 3 24 16" xfId="13829"/>
    <cellStyle name="Percent 3 24 17" xfId="13830"/>
    <cellStyle name="Percent 3 24 18" xfId="13831"/>
    <cellStyle name="Percent 3 24 19" xfId="13832"/>
    <cellStyle name="Percent 3 24 2" xfId="13833"/>
    <cellStyle name="Percent 3 24 20" xfId="13834"/>
    <cellStyle name="Percent 3 24 21" xfId="13835"/>
    <cellStyle name="Percent 3 24 22" xfId="13836"/>
    <cellStyle name="Percent 3 24 23" xfId="23935"/>
    <cellStyle name="Percent 3 24 24" xfId="23936"/>
    <cellStyle name="Percent 3 24 25" xfId="23937"/>
    <cellStyle name="Percent 3 24 26" xfId="23938"/>
    <cellStyle name="Percent 3 24 27" xfId="23939"/>
    <cellStyle name="Percent 3 24 28" xfId="23940"/>
    <cellStyle name="Percent 3 24 29" xfId="23941"/>
    <cellStyle name="Percent 3 24 3" xfId="13837"/>
    <cellStyle name="Percent 3 24 30" xfId="23942"/>
    <cellStyle name="Percent 3 24 31" xfId="23943"/>
    <cellStyle name="Percent 3 24 32" xfId="23944"/>
    <cellStyle name="Percent 3 24 33" xfId="23945"/>
    <cellStyle name="Percent 3 24 34" xfId="23946"/>
    <cellStyle name="Percent 3 24 35" xfId="23947"/>
    <cellStyle name="Percent 3 24 4" xfId="13838"/>
    <cellStyle name="Percent 3 24 5" xfId="13839"/>
    <cellStyle name="Percent 3 24 6" xfId="13840"/>
    <cellStyle name="Percent 3 24 7" xfId="13841"/>
    <cellStyle name="Percent 3 24 8" xfId="13842"/>
    <cellStyle name="Percent 3 24 9" xfId="13843"/>
    <cellStyle name="Percent 3 25" xfId="725"/>
    <cellStyle name="Percent 3 25 10" xfId="13844"/>
    <cellStyle name="Percent 3 25 11" xfId="13845"/>
    <cellStyle name="Percent 3 25 12" xfId="13846"/>
    <cellStyle name="Percent 3 25 13" xfId="13847"/>
    <cellStyle name="Percent 3 25 14" xfId="13848"/>
    <cellStyle name="Percent 3 25 15" xfId="13849"/>
    <cellStyle name="Percent 3 25 16" xfId="13850"/>
    <cellStyle name="Percent 3 25 17" xfId="13851"/>
    <cellStyle name="Percent 3 25 18" xfId="13852"/>
    <cellStyle name="Percent 3 25 19" xfId="13853"/>
    <cellStyle name="Percent 3 25 2" xfId="13854"/>
    <cellStyle name="Percent 3 25 20" xfId="13855"/>
    <cellStyle name="Percent 3 25 21" xfId="13856"/>
    <cellStyle name="Percent 3 25 22" xfId="13857"/>
    <cellStyle name="Percent 3 25 23" xfId="23948"/>
    <cellStyle name="Percent 3 25 24" xfId="23949"/>
    <cellStyle name="Percent 3 25 25" xfId="23950"/>
    <cellStyle name="Percent 3 25 26" xfId="23951"/>
    <cellStyle name="Percent 3 25 27" xfId="23952"/>
    <cellStyle name="Percent 3 25 28" xfId="23953"/>
    <cellStyle name="Percent 3 25 29" xfId="23954"/>
    <cellStyle name="Percent 3 25 3" xfId="13858"/>
    <cellStyle name="Percent 3 25 30" xfId="23955"/>
    <cellStyle name="Percent 3 25 31" xfId="23956"/>
    <cellStyle name="Percent 3 25 32" xfId="23957"/>
    <cellStyle name="Percent 3 25 33" xfId="23958"/>
    <cellStyle name="Percent 3 25 34" xfId="23959"/>
    <cellStyle name="Percent 3 25 35" xfId="23960"/>
    <cellStyle name="Percent 3 25 4" xfId="13859"/>
    <cellStyle name="Percent 3 25 5" xfId="13860"/>
    <cellStyle name="Percent 3 25 6" xfId="13861"/>
    <cellStyle name="Percent 3 25 7" xfId="13862"/>
    <cellStyle name="Percent 3 25 8" xfId="13863"/>
    <cellStyle name="Percent 3 25 9" xfId="13864"/>
    <cellStyle name="Percent 3 26" xfId="726"/>
    <cellStyle name="Percent 3 26 10" xfId="13865"/>
    <cellStyle name="Percent 3 26 11" xfId="13866"/>
    <cellStyle name="Percent 3 26 12" xfId="13867"/>
    <cellStyle name="Percent 3 26 13" xfId="13868"/>
    <cellStyle name="Percent 3 26 14" xfId="13869"/>
    <cellStyle name="Percent 3 26 15" xfId="13870"/>
    <cellStyle name="Percent 3 26 16" xfId="13871"/>
    <cellStyle name="Percent 3 26 17" xfId="13872"/>
    <cellStyle name="Percent 3 26 18" xfId="13873"/>
    <cellStyle name="Percent 3 26 19" xfId="13874"/>
    <cellStyle name="Percent 3 26 2" xfId="13875"/>
    <cellStyle name="Percent 3 26 20" xfId="13876"/>
    <cellStyle name="Percent 3 26 21" xfId="13877"/>
    <cellStyle name="Percent 3 26 22" xfId="13878"/>
    <cellStyle name="Percent 3 26 23" xfId="23961"/>
    <cellStyle name="Percent 3 26 24" xfId="23962"/>
    <cellStyle name="Percent 3 26 25" xfId="23963"/>
    <cellStyle name="Percent 3 26 26" xfId="23964"/>
    <cellStyle name="Percent 3 26 27" xfId="23965"/>
    <cellStyle name="Percent 3 26 28" xfId="23966"/>
    <cellStyle name="Percent 3 26 29" xfId="23967"/>
    <cellStyle name="Percent 3 26 3" xfId="13879"/>
    <cellStyle name="Percent 3 26 30" xfId="23968"/>
    <cellStyle name="Percent 3 26 31" xfId="23969"/>
    <cellStyle name="Percent 3 26 32" xfId="23970"/>
    <cellStyle name="Percent 3 26 33" xfId="23971"/>
    <cellStyle name="Percent 3 26 34" xfId="23972"/>
    <cellStyle name="Percent 3 26 35" xfId="23973"/>
    <cellStyle name="Percent 3 26 4" xfId="13880"/>
    <cellStyle name="Percent 3 26 5" xfId="13881"/>
    <cellStyle name="Percent 3 26 6" xfId="13882"/>
    <cellStyle name="Percent 3 26 7" xfId="13883"/>
    <cellStyle name="Percent 3 26 8" xfId="13884"/>
    <cellStyle name="Percent 3 26 9" xfId="13885"/>
    <cellStyle name="Percent 3 27" xfId="727"/>
    <cellStyle name="Percent 3 27 10" xfId="13886"/>
    <cellStyle name="Percent 3 27 11" xfId="13887"/>
    <cellStyle name="Percent 3 27 12" xfId="13888"/>
    <cellStyle name="Percent 3 27 13" xfId="13889"/>
    <cellStyle name="Percent 3 27 14" xfId="13890"/>
    <cellStyle name="Percent 3 27 15" xfId="13891"/>
    <cellStyle name="Percent 3 27 16" xfId="13892"/>
    <cellStyle name="Percent 3 27 17" xfId="13893"/>
    <cellStyle name="Percent 3 27 18" xfId="13894"/>
    <cellStyle name="Percent 3 27 19" xfId="13895"/>
    <cellStyle name="Percent 3 27 2" xfId="13896"/>
    <cellStyle name="Percent 3 27 20" xfId="13897"/>
    <cellStyle name="Percent 3 27 21" xfId="13898"/>
    <cellStyle name="Percent 3 27 22" xfId="13899"/>
    <cellStyle name="Percent 3 27 23" xfId="23974"/>
    <cellStyle name="Percent 3 27 24" xfId="23975"/>
    <cellStyle name="Percent 3 27 25" xfId="23976"/>
    <cellStyle name="Percent 3 27 26" xfId="23977"/>
    <cellStyle name="Percent 3 27 27" xfId="23978"/>
    <cellStyle name="Percent 3 27 28" xfId="23979"/>
    <cellStyle name="Percent 3 27 29" xfId="23980"/>
    <cellStyle name="Percent 3 27 3" xfId="13900"/>
    <cellStyle name="Percent 3 27 30" xfId="23981"/>
    <cellStyle name="Percent 3 27 31" xfId="23982"/>
    <cellStyle name="Percent 3 27 32" xfId="23983"/>
    <cellStyle name="Percent 3 27 33" xfId="23984"/>
    <cellStyle name="Percent 3 27 34" xfId="23985"/>
    <cellStyle name="Percent 3 27 35" xfId="23986"/>
    <cellStyle name="Percent 3 27 4" xfId="13901"/>
    <cellStyle name="Percent 3 27 5" xfId="13902"/>
    <cellStyle name="Percent 3 27 6" xfId="13903"/>
    <cellStyle name="Percent 3 27 7" xfId="13904"/>
    <cellStyle name="Percent 3 27 8" xfId="13905"/>
    <cellStyle name="Percent 3 27 9" xfId="13906"/>
    <cellStyle name="Percent 3 28" xfId="728"/>
    <cellStyle name="Percent 3 28 10" xfId="13907"/>
    <cellStyle name="Percent 3 28 11" xfId="13908"/>
    <cellStyle name="Percent 3 28 12" xfId="13909"/>
    <cellStyle name="Percent 3 28 13" xfId="13910"/>
    <cellStyle name="Percent 3 28 14" xfId="13911"/>
    <cellStyle name="Percent 3 28 15" xfId="13912"/>
    <cellStyle name="Percent 3 28 16" xfId="13913"/>
    <cellStyle name="Percent 3 28 17" xfId="13914"/>
    <cellStyle name="Percent 3 28 18" xfId="13915"/>
    <cellStyle name="Percent 3 28 19" xfId="13916"/>
    <cellStyle name="Percent 3 28 2" xfId="13917"/>
    <cellStyle name="Percent 3 28 20" xfId="13918"/>
    <cellStyle name="Percent 3 28 21" xfId="13919"/>
    <cellStyle name="Percent 3 28 22" xfId="13920"/>
    <cellStyle name="Percent 3 28 23" xfId="23987"/>
    <cellStyle name="Percent 3 28 24" xfId="23988"/>
    <cellStyle name="Percent 3 28 25" xfId="23989"/>
    <cellStyle name="Percent 3 28 26" xfId="23990"/>
    <cellStyle name="Percent 3 28 27" xfId="23991"/>
    <cellStyle name="Percent 3 28 28" xfId="23992"/>
    <cellStyle name="Percent 3 28 29" xfId="23993"/>
    <cellStyle name="Percent 3 28 3" xfId="13921"/>
    <cellStyle name="Percent 3 28 30" xfId="23994"/>
    <cellStyle name="Percent 3 28 31" xfId="23995"/>
    <cellStyle name="Percent 3 28 32" xfId="23996"/>
    <cellStyle name="Percent 3 28 33" xfId="23997"/>
    <cellStyle name="Percent 3 28 34" xfId="23998"/>
    <cellStyle name="Percent 3 28 35" xfId="23999"/>
    <cellStyle name="Percent 3 28 4" xfId="13922"/>
    <cellStyle name="Percent 3 28 5" xfId="13923"/>
    <cellStyle name="Percent 3 28 6" xfId="13924"/>
    <cellStyle name="Percent 3 28 7" xfId="13925"/>
    <cellStyle name="Percent 3 28 8" xfId="13926"/>
    <cellStyle name="Percent 3 28 9" xfId="13927"/>
    <cellStyle name="Percent 3 29" xfId="729"/>
    <cellStyle name="Percent 3 29 10" xfId="13928"/>
    <cellStyle name="Percent 3 29 11" xfId="13929"/>
    <cellStyle name="Percent 3 29 12" xfId="13930"/>
    <cellStyle name="Percent 3 29 13" xfId="13931"/>
    <cellStyle name="Percent 3 29 14" xfId="13932"/>
    <cellStyle name="Percent 3 29 15" xfId="13933"/>
    <cellStyle name="Percent 3 29 16" xfId="13934"/>
    <cellStyle name="Percent 3 29 17" xfId="13935"/>
    <cellStyle name="Percent 3 29 18" xfId="13936"/>
    <cellStyle name="Percent 3 29 19" xfId="13937"/>
    <cellStyle name="Percent 3 29 2" xfId="13938"/>
    <cellStyle name="Percent 3 29 20" xfId="13939"/>
    <cellStyle name="Percent 3 29 21" xfId="13940"/>
    <cellStyle name="Percent 3 29 22" xfId="13941"/>
    <cellStyle name="Percent 3 29 23" xfId="24000"/>
    <cellStyle name="Percent 3 29 24" xfId="24001"/>
    <cellStyle name="Percent 3 29 25" xfId="24002"/>
    <cellStyle name="Percent 3 29 26" xfId="24003"/>
    <cellStyle name="Percent 3 29 27" xfId="24004"/>
    <cellStyle name="Percent 3 29 28" xfId="24005"/>
    <cellStyle name="Percent 3 29 29" xfId="24006"/>
    <cellStyle name="Percent 3 29 3" xfId="13942"/>
    <cellStyle name="Percent 3 29 30" xfId="24007"/>
    <cellStyle name="Percent 3 29 31" xfId="24008"/>
    <cellStyle name="Percent 3 29 32" xfId="24009"/>
    <cellStyle name="Percent 3 29 33" xfId="24010"/>
    <cellStyle name="Percent 3 29 34" xfId="24011"/>
    <cellStyle name="Percent 3 29 35" xfId="24012"/>
    <cellStyle name="Percent 3 29 4" xfId="13943"/>
    <cellStyle name="Percent 3 29 5" xfId="13944"/>
    <cellStyle name="Percent 3 29 6" xfId="13945"/>
    <cellStyle name="Percent 3 29 7" xfId="13946"/>
    <cellStyle name="Percent 3 29 8" xfId="13947"/>
    <cellStyle name="Percent 3 29 9" xfId="13948"/>
    <cellStyle name="Percent 3 3" xfId="730"/>
    <cellStyle name="Percent 3 3 10" xfId="13949"/>
    <cellStyle name="Percent 3 3 11" xfId="13950"/>
    <cellStyle name="Percent 3 3 12" xfId="13951"/>
    <cellStyle name="Percent 3 3 13" xfId="13952"/>
    <cellStyle name="Percent 3 3 14" xfId="13953"/>
    <cellStyle name="Percent 3 3 15" xfId="13954"/>
    <cellStyle name="Percent 3 3 16" xfId="13955"/>
    <cellStyle name="Percent 3 3 17" xfId="13956"/>
    <cellStyle name="Percent 3 3 18" xfId="13957"/>
    <cellStyle name="Percent 3 3 19" xfId="13958"/>
    <cellStyle name="Percent 3 3 2" xfId="731"/>
    <cellStyle name="Percent 3 3 20" xfId="13959"/>
    <cellStyle name="Percent 3 3 21" xfId="13960"/>
    <cellStyle name="Percent 3 3 22" xfId="13961"/>
    <cellStyle name="Percent 3 3 23" xfId="13962"/>
    <cellStyle name="Percent 3 3 24" xfId="13963"/>
    <cellStyle name="Percent 3 3 25" xfId="24013"/>
    <cellStyle name="Percent 3 3 26" xfId="24014"/>
    <cellStyle name="Percent 3 3 27" xfId="24015"/>
    <cellStyle name="Percent 3 3 28" xfId="24016"/>
    <cellStyle name="Percent 3 3 29" xfId="24017"/>
    <cellStyle name="Percent 3 3 3" xfId="13964"/>
    <cellStyle name="Percent 3 3 30" xfId="24018"/>
    <cellStyle name="Percent 3 3 31" xfId="24019"/>
    <cellStyle name="Percent 3 3 32" xfId="24020"/>
    <cellStyle name="Percent 3 3 33" xfId="24021"/>
    <cellStyle name="Percent 3 3 34" xfId="24022"/>
    <cellStyle name="Percent 3 3 35" xfId="24023"/>
    <cellStyle name="Percent 3 3 36" xfId="24024"/>
    <cellStyle name="Percent 3 3 37" xfId="24025"/>
    <cellStyle name="Percent 3 3 4" xfId="13965"/>
    <cellStyle name="Percent 3 3 5" xfId="13966"/>
    <cellStyle name="Percent 3 3 6" xfId="13967"/>
    <cellStyle name="Percent 3 3 7" xfId="13968"/>
    <cellStyle name="Percent 3 3 8" xfId="13969"/>
    <cellStyle name="Percent 3 3 9" xfId="13970"/>
    <cellStyle name="Percent 3 30" xfId="732"/>
    <cellStyle name="Percent 3 30 10" xfId="13971"/>
    <cellStyle name="Percent 3 30 11" xfId="13972"/>
    <cellStyle name="Percent 3 30 12" xfId="13973"/>
    <cellStyle name="Percent 3 30 13" xfId="13974"/>
    <cellStyle name="Percent 3 30 14" xfId="13975"/>
    <cellStyle name="Percent 3 30 15" xfId="13976"/>
    <cellStyle name="Percent 3 30 16" xfId="13977"/>
    <cellStyle name="Percent 3 30 17" xfId="13978"/>
    <cellStyle name="Percent 3 30 18" xfId="13979"/>
    <cellStyle name="Percent 3 30 19" xfId="13980"/>
    <cellStyle name="Percent 3 30 2" xfId="13981"/>
    <cellStyle name="Percent 3 30 20" xfId="13982"/>
    <cellStyle name="Percent 3 30 21" xfId="13983"/>
    <cellStyle name="Percent 3 30 22" xfId="13984"/>
    <cellStyle name="Percent 3 30 23" xfId="24026"/>
    <cellStyle name="Percent 3 30 24" xfId="24027"/>
    <cellStyle name="Percent 3 30 25" xfId="24028"/>
    <cellStyle name="Percent 3 30 26" xfId="24029"/>
    <cellStyle name="Percent 3 30 27" xfId="24030"/>
    <cellStyle name="Percent 3 30 28" xfId="24031"/>
    <cellStyle name="Percent 3 30 29" xfId="24032"/>
    <cellStyle name="Percent 3 30 3" xfId="13985"/>
    <cellStyle name="Percent 3 30 30" xfId="24033"/>
    <cellStyle name="Percent 3 30 31" xfId="24034"/>
    <cellStyle name="Percent 3 30 32" xfId="24035"/>
    <cellStyle name="Percent 3 30 33" xfId="24036"/>
    <cellStyle name="Percent 3 30 34" xfId="24037"/>
    <cellStyle name="Percent 3 30 35" xfId="24038"/>
    <cellStyle name="Percent 3 30 4" xfId="13986"/>
    <cellStyle name="Percent 3 30 5" xfId="13987"/>
    <cellStyle name="Percent 3 30 6" xfId="13988"/>
    <cellStyle name="Percent 3 30 7" xfId="13989"/>
    <cellStyle name="Percent 3 30 8" xfId="13990"/>
    <cellStyle name="Percent 3 30 9" xfId="13991"/>
    <cellStyle name="Percent 3 31" xfId="733"/>
    <cellStyle name="Percent 3 31 10" xfId="13992"/>
    <cellStyle name="Percent 3 31 11" xfId="13993"/>
    <cellStyle name="Percent 3 31 12" xfId="13994"/>
    <cellStyle name="Percent 3 31 13" xfId="13995"/>
    <cellStyle name="Percent 3 31 14" xfId="13996"/>
    <cellStyle name="Percent 3 31 15" xfId="13997"/>
    <cellStyle name="Percent 3 31 16" xfId="13998"/>
    <cellStyle name="Percent 3 31 17" xfId="13999"/>
    <cellStyle name="Percent 3 31 18" xfId="14000"/>
    <cellStyle name="Percent 3 31 19" xfId="14001"/>
    <cellStyle name="Percent 3 31 2" xfId="14002"/>
    <cellStyle name="Percent 3 31 20" xfId="14003"/>
    <cellStyle name="Percent 3 31 21" xfId="14004"/>
    <cellStyle name="Percent 3 31 22" xfId="14005"/>
    <cellStyle name="Percent 3 31 23" xfId="24039"/>
    <cellStyle name="Percent 3 31 24" xfId="24040"/>
    <cellStyle name="Percent 3 31 25" xfId="24041"/>
    <cellStyle name="Percent 3 31 26" xfId="24042"/>
    <cellStyle name="Percent 3 31 27" xfId="24043"/>
    <cellStyle name="Percent 3 31 28" xfId="24044"/>
    <cellStyle name="Percent 3 31 29" xfId="24045"/>
    <cellStyle name="Percent 3 31 3" xfId="14006"/>
    <cellStyle name="Percent 3 31 30" xfId="24046"/>
    <cellStyle name="Percent 3 31 31" xfId="24047"/>
    <cellStyle name="Percent 3 31 32" xfId="24048"/>
    <cellStyle name="Percent 3 31 33" xfId="24049"/>
    <cellStyle name="Percent 3 31 34" xfId="24050"/>
    <cellStyle name="Percent 3 31 35" xfId="24051"/>
    <cellStyle name="Percent 3 31 4" xfId="14007"/>
    <cellStyle name="Percent 3 31 5" xfId="14008"/>
    <cellStyle name="Percent 3 31 6" xfId="14009"/>
    <cellStyle name="Percent 3 31 7" xfId="14010"/>
    <cellStyle name="Percent 3 31 8" xfId="14011"/>
    <cellStyle name="Percent 3 31 9" xfId="14012"/>
    <cellStyle name="Percent 3 32" xfId="734"/>
    <cellStyle name="Percent 3 33" xfId="735"/>
    <cellStyle name="Percent 3 34" xfId="736"/>
    <cellStyle name="Percent 3 35" xfId="737"/>
    <cellStyle name="Percent 3 36" xfId="738"/>
    <cellStyle name="Percent 3 37" xfId="14013"/>
    <cellStyle name="Percent 3 38" xfId="14014"/>
    <cellStyle name="Percent 3 39" xfId="14015"/>
    <cellStyle name="Percent 3 4" xfId="739"/>
    <cellStyle name="Percent 3 4 10" xfId="14016"/>
    <cellStyle name="Percent 3 4 11" xfId="14017"/>
    <cellStyle name="Percent 3 4 12" xfId="14018"/>
    <cellStyle name="Percent 3 4 13" xfId="14019"/>
    <cellStyle name="Percent 3 4 14" xfId="14020"/>
    <cellStyle name="Percent 3 4 15" xfId="14021"/>
    <cellStyle name="Percent 3 4 16" xfId="14022"/>
    <cellStyle name="Percent 3 4 17" xfId="14023"/>
    <cellStyle name="Percent 3 4 18" xfId="14024"/>
    <cellStyle name="Percent 3 4 19" xfId="14025"/>
    <cellStyle name="Percent 3 4 2" xfId="740"/>
    <cellStyle name="Percent 3 4 20" xfId="14026"/>
    <cellStyle name="Percent 3 4 21" xfId="14027"/>
    <cellStyle name="Percent 3 4 22" xfId="14028"/>
    <cellStyle name="Percent 3 4 23" xfId="14029"/>
    <cellStyle name="Percent 3 4 24" xfId="14030"/>
    <cellStyle name="Percent 3 4 25" xfId="24052"/>
    <cellStyle name="Percent 3 4 26" xfId="24053"/>
    <cellStyle name="Percent 3 4 27" xfId="24054"/>
    <cellStyle name="Percent 3 4 28" xfId="24055"/>
    <cellStyle name="Percent 3 4 29" xfId="24056"/>
    <cellStyle name="Percent 3 4 3" xfId="14031"/>
    <cellStyle name="Percent 3 4 30" xfId="24057"/>
    <cellStyle name="Percent 3 4 31" xfId="24058"/>
    <cellStyle name="Percent 3 4 32" xfId="24059"/>
    <cellStyle name="Percent 3 4 33" xfId="24060"/>
    <cellStyle name="Percent 3 4 34" xfId="24061"/>
    <cellStyle name="Percent 3 4 35" xfId="24062"/>
    <cellStyle name="Percent 3 4 36" xfId="24063"/>
    <cellStyle name="Percent 3 4 37" xfId="24064"/>
    <cellStyle name="Percent 3 4 4" xfId="14032"/>
    <cellStyle name="Percent 3 4 5" xfId="14033"/>
    <cellStyle name="Percent 3 4 6" xfId="14034"/>
    <cellStyle name="Percent 3 4 7" xfId="14035"/>
    <cellStyle name="Percent 3 4 8" xfId="14036"/>
    <cellStyle name="Percent 3 4 9" xfId="14037"/>
    <cellStyle name="Percent 3 40" xfId="14038"/>
    <cellStyle name="Percent 3 41" xfId="14039"/>
    <cellStyle name="Percent 3 42" xfId="14040"/>
    <cellStyle name="Percent 3 43" xfId="14041"/>
    <cellStyle name="Percent 3 44" xfId="14042"/>
    <cellStyle name="Percent 3 45" xfId="14043"/>
    <cellStyle name="Percent 3 46" xfId="14044"/>
    <cellStyle name="Percent 3 47" xfId="14045"/>
    <cellStyle name="Percent 3 48" xfId="14046"/>
    <cellStyle name="Percent 3 49" xfId="14047"/>
    <cellStyle name="Percent 3 5" xfId="741"/>
    <cellStyle name="Percent 3 5 10" xfId="14048"/>
    <cellStyle name="Percent 3 5 11" xfId="14049"/>
    <cellStyle name="Percent 3 5 12" xfId="14050"/>
    <cellStyle name="Percent 3 5 13" xfId="14051"/>
    <cellStyle name="Percent 3 5 14" xfId="14052"/>
    <cellStyle name="Percent 3 5 15" xfId="14053"/>
    <cellStyle name="Percent 3 5 16" xfId="14054"/>
    <cellStyle name="Percent 3 5 17" xfId="14055"/>
    <cellStyle name="Percent 3 5 18" xfId="14056"/>
    <cellStyle name="Percent 3 5 19" xfId="14057"/>
    <cellStyle name="Percent 3 5 2" xfId="742"/>
    <cellStyle name="Percent 3 5 20" xfId="14058"/>
    <cellStyle name="Percent 3 5 21" xfId="14059"/>
    <cellStyle name="Percent 3 5 22" xfId="14060"/>
    <cellStyle name="Percent 3 5 23" xfId="14061"/>
    <cellStyle name="Percent 3 5 24" xfId="14062"/>
    <cellStyle name="Percent 3 5 25" xfId="24065"/>
    <cellStyle name="Percent 3 5 26" xfId="24066"/>
    <cellStyle name="Percent 3 5 27" xfId="24067"/>
    <cellStyle name="Percent 3 5 28" xfId="24068"/>
    <cellStyle name="Percent 3 5 29" xfId="24069"/>
    <cellStyle name="Percent 3 5 3" xfId="14063"/>
    <cellStyle name="Percent 3 5 30" xfId="24070"/>
    <cellStyle name="Percent 3 5 31" xfId="24071"/>
    <cellStyle name="Percent 3 5 32" xfId="24072"/>
    <cellStyle name="Percent 3 5 33" xfId="24073"/>
    <cellStyle name="Percent 3 5 34" xfId="24074"/>
    <cellStyle name="Percent 3 5 35" xfId="24075"/>
    <cellStyle name="Percent 3 5 36" xfId="24076"/>
    <cellStyle name="Percent 3 5 37" xfId="24077"/>
    <cellStyle name="Percent 3 5 4" xfId="14064"/>
    <cellStyle name="Percent 3 5 5" xfId="14065"/>
    <cellStyle name="Percent 3 5 6" xfId="14066"/>
    <cellStyle name="Percent 3 5 7" xfId="14067"/>
    <cellStyle name="Percent 3 5 8" xfId="14068"/>
    <cellStyle name="Percent 3 5 9" xfId="14069"/>
    <cellStyle name="Percent 3 50" xfId="14070"/>
    <cellStyle name="Percent 3 51" xfId="14071"/>
    <cellStyle name="Percent 3 52" xfId="14072"/>
    <cellStyle name="Percent 3 53" xfId="14073"/>
    <cellStyle name="Percent 3 54" xfId="14074"/>
    <cellStyle name="Percent 3 55" xfId="14075"/>
    <cellStyle name="Percent 3 56" xfId="14076"/>
    <cellStyle name="Percent 3 57" xfId="14077"/>
    <cellStyle name="Percent 3 58" xfId="14078"/>
    <cellStyle name="Percent 3 59" xfId="14079"/>
    <cellStyle name="Percent 3 6" xfId="743"/>
    <cellStyle name="Percent 3 6 10" xfId="14080"/>
    <cellStyle name="Percent 3 6 11" xfId="14081"/>
    <cellStyle name="Percent 3 6 12" xfId="14082"/>
    <cellStyle name="Percent 3 6 13" xfId="14083"/>
    <cellStyle name="Percent 3 6 14" xfId="14084"/>
    <cellStyle name="Percent 3 6 15" xfId="14085"/>
    <cellStyle name="Percent 3 6 16" xfId="14086"/>
    <cellStyle name="Percent 3 6 17" xfId="14087"/>
    <cellStyle name="Percent 3 6 18" xfId="14088"/>
    <cellStyle name="Percent 3 6 19" xfId="14089"/>
    <cellStyle name="Percent 3 6 2" xfId="744"/>
    <cellStyle name="Percent 3 6 20" xfId="14090"/>
    <cellStyle name="Percent 3 6 21" xfId="14091"/>
    <cellStyle name="Percent 3 6 22" xfId="14092"/>
    <cellStyle name="Percent 3 6 23" xfId="14093"/>
    <cellStyle name="Percent 3 6 24" xfId="14094"/>
    <cellStyle name="Percent 3 6 25" xfId="24078"/>
    <cellStyle name="Percent 3 6 26" xfId="24079"/>
    <cellStyle name="Percent 3 6 27" xfId="24080"/>
    <cellStyle name="Percent 3 6 28" xfId="24081"/>
    <cellStyle name="Percent 3 6 29" xfId="24082"/>
    <cellStyle name="Percent 3 6 3" xfId="14095"/>
    <cellStyle name="Percent 3 6 30" xfId="24083"/>
    <cellStyle name="Percent 3 6 31" xfId="24084"/>
    <cellStyle name="Percent 3 6 32" xfId="24085"/>
    <cellStyle name="Percent 3 6 33" xfId="24086"/>
    <cellStyle name="Percent 3 6 34" xfId="24087"/>
    <cellStyle name="Percent 3 6 35" xfId="24088"/>
    <cellStyle name="Percent 3 6 36" xfId="24089"/>
    <cellStyle name="Percent 3 6 37" xfId="24090"/>
    <cellStyle name="Percent 3 6 4" xfId="14096"/>
    <cellStyle name="Percent 3 6 5" xfId="14097"/>
    <cellStyle name="Percent 3 6 6" xfId="14098"/>
    <cellStyle name="Percent 3 6 7" xfId="14099"/>
    <cellStyle name="Percent 3 6 8" xfId="14100"/>
    <cellStyle name="Percent 3 6 9" xfId="14101"/>
    <cellStyle name="Percent 3 60" xfId="14102"/>
    <cellStyle name="Percent 3 61" xfId="24091"/>
    <cellStyle name="Percent 3 62" xfId="24092"/>
    <cellStyle name="Percent 3 63" xfId="24093"/>
    <cellStyle name="Percent 3 64" xfId="24094"/>
    <cellStyle name="Percent 3 65" xfId="24095"/>
    <cellStyle name="Percent 3 66" xfId="24096"/>
    <cellStyle name="Percent 3 67" xfId="24097"/>
    <cellStyle name="Percent 3 68" xfId="24098"/>
    <cellStyle name="Percent 3 69" xfId="24099"/>
    <cellStyle name="Percent 3 7" xfId="745"/>
    <cellStyle name="Percent 3 7 10" xfId="14103"/>
    <cellStyle name="Percent 3 7 11" xfId="14104"/>
    <cellStyle name="Percent 3 7 12" xfId="14105"/>
    <cellStyle name="Percent 3 7 13" xfId="14106"/>
    <cellStyle name="Percent 3 7 14" xfId="14107"/>
    <cellStyle name="Percent 3 7 15" xfId="14108"/>
    <cellStyle name="Percent 3 7 16" xfId="14109"/>
    <cellStyle name="Percent 3 7 17" xfId="14110"/>
    <cellStyle name="Percent 3 7 18" xfId="14111"/>
    <cellStyle name="Percent 3 7 19" xfId="14112"/>
    <cellStyle name="Percent 3 7 2" xfId="746"/>
    <cellStyle name="Percent 3 7 20" xfId="14113"/>
    <cellStyle name="Percent 3 7 21" xfId="14114"/>
    <cellStyle name="Percent 3 7 22" xfId="14115"/>
    <cellStyle name="Percent 3 7 23" xfId="14116"/>
    <cellStyle name="Percent 3 7 24" xfId="14117"/>
    <cellStyle name="Percent 3 7 25" xfId="24100"/>
    <cellStyle name="Percent 3 7 26" xfId="24101"/>
    <cellStyle name="Percent 3 7 27" xfId="24102"/>
    <cellStyle name="Percent 3 7 28" xfId="24103"/>
    <cellStyle name="Percent 3 7 29" xfId="24104"/>
    <cellStyle name="Percent 3 7 3" xfId="14118"/>
    <cellStyle name="Percent 3 7 30" xfId="24105"/>
    <cellStyle name="Percent 3 7 31" xfId="24106"/>
    <cellStyle name="Percent 3 7 32" xfId="24107"/>
    <cellStyle name="Percent 3 7 33" xfId="24108"/>
    <cellStyle name="Percent 3 7 34" xfId="24109"/>
    <cellStyle name="Percent 3 7 35" xfId="24110"/>
    <cellStyle name="Percent 3 7 36" xfId="24111"/>
    <cellStyle name="Percent 3 7 37" xfId="24112"/>
    <cellStyle name="Percent 3 7 4" xfId="14119"/>
    <cellStyle name="Percent 3 7 5" xfId="14120"/>
    <cellStyle name="Percent 3 7 6" xfId="14121"/>
    <cellStyle name="Percent 3 7 7" xfId="14122"/>
    <cellStyle name="Percent 3 7 8" xfId="14123"/>
    <cellStyle name="Percent 3 7 9" xfId="14124"/>
    <cellStyle name="Percent 3 70" xfId="24113"/>
    <cellStyle name="Percent 3 71" xfId="24114"/>
    <cellStyle name="Percent 3 72" xfId="24115"/>
    <cellStyle name="Percent 3 73" xfId="24116"/>
    <cellStyle name="Percent 3 8" xfId="747"/>
    <cellStyle name="Percent 3 8 10" xfId="14125"/>
    <cellStyle name="Percent 3 8 11" xfId="14126"/>
    <cellStyle name="Percent 3 8 12" xfId="14127"/>
    <cellStyle name="Percent 3 8 13" xfId="14128"/>
    <cellStyle name="Percent 3 8 14" xfId="14129"/>
    <cellStyle name="Percent 3 8 15" xfId="14130"/>
    <cellStyle name="Percent 3 8 16" xfId="14131"/>
    <cellStyle name="Percent 3 8 17" xfId="14132"/>
    <cellStyle name="Percent 3 8 18" xfId="14133"/>
    <cellStyle name="Percent 3 8 19" xfId="14134"/>
    <cellStyle name="Percent 3 8 2" xfId="748"/>
    <cellStyle name="Percent 3 8 20" xfId="14135"/>
    <cellStyle name="Percent 3 8 21" xfId="14136"/>
    <cellStyle name="Percent 3 8 22" xfId="14137"/>
    <cellStyle name="Percent 3 8 23" xfId="14138"/>
    <cellStyle name="Percent 3 8 24" xfId="14139"/>
    <cellStyle name="Percent 3 8 25" xfId="24117"/>
    <cellStyle name="Percent 3 8 26" xfId="24118"/>
    <cellStyle name="Percent 3 8 27" xfId="24119"/>
    <cellStyle name="Percent 3 8 28" xfId="24120"/>
    <cellStyle name="Percent 3 8 29" xfId="24121"/>
    <cellStyle name="Percent 3 8 3" xfId="14140"/>
    <cellStyle name="Percent 3 8 30" xfId="24122"/>
    <cellStyle name="Percent 3 8 31" xfId="24123"/>
    <cellStyle name="Percent 3 8 32" xfId="24124"/>
    <cellStyle name="Percent 3 8 33" xfId="24125"/>
    <cellStyle name="Percent 3 8 34" xfId="24126"/>
    <cellStyle name="Percent 3 8 35" xfId="24127"/>
    <cellStyle name="Percent 3 8 36" xfId="24128"/>
    <cellStyle name="Percent 3 8 37" xfId="24129"/>
    <cellStyle name="Percent 3 8 4" xfId="14141"/>
    <cellStyle name="Percent 3 8 5" xfId="14142"/>
    <cellStyle name="Percent 3 8 6" xfId="14143"/>
    <cellStyle name="Percent 3 8 7" xfId="14144"/>
    <cellStyle name="Percent 3 8 8" xfId="14145"/>
    <cellStyle name="Percent 3 8 9" xfId="14146"/>
    <cellStyle name="Percent 3 9" xfId="749"/>
    <cellStyle name="Percent 3 9 10" xfId="14147"/>
    <cellStyle name="Percent 3 9 11" xfId="14148"/>
    <cellStyle name="Percent 3 9 12" xfId="14149"/>
    <cellStyle name="Percent 3 9 13" xfId="14150"/>
    <cellStyle name="Percent 3 9 14" xfId="14151"/>
    <cellStyle name="Percent 3 9 15" xfId="14152"/>
    <cellStyle name="Percent 3 9 16" xfId="14153"/>
    <cellStyle name="Percent 3 9 17" xfId="14154"/>
    <cellStyle name="Percent 3 9 18" xfId="14155"/>
    <cellStyle name="Percent 3 9 19" xfId="14156"/>
    <cellStyle name="Percent 3 9 2" xfId="750"/>
    <cellStyle name="Percent 3 9 20" xfId="14157"/>
    <cellStyle name="Percent 3 9 21" xfId="14158"/>
    <cellStyle name="Percent 3 9 22" xfId="14159"/>
    <cellStyle name="Percent 3 9 23" xfId="14160"/>
    <cellStyle name="Percent 3 9 24" xfId="14161"/>
    <cellStyle name="Percent 3 9 25" xfId="24130"/>
    <cellStyle name="Percent 3 9 26" xfId="24131"/>
    <cellStyle name="Percent 3 9 27" xfId="24132"/>
    <cellStyle name="Percent 3 9 28" xfId="24133"/>
    <cellStyle name="Percent 3 9 29" xfId="24134"/>
    <cellStyle name="Percent 3 9 3" xfId="14162"/>
    <cellStyle name="Percent 3 9 30" xfId="24135"/>
    <cellStyle name="Percent 3 9 31" xfId="24136"/>
    <cellStyle name="Percent 3 9 32" xfId="24137"/>
    <cellStyle name="Percent 3 9 33" xfId="24138"/>
    <cellStyle name="Percent 3 9 34" xfId="24139"/>
    <cellStyle name="Percent 3 9 35" xfId="24140"/>
    <cellStyle name="Percent 3 9 36" xfId="24141"/>
    <cellStyle name="Percent 3 9 37" xfId="24142"/>
    <cellStyle name="Percent 3 9 4" xfId="14163"/>
    <cellStyle name="Percent 3 9 5" xfId="14164"/>
    <cellStyle name="Percent 3 9 6" xfId="14165"/>
    <cellStyle name="Percent 3 9 7" xfId="14166"/>
    <cellStyle name="Percent 3 9 8" xfId="14167"/>
    <cellStyle name="Percent 3 9 9" xfId="14168"/>
    <cellStyle name="Percent 34" xfId="62"/>
    <cellStyle name="Percent 34 10" xfId="751"/>
    <cellStyle name="Percent 34 10 10" xfId="14169"/>
    <cellStyle name="Percent 34 10 11" xfId="14170"/>
    <cellStyle name="Percent 34 10 12" xfId="14171"/>
    <cellStyle name="Percent 34 10 13" xfId="14172"/>
    <cellStyle name="Percent 34 10 14" xfId="14173"/>
    <cellStyle name="Percent 34 10 15" xfId="14174"/>
    <cellStyle name="Percent 34 10 16" xfId="14175"/>
    <cellStyle name="Percent 34 10 17" xfId="14176"/>
    <cellStyle name="Percent 34 10 18" xfId="14177"/>
    <cellStyle name="Percent 34 10 19" xfId="14178"/>
    <cellStyle name="Percent 34 10 2" xfId="14179"/>
    <cellStyle name="Percent 34 10 20" xfId="14180"/>
    <cellStyle name="Percent 34 10 21" xfId="14181"/>
    <cellStyle name="Percent 34 10 22" xfId="14182"/>
    <cellStyle name="Percent 34 10 23" xfId="24143"/>
    <cellStyle name="Percent 34 10 24" xfId="24144"/>
    <cellStyle name="Percent 34 10 25" xfId="24145"/>
    <cellStyle name="Percent 34 10 26" xfId="24146"/>
    <cellStyle name="Percent 34 10 27" xfId="24147"/>
    <cellStyle name="Percent 34 10 28" xfId="24148"/>
    <cellStyle name="Percent 34 10 29" xfId="24149"/>
    <cellStyle name="Percent 34 10 3" xfId="14183"/>
    <cellStyle name="Percent 34 10 30" xfId="24150"/>
    <cellStyle name="Percent 34 10 31" xfId="24151"/>
    <cellStyle name="Percent 34 10 32" xfId="24152"/>
    <cellStyle name="Percent 34 10 33" xfId="24153"/>
    <cellStyle name="Percent 34 10 34" xfId="24154"/>
    <cellStyle name="Percent 34 10 35" xfId="24155"/>
    <cellStyle name="Percent 34 10 4" xfId="14184"/>
    <cellStyle name="Percent 34 10 5" xfId="14185"/>
    <cellStyle name="Percent 34 10 6" xfId="14186"/>
    <cellStyle name="Percent 34 10 7" xfId="14187"/>
    <cellStyle name="Percent 34 10 8" xfId="14188"/>
    <cellStyle name="Percent 34 10 9" xfId="14189"/>
    <cellStyle name="Percent 34 11" xfId="752"/>
    <cellStyle name="Percent 34 11 10" xfId="14190"/>
    <cellStyle name="Percent 34 11 11" xfId="14191"/>
    <cellStyle name="Percent 34 11 12" xfId="14192"/>
    <cellStyle name="Percent 34 11 13" xfId="14193"/>
    <cellStyle name="Percent 34 11 14" xfId="14194"/>
    <cellStyle name="Percent 34 11 15" xfId="14195"/>
    <cellStyle name="Percent 34 11 16" xfId="14196"/>
    <cellStyle name="Percent 34 11 17" xfId="14197"/>
    <cellStyle name="Percent 34 11 18" xfId="14198"/>
    <cellStyle name="Percent 34 11 19" xfId="14199"/>
    <cellStyle name="Percent 34 11 2" xfId="14200"/>
    <cellStyle name="Percent 34 11 20" xfId="14201"/>
    <cellStyle name="Percent 34 11 21" xfId="14202"/>
    <cellStyle name="Percent 34 11 22" xfId="14203"/>
    <cellStyle name="Percent 34 11 23" xfId="24156"/>
    <cellStyle name="Percent 34 11 24" xfId="24157"/>
    <cellStyle name="Percent 34 11 25" xfId="24158"/>
    <cellStyle name="Percent 34 11 26" xfId="24159"/>
    <cellStyle name="Percent 34 11 27" xfId="24160"/>
    <cellStyle name="Percent 34 11 28" xfId="24161"/>
    <cellStyle name="Percent 34 11 29" xfId="24162"/>
    <cellStyle name="Percent 34 11 3" xfId="14204"/>
    <cellStyle name="Percent 34 11 30" xfId="24163"/>
    <cellStyle name="Percent 34 11 31" xfId="24164"/>
    <cellStyle name="Percent 34 11 32" xfId="24165"/>
    <cellStyle name="Percent 34 11 33" xfId="24166"/>
    <cellStyle name="Percent 34 11 34" xfId="24167"/>
    <cellStyle name="Percent 34 11 35" xfId="24168"/>
    <cellStyle name="Percent 34 11 4" xfId="14205"/>
    <cellStyle name="Percent 34 11 5" xfId="14206"/>
    <cellStyle name="Percent 34 11 6" xfId="14207"/>
    <cellStyle name="Percent 34 11 7" xfId="14208"/>
    <cellStyle name="Percent 34 11 8" xfId="14209"/>
    <cellStyle name="Percent 34 11 9" xfId="14210"/>
    <cellStyle name="Percent 34 12" xfId="753"/>
    <cellStyle name="Percent 34 12 10" xfId="14211"/>
    <cellStyle name="Percent 34 12 11" xfId="14212"/>
    <cellStyle name="Percent 34 12 12" xfId="14213"/>
    <cellStyle name="Percent 34 12 13" xfId="14214"/>
    <cellStyle name="Percent 34 12 14" xfId="14215"/>
    <cellStyle name="Percent 34 12 15" xfId="14216"/>
    <cellStyle name="Percent 34 12 16" xfId="14217"/>
    <cellStyle name="Percent 34 12 17" xfId="14218"/>
    <cellStyle name="Percent 34 12 18" xfId="14219"/>
    <cellStyle name="Percent 34 12 19" xfId="14220"/>
    <cellStyle name="Percent 34 12 2" xfId="14221"/>
    <cellStyle name="Percent 34 12 20" xfId="14222"/>
    <cellStyle name="Percent 34 12 21" xfId="14223"/>
    <cellStyle name="Percent 34 12 22" xfId="14224"/>
    <cellStyle name="Percent 34 12 23" xfId="24169"/>
    <cellStyle name="Percent 34 12 24" xfId="24170"/>
    <cellStyle name="Percent 34 12 25" xfId="24171"/>
    <cellStyle name="Percent 34 12 26" xfId="24172"/>
    <cellStyle name="Percent 34 12 27" xfId="24173"/>
    <cellStyle name="Percent 34 12 28" xfId="24174"/>
    <cellStyle name="Percent 34 12 29" xfId="24175"/>
    <cellStyle name="Percent 34 12 3" xfId="14225"/>
    <cellStyle name="Percent 34 12 30" xfId="24176"/>
    <cellStyle name="Percent 34 12 31" xfId="24177"/>
    <cellStyle name="Percent 34 12 32" xfId="24178"/>
    <cellStyle name="Percent 34 12 33" xfId="24179"/>
    <cellStyle name="Percent 34 12 34" xfId="24180"/>
    <cellStyle name="Percent 34 12 35" xfId="24181"/>
    <cellStyle name="Percent 34 12 4" xfId="14226"/>
    <cellStyle name="Percent 34 12 5" xfId="14227"/>
    <cellStyle name="Percent 34 12 6" xfId="14228"/>
    <cellStyle name="Percent 34 12 7" xfId="14229"/>
    <cellStyle name="Percent 34 12 8" xfId="14230"/>
    <cellStyle name="Percent 34 12 9" xfId="14231"/>
    <cellStyle name="Percent 34 13" xfId="754"/>
    <cellStyle name="Percent 34 13 10" xfId="14232"/>
    <cellStyle name="Percent 34 13 11" xfId="14233"/>
    <cellStyle name="Percent 34 13 12" xfId="14234"/>
    <cellStyle name="Percent 34 13 13" xfId="14235"/>
    <cellStyle name="Percent 34 13 14" xfId="14236"/>
    <cellStyle name="Percent 34 13 15" xfId="14237"/>
    <cellStyle name="Percent 34 13 16" xfId="14238"/>
    <cellStyle name="Percent 34 13 17" xfId="14239"/>
    <cellStyle name="Percent 34 13 18" xfId="14240"/>
    <cellStyle name="Percent 34 13 19" xfId="14241"/>
    <cellStyle name="Percent 34 13 2" xfId="14242"/>
    <cellStyle name="Percent 34 13 20" xfId="14243"/>
    <cellStyle name="Percent 34 13 21" xfId="14244"/>
    <cellStyle name="Percent 34 13 22" xfId="14245"/>
    <cellStyle name="Percent 34 13 23" xfId="24182"/>
    <cellStyle name="Percent 34 13 24" xfId="24183"/>
    <cellStyle name="Percent 34 13 25" xfId="24184"/>
    <cellStyle name="Percent 34 13 26" xfId="24185"/>
    <cellStyle name="Percent 34 13 27" xfId="24186"/>
    <cellStyle name="Percent 34 13 28" xfId="24187"/>
    <cellStyle name="Percent 34 13 29" xfId="24188"/>
    <cellStyle name="Percent 34 13 3" xfId="14246"/>
    <cellStyle name="Percent 34 13 30" xfId="24189"/>
    <cellStyle name="Percent 34 13 31" xfId="24190"/>
    <cellStyle name="Percent 34 13 32" xfId="24191"/>
    <cellStyle name="Percent 34 13 33" xfId="24192"/>
    <cellStyle name="Percent 34 13 34" xfId="24193"/>
    <cellStyle name="Percent 34 13 35" xfId="24194"/>
    <cellStyle name="Percent 34 13 4" xfId="14247"/>
    <cellStyle name="Percent 34 13 5" xfId="14248"/>
    <cellStyle name="Percent 34 13 6" xfId="14249"/>
    <cellStyle name="Percent 34 13 7" xfId="14250"/>
    <cellStyle name="Percent 34 13 8" xfId="14251"/>
    <cellStyle name="Percent 34 13 9" xfId="14252"/>
    <cellStyle name="Percent 34 14" xfId="755"/>
    <cellStyle name="Percent 34 14 10" xfId="14253"/>
    <cellStyle name="Percent 34 14 11" xfId="14254"/>
    <cellStyle name="Percent 34 14 12" xfId="14255"/>
    <cellStyle name="Percent 34 14 13" xfId="14256"/>
    <cellStyle name="Percent 34 14 14" xfId="14257"/>
    <cellStyle name="Percent 34 14 15" xfId="14258"/>
    <cellStyle name="Percent 34 14 16" xfId="14259"/>
    <cellStyle name="Percent 34 14 17" xfId="14260"/>
    <cellStyle name="Percent 34 14 18" xfId="14261"/>
    <cellStyle name="Percent 34 14 19" xfId="14262"/>
    <cellStyle name="Percent 34 14 2" xfId="14263"/>
    <cellStyle name="Percent 34 14 20" xfId="14264"/>
    <cellStyle name="Percent 34 14 21" xfId="14265"/>
    <cellStyle name="Percent 34 14 22" xfId="14266"/>
    <cellStyle name="Percent 34 14 23" xfId="24195"/>
    <cellStyle name="Percent 34 14 24" xfId="24196"/>
    <cellStyle name="Percent 34 14 25" xfId="24197"/>
    <cellStyle name="Percent 34 14 26" xfId="24198"/>
    <cellStyle name="Percent 34 14 27" xfId="24199"/>
    <cellStyle name="Percent 34 14 28" xfId="24200"/>
    <cellStyle name="Percent 34 14 29" xfId="24201"/>
    <cellStyle name="Percent 34 14 3" xfId="14267"/>
    <cellStyle name="Percent 34 14 30" xfId="24202"/>
    <cellStyle name="Percent 34 14 31" xfId="24203"/>
    <cellStyle name="Percent 34 14 32" xfId="24204"/>
    <cellStyle name="Percent 34 14 33" xfId="24205"/>
    <cellStyle name="Percent 34 14 34" xfId="24206"/>
    <cellStyle name="Percent 34 14 35" xfId="24207"/>
    <cellStyle name="Percent 34 14 4" xfId="14268"/>
    <cellStyle name="Percent 34 14 5" xfId="14269"/>
    <cellStyle name="Percent 34 14 6" xfId="14270"/>
    <cellStyle name="Percent 34 14 7" xfId="14271"/>
    <cellStyle name="Percent 34 14 8" xfId="14272"/>
    <cellStyle name="Percent 34 14 9" xfId="14273"/>
    <cellStyle name="Percent 34 15" xfId="756"/>
    <cellStyle name="Percent 34 16" xfId="1441"/>
    <cellStyle name="Percent 34 17" xfId="1534"/>
    <cellStyle name="Percent 34 18" xfId="1587"/>
    <cellStyle name="Percent 34 19" xfId="1639"/>
    <cellStyle name="Percent 34 2" xfId="757"/>
    <cellStyle name="Percent 34 2 10" xfId="14274"/>
    <cellStyle name="Percent 34 2 11" xfId="14275"/>
    <cellStyle name="Percent 34 2 12" xfId="14276"/>
    <cellStyle name="Percent 34 2 13" xfId="14277"/>
    <cellStyle name="Percent 34 2 14" xfId="14278"/>
    <cellStyle name="Percent 34 2 15" xfId="14279"/>
    <cellStyle name="Percent 34 2 16" xfId="14280"/>
    <cellStyle name="Percent 34 2 17" xfId="14281"/>
    <cellStyle name="Percent 34 2 18" xfId="14282"/>
    <cellStyle name="Percent 34 2 19" xfId="14283"/>
    <cellStyle name="Percent 34 2 2" xfId="14284"/>
    <cellStyle name="Percent 34 2 20" xfId="14285"/>
    <cellStyle name="Percent 34 2 21" xfId="14286"/>
    <cellStyle name="Percent 34 2 22" xfId="14287"/>
    <cellStyle name="Percent 34 2 23" xfId="24208"/>
    <cellStyle name="Percent 34 2 24" xfId="24209"/>
    <cellStyle name="Percent 34 2 25" xfId="24210"/>
    <cellStyle name="Percent 34 2 26" xfId="24211"/>
    <cellStyle name="Percent 34 2 27" xfId="24212"/>
    <cellStyle name="Percent 34 2 28" xfId="24213"/>
    <cellStyle name="Percent 34 2 29" xfId="24214"/>
    <cellStyle name="Percent 34 2 3" xfId="14288"/>
    <cellStyle name="Percent 34 2 30" xfId="24215"/>
    <cellStyle name="Percent 34 2 31" xfId="24216"/>
    <cellStyle name="Percent 34 2 32" xfId="24217"/>
    <cellStyle name="Percent 34 2 33" xfId="24218"/>
    <cellStyle name="Percent 34 2 34" xfId="24219"/>
    <cellStyle name="Percent 34 2 35" xfId="24220"/>
    <cellStyle name="Percent 34 2 4" xfId="14289"/>
    <cellStyle name="Percent 34 2 5" xfId="14290"/>
    <cellStyle name="Percent 34 2 6" xfId="14291"/>
    <cellStyle name="Percent 34 2 7" xfId="14292"/>
    <cellStyle name="Percent 34 2 8" xfId="14293"/>
    <cellStyle name="Percent 34 2 9" xfId="14294"/>
    <cellStyle name="Percent 34 20" xfId="1743"/>
    <cellStyle name="Percent 34 21" xfId="1802"/>
    <cellStyle name="Percent 34 22" xfId="2143"/>
    <cellStyle name="Percent 34 23" xfId="2829"/>
    <cellStyle name="Percent 34 24" xfId="2745"/>
    <cellStyle name="Percent 34 25" xfId="2252"/>
    <cellStyle name="Percent 34 26" xfId="2777"/>
    <cellStyle name="Percent 34 27" xfId="2806"/>
    <cellStyle name="Percent 34 28" xfId="3049"/>
    <cellStyle name="Percent 34 29" xfId="14295"/>
    <cellStyle name="Percent 34 3" xfId="758"/>
    <cellStyle name="Percent 34 3 10" xfId="14296"/>
    <cellStyle name="Percent 34 3 11" xfId="14297"/>
    <cellStyle name="Percent 34 3 12" xfId="14298"/>
    <cellStyle name="Percent 34 3 13" xfId="14299"/>
    <cellStyle name="Percent 34 3 14" xfId="14300"/>
    <cellStyle name="Percent 34 3 15" xfId="14301"/>
    <cellStyle name="Percent 34 3 16" xfId="14302"/>
    <cellStyle name="Percent 34 3 17" xfId="14303"/>
    <cellStyle name="Percent 34 3 18" xfId="14304"/>
    <cellStyle name="Percent 34 3 19" xfId="14305"/>
    <cellStyle name="Percent 34 3 2" xfId="14306"/>
    <cellStyle name="Percent 34 3 20" xfId="14307"/>
    <cellStyle name="Percent 34 3 21" xfId="14308"/>
    <cellStyle name="Percent 34 3 22" xfId="14309"/>
    <cellStyle name="Percent 34 3 23" xfId="24221"/>
    <cellStyle name="Percent 34 3 24" xfId="24222"/>
    <cellStyle name="Percent 34 3 25" xfId="24223"/>
    <cellStyle name="Percent 34 3 26" xfId="24224"/>
    <cellStyle name="Percent 34 3 27" xfId="24225"/>
    <cellStyle name="Percent 34 3 28" xfId="24226"/>
    <cellStyle name="Percent 34 3 29" xfId="24227"/>
    <cellStyle name="Percent 34 3 3" xfId="14310"/>
    <cellStyle name="Percent 34 3 30" xfId="24228"/>
    <cellStyle name="Percent 34 3 31" xfId="24229"/>
    <cellStyle name="Percent 34 3 32" xfId="24230"/>
    <cellStyle name="Percent 34 3 33" xfId="24231"/>
    <cellStyle name="Percent 34 3 34" xfId="24232"/>
    <cellStyle name="Percent 34 3 35" xfId="24233"/>
    <cellStyle name="Percent 34 3 4" xfId="14311"/>
    <cellStyle name="Percent 34 3 5" xfId="14312"/>
    <cellStyle name="Percent 34 3 6" xfId="14313"/>
    <cellStyle name="Percent 34 3 7" xfId="14314"/>
    <cellStyle name="Percent 34 3 8" xfId="14315"/>
    <cellStyle name="Percent 34 3 9" xfId="14316"/>
    <cellStyle name="Percent 34 30" xfId="14317"/>
    <cellStyle name="Percent 34 31" xfId="14318"/>
    <cellStyle name="Percent 34 32" xfId="14319"/>
    <cellStyle name="Percent 34 33" xfId="14320"/>
    <cellStyle name="Percent 34 34" xfId="14321"/>
    <cellStyle name="Percent 34 35" xfId="14322"/>
    <cellStyle name="Percent 34 36" xfId="14323"/>
    <cellStyle name="Percent 34 37" xfId="14324"/>
    <cellStyle name="Percent 34 38" xfId="24234"/>
    <cellStyle name="Percent 34 39" xfId="24235"/>
    <cellStyle name="Percent 34 4" xfId="759"/>
    <cellStyle name="Percent 34 4 10" xfId="14325"/>
    <cellStyle name="Percent 34 4 11" xfId="14326"/>
    <cellStyle name="Percent 34 4 12" xfId="14327"/>
    <cellStyle name="Percent 34 4 13" xfId="14328"/>
    <cellStyle name="Percent 34 4 14" xfId="14329"/>
    <cellStyle name="Percent 34 4 15" xfId="14330"/>
    <cellStyle name="Percent 34 4 16" xfId="14331"/>
    <cellStyle name="Percent 34 4 17" xfId="14332"/>
    <cellStyle name="Percent 34 4 18" xfId="14333"/>
    <cellStyle name="Percent 34 4 19" xfId="14334"/>
    <cellStyle name="Percent 34 4 2" xfId="14335"/>
    <cellStyle name="Percent 34 4 20" xfId="14336"/>
    <cellStyle name="Percent 34 4 21" xfId="14337"/>
    <cellStyle name="Percent 34 4 22" xfId="14338"/>
    <cellStyle name="Percent 34 4 23" xfId="24236"/>
    <cellStyle name="Percent 34 4 24" xfId="24237"/>
    <cellStyle name="Percent 34 4 25" xfId="24238"/>
    <cellStyle name="Percent 34 4 26" xfId="24239"/>
    <cellStyle name="Percent 34 4 27" xfId="24240"/>
    <cellStyle name="Percent 34 4 28" xfId="24241"/>
    <cellStyle name="Percent 34 4 29" xfId="24242"/>
    <cellStyle name="Percent 34 4 3" xfId="14339"/>
    <cellStyle name="Percent 34 4 30" xfId="24243"/>
    <cellStyle name="Percent 34 4 31" xfId="24244"/>
    <cellStyle name="Percent 34 4 32" xfId="24245"/>
    <cellStyle name="Percent 34 4 33" xfId="24246"/>
    <cellStyle name="Percent 34 4 34" xfId="24247"/>
    <cellStyle name="Percent 34 4 35" xfId="24248"/>
    <cellStyle name="Percent 34 4 4" xfId="14340"/>
    <cellStyle name="Percent 34 4 5" xfId="14341"/>
    <cellStyle name="Percent 34 4 6" xfId="14342"/>
    <cellStyle name="Percent 34 4 7" xfId="14343"/>
    <cellStyle name="Percent 34 4 8" xfId="14344"/>
    <cellStyle name="Percent 34 4 9" xfId="14345"/>
    <cellStyle name="Percent 34 40" xfId="24249"/>
    <cellStyle name="Percent 34 41" xfId="24250"/>
    <cellStyle name="Percent 34 42" xfId="24251"/>
    <cellStyle name="Percent 34 43" xfId="24252"/>
    <cellStyle name="Percent 34 44" xfId="24253"/>
    <cellStyle name="Percent 34 45" xfId="24254"/>
    <cellStyle name="Percent 34 46" xfId="24255"/>
    <cellStyle name="Percent 34 47" xfId="24256"/>
    <cellStyle name="Percent 34 48" xfId="24257"/>
    <cellStyle name="Percent 34 49" xfId="24258"/>
    <cellStyle name="Percent 34 5" xfId="760"/>
    <cellStyle name="Percent 34 5 10" xfId="14346"/>
    <cellStyle name="Percent 34 5 11" xfId="14347"/>
    <cellStyle name="Percent 34 5 12" xfId="14348"/>
    <cellStyle name="Percent 34 5 13" xfId="14349"/>
    <cellStyle name="Percent 34 5 14" xfId="14350"/>
    <cellStyle name="Percent 34 5 15" xfId="14351"/>
    <cellStyle name="Percent 34 5 16" xfId="14352"/>
    <cellStyle name="Percent 34 5 17" xfId="14353"/>
    <cellStyle name="Percent 34 5 18" xfId="14354"/>
    <cellStyle name="Percent 34 5 19" xfId="14355"/>
    <cellStyle name="Percent 34 5 2" xfId="14356"/>
    <cellStyle name="Percent 34 5 20" xfId="14357"/>
    <cellStyle name="Percent 34 5 21" xfId="14358"/>
    <cellStyle name="Percent 34 5 22" xfId="14359"/>
    <cellStyle name="Percent 34 5 23" xfId="24259"/>
    <cellStyle name="Percent 34 5 24" xfId="24260"/>
    <cellStyle name="Percent 34 5 25" xfId="24261"/>
    <cellStyle name="Percent 34 5 26" xfId="24262"/>
    <cellStyle name="Percent 34 5 27" xfId="24263"/>
    <cellStyle name="Percent 34 5 28" xfId="24264"/>
    <cellStyle name="Percent 34 5 29" xfId="24265"/>
    <cellStyle name="Percent 34 5 3" xfId="14360"/>
    <cellStyle name="Percent 34 5 30" xfId="24266"/>
    <cellStyle name="Percent 34 5 31" xfId="24267"/>
    <cellStyle name="Percent 34 5 32" xfId="24268"/>
    <cellStyle name="Percent 34 5 33" xfId="24269"/>
    <cellStyle name="Percent 34 5 34" xfId="24270"/>
    <cellStyle name="Percent 34 5 35" xfId="24271"/>
    <cellStyle name="Percent 34 5 4" xfId="14361"/>
    <cellStyle name="Percent 34 5 5" xfId="14362"/>
    <cellStyle name="Percent 34 5 6" xfId="14363"/>
    <cellStyle name="Percent 34 5 7" xfId="14364"/>
    <cellStyle name="Percent 34 5 8" xfId="14365"/>
    <cellStyle name="Percent 34 5 9" xfId="14366"/>
    <cellStyle name="Percent 34 50" xfId="24272"/>
    <cellStyle name="Percent 34 6" xfId="761"/>
    <cellStyle name="Percent 34 6 10" xfId="14367"/>
    <cellStyle name="Percent 34 6 11" xfId="14368"/>
    <cellStyle name="Percent 34 6 12" xfId="14369"/>
    <cellStyle name="Percent 34 6 13" xfId="14370"/>
    <cellStyle name="Percent 34 6 14" xfId="14371"/>
    <cellStyle name="Percent 34 6 15" xfId="14372"/>
    <cellStyle name="Percent 34 6 16" xfId="14373"/>
    <cellStyle name="Percent 34 6 17" xfId="14374"/>
    <cellStyle name="Percent 34 6 18" xfId="14375"/>
    <cellStyle name="Percent 34 6 19" xfId="14376"/>
    <cellStyle name="Percent 34 6 2" xfId="14377"/>
    <cellStyle name="Percent 34 6 20" xfId="14378"/>
    <cellStyle name="Percent 34 6 21" xfId="14379"/>
    <cellStyle name="Percent 34 6 22" xfId="14380"/>
    <cellStyle name="Percent 34 6 23" xfId="24273"/>
    <cellStyle name="Percent 34 6 24" xfId="24274"/>
    <cellStyle name="Percent 34 6 25" xfId="24275"/>
    <cellStyle name="Percent 34 6 26" xfId="24276"/>
    <cellStyle name="Percent 34 6 27" xfId="24277"/>
    <cellStyle name="Percent 34 6 28" xfId="24278"/>
    <cellStyle name="Percent 34 6 29" xfId="24279"/>
    <cellStyle name="Percent 34 6 3" xfId="14381"/>
    <cellStyle name="Percent 34 6 30" xfId="24280"/>
    <cellStyle name="Percent 34 6 31" xfId="24281"/>
    <cellStyle name="Percent 34 6 32" xfId="24282"/>
    <cellStyle name="Percent 34 6 33" xfId="24283"/>
    <cellStyle name="Percent 34 6 34" xfId="24284"/>
    <cellStyle name="Percent 34 6 35" xfId="24285"/>
    <cellStyle name="Percent 34 6 4" xfId="14382"/>
    <cellStyle name="Percent 34 6 5" xfId="14383"/>
    <cellStyle name="Percent 34 6 6" xfId="14384"/>
    <cellStyle name="Percent 34 6 7" xfId="14385"/>
    <cellStyle name="Percent 34 6 8" xfId="14386"/>
    <cellStyle name="Percent 34 6 9" xfId="14387"/>
    <cellStyle name="Percent 34 7" xfId="762"/>
    <cellStyle name="Percent 34 7 10" xfId="14388"/>
    <cellStyle name="Percent 34 7 11" xfId="14389"/>
    <cellStyle name="Percent 34 7 12" xfId="14390"/>
    <cellStyle name="Percent 34 7 13" xfId="14391"/>
    <cellStyle name="Percent 34 7 14" xfId="14392"/>
    <cellStyle name="Percent 34 7 15" xfId="14393"/>
    <cellStyle name="Percent 34 7 16" xfId="14394"/>
    <cellStyle name="Percent 34 7 17" xfId="14395"/>
    <cellStyle name="Percent 34 7 18" xfId="14396"/>
    <cellStyle name="Percent 34 7 19" xfId="14397"/>
    <cellStyle name="Percent 34 7 2" xfId="14398"/>
    <cellStyle name="Percent 34 7 20" xfId="14399"/>
    <cellStyle name="Percent 34 7 21" xfId="14400"/>
    <cellStyle name="Percent 34 7 22" xfId="14401"/>
    <cellStyle name="Percent 34 7 23" xfId="24286"/>
    <cellStyle name="Percent 34 7 24" xfId="24287"/>
    <cellStyle name="Percent 34 7 25" xfId="24288"/>
    <cellStyle name="Percent 34 7 26" xfId="24289"/>
    <cellStyle name="Percent 34 7 27" xfId="24290"/>
    <cellStyle name="Percent 34 7 28" xfId="24291"/>
    <cellStyle name="Percent 34 7 29" xfId="24292"/>
    <cellStyle name="Percent 34 7 3" xfId="14402"/>
    <cellStyle name="Percent 34 7 30" xfId="24293"/>
    <cellStyle name="Percent 34 7 31" xfId="24294"/>
    <cellStyle name="Percent 34 7 32" xfId="24295"/>
    <cellStyle name="Percent 34 7 33" xfId="24296"/>
    <cellStyle name="Percent 34 7 34" xfId="24297"/>
    <cellStyle name="Percent 34 7 35" xfId="24298"/>
    <cellStyle name="Percent 34 7 4" xfId="14403"/>
    <cellStyle name="Percent 34 7 5" xfId="14404"/>
    <cellStyle name="Percent 34 7 6" xfId="14405"/>
    <cellStyle name="Percent 34 7 7" xfId="14406"/>
    <cellStyle name="Percent 34 7 8" xfId="14407"/>
    <cellStyle name="Percent 34 7 9" xfId="14408"/>
    <cellStyle name="Percent 34 8" xfId="763"/>
    <cellStyle name="Percent 34 8 10" xfId="14409"/>
    <cellStyle name="Percent 34 8 11" xfId="14410"/>
    <cellStyle name="Percent 34 8 12" xfId="14411"/>
    <cellStyle name="Percent 34 8 13" xfId="14412"/>
    <cellStyle name="Percent 34 8 14" xfId="14413"/>
    <cellStyle name="Percent 34 8 15" xfId="14414"/>
    <cellStyle name="Percent 34 8 16" xfId="14415"/>
    <cellStyle name="Percent 34 8 17" xfId="14416"/>
    <cellStyle name="Percent 34 8 18" xfId="14417"/>
    <cellStyle name="Percent 34 8 19" xfId="14418"/>
    <cellStyle name="Percent 34 8 2" xfId="14419"/>
    <cellStyle name="Percent 34 8 20" xfId="14420"/>
    <cellStyle name="Percent 34 8 21" xfId="14421"/>
    <cellStyle name="Percent 34 8 22" xfId="14422"/>
    <cellStyle name="Percent 34 8 23" xfId="24299"/>
    <cellStyle name="Percent 34 8 24" xfId="24300"/>
    <cellStyle name="Percent 34 8 25" xfId="24301"/>
    <cellStyle name="Percent 34 8 26" xfId="24302"/>
    <cellStyle name="Percent 34 8 27" xfId="24303"/>
    <cellStyle name="Percent 34 8 28" xfId="24304"/>
    <cellStyle name="Percent 34 8 29" xfId="24305"/>
    <cellStyle name="Percent 34 8 3" xfId="14423"/>
    <cellStyle name="Percent 34 8 30" xfId="24306"/>
    <cellStyle name="Percent 34 8 31" xfId="24307"/>
    <cellStyle name="Percent 34 8 32" xfId="24308"/>
    <cellStyle name="Percent 34 8 33" xfId="24309"/>
    <cellStyle name="Percent 34 8 34" xfId="24310"/>
    <cellStyle name="Percent 34 8 35" xfId="24311"/>
    <cellStyle name="Percent 34 8 4" xfId="14424"/>
    <cellStyle name="Percent 34 8 5" xfId="14425"/>
    <cellStyle name="Percent 34 8 6" xfId="14426"/>
    <cellStyle name="Percent 34 8 7" xfId="14427"/>
    <cellStyle name="Percent 34 8 8" xfId="14428"/>
    <cellStyle name="Percent 34 8 9" xfId="14429"/>
    <cellStyle name="Percent 34 9" xfId="764"/>
    <cellStyle name="Percent 34 9 10" xfId="14430"/>
    <cellStyle name="Percent 34 9 11" xfId="14431"/>
    <cellStyle name="Percent 34 9 12" xfId="14432"/>
    <cellStyle name="Percent 34 9 13" xfId="14433"/>
    <cellStyle name="Percent 34 9 14" xfId="14434"/>
    <cellStyle name="Percent 34 9 15" xfId="14435"/>
    <cellStyle name="Percent 34 9 16" xfId="14436"/>
    <cellStyle name="Percent 34 9 17" xfId="14437"/>
    <cellStyle name="Percent 34 9 18" xfId="14438"/>
    <cellStyle name="Percent 34 9 19" xfId="14439"/>
    <cellStyle name="Percent 34 9 2" xfId="14440"/>
    <cellStyle name="Percent 34 9 20" xfId="14441"/>
    <cellStyle name="Percent 34 9 21" xfId="14442"/>
    <cellStyle name="Percent 34 9 22" xfId="14443"/>
    <cellStyle name="Percent 34 9 23" xfId="24312"/>
    <cellStyle name="Percent 34 9 24" xfId="24313"/>
    <cellStyle name="Percent 34 9 25" xfId="24314"/>
    <cellStyle name="Percent 34 9 26" xfId="24315"/>
    <cellStyle name="Percent 34 9 27" xfId="24316"/>
    <cellStyle name="Percent 34 9 28" xfId="24317"/>
    <cellStyle name="Percent 34 9 29" xfId="24318"/>
    <cellStyle name="Percent 34 9 3" xfId="14444"/>
    <cellStyle name="Percent 34 9 30" xfId="24319"/>
    <cellStyle name="Percent 34 9 31" xfId="24320"/>
    <cellStyle name="Percent 34 9 32" xfId="24321"/>
    <cellStyle name="Percent 34 9 33" xfId="24322"/>
    <cellStyle name="Percent 34 9 34" xfId="24323"/>
    <cellStyle name="Percent 34 9 35" xfId="24324"/>
    <cellStyle name="Percent 34 9 4" xfId="14445"/>
    <cellStyle name="Percent 34 9 5" xfId="14446"/>
    <cellStyle name="Percent 34 9 6" xfId="14447"/>
    <cellStyle name="Percent 34 9 7" xfId="14448"/>
    <cellStyle name="Percent 34 9 8" xfId="14449"/>
    <cellStyle name="Percent 34 9 9" xfId="14450"/>
    <cellStyle name="Percent 4" xfId="1686"/>
    <cellStyle name="Percent 4 2" xfId="1860"/>
    <cellStyle name="Percent 4 2 2" xfId="2962"/>
    <cellStyle name="Percent 4 2 3" xfId="3039"/>
    <cellStyle name="Percent 4 2 4" xfId="3100"/>
    <cellStyle name="Percent 4 2 5" xfId="3155"/>
    <cellStyle name="Percent 4 2 6" xfId="3192"/>
    <cellStyle name="Percent 4 2 7" xfId="3220"/>
    <cellStyle name="Percent 4 2 8" xfId="3233"/>
    <cellStyle name="Percent 4 3" xfId="2910"/>
    <cellStyle name="Percent 4 4" xfId="2992"/>
    <cellStyle name="Percent 4 5" xfId="3060"/>
    <cellStyle name="Percent 4 6" xfId="3118"/>
    <cellStyle name="Percent 4 7" xfId="3169"/>
    <cellStyle name="Percent 4 8" xfId="3205"/>
    <cellStyle name="Percent 4 9" xfId="3226"/>
    <cellStyle name="Percent 5" xfId="106"/>
    <cellStyle name="Percent 5 10" xfId="765"/>
    <cellStyle name="Percent 5 10 10" xfId="14451"/>
    <cellStyle name="Percent 5 10 11" xfId="14452"/>
    <cellStyle name="Percent 5 10 12" xfId="14453"/>
    <cellStyle name="Percent 5 10 13" xfId="14454"/>
    <cellStyle name="Percent 5 10 14" xfId="14455"/>
    <cellStyle name="Percent 5 10 15" xfId="14456"/>
    <cellStyle name="Percent 5 10 16" xfId="14457"/>
    <cellStyle name="Percent 5 10 17" xfId="14458"/>
    <cellStyle name="Percent 5 10 18" xfId="14459"/>
    <cellStyle name="Percent 5 10 19" xfId="14460"/>
    <cellStyle name="Percent 5 10 2" xfId="766"/>
    <cellStyle name="Percent 5 10 20" xfId="14461"/>
    <cellStyle name="Percent 5 10 21" xfId="14462"/>
    <cellStyle name="Percent 5 10 22" xfId="14463"/>
    <cellStyle name="Percent 5 10 23" xfId="14464"/>
    <cellStyle name="Percent 5 10 24" xfId="14465"/>
    <cellStyle name="Percent 5 10 25" xfId="14466"/>
    <cellStyle name="Percent 5 10 26" xfId="24325"/>
    <cellStyle name="Percent 5 10 27" xfId="24326"/>
    <cellStyle name="Percent 5 10 28" xfId="24327"/>
    <cellStyle name="Percent 5 10 29" xfId="24328"/>
    <cellStyle name="Percent 5 10 3" xfId="14467"/>
    <cellStyle name="Percent 5 10 30" xfId="24329"/>
    <cellStyle name="Percent 5 10 31" xfId="24330"/>
    <cellStyle name="Percent 5 10 32" xfId="24331"/>
    <cellStyle name="Percent 5 10 33" xfId="24332"/>
    <cellStyle name="Percent 5 10 34" xfId="24333"/>
    <cellStyle name="Percent 5 10 35" xfId="24334"/>
    <cellStyle name="Percent 5 10 36" xfId="24335"/>
    <cellStyle name="Percent 5 10 37" xfId="24336"/>
    <cellStyle name="Percent 5 10 38" xfId="24337"/>
    <cellStyle name="Percent 5 10 4" xfId="14468"/>
    <cellStyle name="Percent 5 10 5" xfId="14469"/>
    <cellStyle name="Percent 5 10 6" xfId="14470"/>
    <cellStyle name="Percent 5 10 7" xfId="14471"/>
    <cellStyle name="Percent 5 10 8" xfId="14472"/>
    <cellStyle name="Percent 5 10 9" xfId="14473"/>
    <cellStyle name="Percent 5 11" xfId="767"/>
    <cellStyle name="Percent 5 11 10" xfId="14474"/>
    <cellStyle name="Percent 5 11 11" xfId="14475"/>
    <cellStyle name="Percent 5 11 12" xfId="14476"/>
    <cellStyle name="Percent 5 11 13" xfId="14477"/>
    <cellStyle name="Percent 5 11 14" xfId="14478"/>
    <cellStyle name="Percent 5 11 15" xfId="14479"/>
    <cellStyle name="Percent 5 11 16" xfId="14480"/>
    <cellStyle name="Percent 5 11 17" xfId="14481"/>
    <cellStyle name="Percent 5 11 18" xfId="14482"/>
    <cellStyle name="Percent 5 11 19" xfId="14483"/>
    <cellStyle name="Percent 5 11 2" xfId="768"/>
    <cellStyle name="Percent 5 11 20" xfId="14484"/>
    <cellStyle name="Percent 5 11 21" xfId="14485"/>
    <cellStyle name="Percent 5 11 22" xfId="14486"/>
    <cellStyle name="Percent 5 11 23" xfId="14487"/>
    <cellStyle name="Percent 5 11 24" xfId="14488"/>
    <cellStyle name="Percent 5 11 25" xfId="14489"/>
    <cellStyle name="Percent 5 11 26" xfId="24338"/>
    <cellStyle name="Percent 5 11 27" xfId="24339"/>
    <cellStyle name="Percent 5 11 28" xfId="24340"/>
    <cellStyle name="Percent 5 11 29" xfId="24341"/>
    <cellStyle name="Percent 5 11 3" xfId="14490"/>
    <cellStyle name="Percent 5 11 30" xfId="24342"/>
    <cellStyle name="Percent 5 11 31" xfId="24343"/>
    <cellStyle name="Percent 5 11 32" xfId="24344"/>
    <cellStyle name="Percent 5 11 33" xfId="24345"/>
    <cellStyle name="Percent 5 11 34" xfId="24346"/>
    <cellStyle name="Percent 5 11 35" xfId="24347"/>
    <cellStyle name="Percent 5 11 36" xfId="24348"/>
    <cellStyle name="Percent 5 11 37" xfId="24349"/>
    <cellStyle name="Percent 5 11 38" xfId="24350"/>
    <cellStyle name="Percent 5 11 4" xfId="14491"/>
    <cellStyle name="Percent 5 11 5" xfId="14492"/>
    <cellStyle name="Percent 5 11 6" xfId="14493"/>
    <cellStyle name="Percent 5 11 7" xfId="14494"/>
    <cellStyle name="Percent 5 11 8" xfId="14495"/>
    <cellStyle name="Percent 5 11 9" xfId="14496"/>
    <cellStyle name="Percent 5 12" xfId="769"/>
    <cellStyle name="Percent 5 12 10" xfId="14497"/>
    <cellStyle name="Percent 5 12 11" xfId="14498"/>
    <cellStyle name="Percent 5 12 12" xfId="14499"/>
    <cellStyle name="Percent 5 12 13" xfId="14500"/>
    <cellStyle name="Percent 5 12 14" xfId="14501"/>
    <cellStyle name="Percent 5 12 15" xfId="14502"/>
    <cellStyle name="Percent 5 12 16" xfId="14503"/>
    <cellStyle name="Percent 5 12 17" xfId="14504"/>
    <cellStyle name="Percent 5 12 18" xfId="14505"/>
    <cellStyle name="Percent 5 12 19" xfId="14506"/>
    <cellStyle name="Percent 5 12 2" xfId="770"/>
    <cellStyle name="Percent 5 12 20" xfId="14507"/>
    <cellStyle name="Percent 5 12 21" xfId="14508"/>
    <cellStyle name="Percent 5 12 22" xfId="14509"/>
    <cellStyle name="Percent 5 12 23" xfId="14510"/>
    <cellStyle name="Percent 5 12 24" xfId="14511"/>
    <cellStyle name="Percent 5 12 25" xfId="14512"/>
    <cellStyle name="Percent 5 12 26" xfId="24351"/>
    <cellStyle name="Percent 5 12 27" xfId="24352"/>
    <cellStyle name="Percent 5 12 28" xfId="24353"/>
    <cellStyle name="Percent 5 12 29" xfId="24354"/>
    <cellStyle name="Percent 5 12 3" xfId="14513"/>
    <cellStyle name="Percent 5 12 30" xfId="24355"/>
    <cellStyle name="Percent 5 12 31" xfId="24356"/>
    <cellStyle name="Percent 5 12 32" xfId="24357"/>
    <cellStyle name="Percent 5 12 33" xfId="24358"/>
    <cellStyle name="Percent 5 12 34" xfId="24359"/>
    <cellStyle name="Percent 5 12 35" xfId="24360"/>
    <cellStyle name="Percent 5 12 36" xfId="24361"/>
    <cellStyle name="Percent 5 12 37" xfId="24362"/>
    <cellStyle name="Percent 5 12 38" xfId="24363"/>
    <cellStyle name="Percent 5 12 4" xfId="14514"/>
    <cellStyle name="Percent 5 12 5" xfId="14515"/>
    <cellStyle name="Percent 5 12 6" xfId="14516"/>
    <cellStyle name="Percent 5 12 7" xfId="14517"/>
    <cellStyle name="Percent 5 12 8" xfId="14518"/>
    <cellStyle name="Percent 5 12 9" xfId="14519"/>
    <cellStyle name="Percent 5 13" xfId="771"/>
    <cellStyle name="Percent 5 13 10" xfId="14520"/>
    <cellStyle name="Percent 5 13 11" xfId="14521"/>
    <cellStyle name="Percent 5 13 12" xfId="14522"/>
    <cellStyle name="Percent 5 13 13" xfId="14523"/>
    <cellStyle name="Percent 5 13 14" xfId="14524"/>
    <cellStyle name="Percent 5 13 15" xfId="14525"/>
    <cellStyle name="Percent 5 13 16" xfId="14526"/>
    <cellStyle name="Percent 5 13 17" xfId="14527"/>
    <cellStyle name="Percent 5 13 18" xfId="14528"/>
    <cellStyle name="Percent 5 13 19" xfId="14529"/>
    <cellStyle name="Percent 5 13 2" xfId="772"/>
    <cellStyle name="Percent 5 13 20" xfId="14530"/>
    <cellStyle name="Percent 5 13 21" xfId="14531"/>
    <cellStyle name="Percent 5 13 22" xfId="14532"/>
    <cellStyle name="Percent 5 13 23" xfId="14533"/>
    <cellStyle name="Percent 5 13 24" xfId="14534"/>
    <cellStyle name="Percent 5 13 25" xfId="14535"/>
    <cellStyle name="Percent 5 13 26" xfId="24364"/>
    <cellStyle name="Percent 5 13 27" xfId="24365"/>
    <cellStyle name="Percent 5 13 28" xfId="24366"/>
    <cellStyle name="Percent 5 13 29" xfId="24367"/>
    <cellStyle name="Percent 5 13 3" xfId="14536"/>
    <cellStyle name="Percent 5 13 30" xfId="24368"/>
    <cellStyle name="Percent 5 13 31" xfId="24369"/>
    <cellStyle name="Percent 5 13 32" xfId="24370"/>
    <cellStyle name="Percent 5 13 33" xfId="24371"/>
    <cellStyle name="Percent 5 13 34" xfId="24372"/>
    <cellStyle name="Percent 5 13 35" xfId="24373"/>
    <cellStyle name="Percent 5 13 36" xfId="24374"/>
    <cellStyle name="Percent 5 13 37" xfId="24375"/>
    <cellStyle name="Percent 5 13 38" xfId="24376"/>
    <cellStyle name="Percent 5 13 4" xfId="14537"/>
    <cellStyle name="Percent 5 13 5" xfId="14538"/>
    <cellStyle name="Percent 5 13 6" xfId="14539"/>
    <cellStyle name="Percent 5 13 7" xfId="14540"/>
    <cellStyle name="Percent 5 13 8" xfId="14541"/>
    <cellStyle name="Percent 5 13 9" xfId="14542"/>
    <cellStyle name="Percent 5 14" xfId="773"/>
    <cellStyle name="Percent 5 14 10" xfId="14543"/>
    <cellStyle name="Percent 5 14 11" xfId="14544"/>
    <cellStyle name="Percent 5 14 12" xfId="14545"/>
    <cellStyle name="Percent 5 14 13" xfId="14546"/>
    <cellStyle name="Percent 5 14 14" xfId="14547"/>
    <cellStyle name="Percent 5 14 15" xfId="14548"/>
    <cellStyle name="Percent 5 14 16" xfId="14549"/>
    <cellStyle name="Percent 5 14 17" xfId="14550"/>
    <cellStyle name="Percent 5 14 18" xfId="14551"/>
    <cellStyle name="Percent 5 14 19" xfId="14552"/>
    <cellStyle name="Percent 5 14 2" xfId="14553"/>
    <cellStyle name="Percent 5 14 20" xfId="14554"/>
    <cellStyle name="Percent 5 14 21" xfId="14555"/>
    <cellStyle name="Percent 5 14 22" xfId="14556"/>
    <cellStyle name="Percent 5 14 23" xfId="14557"/>
    <cellStyle name="Percent 5 14 24" xfId="24377"/>
    <cellStyle name="Percent 5 14 25" xfId="24378"/>
    <cellStyle name="Percent 5 14 26" xfId="24379"/>
    <cellStyle name="Percent 5 14 27" xfId="24380"/>
    <cellStyle name="Percent 5 14 28" xfId="24381"/>
    <cellStyle name="Percent 5 14 29" xfId="24382"/>
    <cellStyle name="Percent 5 14 3" xfId="14558"/>
    <cellStyle name="Percent 5 14 30" xfId="24383"/>
    <cellStyle name="Percent 5 14 31" xfId="24384"/>
    <cellStyle name="Percent 5 14 32" xfId="24385"/>
    <cellStyle name="Percent 5 14 33" xfId="24386"/>
    <cellStyle name="Percent 5 14 34" xfId="24387"/>
    <cellStyle name="Percent 5 14 35" xfId="24388"/>
    <cellStyle name="Percent 5 14 36" xfId="24389"/>
    <cellStyle name="Percent 5 14 4" xfId="14559"/>
    <cellStyle name="Percent 5 14 5" xfId="14560"/>
    <cellStyle name="Percent 5 14 6" xfId="14561"/>
    <cellStyle name="Percent 5 14 7" xfId="14562"/>
    <cellStyle name="Percent 5 14 8" xfId="14563"/>
    <cellStyle name="Percent 5 14 9" xfId="14564"/>
    <cellStyle name="Percent 5 15" xfId="774"/>
    <cellStyle name="Percent 5 15 10" xfId="14565"/>
    <cellStyle name="Percent 5 15 11" xfId="14566"/>
    <cellStyle name="Percent 5 15 12" xfId="14567"/>
    <cellStyle name="Percent 5 15 13" xfId="14568"/>
    <cellStyle name="Percent 5 15 14" xfId="14569"/>
    <cellStyle name="Percent 5 15 15" xfId="14570"/>
    <cellStyle name="Percent 5 15 16" xfId="14571"/>
    <cellStyle name="Percent 5 15 17" xfId="14572"/>
    <cellStyle name="Percent 5 15 18" xfId="14573"/>
    <cellStyle name="Percent 5 15 19" xfId="14574"/>
    <cellStyle name="Percent 5 15 2" xfId="14575"/>
    <cellStyle name="Percent 5 15 20" xfId="14576"/>
    <cellStyle name="Percent 5 15 21" xfId="14577"/>
    <cellStyle name="Percent 5 15 22" xfId="14578"/>
    <cellStyle name="Percent 5 15 23" xfId="14579"/>
    <cellStyle name="Percent 5 15 24" xfId="24390"/>
    <cellStyle name="Percent 5 15 25" xfId="24391"/>
    <cellStyle name="Percent 5 15 26" xfId="24392"/>
    <cellStyle name="Percent 5 15 27" xfId="24393"/>
    <cellStyle name="Percent 5 15 28" xfId="24394"/>
    <cellStyle name="Percent 5 15 29" xfId="24395"/>
    <cellStyle name="Percent 5 15 3" xfId="14580"/>
    <cellStyle name="Percent 5 15 30" xfId="24396"/>
    <cellStyle name="Percent 5 15 31" xfId="24397"/>
    <cellStyle name="Percent 5 15 32" xfId="24398"/>
    <cellStyle name="Percent 5 15 33" xfId="24399"/>
    <cellStyle name="Percent 5 15 34" xfId="24400"/>
    <cellStyle name="Percent 5 15 35" xfId="24401"/>
    <cellStyle name="Percent 5 15 36" xfId="24402"/>
    <cellStyle name="Percent 5 15 4" xfId="14581"/>
    <cellStyle name="Percent 5 15 5" xfId="14582"/>
    <cellStyle name="Percent 5 15 6" xfId="14583"/>
    <cellStyle name="Percent 5 15 7" xfId="14584"/>
    <cellStyle name="Percent 5 15 8" xfId="14585"/>
    <cellStyle name="Percent 5 15 9" xfId="14586"/>
    <cellStyle name="Percent 5 16" xfId="775"/>
    <cellStyle name="Percent 5 16 10" xfId="14587"/>
    <cellStyle name="Percent 5 16 11" xfId="14588"/>
    <cellStyle name="Percent 5 16 12" xfId="14589"/>
    <cellStyle name="Percent 5 16 13" xfId="14590"/>
    <cellStyle name="Percent 5 16 14" xfId="14591"/>
    <cellStyle name="Percent 5 16 15" xfId="14592"/>
    <cellStyle name="Percent 5 16 16" xfId="14593"/>
    <cellStyle name="Percent 5 16 17" xfId="14594"/>
    <cellStyle name="Percent 5 16 18" xfId="14595"/>
    <cellStyle name="Percent 5 16 19" xfId="14596"/>
    <cellStyle name="Percent 5 16 2" xfId="14597"/>
    <cellStyle name="Percent 5 16 20" xfId="14598"/>
    <cellStyle name="Percent 5 16 21" xfId="14599"/>
    <cellStyle name="Percent 5 16 22" xfId="14600"/>
    <cellStyle name="Percent 5 16 23" xfId="14601"/>
    <cellStyle name="Percent 5 16 24" xfId="24403"/>
    <cellStyle name="Percent 5 16 25" xfId="24404"/>
    <cellStyle name="Percent 5 16 26" xfId="24405"/>
    <cellStyle name="Percent 5 16 27" xfId="24406"/>
    <cellStyle name="Percent 5 16 28" xfId="24407"/>
    <cellStyle name="Percent 5 16 29" xfId="24408"/>
    <cellStyle name="Percent 5 16 3" xfId="14602"/>
    <cellStyle name="Percent 5 16 30" xfId="24409"/>
    <cellStyle name="Percent 5 16 31" xfId="24410"/>
    <cellStyle name="Percent 5 16 32" xfId="24411"/>
    <cellStyle name="Percent 5 16 33" xfId="24412"/>
    <cellStyle name="Percent 5 16 34" xfId="24413"/>
    <cellStyle name="Percent 5 16 35" xfId="24414"/>
    <cellStyle name="Percent 5 16 36" xfId="24415"/>
    <cellStyle name="Percent 5 16 4" xfId="14603"/>
    <cellStyle name="Percent 5 16 5" xfId="14604"/>
    <cellStyle name="Percent 5 16 6" xfId="14605"/>
    <cellStyle name="Percent 5 16 7" xfId="14606"/>
    <cellStyle name="Percent 5 16 8" xfId="14607"/>
    <cellStyle name="Percent 5 16 9" xfId="14608"/>
    <cellStyle name="Percent 5 17" xfId="776"/>
    <cellStyle name="Percent 5 17 10" xfId="14609"/>
    <cellStyle name="Percent 5 17 11" xfId="14610"/>
    <cellStyle name="Percent 5 17 12" xfId="14611"/>
    <cellStyle name="Percent 5 17 13" xfId="14612"/>
    <cellStyle name="Percent 5 17 14" xfId="14613"/>
    <cellStyle name="Percent 5 17 15" xfId="14614"/>
    <cellStyle name="Percent 5 17 16" xfId="14615"/>
    <cellStyle name="Percent 5 17 17" xfId="14616"/>
    <cellStyle name="Percent 5 17 18" xfId="14617"/>
    <cellStyle name="Percent 5 17 19" xfId="14618"/>
    <cellStyle name="Percent 5 17 2" xfId="14619"/>
    <cellStyle name="Percent 5 17 20" xfId="14620"/>
    <cellStyle name="Percent 5 17 21" xfId="14621"/>
    <cellStyle name="Percent 5 17 22" xfId="14622"/>
    <cellStyle name="Percent 5 17 23" xfId="14623"/>
    <cellStyle name="Percent 5 17 24" xfId="24416"/>
    <cellStyle name="Percent 5 17 25" xfId="24417"/>
    <cellStyle name="Percent 5 17 26" xfId="24418"/>
    <cellStyle name="Percent 5 17 27" xfId="24419"/>
    <cellStyle name="Percent 5 17 28" xfId="24420"/>
    <cellStyle name="Percent 5 17 29" xfId="24421"/>
    <cellStyle name="Percent 5 17 3" xfId="14624"/>
    <cellStyle name="Percent 5 17 30" xfId="24422"/>
    <cellStyle name="Percent 5 17 31" xfId="24423"/>
    <cellStyle name="Percent 5 17 32" xfId="24424"/>
    <cellStyle name="Percent 5 17 33" xfId="24425"/>
    <cellStyle name="Percent 5 17 34" xfId="24426"/>
    <cellStyle name="Percent 5 17 35" xfId="24427"/>
    <cellStyle name="Percent 5 17 36" xfId="24428"/>
    <cellStyle name="Percent 5 17 4" xfId="14625"/>
    <cellStyle name="Percent 5 17 5" xfId="14626"/>
    <cellStyle name="Percent 5 17 6" xfId="14627"/>
    <cellStyle name="Percent 5 17 7" xfId="14628"/>
    <cellStyle name="Percent 5 17 8" xfId="14629"/>
    <cellStyle name="Percent 5 17 9" xfId="14630"/>
    <cellStyle name="Percent 5 18" xfId="777"/>
    <cellStyle name="Percent 5 18 10" xfId="14631"/>
    <cellStyle name="Percent 5 18 11" xfId="14632"/>
    <cellStyle name="Percent 5 18 12" xfId="14633"/>
    <cellStyle name="Percent 5 18 13" xfId="14634"/>
    <cellStyle name="Percent 5 18 14" xfId="14635"/>
    <cellStyle name="Percent 5 18 15" xfId="14636"/>
    <cellStyle name="Percent 5 18 16" xfId="14637"/>
    <cellStyle name="Percent 5 18 17" xfId="14638"/>
    <cellStyle name="Percent 5 18 18" xfId="14639"/>
    <cellStyle name="Percent 5 18 19" xfId="14640"/>
    <cellStyle name="Percent 5 18 2" xfId="14641"/>
    <cellStyle name="Percent 5 18 20" xfId="14642"/>
    <cellStyle name="Percent 5 18 21" xfId="14643"/>
    <cellStyle name="Percent 5 18 22" xfId="14644"/>
    <cellStyle name="Percent 5 18 23" xfId="14645"/>
    <cellStyle name="Percent 5 18 24" xfId="24429"/>
    <cellStyle name="Percent 5 18 25" xfId="24430"/>
    <cellStyle name="Percent 5 18 26" xfId="24431"/>
    <cellStyle name="Percent 5 18 27" xfId="24432"/>
    <cellStyle name="Percent 5 18 28" xfId="24433"/>
    <cellStyle name="Percent 5 18 29" xfId="24434"/>
    <cellStyle name="Percent 5 18 3" xfId="14646"/>
    <cellStyle name="Percent 5 18 30" xfId="24435"/>
    <cellStyle name="Percent 5 18 31" xfId="24436"/>
    <cellStyle name="Percent 5 18 32" xfId="24437"/>
    <cellStyle name="Percent 5 18 33" xfId="24438"/>
    <cellStyle name="Percent 5 18 34" xfId="24439"/>
    <cellStyle name="Percent 5 18 35" xfId="24440"/>
    <cellStyle name="Percent 5 18 36" xfId="24441"/>
    <cellStyle name="Percent 5 18 4" xfId="14647"/>
    <cellStyle name="Percent 5 18 5" xfId="14648"/>
    <cellStyle name="Percent 5 18 6" xfId="14649"/>
    <cellStyle name="Percent 5 18 7" xfId="14650"/>
    <cellStyle name="Percent 5 18 8" xfId="14651"/>
    <cellStyle name="Percent 5 18 9" xfId="14652"/>
    <cellStyle name="Percent 5 19" xfId="778"/>
    <cellStyle name="Percent 5 19 10" xfId="14653"/>
    <cellStyle name="Percent 5 19 11" xfId="14654"/>
    <cellStyle name="Percent 5 19 12" xfId="14655"/>
    <cellStyle name="Percent 5 19 13" xfId="14656"/>
    <cellStyle name="Percent 5 19 14" xfId="14657"/>
    <cellStyle name="Percent 5 19 15" xfId="14658"/>
    <cellStyle name="Percent 5 19 16" xfId="14659"/>
    <cellStyle name="Percent 5 19 17" xfId="14660"/>
    <cellStyle name="Percent 5 19 18" xfId="14661"/>
    <cellStyle name="Percent 5 19 19" xfId="14662"/>
    <cellStyle name="Percent 5 19 2" xfId="14663"/>
    <cellStyle name="Percent 5 19 20" xfId="14664"/>
    <cellStyle name="Percent 5 19 21" xfId="14665"/>
    <cellStyle name="Percent 5 19 22" xfId="14666"/>
    <cellStyle name="Percent 5 19 23" xfId="14667"/>
    <cellStyle name="Percent 5 19 24" xfId="24442"/>
    <cellStyle name="Percent 5 19 25" xfId="24443"/>
    <cellStyle name="Percent 5 19 26" xfId="24444"/>
    <cellStyle name="Percent 5 19 27" xfId="24445"/>
    <cellStyle name="Percent 5 19 28" xfId="24446"/>
    <cellStyle name="Percent 5 19 29" xfId="24447"/>
    <cellStyle name="Percent 5 19 3" xfId="14668"/>
    <cellStyle name="Percent 5 19 30" xfId="24448"/>
    <cellStyle name="Percent 5 19 31" xfId="24449"/>
    <cellStyle name="Percent 5 19 32" xfId="24450"/>
    <cellStyle name="Percent 5 19 33" xfId="24451"/>
    <cellStyle name="Percent 5 19 34" xfId="24452"/>
    <cellStyle name="Percent 5 19 35" xfId="24453"/>
    <cellStyle name="Percent 5 19 36" xfId="24454"/>
    <cellStyle name="Percent 5 19 4" xfId="14669"/>
    <cellStyle name="Percent 5 19 5" xfId="14670"/>
    <cellStyle name="Percent 5 19 6" xfId="14671"/>
    <cellStyle name="Percent 5 19 7" xfId="14672"/>
    <cellStyle name="Percent 5 19 8" xfId="14673"/>
    <cellStyle name="Percent 5 19 9" xfId="14674"/>
    <cellStyle name="Percent 5 2" xfId="779"/>
    <cellStyle name="Percent 5 2 10" xfId="14675"/>
    <cellStyle name="Percent 5 2 11" xfId="14676"/>
    <cellStyle name="Percent 5 2 12" xfId="14677"/>
    <cellStyle name="Percent 5 2 13" xfId="14678"/>
    <cellStyle name="Percent 5 2 14" xfId="14679"/>
    <cellStyle name="Percent 5 2 15" xfId="14680"/>
    <cellStyle name="Percent 5 2 16" xfId="14681"/>
    <cellStyle name="Percent 5 2 17" xfId="14682"/>
    <cellStyle name="Percent 5 2 18" xfId="14683"/>
    <cellStyle name="Percent 5 2 19" xfId="14684"/>
    <cellStyle name="Percent 5 2 2" xfId="780"/>
    <cellStyle name="Percent 5 2 20" xfId="14685"/>
    <cellStyle name="Percent 5 2 21" xfId="14686"/>
    <cellStyle name="Percent 5 2 22" xfId="14687"/>
    <cellStyle name="Percent 5 2 23" xfId="14688"/>
    <cellStyle name="Percent 5 2 24" xfId="14689"/>
    <cellStyle name="Percent 5 2 25" xfId="14690"/>
    <cellStyle name="Percent 5 2 26" xfId="24455"/>
    <cellStyle name="Percent 5 2 27" xfId="24456"/>
    <cellStyle name="Percent 5 2 28" xfId="24457"/>
    <cellStyle name="Percent 5 2 29" xfId="24458"/>
    <cellStyle name="Percent 5 2 3" xfId="14691"/>
    <cellStyle name="Percent 5 2 30" xfId="24459"/>
    <cellStyle name="Percent 5 2 31" xfId="24460"/>
    <cellStyle name="Percent 5 2 32" xfId="24461"/>
    <cellStyle name="Percent 5 2 33" xfId="24462"/>
    <cellStyle name="Percent 5 2 34" xfId="24463"/>
    <cellStyle name="Percent 5 2 35" xfId="24464"/>
    <cellStyle name="Percent 5 2 36" xfId="24465"/>
    <cellStyle name="Percent 5 2 37" xfId="24466"/>
    <cellStyle name="Percent 5 2 38" xfId="24467"/>
    <cellStyle name="Percent 5 2 4" xfId="14692"/>
    <cellStyle name="Percent 5 2 5" xfId="14693"/>
    <cellStyle name="Percent 5 2 6" xfId="14694"/>
    <cellStyle name="Percent 5 2 7" xfId="14695"/>
    <cellStyle name="Percent 5 2 8" xfId="14696"/>
    <cellStyle name="Percent 5 2 9" xfId="14697"/>
    <cellStyle name="Percent 5 20" xfId="781"/>
    <cellStyle name="Percent 5 20 10" xfId="14698"/>
    <cellStyle name="Percent 5 20 11" xfId="14699"/>
    <cellStyle name="Percent 5 20 12" xfId="14700"/>
    <cellStyle name="Percent 5 20 13" xfId="14701"/>
    <cellStyle name="Percent 5 20 14" xfId="14702"/>
    <cellStyle name="Percent 5 20 15" xfId="14703"/>
    <cellStyle name="Percent 5 20 16" xfId="14704"/>
    <cellStyle name="Percent 5 20 17" xfId="14705"/>
    <cellStyle name="Percent 5 20 18" xfId="14706"/>
    <cellStyle name="Percent 5 20 19" xfId="14707"/>
    <cellStyle name="Percent 5 20 2" xfId="14708"/>
    <cellStyle name="Percent 5 20 20" xfId="14709"/>
    <cellStyle name="Percent 5 20 21" xfId="14710"/>
    <cellStyle name="Percent 5 20 22" xfId="14711"/>
    <cellStyle name="Percent 5 20 23" xfId="14712"/>
    <cellStyle name="Percent 5 20 24" xfId="24468"/>
    <cellStyle name="Percent 5 20 25" xfId="24469"/>
    <cellStyle name="Percent 5 20 26" xfId="24470"/>
    <cellStyle name="Percent 5 20 27" xfId="24471"/>
    <cellStyle name="Percent 5 20 28" xfId="24472"/>
    <cellStyle name="Percent 5 20 29" xfId="24473"/>
    <cellStyle name="Percent 5 20 3" xfId="14713"/>
    <cellStyle name="Percent 5 20 30" xfId="24474"/>
    <cellStyle name="Percent 5 20 31" xfId="24475"/>
    <cellStyle name="Percent 5 20 32" xfId="24476"/>
    <cellStyle name="Percent 5 20 33" xfId="24477"/>
    <cellStyle name="Percent 5 20 34" xfId="24478"/>
    <cellStyle name="Percent 5 20 35" xfId="24479"/>
    <cellStyle name="Percent 5 20 36" xfId="24480"/>
    <cellStyle name="Percent 5 20 4" xfId="14714"/>
    <cellStyle name="Percent 5 20 5" xfId="14715"/>
    <cellStyle name="Percent 5 20 6" xfId="14716"/>
    <cellStyle name="Percent 5 20 7" xfId="14717"/>
    <cellStyle name="Percent 5 20 8" xfId="14718"/>
    <cellStyle name="Percent 5 20 9" xfId="14719"/>
    <cellStyle name="Percent 5 21" xfId="782"/>
    <cellStyle name="Percent 5 21 10" xfId="14720"/>
    <cellStyle name="Percent 5 21 11" xfId="14721"/>
    <cellStyle name="Percent 5 21 12" xfId="14722"/>
    <cellStyle name="Percent 5 21 13" xfId="14723"/>
    <cellStyle name="Percent 5 21 14" xfId="14724"/>
    <cellStyle name="Percent 5 21 15" xfId="14725"/>
    <cellStyle name="Percent 5 21 16" xfId="14726"/>
    <cellStyle name="Percent 5 21 17" xfId="14727"/>
    <cellStyle name="Percent 5 21 18" xfId="14728"/>
    <cellStyle name="Percent 5 21 19" xfId="14729"/>
    <cellStyle name="Percent 5 21 2" xfId="14730"/>
    <cellStyle name="Percent 5 21 20" xfId="14731"/>
    <cellStyle name="Percent 5 21 21" xfId="14732"/>
    <cellStyle name="Percent 5 21 22" xfId="14733"/>
    <cellStyle name="Percent 5 21 23" xfId="14734"/>
    <cellStyle name="Percent 5 21 24" xfId="24481"/>
    <cellStyle name="Percent 5 21 25" xfId="24482"/>
    <cellStyle name="Percent 5 21 26" xfId="24483"/>
    <cellStyle name="Percent 5 21 27" xfId="24484"/>
    <cellStyle name="Percent 5 21 28" xfId="24485"/>
    <cellStyle name="Percent 5 21 29" xfId="24486"/>
    <cellStyle name="Percent 5 21 3" xfId="14735"/>
    <cellStyle name="Percent 5 21 30" xfId="24487"/>
    <cellStyle name="Percent 5 21 31" xfId="24488"/>
    <cellStyle name="Percent 5 21 32" xfId="24489"/>
    <cellStyle name="Percent 5 21 33" xfId="24490"/>
    <cellStyle name="Percent 5 21 34" xfId="24491"/>
    <cellStyle name="Percent 5 21 35" xfId="24492"/>
    <cellStyle name="Percent 5 21 36" xfId="24493"/>
    <cellStyle name="Percent 5 21 4" xfId="14736"/>
    <cellStyle name="Percent 5 21 5" xfId="14737"/>
    <cellStyle name="Percent 5 21 6" xfId="14738"/>
    <cellStyle name="Percent 5 21 7" xfId="14739"/>
    <cellStyle name="Percent 5 21 8" xfId="14740"/>
    <cellStyle name="Percent 5 21 9" xfId="14741"/>
    <cellStyle name="Percent 5 22" xfId="783"/>
    <cellStyle name="Percent 5 22 10" xfId="14742"/>
    <cellStyle name="Percent 5 22 11" xfId="14743"/>
    <cellStyle name="Percent 5 22 12" xfId="14744"/>
    <cellStyle name="Percent 5 22 13" xfId="14745"/>
    <cellStyle name="Percent 5 22 14" xfId="14746"/>
    <cellStyle name="Percent 5 22 15" xfId="14747"/>
    <cellStyle name="Percent 5 22 16" xfId="14748"/>
    <cellStyle name="Percent 5 22 17" xfId="14749"/>
    <cellStyle name="Percent 5 22 18" xfId="14750"/>
    <cellStyle name="Percent 5 22 19" xfId="14751"/>
    <cellStyle name="Percent 5 22 2" xfId="14752"/>
    <cellStyle name="Percent 5 22 20" xfId="14753"/>
    <cellStyle name="Percent 5 22 21" xfId="14754"/>
    <cellStyle name="Percent 5 22 22" xfId="14755"/>
    <cellStyle name="Percent 5 22 23" xfId="14756"/>
    <cellStyle name="Percent 5 22 24" xfId="24494"/>
    <cellStyle name="Percent 5 22 25" xfId="24495"/>
    <cellStyle name="Percent 5 22 26" xfId="24496"/>
    <cellStyle name="Percent 5 22 27" xfId="24497"/>
    <cellStyle name="Percent 5 22 28" xfId="24498"/>
    <cellStyle name="Percent 5 22 29" xfId="24499"/>
    <cellStyle name="Percent 5 22 3" xfId="14757"/>
    <cellStyle name="Percent 5 22 30" xfId="24500"/>
    <cellStyle name="Percent 5 22 31" xfId="24501"/>
    <cellStyle name="Percent 5 22 32" xfId="24502"/>
    <cellStyle name="Percent 5 22 33" xfId="24503"/>
    <cellStyle name="Percent 5 22 34" xfId="24504"/>
    <cellStyle name="Percent 5 22 35" xfId="24505"/>
    <cellStyle name="Percent 5 22 36" xfId="24506"/>
    <cellStyle name="Percent 5 22 4" xfId="14758"/>
    <cellStyle name="Percent 5 22 5" xfId="14759"/>
    <cellStyle name="Percent 5 22 6" xfId="14760"/>
    <cellStyle name="Percent 5 22 7" xfId="14761"/>
    <cellStyle name="Percent 5 22 8" xfId="14762"/>
    <cellStyle name="Percent 5 22 9" xfId="14763"/>
    <cellStyle name="Percent 5 23" xfId="784"/>
    <cellStyle name="Percent 5 23 10" xfId="14764"/>
    <cellStyle name="Percent 5 23 11" xfId="14765"/>
    <cellStyle name="Percent 5 23 12" xfId="14766"/>
    <cellStyle name="Percent 5 23 13" xfId="14767"/>
    <cellStyle name="Percent 5 23 14" xfId="14768"/>
    <cellStyle name="Percent 5 23 15" xfId="14769"/>
    <cellStyle name="Percent 5 23 16" xfId="14770"/>
    <cellStyle name="Percent 5 23 17" xfId="14771"/>
    <cellStyle name="Percent 5 23 18" xfId="14772"/>
    <cellStyle name="Percent 5 23 19" xfId="14773"/>
    <cellStyle name="Percent 5 23 2" xfId="14774"/>
    <cellStyle name="Percent 5 23 20" xfId="14775"/>
    <cellStyle name="Percent 5 23 21" xfId="14776"/>
    <cellStyle name="Percent 5 23 22" xfId="14777"/>
    <cellStyle name="Percent 5 23 23" xfId="14778"/>
    <cellStyle name="Percent 5 23 24" xfId="24507"/>
    <cellStyle name="Percent 5 23 25" xfId="24508"/>
    <cellStyle name="Percent 5 23 26" xfId="24509"/>
    <cellStyle name="Percent 5 23 27" xfId="24510"/>
    <cellStyle name="Percent 5 23 28" xfId="24511"/>
    <cellStyle name="Percent 5 23 29" xfId="24512"/>
    <cellStyle name="Percent 5 23 3" xfId="14779"/>
    <cellStyle name="Percent 5 23 30" xfId="24513"/>
    <cellStyle name="Percent 5 23 31" xfId="24514"/>
    <cellStyle name="Percent 5 23 32" xfId="24515"/>
    <cellStyle name="Percent 5 23 33" xfId="24516"/>
    <cellStyle name="Percent 5 23 34" xfId="24517"/>
    <cellStyle name="Percent 5 23 35" xfId="24518"/>
    <cellStyle name="Percent 5 23 36" xfId="24519"/>
    <cellStyle name="Percent 5 23 4" xfId="14780"/>
    <cellStyle name="Percent 5 23 5" xfId="14781"/>
    <cellStyle name="Percent 5 23 6" xfId="14782"/>
    <cellStyle name="Percent 5 23 7" xfId="14783"/>
    <cellStyle name="Percent 5 23 8" xfId="14784"/>
    <cellStyle name="Percent 5 23 9" xfId="14785"/>
    <cellStyle name="Percent 5 24" xfId="785"/>
    <cellStyle name="Percent 5 24 10" xfId="14786"/>
    <cellStyle name="Percent 5 24 11" xfId="14787"/>
    <cellStyle name="Percent 5 24 12" xfId="14788"/>
    <cellStyle name="Percent 5 24 13" xfId="14789"/>
    <cellStyle name="Percent 5 24 14" xfId="14790"/>
    <cellStyle name="Percent 5 24 15" xfId="14791"/>
    <cellStyle name="Percent 5 24 16" xfId="14792"/>
    <cellStyle name="Percent 5 24 17" xfId="14793"/>
    <cellStyle name="Percent 5 24 18" xfId="14794"/>
    <cellStyle name="Percent 5 24 19" xfId="14795"/>
    <cellStyle name="Percent 5 24 2" xfId="14796"/>
    <cellStyle name="Percent 5 24 20" xfId="14797"/>
    <cellStyle name="Percent 5 24 21" xfId="14798"/>
    <cellStyle name="Percent 5 24 22" xfId="14799"/>
    <cellStyle name="Percent 5 24 23" xfId="14800"/>
    <cellStyle name="Percent 5 24 24" xfId="24520"/>
    <cellStyle name="Percent 5 24 25" xfId="24521"/>
    <cellStyle name="Percent 5 24 26" xfId="24522"/>
    <cellStyle name="Percent 5 24 27" xfId="24523"/>
    <cellStyle name="Percent 5 24 28" xfId="24524"/>
    <cellStyle name="Percent 5 24 29" xfId="24525"/>
    <cellStyle name="Percent 5 24 3" xfId="14801"/>
    <cellStyle name="Percent 5 24 30" xfId="24526"/>
    <cellStyle name="Percent 5 24 31" xfId="24527"/>
    <cellStyle name="Percent 5 24 32" xfId="24528"/>
    <cellStyle name="Percent 5 24 33" xfId="24529"/>
    <cellStyle name="Percent 5 24 34" xfId="24530"/>
    <cellStyle name="Percent 5 24 35" xfId="24531"/>
    <cellStyle name="Percent 5 24 36" xfId="24532"/>
    <cellStyle name="Percent 5 24 4" xfId="14802"/>
    <cellStyle name="Percent 5 24 5" xfId="14803"/>
    <cellStyle name="Percent 5 24 6" xfId="14804"/>
    <cellStyle name="Percent 5 24 7" xfId="14805"/>
    <cellStyle name="Percent 5 24 8" xfId="14806"/>
    <cellStyle name="Percent 5 24 9" xfId="14807"/>
    <cellStyle name="Percent 5 25" xfId="786"/>
    <cellStyle name="Percent 5 25 10" xfId="14808"/>
    <cellStyle name="Percent 5 25 11" xfId="14809"/>
    <cellStyle name="Percent 5 25 12" xfId="14810"/>
    <cellStyle name="Percent 5 25 13" xfId="14811"/>
    <cellStyle name="Percent 5 25 14" xfId="14812"/>
    <cellStyle name="Percent 5 25 15" xfId="14813"/>
    <cellStyle name="Percent 5 25 16" xfId="14814"/>
    <cellStyle name="Percent 5 25 17" xfId="14815"/>
    <cellStyle name="Percent 5 25 18" xfId="14816"/>
    <cellStyle name="Percent 5 25 19" xfId="14817"/>
    <cellStyle name="Percent 5 25 2" xfId="14818"/>
    <cellStyle name="Percent 5 25 20" xfId="14819"/>
    <cellStyle name="Percent 5 25 21" xfId="14820"/>
    <cellStyle name="Percent 5 25 22" xfId="14821"/>
    <cellStyle name="Percent 5 25 23" xfId="14822"/>
    <cellStyle name="Percent 5 25 24" xfId="24533"/>
    <cellStyle name="Percent 5 25 25" xfId="24534"/>
    <cellStyle name="Percent 5 25 26" xfId="24535"/>
    <cellStyle name="Percent 5 25 27" xfId="24536"/>
    <cellStyle name="Percent 5 25 28" xfId="24537"/>
    <cellStyle name="Percent 5 25 29" xfId="24538"/>
    <cellStyle name="Percent 5 25 3" xfId="14823"/>
    <cellStyle name="Percent 5 25 30" xfId="24539"/>
    <cellStyle name="Percent 5 25 31" xfId="24540"/>
    <cellStyle name="Percent 5 25 32" xfId="24541"/>
    <cellStyle name="Percent 5 25 33" xfId="24542"/>
    <cellStyle name="Percent 5 25 34" xfId="24543"/>
    <cellStyle name="Percent 5 25 35" xfId="24544"/>
    <cellStyle name="Percent 5 25 36" xfId="24545"/>
    <cellStyle name="Percent 5 25 4" xfId="14824"/>
    <cellStyle name="Percent 5 25 5" xfId="14825"/>
    <cellStyle name="Percent 5 25 6" xfId="14826"/>
    <cellStyle name="Percent 5 25 7" xfId="14827"/>
    <cellStyle name="Percent 5 25 8" xfId="14828"/>
    <cellStyle name="Percent 5 25 9" xfId="14829"/>
    <cellStyle name="Percent 5 26" xfId="787"/>
    <cellStyle name="Percent 5 26 10" xfId="14830"/>
    <cellStyle name="Percent 5 26 11" xfId="14831"/>
    <cellStyle name="Percent 5 26 12" xfId="14832"/>
    <cellStyle name="Percent 5 26 13" xfId="14833"/>
    <cellStyle name="Percent 5 26 14" xfId="14834"/>
    <cellStyle name="Percent 5 26 15" xfId="14835"/>
    <cellStyle name="Percent 5 26 16" xfId="14836"/>
    <cellStyle name="Percent 5 26 17" xfId="14837"/>
    <cellStyle name="Percent 5 26 18" xfId="14838"/>
    <cellStyle name="Percent 5 26 19" xfId="14839"/>
    <cellStyle name="Percent 5 26 2" xfId="14840"/>
    <cellStyle name="Percent 5 26 20" xfId="14841"/>
    <cellStyle name="Percent 5 26 21" xfId="14842"/>
    <cellStyle name="Percent 5 26 22" xfId="14843"/>
    <cellStyle name="Percent 5 26 23" xfId="14844"/>
    <cellStyle name="Percent 5 26 24" xfId="24546"/>
    <cellStyle name="Percent 5 26 25" xfId="24547"/>
    <cellStyle name="Percent 5 26 26" xfId="24548"/>
    <cellStyle name="Percent 5 26 27" xfId="24549"/>
    <cellStyle name="Percent 5 26 28" xfId="24550"/>
    <cellStyle name="Percent 5 26 29" xfId="24551"/>
    <cellStyle name="Percent 5 26 3" xfId="14845"/>
    <cellStyle name="Percent 5 26 30" xfId="24552"/>
    <cellStyle name="Percent 5 26 31" xfId="24553"/>
    <cellStyle name="Percent 5 26 32" xfId="24554"/>
    <cellStyle name="Percent 5 26 33" xfId="24555"/>
    <cellStyle name="Percent 5 26 34" xfId="24556"/>
    <cellStyle name="Percent 5 26 35" xfId="24557"/>
    <cellStyle name="Percent 5 26 36" xfId="24558"/>
    <cellStyle name="Percent 5 26 4" xfId="14846"/>
    <cellStyle name="Percent 5 26 5" xfId="14847"/>
    <cellStyle name="Percent 5 26 6" xfId="14848"/>
    <cellStyle name="Percent 5 26 7" xfId="14849"/>
    <cellStyle name="Percent 5 26 8" xfId="14850"/>
    <cellStyle name="Percent 5 26 9" xfId="14851"/>
    <cellStyle name="Percent 5 27" xfId="788"/>
    <cellStyle name="Percent 5 28" xfId="1885"/>
    <cellStyle name="Percent 5 29" xfId="1926"/>
    <cellStyle name="Percent 5 3" xfId="789"/>
    <cellStyle name="Percent 5 3 10" xfId="14852"/>
    <cellStyle name="Percent 5 3 11" xfId="14853"/>
    <cellStyle name="Percent 5 3 12" xfId="14854"/>
    <cellStyle name="Percent 5 3 13" xfId="14855"/>
    <cellStyle name="Percent 5 3 14" xfId="14856"/>
    <cellStyle name="Percent 5 3 15" xfId="14857"/>
    <cellStyle name="Percent 5 3 16" xfId="14858"/>
    <cellStyle name="Percent 5 3 17" xfId="14859"/>
    <cellStyle name="Percent 5 3 18" xfId="14860"/>
    <cellStyle name="Percent 5 3 19" xfId="14861"/>
    <cellStyle name="Percent 5 3 2" xfId="790"/>
    <cellStyle name="Percent 5 3 20" xfId="14862"/>
    <cellStyle name="Percent 5 3 21" xfId="14863"/>
    <cellStyle name="Percent 5 3 22" xfId="14864"/>
    <cellStyle name="Percent 5 3 23" xfId="14865"/>
    <cellStyle name="Percent 5 3 24" xfId="14866"/>
    <cellStyle name="Percent 5 3 25" xfId="14867"/>
    <cellStyle name="Percent 5 3 26" xfId="24559"/>
    <cellStyle name="Percent 5 3 27" xfId="24560"/>
    <cellStyle name="Percent 5 3 28" xfId="24561"/>
    <cellStyle name="Percent 5 3 29" xfId="24562"/>
    <cellStyle name="Percent 5 3 3" xfId="14868"/>
    <cellStyle name="Percent 5 3 30" xfId="24563"/>
    <cellStyle name="Percent 5 3 31" xfId="24564"/>
    <cellStyle name="Percent 5 3 32" xfId="24565"/>
    <cellStyle name="Percent 5 3 33" xfId="24566"/>
    <cellStyle name="Percent 5 3 34" xfId="24567"/>
    <cellStyle name="Percent 5 3 35" xfId="24568"/>
    <cellStyle name="Percent 5 3 36" xfId="24569"/>
    <cellStyle name="Percent 5 3 37" xfId="24570"/>
    <cellStyle name="Percent 5 3 38" xfId="24571"/>
    <cellStyle name="Percent 5 3 4" xfId="14869"/>
    <cellStyle name="Percent 5 3 5" xfId="14870"/>
    <cellStyle name="Percent 5 3 6" xfId="14871"/>
    <cellStyle name="Percent 5 3 7" xfId="14872"/>
    <cellStyle name="Percent 5 3 8" xfId="14873"/>
    <cellStyle name="Percent 5 3 9" xfId="14874"/>
    <cellStyle name="Percent 5 30" xfId="1892"/>
    <cellStyle name="Percent 5 31" xfId="1902"/>
    <cellStyle name="Percent 5 32" xfId="1916"/>
    <cellStyle name="Percent 5 33" xfId="1937"/>
    <cellStyle name="Percent 5 34" xfId="1939"/>
    <cellStyle name="Percent 5 35" xfId="1941"/>
    <cellStyle name="Percent 5 36" xfId="1943"/>
    <cellStyle name="Percent 5 37" xfId="1945"/>
    <cellStyle name="Percent 5 38" xfId="1952"/>
    <cellStyle name="Percent 5 39" xfId="1955"/>
    <cellStyle name="Percent 5 4" xfId="791"/>
    <cellStyle name="Percent 5 4 10" xfId="14875"/>
    <cellStyle name="Percent 5 4 11" xfId="14876"/>
    <cellStyle name="Percent 5 4 12" xfId="14877"/>
    <cellStyle name="Percent 5 4 13" xfId="14878"/>
    <cellStyle name="Percent 5 4 14" xfId="14879"/>
    <cellStyle name="Percent 5 4 15" xfId="14880"/>
    <cellStyle name="Percent 5 4 16" xfId="14881"/>
    <cellStyle name="Percent 5 4 17" xfId="14882"/>
    <cellStyle name="Percent 5 4 18" xfId="14883"/>
    <cellStyle name="Percent 5 4 19" xfId="14884"/>
    <cellStyle name="Percent 5 4 2" xfId="792"/>
    <cellStyle name="Percent 5 4 20" xfId="14885"/>
    <cellStyle name="Percent 5 4 21" xfId="14886"/>
    <cellStyle name="Percent 5 4 22" xfId="14887"/>
    <cellStyle name="Percent 5 4 23" xfId="14888"/>
    <cellStyle name="Percent 5 4 24" xfId="14889"/>
    <cellStyle name="Percent 5 4 25" xfId="14890"/>
    <cellStyle name="Percent 5 4 26" xfId="24572"/>
    <cellStyle name="Percent 5 4 27" xfId="24573"/>
    <cellStyle name="Percent 5 4 28" xfId="24574"/>
    <cellStyle name="Percent 5 4 29" xfId="24575"/>
    <cellStyle name="Percent 5 4 3" xfId="14891"/>
    <cellStyle name="Percent 5 4 30" xfId="24576"/>
    <cellStyle name="Percent 5 4 31" xfId="24577"/>
    <cellStyle name="Percent 5 4 32" xfId="24578"/>
    <cellStyle name="Percent 5 4 33" xfId="24579"/>
    <cellStyle name="Percent 5 4 34" xfId="24580"/>
    <cellStyle name="Percent 5 4 35" xfId="24581"/>
    <cellStyle name="Percent 5 4 36" xfId="24582"/>
    <cellStyle name="Percent 5 4 37" xfId="24583"/>
    <cellStyle name="Percent 5 4 38" xfId="24584"/>
    <cellStyle name="Percent 5 4 4" xfId="14892"/>
    <cellStyle name="Percent 5 4 5" xfId="14893"/>
    <cellStyle name="Percent 5 4 6" xfId="14894"/>
    <cellStyle name="Percent 5 4 7" xfId="14895"/>
    <cellStyle name="Percent 5 4 8" xfId="14896"/>
    <cellStyle name="Percent 5 4 9" xfId="14897"/>
    <cellStyle name="Percent 5 40" xfId="1959"/>
    <cellStyle name="Percent 5 41" xfId="1963"/>
    <cellStyle name="Percent 5 42" xfId="1967"/>
    <cellStyle name="Percent 5 43" xfId="1971"/>
    <cellStyle name="Percent 5 44" xfId="1975"/>
    <cellStyle name="Percent 5 45" xfId="1979"/>
    <cellStyle name="Percent 5 46" xfId="1983"/>
    <cellStyle name="Percent 5 47" xfId="1987"/>
    <cellStyle name="Percent 5 48" xfId="1991"/>
    <cellStyle name="Percent 5 49" xfId="1995"/>
    <cellStyle name="Percent 5 5" xfId="793"/>
    <cellStyle name="Percent 5 5 10" xfId="14898"/>
    <cellStyle name="Percent 5 5 11" xfId="14899"/>
    <cellStyle name="Percent 5 5 12" xfId="14900"/>
    <cellStyle name="Percent 5 5 13" xfId="14901"/>
    <cellStyle name="Percent 5 5 14" xfId="14902"/>
    <cellStyle name="Percent 5 5 15" xfId="14903"/>
    <cellStyle name="Percent 5 5 16" xfId="14904"/>
    <cellStyle name="Percent 5 5 17" xfId="14905"/>
    <cellStyle name="Percent 5 5 18" xfId="14906"/>
    <cellStyle name="Percent 5 5 19" xfId="14907"/>
    <cellStyle name="Percent 5 5 2" xfId="794"/>
    <cellStyle name="Percent 5 5 20" xfId="14908"/>
    <cellStyle name="Percent 5 5 21" xfId="14909"/>
    <cellStyle name="Percent 5 5 22" xfId="14910"/>
    <cellStyle name="Percent 5 5 23" xfId="14911"/>
    <cellStyle name="Percent 5 5 24" xfId="14912"/>
    <cellStyle name="Percent 5 5 25" xfId="14913"/>
    <cellStyle name="Percent 5 5 26" xfId="24585"/>
    <cellStyle name="Percent 5 5 27" xfId="24586"/>
    <cellStyle name="Percent 5 5 28" xfId="24587"/>
    <cellStyle name="Percent 5 5 29" xfId="24588"/>
    <cellStyle name="Percent 5 5 3" xfId="14914"/>
    <cellStyle name="Percent 5 5 30" xfId="24589"/>
    <cellStyle name="Percent 5 5 31" xfId="24590"/>
    <cellStyle name="Percent 5 5 32" xfId="24591"/>
    <cellStyle name="Percent 5 5 33" xfId="24592"/>
    <cellStyle name="Percent 5 5 34" xfId="24593"/>
    <cellStyle name="Percent 5 5 35" xfId="24594"/>
    <cellStyle name="Percent 5 5 36" xfId="24595"/>
    <cellStyle name="Percent 5 5 37" xfId="24596"/>
    <cellStyle name="Percent 5 5 38" xfId="24597"/>
    <cellStyle name="Percent 5 5 4" xfId="14915"/>
    <cellStyle name="Percent 5 5 5" xfId="14916"/>
    <cellStyle name="Percent 5 5 6" xfId="14917"/>
    <cellStyle name="Percent 5 5 7" xfId="14918"/>
    <cellStyle name="Percent 5 5 8" xfId="14919"/>
    <cellStyle name="Percent 5 5 9" xfId="14920"/>
    <cellStyle name="Percent 5 50" xfId="1999"/>
    <cellStyle name="Percent 5 51" xfId="2003"/>
    <cellStyle name="Percent 5 52" xfId="2007"/>
    <cellStyle name="Percent 5 53" xfId="2011"/>
    <cellStyle name="Percent 5 54" xfId="2015"/>
    <cellStyle name="Percent 5 55" xfId="2019"/>
    <cellStyle name="Percent 5 56" xfId="2023"/>
    <cellStyle name="Percent 5 57" xfId="2027"/>
    <cellStyle name="Percent 5 58" xfId="2031"/>
    <cellStyle name="Percent 5 59" xfId="2035"/>
    <cellStyle name="Percent 5 6" xfId="795"/>
    <cellStyle name="Percent 5 6 10" xfId="14921"/>
    <cellStyle name="Percent 5 6 11" xfId="14922"/>
    <cellStyle name="Percent 5 6 12" xfId="14923"/>
    <cellStyle name="Percent 5 6 13" xfId="14924"/>
    <cellStyle name="Percent 5 6 14" xfId="14925"/>
    <cellStyle name="Percent 5 6 15" xfId="14926"/>
    <cellStyle name="Percent 5 6 16" xfId="14927"/>
    <cellStyle name="Percent 5 6 17" xfId="14928"/>
    <cellStyle name="Percent 5 6 18" xfId="14929"/>
    <cellStyle name="Percent 5 6 19" xfId="14930"/>
    <cellStyle name="Percent 5 6 2" xfId="796"/>
    <cellStyle name="Percent 5 6 20" xfId="14931"/>
    <cellStyle name="Percent 5 6 21" xfId="14932"/>
    <cellStyle name="Percent 5 6 22" xfId="14933"/>
    <cellStyle name="Percent 5 6 23" xfId="14934"/>
    <cellStyle name="Percent 5 6 24" xfId="14935"/>
    <cellStyle name="Percent 5 6 25" xfId="14936"/>
    <cellStyle name="Percent 5 6 26" xfId="24598"/>
    <cellStyle name="Percent 5 6 27" xfId="24599"/>
    <cellStyle name="Percent 5 6 28" xfId="24600"/>
    <cellStyle name="Percent 5 6 29" xfId="24601"/>
    <cellStyle name="Percent 5 6 3" xfId="14937"/>
    <cellStyle name="Percent 5 6 30" xfId="24602"/>
    <cellStyle name="Percent 5 6 31" xfId="24603"/>
    <cellStyle name="Percent 5 6 32" xfId="24604"/>
    <cellStyle name="Percent 5 6 33" xfId="24605"/>
    <cellStyle name="Percent 5 6 34" xfId="24606"/>
    <cellStyle name="Percent 5 6 35" xfId="24607"/>
    <cellStyle name="Percent 5 6 36" xfId="24608"/>
    <cellStyle name="Percent 5 6 37" xfId="24609"/>
    <cellStyle name="Percent 5 6 38" xfId="24610"/>
    <cellStyle name="Percent 5 6 4" xfId="14938"/>
    <cellStyle name="Percent 5 6 5" xfId="14939"/>
    <cellStyle name="Percent 5 6 6" xfId="14940"/>
    <cellStyle name="Percent 5 6 7" xfId="14941"/>
    <cellStyle name="Percent 5 6 8" xfId="14942"/>
    <cellStyle name="Percent 5 6 9" xfId="14943"/>
    <cellStyle name="Percent 5 60" xfId="2039"/>
    <cellStyle name="Percent 5 61" xfId="2043"/>
    <cellStyle name="Percent 5 62" xfId="2047"/>
    <cellStyle name="Percent 5 63" xfId="2051"/>
    <cellStyle name="Percent 5 64" xfId="2055"/>
    <cellStyle name="Percent 5 65" xfId="2059"/>
    <cellStyle name="Percent 5 66" xfId="2063"/>
    <cellStyle name="Percent 5 67" xfId="2071"/>
    <cellStyle name="Percent 5 68" xfId="2067"/>
    <cellStyle name="Percent 5 69" xfId="2076"/>
    <cellStyle name="Percent 5 7" xfId="63"/>
    <cellStyle name="Percent 5 7 10" xfId="2144"/>
    <cellStyle name="Percent 5 7 11" xfId="2803"/>
    <cellStyle name="Percent 5 7 12" xfId="2221"/>
    <cellStyle name="Percent 5 7 13" xfId="2491"/>
    <cellStyle name="Percent 5 7 14" xfId="2529"/>
    <cellStyle name="Percent 5 7 15" xfId="2577"/>
    <cellStyle name="Percent 5 7 16" xfId="2926"/>
    <cellStyle name="Percent 5 7 17" xfId="14944"/>
    <cellStyle name="Percent 5 7 18" xfId="14945"/>
    <cellStyle name="Percent 5 7 19" xfId="14946"/>
    <cellStyle name="Percent 5 7 2" xfId="117"/>
    <cellStyle name="Percent 5 7 20" xfId="14947"/>
    <cellStyle name="Percent 5 7 21" xfId="14948"/>
    <cellStyle name="Percent 5 7 22" xfId="14949"/>
    <cellStyle name="Percent 5 7 23" xfId="14950"/>
    <cellStyle name="Percent 5 7 24" xfId="14951"/>
    <cellStyle name="Percent 5 7 25" xfId="14952"/>
    <cellStyle name="Percent 5 7 26" xfId="24611"/>
    <cellStyle name="Percent 5 7 27" xfId="24612"/>
    <cellStyle name="Percent 5 7 28" xfId="24613"/>
    <cellStyle name="Percent 5 7 29" xfId="24614"/>
    <cellStyle name="Percent 5 7 3" xfId="1442"/>
    <cellStyle name="Percent 5 7 30" xfId="24615"/>
    <cellStyle name="Percent 5 7 31" xfId="24616"/>
    <cellStyle name="Percent 5 7 32" xfId="24617"/>
    <cellStyle name="Percent 5 7 33" xfId="24618"/>
    <cellStyle name="Percent 5 7 34" xfId="24619"/>
    <cellStyle name="Percent 5 7 35" xfId="24620"/>
    <cellStyle name="Percent 5 7 36" xfId="24621"/>
    <cellStyle name="Percent 5 7 37" xfId="24622"/>
    <cellStyle name="Percent 5 7 38" xfId="24623"/>
    <cellStyle name="Percent 5 7 4" xfId="1533"/>
    <cellStyle name="Percent 5 7 5" xfId="1586"/>
    <cellStyle name="Percent 5 7 6" xfId="1638"/>
    <cellStyle name="Percent 5 7 7" xfId="1744"/>
    <cellStyle name="Percent 5 7 8" xfId="1692"/>
    <cellStyle name="Percent 5 7 9" xfId="1801"/>
    <cellStyle name="Percent 5 70" xfId="14953"/>
    <cellStyle name="Percent 5 71" xfId="14954"/>
    <cellStyle name="Percent 5 72" xfId="14955"/>
    <cellStyle name="Percent 5 73" xfId="14956"/>
    <cellStyle name="Percent 5 74" xfId="24624"/>
    <cellStyle name="Percent 5 75" xfId="24625"/>
    <cellStyle name="Percent 5 76" xfId="24626"/>
    <cellStyle name="Percent 5 77" xfId="24627"/>
    <cellStyle name="Percent 5 78" xfId="24628"/>
    <cellStyle name="Percent 5 79" xfId="24629"/>
    <cellStyle name="Percent 5 8" xfId="797"/>
    <cellStyle name="Percent 5 8 10" xfId="14957"/>
    <cellStyle name="Percent 5 8 11" xfId="14958"/>
    <cellStyle name="Percent 5 8 12" xfId="14959"/>
    <cellStyle name="Percent 5 8 13" xfId="14960"/>
    <cellStyle name="Percent 5 8 14" xfId="14961"/>
    <cellStyle name="Percent 5 8 15" xfId="14962"/>
    <cellStyle name="Percent 5 8 16" xfId="14963"/>
    <cellStyle name="Percent 5 8 17" xfId="14964"/>
    <cellStyle name="Percent 5 8 18" xfId="14965"/>
    <cellStyle name="Percent 5 8 19" xfId="14966"/>
    <cellStyle name="Percent 5 8 2" xfId="798"/>
    <cellStyle name="Percent 5 8 20" xfId="14967"/>
    <cellStyle name="Percent 5 8 21" xfId="14968"/>
    <cellStyle name="Percent 5 8 22" xfId="14969"/>
    <cellStyle name="Percent 5 8 23" xfId="14970"/>
    <cellStyle name="Percent 5 8 24" xfId="14971"/>
    <cellStyle name="Percent 5 8 25" xfId="14972"/>
    <cellStyle name="Percent 5 8 26" xfId="24630"/>
    <cellStyle name="Percent 5 8 27" xfId="24631"/>
    <cellStyle name="Percent 5 8 28" xfId="24632"/>
    <cellStyle name="Percent 5 8 29" xfId="24633"/>
    <cellStyle name="Percent 5 8 3" xfId="14973"/>
    <cellStyle name="Percent 5 8 30" xfId="24634"/>
    <cellStyle name="Percent 5 8 31" xfId="24635"/>
    <cellStyle name="Percent 5 8 32" xfId="24636"/>
    <cellStyle name="Percent 5 8 33" xfId="24637"/>
    <cellStyle name="Percent 5 8 34" xfId="24638"/>
    <cellStyle name="Percent 5 8 35" xfId="24639"/>
    <cellStyle name="Percent 5 8 36" xfId="24640"/>
    <cellStyle name="Percent 5 8 37" xfId="24641"/>
    <cellStyle name="Percent 5 8 38" xfId="24642"/>
    <cellStyle name="Percent 5 8 4" xfId="14974"/>
    <cellStyle name="Percent 5 8 5" xfId="14975"/>
    <cellStyle name="Percent 5 8 6" xfId="14976"/>
    <cellStyle name="Percent 5 8 7" xfId="14977"/>
    <cellStyle name="Percent 5 8 8" xfId="14978"/>
    <cellStyle name="Percent 5 8 9" xfId="14979"/>
    <cellStyle name="Percent 5 80" xfId="24643"/>
    <cellStyle name="Percent 5 81" xfId="24644"/>
    <cellStyle name="Percent 5 82" xfId="24645"/>
    <cellStyle name="Percent 5 83" xfId="24646"/>
    <cellStyle name="Percent 5 84" xfId="24647"/>
    <cellStyle name="Percent 5 85" xfId="24648"/>
    <cellStyle name="Percent 5 86" xfId="24649"/>
    <cellStyle name="Percent 5 9" xfId="799"/>
    <cellStyle name="Percent 5 9 10" xfId="14980"/>
    <cellStyle name="Percent 5 9 11" xfId="14981"/>
    <cellStyle name="Percent 5 9 12" xfId="14982"/>
    <cellStyle name="Percent 5 9 13" xfId="14983"/>
    <cellStyle name="Percent 5 9 14" xfId="14984"/>
    <cellStyle name="Percent 5 9 15" xfId="14985"/>
    <cellStyle name="Percent 5 9 16" xfId="14986"/>
    <cellStyle name="Percent 5 9 17" xfId="14987"/>
    <cellStyle name="Percent 5 9 18" xfId="14988"/>
    <cellStyle name="Percent 5 9 19" xfId="14989"/>
    <cellStyle name="Percent 5 9 2" xfId="800"/>
    <cellStyle name="Percent 5 9 20" xfId="14990"/>
    <cellStyle name="Percent 5 9 21" xfId="14991"/>
    <cellStyle name="Percent 5 9 22" xfId="14992"/>
    <cellStyle name="Percent 5 9 23" xfId="14993"/>
    <cellStyle name="Percent 5 9 24" xfId="14994"/>
    <cellStyle name="Percent 5 9 25" xfId="14995"/>
    <cellStyle name="Percent 5 9 26" xfId="24650"/>
    <cellStyle name="Percent 5 9 27" xfId="24651"/>
    <cellStyle name="Percent 5 9 28" xfId="24652"/>
    <cellStyle name="Percent 5 9 29" xfId="24653"/>
    <cellStyle name="Percent 5 9 3" xfId="14996"/>
    <cellStyle name="Percent 5 9 30" xfId="24654"/>
    <cellStyle name="Percent 5 9 31" xfId="24655"/>
    <cellStyle name="Percent 5 9 32" xfId="24656"/>
    <cellStyle name="Percent 5 9 33" xfId="24657"/>
    <cellStyle name="Percent 5 9 34" xfId="24658"/>
    <cellStyle name="Percent 5 9 35" xfId="24659"/>
    <cellStyle name="Percent 5 9 36" xfId="24660"/>
    <cellStyle name="Percent 5 9 37" xfId="24661"/>
    <cellStyle name="Percent 5 9 38" xfId="24662"/>
    <cellStyle name="Percent 5 9 4" xfId="14997"/>
    <cellStyle name="Percent 5 9 5" xfId="14998"/>
    <cellStyle name="Percent 5 9 6" xfId="14999"/>
    <cellStyle name="Percent 5 9 7" xfId="15000"/>
    <cellStyle name="Percent 5 9 8" xfId="15001"/>
    <cellStyle name="Percent 5 9 9" xfId="15002"/>
    <cellStyle name="Percent 6" xfId="64"/>
    <cellStyle name="Percent 6 10" xfId="801"/>
    <cellStyle name="Percent 6 10 10" xfId="15003"/>
    <cellStyle name="Percent 6 10 11" xfId="15004"/>
    <cellStyle name="Percent 6 10 12" xfId="15005"/>
    <cellStyle name="Percent 6 10 13" xfId="15006"/>
    <cellStyle name="Percent 6 10 14" xfId="15007"/>
    <cellStyle name="Percent 6 10 15" xfId="15008"/>
    <cellStyle name="Percent 6 10 16" xfId="15009"/>
    <cellStyle name="Percent 6 10 17" xfId="15010"/>
    <cellStyle name="Percent 6 10 18" xfId="15011"/>
    <cellStyle name="Percent 6 10 19" xfId="15012"/>
    <cellStyle name="Percent 6 10 2" xfId="802"/>
    <cellStyle name="Percent 6 10 20" xfId="15013"/>
    <cellStyle name="Percent 6 10 21" xfId="15014"/>
    <cellStyle name="Percent 6 10 22" xfId="15015"/>
    <cellStyle name="Percent 6 10 23" xfId="15016"/>
    <cellStyle name="Percent 6 10 24" xfId="15017"/>
    <cellStyle name="Percent 6 10 25" xfId="24663"/>
    <cellStyle name="Percent 6 10 26" xfId="24664"/>
    <cellStyle name="Percent 6 10 27" xfId="24665"/>
    <cellStyle name="Percent 6 10 28" xfId="24666"/>
    <cellStyle name="Percent 6 10 29" xfId="24667"/>
    <cellStyle name="Percent 6 10 3" xfId="15018"/>
    <cellStyle name="Percent 6 10 30" xfId="24668"/>
    <cellStyle name="Percent 6 10 31" xfId="24669"/>
    <cellStyle name="Percent 6 10 32" xfId="24670"/>
    <cellStyle name="Percent 6 10 33" xfId="24671"/>
    <cellStyle name="Percent 6 10 34" xfId="24672"/>
    <cellStyle name="Percent 6 10 35" xfId="24673"/>
    <cellStyle name="Percent 6 10 36" xfId="24674"/>
    <cellStyle name="Percent 6 10 37" xfId="24675"/>
    <cellStyle name="Percent 6 10 4" xfId="15019"/>
    <cellStyle name="Percent 6 10 5" xfId="15020"/>
    <cellStyle name="Percent 6 10 6" xfId="15021"/>
    <cellStyle name="Percent 6 10 7" xfId="15022"/>
    <cellStyle name="Percent 6 10 8" xfId="15023"/>
    <cellStyle name="Percent 6 10 9" xfId="15024"/>
    <cellStyle name="Percent 6 11" xfId="803"/>
    <cellStyle name="Percent 6 11 10" xfId="15025"/>
    <cellStyle name="Percent 6 11 11" xfId="15026"/>
    <cellStyle name="Percent 6 11 12" xfId="15027"/>
    <cellStyle name="Percent 6 11 13" xfId="15028"/>
    <cellStyle name="Percent 6 11 14" xfId="15029"/>
    <cellStyle name="Percent 6 11 15" xfId="15030"/>
    <cellStyle name="Percent 6 11 16" xfId="15031"/>
    <cellStyle name="Percent 6 11 17" xfId="15032"/>
    <cellStyle name="Percent 6 11 18" xfId="15033"/>
    <cellStyle name="Percent 6 11 19" xfId="15034"/>
    <cellStyle name="Percent 6 11 2" xfId="804"/>
    <cellStyle name="Percent 6 11 20" xfId="15035"/>
    <cellStyle name="Percent 6 11 21" xfId="15036"/>
    <cellStyle name="Percent 6 11 22" xfId="15037"/>
    <cellStyle name="Percent 6 11 23" xfId="15038"/>
    <cellStyle name="Percent 6 11 24" xfId="15039"/>
    <cellStyle name="Percent 6 11 25" xfId="24676"/>
    <cellStyle name="Percent 6 11 26" xfId="24677"/>
    <cellStyle name="Percent 6 11 27" xfId="24678"/>
    <cellStyle name="Percent 6 11 28" xfId="24679"/>
    <cellStyle name="Percent 6 11 29" xfId="24680"/>
    <cellStyle name="Percent 6 11 3" xfId="15040"/>
    <cellStyle name="Percent 6 11 30" xfId="24681"/>
    <cellStyle name="Percent 6 11 31" xfId="24682"/>
    <cellStyle name="Percent 6 11 32" xfId="24683"/>
    <cellStyle name="Percent 6 11 33" xfId="24684"/>
    <cellStyle name="Percent 6 11 34" xfId="24685"/>
    <cellStyle name="Percent 6 11 35" xfId="24686"/>
    <cellStyle name="Percent 6 11 36" xfId="24687"/>
    <cellStyle name="Percent 6 11 37" xfId="24688"/>
    <cellStyle name="Percent 6 11 4" xfId="15041"/>
    <cellStyle name="Percent 6 11 5" xfId="15042"/>
    <cellStyle name="Percent 6 11 6" xfId="15043"/>
    <cellStyle name="Percent 6 11 7" xfId="15044"/>
    <cellStyle name="Percent 6 11 8" xfId="15045"/>
    <cellStyle name="Percent 6 11 9" xfId="15046"/>
    <cellStyle name="Percent 6 12" xfId="805"/>
    <cellStyle name="Percent 6 12 10" xfId="15047"/>
    <cellStyle name="Percent 6 12 11" xfId="15048"/>
    <cellStyle name="Percent 6 12 12" xfId="15049"/>
    <cellStyle name="Percent 6 12 13" xfId="15050"/>
    <cellStyle name="Percent 6 12 14" xfId="15051"/>
    <cellStyle name="Percent 6 12 15" xfId="15052"/>
    <cellStyle name="Percent 6 12 16" xfId="15053"/>
    <cellStyle name="Percent 6 12 17" xfId="15054"/>
    <cellStyle name="Percent 6 12 18" xfId="15055"/>
    <cellStyle name="Percent 6 12 19" xfId="15056"/>
    <cellStyle name="Percent 6 12 2" xfId="806"/>
    <cellStyle name="Percent 6 12 20" xfId="15057"/>
    <cellStyle name="Percent 6 12 21" xfId="15058"/>
    <cellStyle name="Percent 6 12 22" xfId="15059"/>
    <cellStyle name="Percent 6 12 23" xfId="15060"/>
    <cellStyle name="Percent 6 12 24" xfId="15061"/>
    <cellStyle name="Percent 6 12 25" xfId="24689"/>
    <cellStyle name="Percent 6 12 26" xfId="24690"/>
    <cellStyle name="Percent 6 12 27" xfId="24691"/>
    <cellStyle name="Percent 6 12 28" xfId="24692"/>
    <cellStyle name="Percent 6 12 29" xfId="24693"/>
    <cellStyle name="Percent 6 12 3" xfId="15062"/>
    <cellStyle name="Percent 6 12 30" xfId="24694"/>
    <cellStyle name="Percent 6 12 31" xfId="24695"/>
    <cellStyle name="Percent 6 12 32" xfId="24696"/>
    <cellStyle name="Percent 6 12 33" xfId="24697"/>
    <cellStyle name="Percent 6 12 34" xfId="24698"/>
    <cellStyle name="Percent 6 12 35" xfId="24699"/>
    <cellStyle name="Percent 6 12 36" xfId="24700"/>
    <cellStyle name="Percent 6 12 37" xfId="24701"/>
    <cellStyle name="Percent 6 12 4" xfId="15063"/>
    <cellStyle name="Percent 6 12 5" xfId="15064"/>
    <cellStyle name="Percent 6 12 6" xfId="15065"/>
    <cellStyle name="Percent 6 12 7" xfId="15066"/>
    <cellStyle name="Percent 6 12 8" xfId="15067"/>
    <cellStyle name="Percent 6 12 9" xfId="15068"/>
    <cellStyle name="Percent 6 13" xfId="807"/>
    <cellStyle name="Percent 6 13 10" xfId="15069"/>
    <cellStyle name="Percent 6 13 11" xfId="15070"/>
    <cellStyle name="Percent 6 13 12" xfId="15071"/>
    <cellStyle name="Percent 6 13 13" xfId="15072"/>
    <cellStyle name="Percent 6 13 14" xfId="15073"/>
    <cellStyle name="Percent 6 13 15" xfId="15074"/>
    <cellStyle name="Percent 6 13 16" xfId="15075"/>
    <cellStyle name="Percent 6 13 17" xfId="15076"/>
    <cellStyle name="Percent 6 13 18" xfId="15077"/>
    <cellStyle name="Percent 6 13 19" xfId="15078"/>
    <cellStyle name="Percent 6 13 2" xfId="808"/>
    <cellStyle name="Percent 6 13 20" xfId="15079"/>
    <cellStyle name="Percent 6 13 21" xfId="15080"/>
    <cellStyle name="Percent 6 13 22" xfId="15081"/>
    <cellStyle name="Percent 6 13 23" xfId="15082"/>
    <cellStyle name="Percent 6 13 24" xfId="15083"/>
    <cellStyle name="Percent 6 13 25" xfId="24702"/>
    <cellStyle name="Percent 6 13 26" xfId="24703"/>
    <cellStyle name="Percent 6 13 27" xfId="24704"/>
    <cellStyle name="Percent 6 13 28" xfId="24705"/>
    <cellStyle name="Percent 6 13 29" xfId="24706"/>
    <cellStyle name="Percent 6 13 3" xfId="15084"/>
    <cellStyle name="Percent 6 13 30" xfId="24707"/>
    <cellStyle name="Percent 6 13 31" xfId="24708"/>
    <cellStyle name="Percent 6 13 32" xfId="24709"/>
    <cellStyle name="Percent 6 13 33" xfId="24710"/>
    <cellStyle name="Percent 6 13 34" xfId="24711"/>
    <cellStyle name="Percent 6 13 35" xfId="24712"/>
    <cellStyle name="Percent 6 13 36" xfId="24713"/>
    <cellStyle name="Percent 6 13 37" xfId="24714"/>
    <cellStyle name="Percent 6 13 4" xfId="15085"/>
    <cellStyle name="Percent 6 13 5" xfId="15086"/>
    <cellStyle name="Percent 6 13 6" xfId="15087"/>
    <cellStyle name="Percent 6 13 7" xfId="15088"/>
    <cellStyle name="Percent 6 13 8" xfId="15089"/>
    <cellStyle name="Percent 6 13 9" xfId="15090"/>
    <cellStyle name="Percent 6 14" xfId="809"/>
    <cellStyle name="Percent 6 14 10" xfId="15091"/>
    <cellStyle name="Percent 6 14 11" xfId="15092"/>
    <cellStyle name="Percent 6 14 12" xfId="15093"/>
    <cellStyle name="Percent 6 14 13" xfId="15094"/>
    <cellStyle name="Percent 6 14 14" xfId="15095"/>
    <cellStyle name="Percent 6 14 15" xfId="15096"/>
    <cellStyle name="Percent 6 14 16" xfId="15097"/>
    <cellStyle name="Percent 6 14 17" xfId="15098"/>
    <cellStyle name="Percent 6 14 18" xfId="15099"/>
    <cellStyle name="Percent 6 14 19" xfId="15100"/>
    <cellStyle name="Percent 6 14 2" xfId="15101"/>
    <cellStyle name="Percent 6 14 20" xfId="15102"/>
    <cellStyle name="Percent 6 14 21" xfId="15103"/>
    <cellStyle name="Percent 6 14 22" xfId="15104"/>
    <cellStyle name="Percent 6 14 23" xfId="24715"/>
    <cellStyle name="Percent 6 14 24" xfId="24716"/>
    <cellStyle name="Percent 6 14 25" xfId="24717"/>
    <cellStyle name="Percent 6 14 26" xfId="24718"/>
    <cellStyle name="Percent 6 14 27" xfId="24719"/>
    <cellStyle name="Percent 6 14 28" xfId="24720"/>
    <cellStyle name="Percent 6 14 29" xfId="24721"/>
    <cellStyle name="Percent 6 14 3" xfId="15105"/>
    <cellStyle name="Percent 6 14 30" xfId="24722"/>
    <cellStyle name="Percent 6 14 31" xfId="24723"/>
    <cellStyle name="Percent 6 14 32" xfId="24724"/>
    <cellStyle name="Percent 6 14 33" xfId="24725"/>
    <cellStyle name="Percent 6 14 34" xfId="24726"/>
    <cellStyle name="Percent 6 14 35" xfId="24727"/>
    <cellStyle name="Percent 6 14 4" xfId="15106"/>
    <cellStyle name="Percent 6 14 5" xfId="15107"/>
    <cellStyle name="Percent 6 14 6" xfId="15108"/>
    <cellStyle name="Percent 6 14 7" xfId="15109"/>
    <cellStyle name="Percent 6 14 8" xfId="15110"/>
    <cellStyle name="Percent 6 14 9" xfId="15111"/>
    <cellStyle name="Percent 6 15" xfId="810"/>
    <cellStyle name="Percent 6 15 10" xfId="15112"/>
    <cellStyle name="Percent 6 15 11" xfId="15113"/>
    <cellStyle name="Percent 6 15 12" xfId="15114"/>
    <cellStyle name="Percent 6 15 13" xfId="15115"/>
    <cellStyle name="Percent 6 15 14" xfId="15116"/>
    <cellStyle name="Percent 6 15 15" xfId="15117"/>
    <cellStyle name="Percent 6 15 16" xfId="15118"/>
    <cellStyle name="Percent 6 15 17" xfId="15119"/>
    <cellStyle name="Percent 6 15 18" xfId="15120"/>
    <cellStyle name="Percent 6 15 19" xfId="15121"/>
    <cellStyle name="Percent 6 15 2" xfId="15122"/>
    <cellStyle name="Percent 6 15 20" xfId="15123"/>
    <cellStyle name="Percent 6 15 21" xfId="15124"/>
    <cellStyle name="Percent 6 15 22" xfId="15125"/>
    <cellStyle name="Percent 6 15 23" xfId="24728"/>
    <cellStyle name="Percent 6 15 24" xfId="24729"/>
    <cellStyle name="Percent 6 15 25" xfId="24730"/>
    <cellStyle name="Percent 6 15 26" xfId="24731"/>
    <cellStyle name="Percent 6 15 27" xfId="24732"/>
    <cellStyle name="Percent 6 15 28" xfId="24733"/>
    <cellStyle name="Percent 6 15 29" xfId="24734"/>
    <cellStyle name="Percent 6 15 3" xfId="15126"/>
    <cellStyle name="Percent 6 15 30" xfId="24735"/>
    <cellStyle name="Percent 6 15 31" xfId="24736"/>
    <cellStyle name="Percent 6 15 32" xfId="24737"/>
    <cellStyle name="Percent 6 15 33" xfId="24738"/>
    <cellStyle name="Percent 6 15 34" xfId="24739"/>
    <cellStyle name="Percent 6 15 35" xfId="24740"/>
    <cellStyle name="Percent 6 15 4" xfId="15127"/>
    <cellStyle name="Percent 6 15 5" xfId="15128"/>
    <cellStyle name="Percent 6 15 6" xfId="15129"/>
    <cellStyle name="Percent 6 15 7" xfId="15130"/>
    <cellStyle name="Percent 6 15 8" xfId="15131"/>
    <cellStyle name="Percent 6 15 9" xfId="15132"/>
    <cellStyle name="Percent 6 16" xfId="811"/>
    <cellStyle name="Percent 6 16 10" xfId="15133"/>
    <cellStyle name="Percent 6 16 11" xfId="15134"/>
    <cellStyle name="Percent 6 16 12" xfId="15135"/>
    <cellStyle name="Percent 6 16 13" xfId="15136"/>
    <cellStyle name="Percent 6 16 14" xfId="15137"/>
    <cellStyle name="Percent 6 16 15" xfId="15138"/>
    <cellStyle name="Percent 6 16 16" xfId="15139"/>
    <cellStyle name="Percent 6 16 17" xfId="15140"/>
    <cellStyle name="Percent 6 16 18" xfId="15141"/>
    <cellStyle name="Percent 6 16 19" xfId="15142"/>
    <cellStyle name="Percent 6 16 2" xfId="15143"/>
    <cellStyle name="Percent 6 16 20" xfId="15144"/>
    <cellStyle name="Percent 6 16 21" xfId="15145"/>
    <cellStyle name="Percent 6 16 22" xfId="15146"/>
    <cellStyle name="Percent 6 16 23" xfId="24741"/>
    <cellStyle name="Percent 6 16 24" xfId="24742"/>
    <cellStyle name="Percent 6 16 25" xfId="24743"/>
    <cellStyle name="Percent 6 16 26" xfId="24744"/>
    <cellStyle name="Percent 6 16 27" xfId="24745"/>
    <cellStyle name="Percent 6 16 28" xfId="24746"/>
    <cellStyle name="Percent 6 16 29" xfId="24747"/>
    <cellStyle name="Percent 6 16 3" xfId="15147"/>
    <cellStyle name="Percent 6 16 30" xfId="24748"/>
    <cellStyle name="Percent 6 16 31" xfId="24749"/>
    <cellStyle name="Percent 6 16 32" xfId="24750"/>
    <cellStyle name="Percent 6 16 33" xfId="24751"/>
    <cellStyle name="Percent 6 16 34" xfId="24752"/>
    <cellStyle name="Percent 6 16 35" xfId="24753"/>
    <cellStyle name="Percent 6 16 4" xfId="15148"/>
    <cellStyle name="Percent 6 16 5" xfId="15149"/>
    <cellStyle name="Percent 6 16 6" xfId="15150"/>
    <cellStyle name="Percent 6 16 7" xfId="15151"/>
    <cellStyle name="Percent 6 16 8" xfId="15152"/>
    <cellStyle name="Percent 6 16 9" xfId="15153"/>
    <cellStyle name="Percent 6 17" xfId="812"/>
    <cellStyle name="Percent 6 17 10" xfId="15154"/>
    <cellStyle name="Percent 6 17 11" xfId="15155"/>
    <cellStyle name="Percent 6 17 12" xfId="15156"/>
    <cellStyle name="Percent 6 17 13" xfId="15157"/>
    <cellStyle name="Percent 6 17 14" xfId="15158"/>
    <cellStyle name="Percent 6 17 15" xfId="15159"/>
    <cellStyle name="Percent 6 17 16" xfId="15160"/>
    <cellStyle name="Percent 6 17 17" xfId="15161"/>
    <cellStyle name="Percent 6 17 18" xfId="15162"/>
    <cellStyle name="Percent 6 17 19" xfId="15163"/>
    <cellStyle name="Percent 6 17 2" xfId="15164"/>
    <cellStyle name="Percent 6 17 20" xfId="15165"/>
    <cellStyle name="Percent 6 17 21" xfId="15166"/>
    <cellStyle name="Percent 6 17 22" xfId="15167"/>
    <cellStyle name="Percent 6 17 23" xfId="24754"/>
    <cellStyle name="Percent 6 17 24" xfId="24755"/>
    <cellStyle name="Percent 6 17 25" xfId="24756"/>
    <cellStyle name="Percent 6 17 26" xfId="24757"/>
    <cellStyle name="Percent 6 17 27" xfId="24758"/>
    <cellStyle name="Percent 6 17 28" xfId="24759"/>
    <cellStyle name="Percent 6 17 29" xfId="24760"/>
    <cellStyle name="Percent 6 17 3" xfId="15168"/>
    <cellStyle name="Percent 6 17 30" xfId="24761"/>
    <cellStyle name="Percent 6 17 31" xfId="24762"/>
    <cellStyle name="Percent 6 17 32" xfId="24763"/>
    <cellStyle name="Percent 6 17 33" xfId="24764"/>
    <cellStyle name="Percent 6 17 34" xfId="24765"/>
    <cellStyle name="Percent 6 17 35" xfId="24766"/>
    <cellStyle name="Percent 6 17 4" xfId="15169"/>
    <cellStyle name="Percent 6 17 5" xfId="15170"/>
    <cellStyle name="Percent 6 17 6" xfId="15171"/>
    <cellStyle name="Percent 6 17 7" xfId="15172"/>
    <cellStyle name="Percent 6 17 8" xfId="15173"/>
    <cellStyle name="Percent 6 17 9" xfId="15174"/>
    <cellStyle name="Percent 6 18" xfId="813"/>
    <cellStyle name="Percent 6 18 10" xfId="15175"/>
    <cellStyle name="Percent 6 18 11" xfId="15176"/>
    <cellStyle name="Percent 6 18 12" xfId="15177"/>
    <cellStyle name="Percent 6 18 13" xfId="15178"/>
    <cellStyle name="Percent 6 18 14" xfId="15179"/>
    <cellStyle name="Percent 6 18 15" xfId="15180"/>
    <cellStyle name="Percent 6 18 16" xfId="15181"/>
    <cellStyle name="Percent 6 18 17" xfId="15182"/>
    <cellStyle name="Percent 6 18 18" xfId="15183"/>
    <cellStyle name="Percent 6 18 19" xfId="15184"/>
    <cellStyle name="Percent 6 18 2" xfId="15185"/>
    <cellStyle name="Percent 6 18 20" xfId="15186"/>
    <cellStyle name="Percent 6 18 21" xfId="15187"/>
    <cellStyle name="Percent 6 18 22" xfId="15188"/>
    <cellStyle name="Percent 6 18 23" xfId="24767"/>
    <cellStyle name="Percent 6 18 24" xfId="24768"/>
    <cellStyle name="Percent 6 18 25" xfId="24769"/>
    <cellStyle name="Percent 6 18 26" xfId="24770"/>
    <cellStyle name="Percent 6 18 27" xfId="24771"/>
    <cellStyle name="Percent 6 18 28" xfId="24772"/>
    <cellStyle name="Percent 6 18 29" xfId="24773"/>
    <cellStyle name="Percent 6 18 3" xfId="15189"/>
    <cellStyle name="Percent 6 18 30" xfId="24774"/>
    <cellStyle name="Percent 6 18 31" xfId="24775"/>
    <cellStyle name="Percent 6 18 32" xfId="24776"/>
    <cellStyle name="Percent 6 18 33" xfId="24777"/>
    <cellStyle name="Percent 6 18 34" xfId="24778"/>
    <cellStyle name="Percent 6 18 35" xfId="24779"/>
    <cellStyle name="Percent 6 18 4" xfId="15190"/>
    <cellStyle name="Percent 6 18 5" xfId="15191"/>
    <cellStyle name="Percent 6 18 6" xfId="15192"/>
    <cellStyle name="Percent 6 18 7" xfId="15193"/>
    <cellStyle name="Percent 6 18 8" xfId="15194"/>
    <cellStyle name="Percent 6 18 9" xfId="15195"/>
    <cellStyle name="Percent 6 19" xfId="814"/>
    <cellStyle name="Percent 6 19 10" xfId="15196"/>
    <cellStyle name="Percent 6 19 11" xfId="15197"/>
    <cellStyle name="Percent 6 19 12" xfId="15198"/>
    <cellStyle name="Percent 6 19 13" xfId="15199"/>
    <cellStyle name="Percent 6 19 14" xfId="15200"/>
    <cellStyle name="Percent 6 19 15" xfId="15201"/>
    <cellStyle name="Percent 6 19 16" xfId="15202"/>
    <cellStyle name="Percent 6 19 17" xfId="15203"/>
    <cellStyle name="Percent 6 19 18" xfId="15204"/>
    <cellStyle name="Percent 6 19 19" xfId="15205"/>
    <cellStyle name="Percent 6 19 2" xfId="15206"/>
    <cellStyle name="Percent 6 19 20" xfId="15207"/>
    <cellStyle name="Percent 6 19 21" xfId="15208"/>
    <cellStyle name="Percent 6 19 22" xfId="15209"/>
    <cellStyle name="Percent 6 19 23" xfId="24780"/>
    <cellStyle name="Percent 6 19 24" xfId="24781"/>
    <cellStyle name="Percent 6 19 25" xfId="24782"/>
    <cellStyle name="Percent 6 19 26" xfId="24783"/>
    <cellStyle name="Percent 6 19 27" xfId="24784"/>
    <cellStyle name="Percent 6 19 28" xfId="24785"/>
    <cellStyle name="Percent 6 19 29" xfId="24786"/>
    <cellStyle name="Percent 6 19 3" xfId="15210"/>
    <cellStyle name="Percent 6 19 30" xfId="24787"/>
    <cellStyle name="Percent 6 19 31" xfId="24788"/>
    <cellStyle name="Percent 6 19 32" xfId="24789"/>
    <cellStyle name="Percent 6 19 33" xfId="24790"/>
    <cellStyle name="Percent 6 19 34" xfId="24791"/>
    <cellStyle name="Percent 6 19 35" xfId="24792"/>
    <cellStyle name="Percent 6 19 4" xfId="15211"/>
    <cellStyle name="Percent 6 19 5" xfId="15212"/>
    <cellStyle name="Percent 6 19 6" xfId="15213"/>
    <cellStyle name="Percent 6 19 7" xfId="15214"/>
    <cellStyle name="Percent 6 19 8" xfId="15215"/>
    <cellStyle name="Percent 6 19 9" xfId="15216"/>
    <cellStyle name="Percent 6 2" xfId="65"/>
    <cellStyle name="Percent 6 2 10" xfId="1201"/>
    <cellStyle name="Percent 6 2 11" xfId="1233"/>
    <cellStyle name="Percent 6 2 12" xfId="1266"/>
    <cellStyle name="Percent 6 2 13" xfId="1299"/>
    <cellStyle name="Percent 6 2 14" xfId="1331"/>
    <cellStyle name="Percent 6 2 15" xfId="1360"/>
    <cellStyle name="Percent 6 2 16" xfId="1381"/>
    <cellStyle name="Percent 6 2 17" xfId="1443"/>
    <cellStyle name="Percent 6 2 18" xfId="1532"/>
    <cellStyle name="Percent 6 2 19" xfId="1585"/>
    <cellStyle name="Percent 6 2 2" xfId="88"/>
    <cellStyle name="Percent 6 2 2 10" xfId="2227"/>
    <cellStyle name="Percent 6 2 2 11" xfId="2485"/>
    <cellStyle name="Percent 6 2 2 12" xfId="2368"/>
    <cellStyle name="Percent 6 2 2 13" xfId="2888"/>
    <cellStyle name="Percent 6 2 2 14" xfId="2207"/>
    <cellStyle name="Percent 6 2 2 2" xfId="1462"/>
    <cellStyle name="Percent 6 2 2 3" xfId="1518"/>
    <cellStyle name="Percent 6 2 2 4" xfId="1397"/>
    <cellStyle name="Percent 6 2 2 5" xfId="1446"/>
    <cellStyle name="Percent 6 2 2 6" xfId="1758"/>
    <cellStyle name="Percent 6 2 2 7" xfId="1787"/>
    <cellStyle name="Percent 6 2 2 8" xfId="2166"/>
    <cellStyle name="Percent 6 2 2 9" xfId="2792"/>
    <cellStyle name="Percent 6 2 20" xfId="1637"/>
    <cellStyle name="Percent 6 2 21" xfId="1745"/>
    <cellStyle name="Percent 6 2 22" xfId="1800"/>
    <cellStyle name="Percent 6 2 23" xfId="2145"/>
    <cellStyle name="Percent 6 2 24" xfId="2836"/>
    <cellStyle name="Percent 6 2 25" xfId="2523"/>
    <cellStyle name="Percent 6 2 26" xfId="2360"/>
    <cellStyle name="Percent 6 2 27" xfId="2412"/>
    <cellStyle name="Percent 6 2 28" xfId="2635"/>
    <cellStyle name="Percent 6 2 29" xfId="3005"/>
    <cellStyle name="Percent 6 2 3" xfId="967"/>
    <cellStyle name="Percent 6 2 30" xfId="24793"/>
    <cellStyle name="Percent 6 2 31" xfId="24794"/>
    <cellStyle name="Percent 6 2 32" xfId="24795"/>
    <cellStyle name="Percent 6 2 33" xfId="24796"/>
    <cellStyle name="Percent 6 2 34" xfId="24797"/>
    <cellStyle name="Percent 6 2 35" xfId="24798"/>
    <cellStyle name="Percent 6 2 36" xfId="24799"/>
    <cellStyle name="Percent 6 2 37" xfId="24800"/>
    <cellStyle name="Percent 6 2 38" xfId="24801"/>
    <cellStyle name="Percent 6 2 4" xfId="1002"/>
    <cellStyle name="Percent 6 2 5" xfId="1035"/>
    <cellStyle name="Percent 6 2 6" xfId="1066"/>
    <cellStyle name="Percent 6 2 7" xfId="1095"/>
    <cellStyle name="Percent 6 2 8" xfId="1116"/>
    <cellStyle name="Percent 6 2 9" xfId="1165"/>
    <cellStyle name="Percent 6 20" xfId="815"/>
    <cellStyle name="Percent 6 20 10" xfId="15217"/>
    <cellStyle name="Percent 6 20 11" xfId="15218"/>
    <cellStyle name="Percent 6 20 12" xfId="15219"/>
    <cellStyle name="Percent 6 20 13" xfId="15220"/>
    <cellStyle name="Percent 6 20 14" xfId="15221"/>
    <cellStyle name="Percent 6 20 15" xfId="15222"/>
    <cellStyle name="Percent 6 20 16" xfId="15223"/>
    <cellStyle name="Percent 6 20 17" xfId="15224"/>
    <cellStyle name="Percent 6 20 18" xfId="15225"/>
    <cellStyle name="Percent 6 20 19" xfId="15226"/>
    <cellStyle name="Percent 6 20 2" xfId="15227"/>
    <cellStyle name="Percent 6 20 20" xfId="15228"/>
    <cellStyle name="Percent 6 20 21" xfId="15229"/>
    <cellStyle name="Percent 6 20 22" xfId="15230"/>
    <cellStyle name="Percent 6 20 23" xfId="24802"/>
    <cellStyle name="Percent 6 20 24" xfId="24803"/>
    <cellStyle name="Percent 6 20 25" xfId="24804"/>
    <cellStyle name="Percent 6 20 26" xfId="24805"/>
    <cellStyle name="Percent 6 20 27" xfId="24806"/>
    <cellStyle name="Percent 6 20 28" xfId="24807"/>
    <cellStyle name="Percent 6 20 29" xfId="24808"/>
    <cellStyle name="Percent 6 20 3" xfId="15231"/>
    <cellStyle name="Percent 6 20 30" xfId="24809"/>
    <cellStyle name="Percent 6 20 31" xfId="24810"/>
    <cellStyle name="Percent 6 20 32" xfId="24811"/>
    <cellStyle name="Percent 6 20 33" xfId="24812"/>
    <cellStyle name="Percent 6 20 34" xfId="24813"/>
    <cellStyle name="Percent 6 20 35" xfId="24814"/>
    <cellStyle name="Percent 6 20 4" xfId="15232"/>
    <cellStyle name="Percent 6 20 5" xfId="15233"/>
    <cellStyle name="Percent 6 20 6" xfId="15234"/>
    <cellStyle name="Percent 6 20 7" xfId="15235"/>
    <cellStyle name="Percent 6 20 8" xfId="15236"/>
    <cellStyle name="Percent 6 20 9" xfId="15237"/>
    <cellStyle name="Percent 6 21" xfId="816"/>
    <cellStyle name="Percent 6 21 10" xfId="15238"/>
    <cellStyle name="Percent 6 21 11" xfId="15239"/>
    <cellStyle name="Percent 6 21 12" xfId="15240"/>
    <cellStyle name="Percent 6 21 13" xfId="15241"/>
    <cellStyle name="Percent 6 21 14" xfId="15242"/>
    <cellStyle name="Percent 6 21 15" xfId="15243"/>
    <cellStyle name="Percent 6 21 16" xfId="15244"/>
    <cellStyle name="Percent 6 21 17" xfId="15245"/>
    <cellStyle name="Percent 6 21 18" xfId="15246"/>
    <cellStyle name="Percent 6 21 19" xfId="15247"/>
    <cellStyle name="Percent 6 21 2" xfId="15248"/>
    <cellStyle name="Percent 6 21 20" xfId="15249"/>
    <cellStyle name="Percent 6 21 21" xfId="15250"/>
    <cellStyle name="Percent 6 21 22" xfId="15251"/>
    <cellStyle name="Percent 6 21 23" xfId="24815"/>
    <cellStyle name="Percent 6 21 24" xfId="24816"/>
    <cellStyle name="Percent 6 21 25" xfId="24817"/>
    <cellStyle name="Percent 6 21 26" xfId="24818"/>
    <cellStyle name="Percent 6 21 27" xfId="24819"/>
    <cellStyle name="Percent 6 21 28" xfId="24820"/>
    <cellStyle name="Percent 6 21 29" xfId="24821"/>
    <cellStyle name="Percent 6 21 3" xfId="15252"/>
    <cellStyle name="Percent 6 21 30" xfId="24822"/>
    <cellStyle name="Percent 6 21 31" xfId="24823"/>
    <cellStyle name="Percent 6 21 32" xfId="24824"/>
    <cellStyle name="Percent 6 21 33" xfId="24825"/>
    <cellStyle name="Percent 6 21 34" xfId="24826"/>
    <cellStyle name="Percent 6 21 35" xfId="24827"/>
    <cellStyle name="Percent 6 21 4" xfId="15253"/>
    <cellStyle name="Percent 6 21 5" xfId="15254"/>
    <cellStyle name="Percent 6 21 6" xfId="15255"/>
    <cellStyle name="Percent 6 21 7" xfId="15256"/>
    <cellStyle name="Percent 6 21 8" xfId="15257"/>
    <cellStyle name="Percent 6 21 9" xfId="15258"/>
    <cellStyle name="Percent 6 22" xfId="817"/>
    <cellStyle name="Percent 6 22 10" xfId="15259"/>
    <cellStyle name="Percent 6 22 11" xfId="15260"/>
    <cellStyle name="Percent 6 22 12" xfId="15261"/>
    <cellStyle name="Percent 6 22 13" xfId="15262"/>
    <cellStyle name="Percent 6 22 14" xfId="15263"/>
    <cellStyle name="Percent 6 22 15" xfId="15264"/>
    <cellStyle name="Percent 6 22 16" xfId="15265"/>
    <cellStyle name="Percent 6 22 17" xfId="15266"/>
    <cellStyle name="Percent 6 22 18" xfId="15267"/>
    <cellStyle name="Percent 6 22 19" xfId="15268"/>
    <cellStyle name="Percent 6 22 2" xfId="15269"/>
    <cellStyle name="Percent 6 22 20" xfId="15270"/>
    <cellStyle name="Percent 6 22 21" xfId="15271"/>
    <cellStyle name="Percent 6 22 22" xfId="15272"/>
    <cellStyle name="Percent 6 22 23" xfId="24828"/>
    <cellStyle name="Percent 6 22 24" xfId="24829"/>
    <cellStyle name="Percent 6 22 25" xfId="24830"/>
    <cellStyle name="Percent 6 22 26" xfId="24831"/>
    <cellStyle name="Percent 6 22 27" xfId="24832"/>
    <cellStyle name="Percent 6 22 28" xfId="24833"/>
    <cellStyle name="Percent 6 22 29" xfId="24834"/>
    <cellStyle name="Percent 6 22 3" xfId="15273"/>
    <cellStyle name="Percent 6 22 30" xfId="24835"/>
    <cellStyle name="Percent 6 22 31" xfId="24836"/>
    <cellStyle name="Percent 6 22 32" xfId="24837"/>
    <cellStyle name="Percent 6 22 33" xfId="24838"/>
    <cellStyle name="Percent 6 22 34" xfId="24839"/>
    <cellStyle name="Percent 6 22 35" xfId="24840"/>
    <cellStyle name="Percent 6 22 4" xfId="15274"/>
    <cellStyle name="Percent 6 22 5" xfId="15275"/>
    <cellStyle name="Percent 6 22 6" xfId="15276"/>
    <cellStyle name="Percent 6 22 7" xfId="15277"/>
    <cellStyle name="Percent 6 22 8" xfId="15278"/>
    <cellStyle name="Percent 6 22 9" xfId="15279"/>
    <cellStyle name="Percent 6 23" xfId="818"/>
    <cellStyle name="Percent 6 23 10" xfId="15280"/>
    <cellStyle name="Percent 6 23 11" xfId="15281"/>
    <cellStyle name="Percent 6 23 12" xfId="15282"/>
    <cellStyle name="Percent 6 23 13" xfId="15283"/>
    <cellStyle name="Percent 6 23 14" xfId="15284"/>
    <cellStyle name="Percent 6 23 15" xfId="15285"/>
    <cellStyle name="Percent 6 23 16" xfId="15286"/>
    <cellStyle name="Percent 6 23 17" xfId="15287"/>
    <cellStyle name="Percent 6 23 18" xfId="15288"/>
    <cellStyle name="Percent 6 23 19" xfId="15289"/>
    <cellStyle name="Percent 6 23 2" xfId="15290"/>
    <cellStyle name="Percent 6 23 20" xfId="15291"/>
    <cellStyle name="Percent 6 23 21" xfId="15292"/>
    <cellStyle name="Percent 6 23 22" xfId="15293"/>
    <cellStyle name="Percent 6 23 23" xfId="24841"/>
    <cellStyle name="Percent 6 23 24" xfId="24842"/>
    <cellStyle name="Percent 6 23 25" xfId="24843"/>
    <cellStyle name="Percent 6 23 26" xfId="24844"/>
    <cellStyle name="Percent 6 23 27" xfId="24845"/>
    <cellStyle name="Percent 6 23 28" xfId="24846"/>
    <cellStyle name="Percent 6 23 29" xfId="24847"/>
    <cellStyle name="Percent 6 23 3" xfId="15294"/>
    <cellStyle name="Percent 6 23 30" xfId="24848"/>
    <cellStyle name="Percent 6 23 31" xfId="24849"/>
    <cellStyle name="Percent 6 23 32" xfId="24850"/>
    <cellStyle name="Percent 6 23 33" xfId="24851"/>
    <cellStyle name="Percent 6 23 34" xfId="24852"/>
    <cellStyle name="Percent 6 23 35" xfId="24853"/>
    <cellStyle name="Percent 6 23 4" xfId="15295"/>
    <cellStyle name="Percent 6 23 5" xfId="15296"/>
    <cellStyle name="Percent 6 23 6" xfId="15297"/>
    <cellStyle name="Percent 6 23 7" xfId="15298"/>
    <cellStyle name="Percent 6 23 8" xfId="15299"/>
    <cellStyle name="Percent 6 23 9" xfId="15300"/>
    <cellStyle name="Percent 6 24" xfId="819"/>
    <cellStyle name="Percent 6 24 10" xfId="15301"/>
    <cellStyle name="Percent 6 24 11" xfId="15302"/>
    <cellStyle name="Percent 6 24 12" xfId="15303"/>
    <cellStyle name="Percent 6 24 13" xfId="15304"/>
    <cellStyle name="Percent 6 24 14" xfId="15305"/>
    <cellStyle name="Percent 6 24 15" xfId="15306"/>
    <cellStyle name="Percent 6 24 16" xfId="15307"/>
    <cellStyle name="Percent 6 24 17" xfId="15308"/>
    <cellStyle name="Percent 6 24 18" xfId="15309"/>
    <cellStyle name="Percent 6 24 19" xfId="15310"/>
    <cellStyle name="Percent 6 24 2" xfId="15311"/>
    <cellStyle name="Percent 6 24 20" xfId="15312"/>
    <cellStyle name="Percent 6 24 21" xfId="15313"/>
    <cellStyle name="Percent 6 24 22" xfId="15314"/>
    <cellStyle name="Percent 6 24 23" xfId="24854"/>
    <cellStyle name="Percent 6 24 24" xfId="24855"/>
    <cellStyle name="Percent 6 24 25" xfId="24856"/>
    <cellStyle name="Percent 6 24 26" xfId="24857"/>
    <cellStyle name="Percent 6 24 27" xfId="24858"/>
    <cellStyle name="Percent 6 24 28" xfId="24859"/>
    <cellStyle name="Percent 6 24 29" xfId="24860"/>
    <cellStyle name="Percent 6 24 3" xfId="15315"/>
    <cellStyle name="Percent 6 24 30" xfId="24861"/>
    <cellStyle name="Percent 6 24 31" xfId="24862"/>
    <cellStyle name="Percent 6 24 32" xfId="24863"/>
    <cellStyle name="Percent 6 24 33" xfId="24864"/>
    <cellStyle name="Percent 6 24 34" xfId="24865"/>
    <cellStyle name="Percent 6 24 35" xfId="24866"/>
    <cellStyle name="Percent 6 24 4" xfId="15316"/>
    <cellStyle name="Percent 6 24 5" xfId="15317"/>
    <cellStyle name="Percent 6 24 6" xfId="15318"/>
    <cellStyle name="Percent 6 24 7" xfId="15319"/>
    <cellStyle name="Percent 6 24 8" xfId="15320"/>
    <cellStyle name="Percent 6 24 9" xfId="15321"/>
    <cellStyle name="Percent 6 25" xfId="820"/>
    <cellStyle name="Percent 6 25 10" xfId="15322"/>
    <cellStyle name="Percent 6 25 11" xfId="15323"/>
    <cellStyle name="Percent 6 25 12" xfId="15324"/>
    <cellStyle name="Percent 6 25 13" xfId="15325"/>
    <cellStyle name="Percent 6 25 14" xfId="15326"/>
    <cellStyle name="Percent 6 25 15" xfId="15327"/>
    <cellStyle name="Percent 6 25 16" xfId="15328"/>
    <cellStyle name="Percent 6 25 17" xfId="15329"/>
    <cellStyle name="Percent 6 25 18" xfId="15330"/>
    <cellStyle name="Percent 6 25 19" xfId="15331"/>
    <cellStyle name="Percent 6 25 2" xfId="15332"/>
    <cellStyle name="Percent 6 25 20" xfId="15333"/>
    <cellStyle name="Percent 6 25 21" xfId="15334"/>
    <cellStyle name="Percent 6 25 22" xfId="15335"/>
    <cellStyle name="Percent 6 25 23" xfId="24867"/>
    <cellStyle name="Percent 6 25 24" xfId="24868"/>
    <cellStyle name="Percent 6 25 25" xfId="24869"/>
    <cellStyle name="Percent 6 25 26" xfId="24870"/>
    <cellStyle name="Percent 6 25 27" xfId="24871"/>
    <cellStyle name="Percent 6 25 28" xfId="24872"/>
    <cellStyle name="Percent 6 25 29" xfId="24873"/>
    <cellStyle name="Percent 6 25 3" xfId="15336"/>
    <cellStyle name="Percent 6 25 30" xfId="24874"/>
    <cellStyle name="Percent 6 25 31" xfId="24875"/>
    <cellStyle name="Percent 6 25 32" xfId="24876"/>
    <cellStyle name="Percent 6 25 33" xfId="24877"/>
    <cellStyle name="Percent 6 25 34" xfId="24878"/>
    <cellStyle name="Percent 6 25 35" xfId="24879"/>
    <cellStyle name="Percent 6 25 4" xfId="15337"/>
    <cellStyle name="Percent 6 25 5" xfId="15338"/>
    <cellStyle name="Percent 6 25 6" xfId="15339"/>
    <cellStyle name="Percent 6 25 7" xfId="15340"/>
    <cellStyle name="Percent 6 25 8" xfId="15341"/>
    <cellStyle name="Percent 6 25 9" xfId="15342"/>
    <cellStyle name="Percent 6 26" xfId="821"/>
    <cellStyle name="Percent 6 26 10" xfId="15343"/>
    <cellStyle name="Percent 6 26 11" xfId="15344"/>
    <cellStyle name="Percent 6 26 12" xfId="15345"/>
    <cellStyle name="Percent 6 26 13" xfId="15346"/>
    <cellStyle name="Percent 6 26 14" xfId="15347"/>
    <cellStyle name="Percent 6 26 15" xfId="15348"/>
    <cellStyle name="Percent 6 26 16" xfId="15349"/>
    <cellStyle name="Percent 6 26 17" xfId="15350"/>
    <cellStyle name="Percent 6 26 18" xfId="15351"/>
    <cellStyle name="Percent 6 26 19" xfId="15352"/>
    <cellStyle name="Percent 6 26 2" xfId="15353"/>
    <cellStyle name="Percent 6 26 20" xfId="15354"/>
    <cellStyle name="Percent 6 26 21" xfId="15355"/>
    <cellStyle name="Percent 6 26 22" xfId="15356"/>
    <cellStyle name="Percent 6 26 23" xfId="24880"/>
    <cellStyle name="Percent 6 26 24" xfId="24881"/>
    <cellStyle name="Percent 6 26 25" xfId="24882"/>
    <cellStyle name="Percent 6 26 26" xfId="24883"/>
    <cellStyle name="Percent 6 26 27" xfId="24884"/>
    <cellStyle name="Percent 6 26 28" xfId="24885"/>
    <cellStyle name="Percent 6 26 29" xfId="24886"/>
    <cellStyle name="Percent 6 26 3" xfId="15357"/>
    <cellStyle name="Percent 6 26 30" xfId="24887"/>
    <cellStyle name="Percent 6 26 31" xfId="24888"/>
    <cellStyle name="Percent 6 26 32" xfId="24889"/>
    <cellStyle name="Percent 6 26 33" xfId="24890"/>
    <cellStyle name="Percent 6 26 34" xfId="24891"/>
    <cellStyle name="Percent 6 26 35" xfId="24892"/>
    <cellStyle name="Percent 6 26 4" xfId="15358"/>
    <cellStyle name="Percent 6 26 5" xfId="15359"/>
    <cellStyle name="Percent 6 26 6" xfId="15360"/>
    <cellStyle name="Percent 6 26 7" xfId="15361"/>
    <cellStyle name="Percent 6 26 8" xfId="15362"/>
    <cellStyle name="Percent 6 26 9" xfId="15363"/>
    <cellStyle name="Percent 6 27" xfId="822"/>
    <cellStyle name="Percent 6 28" xfId="966"/>
    <cellStyle name="Percent 6 28 2" xfId="2534"/>
    <cellStyle name="Percent 6 28 3" xfId="2721"/>
    <cellStyle name="Percent 6 28 4" xfId="2852"/>
    <cellStyle name="Percent 6 28 5" xfId="2203"/>
    <cellStyle name="Percent 6 28 6" xfId="2508"/>
    <cellStyle name="Percent 6 28 7" xfId="2620"/>
    <cellStyle name="Percent 6 28 8" xfId="2878"/>
    <cellStyle name="Percent 6 29" xfId="1001"/>
    <cellStyle name="Percent 6 29 2" xfId="2555"/>
    <cellStyle name="Percent 6 29 3" xfId="2663"/>
    <cellStyle name="Percent 6 29 4" xfId="2301"/>
    <cellStyle name="Percent 6 29 5" xfId="2457"/>
    <cellStyle name="Percent 6 29 6" xfId="2648"/>
    <cellStyle name="Percent 6 29 7" xfId="2310"/>
    <cellStyle name="Percent 6 29 8" xfId="3211"/>
    <cellStyle name="Percent 6 3" xfId="66"/>
    <cellStyle name="Percent 6 3 10" xfId="1202"/>
    <cellStyle name="Percent 6 3 11" xfId="1234"/>
    <cellStyle name="Percent 6 3 12" xfId="1267"/>
    <cellStyle name="Percent 6 3 13" xfId="1300"/>
    <cellStyle name="Percent 6 3 14" xfId="1332"/>
    <cellStyle name="Percent 6 3 15" xfId="1361"/>
    <cellStyle name="Percent 6 3 16" xfId="1382"/>
    <cellStyle name="Percent 6 3 17" xfId="1444"/>
    <cellStyle name="Percent 6 3 18" xfId="1531"/>
    <cellStyle name="Percent 6 3 19" xfId="1584"/>
    <cellStyle name="Percent 6 3 2" xfId="89"/>
    <cellStyle name="Percent 6 3 2 10" xfId="2807"/>
    <cellStyle name="Percent 6 3 2 11" xfId="2217"/>
    <cellStyle name="Percent 6 3 2 12" xfId="2495"/>
    <cellStyle name="Percent 6 3 2 13" xfId="2724"/>
    <cellStyle name="Percent 6 3 2 14" xfId="2294"/>
    <cellStyle name="Percent 6 3 2 2" xfId="1463"/>
    <cellStyle name="Percent 6 3 2 3" xfId="1517"/>
    <cellStyle name="Percent 6 3 2 4" xfId="1398"/>
    <cellStyle name="Percent 6 3 2 5" xfId="1577"/>
    <cellStyle name="Percent 6 3 2 6" xfId="1759"/>
    <cellStyle name="Percent 6 3 2 7" xfId="1786"/>
    <cellStyle name="Percent 6 3 2 8" xfId="2167"/>
    <cellStyle name="Percent 6 3 2 9" xfId="2768"/>
    <cellStyle name="Percent 6 3 20" xfId="1636"/>
    <cellStyle name="Percent 6 3 21" xfId="1746"/>
    <cellStyle name="Percent 6 3 22" xfId="1799"/>
    <cellStyle name="Percent 6 3 23" xfId="2146"/>
    <cellStyle name="Percent 6 3 24" xfId="2793"/>
    <cellStyle name="Percent 6 3 25" xfId="2226"/>
    <cellStyle name="Percent 6 3 26" xfId="2486"/>
    <cellStyle name="Percent 6 3 27" xfId="2895"/>
    <cellStyle name="Percent 6 3 28" xfId="2979"/>
    <cellStyle name="Percent 6 3 29" xfId="2987"/>
    <cellStyle name="Percent 6 3 3" xfId="968"/>
    <cellStyle name="Percent 6 3 30" xfId="24893"/>
    <cellStyle name="Percent 6 3 31" xfId="24894"/>
    <cellStyle name="Percent 6 3 32" xfId="24895"/>
    <cellStyle name="Percent 6 3 33" xfId="24896"/>
    <cellStyle name="Percent 6 3 34" xfId="24897"/>
    <cellStyle name="Percent 6 3 35" xfId="24898"/>
    <cellStyle name="Percent 6 3 36" xfId="24899"/>
    <cellStyle name="Percent 6 3 37" xfId="24900"/>
    <cellStyle name="Percent 6 3 38" xfId="24901"/>
    <cellStyle name="Percent 6 3 4" xfId="1003"/>
    <cellStyle name="Percent 6 3 5" xfId="1036"/>
    <cellStyle name="Percent 6 3 6" xfId="1067"/>
    <cellStyle name="Percent 6 3 7" xfId="1096"/>
    <cellStyle name="Percent 6 3 8" xfId="1117"/>
    <cellStyle name="Percent 6 3 9" xfId="1166"/>
    <cellStyle name="Percent 6 30" xfId="1034"/>
    <cellStyle name="Percent 6 30 2" xfId="2569"/>
    <cellStyle name="Percent 6 30 3" xfId="2637"/>
    <cellStyle name="Percent 6 30 4" xfId="2869"/>
    <cellStyle name="Percent 6 30 5" xfId="2194"/>
    <cellStyle name="Percent 6 30 6" xfId="2937"/>
    <cellStyle name="Percent 6 30 7" xfId="3016"/>
    <cellStyle name="Percent 6 30 8" xfId="2623"/>
    <cellStyle name="Percent 6 31" xfId="1065"/>
    <cellStyle name="Percent 6 31 2" xfId="2587"/>
    <cellStyle name="Percent 6 31 3" xfId="2343"/>
    <cellStyle name="Percent 6 31 4" xfId="2424"/>
    <cellStyle name="Percent 6 31 5" xfId="2842"/>
    <cellStyle name="Percent 6 31 6" xfId="2744"/>
    <cellStyle name="Percent 6 31 7" xfId="2253"/>
    <cellStyle name="Percent 6 31 8" xfId="2715"/>
    <cellStyle name="Percent 6 32" xfId="1094"/>
    <cellStyle name="Percent 6 32 2" xfId="2602"/>
    <cellStyle name="Percent 6 32 3" xfId="2183"/>
    <cellStyle name="Percent 6 32 4" xfId="2810"/>
    <cellStyle name="Percent 6 32 5" xfId="2215"/>
    <cellStyle name="Percent 6 32 6" xfId="2497"/>
    <cellStyle name="Percent 6 32 7" xfId="2683"/>
    <cellStyle name="Percent 6 32 8" xfId="3208"/>
    <cellStyle name="Percent 6 33" xfId="1115"/>
    <cellStyle name="Percent 6 33 2" xfId="2614"/>
    <cellStyle name="Percent 6 33 3" xfId="2331"/>
    <cellStyle name="Percent 6 33 4" xfId="2434"/>
    <cellStyle name="Percent 6 33 5" xfId="2951"/>
    <cellStyle name="Percent 6 33 6" xfId="3030"/>
    <cellStyle name="Percent 6 33 7" xfId="3093"/>
    <cellStyle name="Percent 6 33 8" xfId="3136"/>
    <cellStyle name="Percent 6 34" xfId="1164"/>
    <cellStyle name="Percent 6 34 2" xfId="2638"/>
    <cellStyle name="Percent 6 34 3" xfId="2847"/>
    <cellStyle name="Percent 6 34 4" xfId="2522"/>
    <cellStyle name="Percent 6 34 5" xfId="2361"/>
    <cellStyle name="Percent 6 34 6" xfId="2411"/>
    <cellStyle name="Percent 6 34 7" xfId="2653"/>
    <cellStyle name="Percent 6 34 8" xfId="2936"/>
    <cellStyle name="Percent 6 35" xfId="1200"/>
    <cellStyle name="Percent 6 35 2" xfId="2657"/>
    <cellStyle name="Percent 6 35 3" xfId="2305"/>
    <cellStyle name="Percent 6 35 4" xfId="2453"/>
    <cellStyle name="Percent 6 35 5" xfId="2725"/>
    <cellStyle name="Percent 6 35 6" xfId="2267"/>
    <cellStyle name="Percent 6 35 7" xfId="2588"/>
    <cellStyle name="Percent 6 35 8" xfId="2999"/>
    <cellStyle name="Percent 6 36" xfId="1232"/>
    <cellStyle name="Percent 6 36 2" xfId="2673"/>
    <cellStyle name="Percent 6 36 3" xfId="2293"/>
    <cellStyle name="Percent 6 36 4" xfId="2863"/>
    <cellStyle name="Percent 6 36 5" xfId="2581"/>
    <cellStyle name="Percent 6 36 6" xfId="2345"/>
    <cellStyle name="Percent 6 36 7" xfId="2789"/>
    <cellStyle name="Percent 6 36 8" xfId="2903"/>
    <cellStyle name="Percent 6 37" xfId="1265"/>
    <cellStyle name="Percent 6 37 2" xfId="2692"/>
    <cellStyle name="Percent 6 37 3" xfId="2288"/>
    <cellStyle name="Percent 6 37 4" xfId="2467"/>
    <cellStyle name="Percent 6 37 5" xfId="2381"/>
    <cellStyle name="Percent 6 37 6" xfId="2403"/>
    <cellStyle name="Percent 6 37 7" xfId="2583"/>
    <cellStyle name="Percent 6 37 8" xfId="2974"/>
    <cellStyle name="Percent 6 38" xfId="1298"/>
    <cellStyle name="Percent 6 38 2" xfId="2713"/>
    <cellStyle name="Percent 6 38 3" xfId="2276"/>
    <cellStyle name="Percent 6 38 4" xfId="2750"/>
    <cellStyle name="Percent 6 38 5" xfId="2904"/>
    <cellStyle name="Percent 6 38 6" xfId="2986"/>
    <cellStyle name="Percent 6 38 7" xfId="3055"/>
    <cellStyle name="Percent 6 38 8" xfId="2959"/>
    <cellStyle name="Percent 6 39" xfId="1330"/>
    <cellStyle name="Percent 6 39 2" xfId="2734"/>
    <cellStyle name="Percent 6 39 3" xfId="2260"/>
    <cellStyle name="Percent 6 39 4" xfId="2479"/>
    <cellStyle name="Percent 6 39 5" xfId="2371"/>
    <cellStyle name="Percent 6 39 6" xfId="2613"/>
    <cellStyle name="Percent 6 39 7" xfId="2332"/>
    <cellStyle name="Percent 6 39 8" xfId="2480"/>
    <cellStyle name="Percent 6 4" xfId="67"/>
    <cellStyle name="Percent 6 4 10" xfId="1203"/>
    <cellStyle name="Percent 6 4 11" xfId="1235"/>
    <cellStyle name="Percent 6 4 12" xfId="1268"/>
    <cellStyle name="Percent 6 4 13" xfId="1301"/>
    <cellStyle name="Percent 6 4 14" xfId="1333"/>
    <cellStyle name="Percent 6 4 15" xfId="1362"/>
    <cellStyle name="Percent 6 4 16" xfId="1383"/>
    <cellStyle name="Percent 6 4 17" xfId="1445"/>
    <cellStyle name="Percent 6 4 18" xfId="1530"/>
    <cellStyle name="Percent 6 4 19" xfId="1583"/>
    <cellStyle name="Percent 6 4 2" xfId="90"/>
    <cellStyle name="Percent 6 4 2 10" xfId="2248"/>
    <cellStyle name="Percent 6 4 2 11" xfId="2933"/>
    <cellStyle name="Percent 6 4 2 12" xfId="3013"/>
    <cellStyle name="Percent 6 4 2 13" xfId="3078"/>
    <cellStyle name="Percent 6 4 2 14" xfId="2262"/>
    <cellStyle name="Percent 6 4 2 2" xfId="1464"/>
    <cellStyle name="Percent 6 4 2 3" xfId="1516"/>
    <cellStyle name="Percent 6 4 2 4" xfId="1479"/>
    <cellStyle name="Percent 6 4 2 5" xfId="1503"/>
    <cellStyle name="Percent 6 4 2 6" xfId="1760"/>
    <cellStyle name="Percent 6 4 2 7" xfId="1785"/>
    <cellStyle name="Percent 6 4 2 8" xfId="2168"/>
    <cellStyle name="Percent 6 4 2 9" xfId="2754"/>
    <cellStyle name="Percent 6 4 20" xfId="1635"/>
    <cellStyle name="Percent 6 4 21" xfId="1747"/>
    <cellStyle name="Percent 6 4 22" xfId="1798"/>
    <cellStyle name="Percent 6 4 23" xfId="2147"/>
    <cellStyle name="Percent 6 4 24" xfId="2769"/>
    <cellStyle name="Percent 6 4 25" xfId="2516"/>
    <cellStyle name="Percent 6 4 26" xfId="2621"/>
    <cellStyle name="Percent 6 4 27" xfId="2326"/>
    <cellStyle name="Percent 6 4 28" xfId="2438"/>
    <cellStyle name="Percent 6 4 29" xfId="2289"/>
    <cellStyle name="Percent 6 4 3" xfId="969"/>
    <cellStyle name="Percent 6 4 30" xfId="24902"/>
    <cellStyle name="Percent 6 4 31" xfId="24903"/>
    <cellStyle name="Percent 6 4 32" xfId="24904"/>
    <cellStyle name="Percent 6 4 33" xfId="24905"/>
    <cellStyle name="Percent 6 4 34" xfId="24906"/>
    <cellStyle name="Percent 6 4 35" xfId="24907"/>
    <cellStyle name="Percent 6 4 36" xfId="24908"/>
    <cellStyle name="Percent 6 4 37" xfId="24909"/>
    <cellStyle name="Percent 6 4 38" xfId="24910"/>
    <cellStyle name="Percent 6 4 4" xfId="1004"/>
    <cellStyle name="Percent 6 4 5" xfId="1037"/>
    <cellStyle name="Percent 6 4 6" xfId="1068"/>
    <cellStyle name="Percent 6 4 7" xfId="1097"/>
    <cellStyle name="Percent 6 4 8" xfId="1118"/>
    <cellStyle name="Percent 6 4 9" xfId="1167"/>
    <cellStyle name="Percent 6 40" xfId="1359"/>
    <cellStyle name="Percent 6 40 2" xfId="2749"/>
    <cellStyle name="Percent 6 40 3" xfId="2249"/>
    <cellStyle name="Percent 6 40 4" xfId="2928"/>
    <cellStyle name="Percent 6 40 5" xfId="3008"/>
    <cellStyle name="Percent 6 40 6" xfId="3073"/>
    <cellStyle name="Percent 6 40 7" xfId="3130"/>
    <cellStyle name="Percent 6 40 8" xfId="2760"/>
    <cellStyle name="Percent 6 41" xfId="1380"/>
    <cellStyle name="Percent 6 41 2" xfId="2765"/>
    <cellStyle name="Percent 6 41 3" xfId="2875"/>
    <cellStyle name="Percent 6 41 4" xfId="2095"/>
    <cellStyle name="Percent 6 41 5" xfId="2563"/>
    <cellStyle name="Percent 6 41 6" xfId="2630"/>
    <cellStyle name="Percent 6 41 7" xfId="2819"/>
    <cellStyle name="Percent 6 41 8" xfId="3110"/>
    <cellStyle name="Percent 6 42" xfId="1687"/>
    <cellStyle name="Percent 6 42 2" xfId="2911"/>
    <cellStyle name="Percent 6 42 3" xfId="2993"/>
    <cellStyle name="Percent 6 42 4" xfId="3061"/>
    <cellStyle name="Percent 6 42 5" xfId="3119"/>
    <cellStyle name="Percent 6 42 6" xfId="3170"/>
    <cellStyle name="Percent 6 42 7" xfId="3206"/>
    <cellStyle name="Percent 6 42 8" xfId="3227"/>
    <cellStyle name="Percent 6 43" xfId="15364"/>
    <cellStyle name="Percent 6 44" xfId="15365"/>
    <cellStyle name="Percent 6 45" xfId="15366"/>
    <cellStyle name="Percent 6 46" xfId="15367"/>
    <cellStyle name="Percent 6 47" xfId="15368"/>
    <cellStyle name="Percent 6 48" xfId="15369"/>
    <cellStyle name="Percent 6 49" xfId="15370"/>
    <cellStyle name="Percent 6 5" xfId="823"/>
    <cellStyle name="Percent 6 5 10" xfId="15371"/>
    <cellStyle name="Percent 6 5 11" xfId="15372"/>
    <cellStyle name="Percent 6 5 12" xfId="15373"/>
    <cellStyle name="Percent 6 5 13" xfId="15374"/>
    <cellStyle name="Percent 6 5 14" xfId="15375"/>
    <cellStyle name="Percent 6 5 15" xfId="15376"/>
    <cellStyle name="Percent 6 5 16" xfId="15377"/>
    <cellStyle name="Percent 6 5 17" xfId="15378"/>
    <cellStyle name="Percent 6 5 18" xfId="15379"/>
    <cellStyle name="Percent 6 5 19" xfId="15380"/>
    <cellStyle name="Percent 6 5 2" xfId="824"/>
    <cellStyle name="Percent 6 5 20" xfId="15381"/>
    <cellStyle name="Percent 6 5 21" xfId="15382"/>
    <cellStyle name="Percent 6 5 22" xfId="15383"/>
    <cellStyle name="Percent 6 5 23" xfId="15384"/>
    <cellStyle name="Percent 6 5 24" xfId="15385"/>
    <cellStyle name="Percent 6 5 25" xfId="24911"/>
    <cellStyle name="Percent 6 5 26" xfId="24912"/>
    <cellStyle name="Percent 6 5 27" xfId="24913"/>
    <cellStyle name="Percent 6 5 28" xfId="24914"/>
    <cellStyle name="Percent 6 5 29" xfId="24915"/>
    <cellStyle name="Percent 6 5 3" xfId="15386"/>
    <cellStyle name="Percent 6 5 30" xfId="24916"/>
    <cellStyle name="Percent 6 5 31" xfId="24917"/>
    <cellStyle name="Percent 6 5 32" xfId="24918"/>
    <cellStyle name="Percent 6 5 33" xfId="24919"/>
    <cellStyle name="Percent 6 5 34" xfId="24920"/>
    <cellStyle name="Percent 6 5 35" xfId="24921"/>
    <cellStyle name="Percent 6 5 36" xfId="24922"/>
    <cellStyle name="Percent 6 5 37" xfId="24923"/>
    <cellStyle name="Percent 6 5 4" xfId="15387"/>
    <cellStyle name="Percent 6 5 5" xfId="15388"/>
    <cellStyle name="Percent 6 5 6" xfId="15389"/>
    <cellStyle name="Percent 6 5 7" xfId="15390"/>
    <cellStyle name="Percent 6 5 8" xfId="15391"/>
    <cellStyle name="Percent 6 5 9" xfId="15392"/>
    <cellStyle name="Percent 6 50" xfId="15393"/>
    <cellStyle name="Percent 6 51" xfId="24924"/>
    <cellStyle name="Percent 6 52" xfId="24925"/>
    <cellStyle name="Percent 6 53" xfId="24926"/>
    <cellStyle name="Percent 6 54" xfId="24927"/>
    <cellStyle name="Percent 6 55" xfId="24928"/>
    <cellStyle name="Percent 6 56" xfId="24929"/>
    <cellStyle name="Percent 6 57" xfId="24930"/>
    <cellStyle name="Percent 6 58" xfId="24931"/>
    <cellStyle name="Percent 6 59" xfId="24932"/>
    <cellStyle name="Percent 6 6" xfId="825"/>
    <cellStyle name="Percent 6 6 10" xfId="15394"/>
    <cellStyle name="Percent 6 6 11" xfId="15395"/>
    <cellStyle name="Percent 6 6 12" xfId="15396"/>
    <cellStyle name="Percent 6 6 13" xfId="15397"/>
    <cellStyle name="Percent 6 6 14" xfId="15398"/>
    <cellStyle name="Percent 6 6 15" xfId="15399"/>
    <cellStyle name="Percent 6 6 16" xfId="15400"/>
    <cellStyle name="Percent 6 6 17" xfId="15401"/>
    <cellStyle name="Percent 6 6 18" xfId="15402"/>
    <cellStyle name="Percent 6 6 19" xfId="15403"/>
    <cellStyle name="Percent 6 6 2" xfId="826"/>
    <cellStyle name="Percent 6 6 20" xfId="15404"/>
    <cellStyle name="Percent 6 6 21" xfId="15405"/>
    <cellStyle name="Percent 6 6 22" xfId="15406"/>
    <cellStyle name="Percent 6 6 23" xfId="15407"/>
    <cellStyle name="Percent 6 6 24" xfId="15408"/>
    <cellStyle name="Percent 6 6 25" xfId="24933"/>
    <cellStyle name="Percent 6 6 26" xfId="24934"/>
    <cellStyle name="Percent 6 6 27" xfId="24935"/>
    <cellStyle name="Percent 6 6 28" xfId="24936"/>
    <cellStyle name="Percent 6 6 29" xfId="24937"/>
    <cellStyle name="Percent 6 6 3" xfId="15409"/>
    <cellStyle name="Percent 6 6 30" xfId="24938"/>
    <cellStyle name="Percent 6 6 31" xfId="24939"/>
    <cellStyle name="Percent 6 6 32" xfId="24940"/>
    <cellStyle name="Percent 6 6 33" xfId="24941"/>
    <cellStyle name="Percent 6 6 34" xfId="24942"/>
    <cellStyle name="Percent 6 6 35" xfId="24943"/>
    <cellStyle name="Percent 6 6 36" xfId="24944"/>
    <cellStyle name="Percent 6 6 37" xfId="24945"/>
    <cellStyle name="Percent 6 6 4" xfId="15410"/>
    <cellStyle name="Percent 6 6 5" xfId="15411"/>
    <cellStyle name="Percent 6 6 6" xfId="15412"/>
    <cellStyle name="Percent 6 6 7" xfId="15413"/>
    <cellStyle name="Percent 6 6 8" xfId="15414"/>
    <cellStyle name="Percent 6 6 9" xfId="15415"/>
    <cellStyle name="Percent 6 60" xfId="24946"/>
    <cellStyle name="Percent 6 61" xfId="24947"/>
    <cellStyle name="Percent 6 62" xfId="24948"/>
    <cellStyle name="Percent 6 63" xfId="24949"/>
    <cellStyle name="Percent 6 7" xfId="827"/>
    <cellStyle name="Percent 6 7 10" xfId="15416"/>
    <cellStyle name="Percent 6 7 11" xfId="15417"/>
    <cellStyle name="Percent 6 7 12" xfId="15418"/>
    <cellStyle name="Percent 6 7 13" xfId="15419"/>
    <cellStyle name="Percent 6 7 14" xfId="15420"/>
    <cellStyle name="Percent 6 7 15" xfId="15421"/>
    <cellStyle name="Percent 6 7 16" xfId="15422"/>
    <cellStyle name="Percent 6 7 17" xfId="15423"/>
    <cellStyle name="Percent 6 7 18" xfId="15424"/>
    <cellStyle name="Percent 6 7 19" xfId="15425"/>
    <cellStyle name="Percent 6 7 2" xfId="828"/>
    <cellStyle name="Percent 6 7 20" xfId="15426"/>
    <cellStyle name="Percent 6 7 21" xfId="15427"/>
    <cellStyle name="Percent 6 7 22" xfId="15428"/>
    <cellStyle name="Percent 6 7 23" xfId="15429"/>
    <cellStyle name="Percent 6 7 24" xfId="15430"/>
    <cellStyle name="Percent 6 7 25" xfId="24950"/>
    <cellStyle name="Percent 6 7 26" xfId="24951"/>
    <cellStyle name="Percent 6 7 27" xfId="24952"/>
    <cellStyle name="Percent 6 7 28" xfId="24953"/>
    <cellStyle name="Percent 6 7 29" xfId="24954"/>
    <cellStyle name="Percent 6 7 3" xfId="15431"/>
    <cellStyle name="Percent 6 7 30" xfId="24955"/>
    <cellStyle name="Percent 6 7 31" xfId="24956"/>
    <cellStyle name="Percent 6 7 32" xfId="24957"/>
    <cellStyle name="Percent 6 7 33" xfId="24958"/>
    <cellStyle name="Percent 6 7 34" xfId="24959"/>
    <cellStyle name="Percent 6 7 35" xfId="24960"/>
    <cellStyle name="Percent 6 7 36" xfId="24961"/>
    <cellStyle name="Percent 6 7 37" xfId="24962"/>
    <cellStyle name="Percent 6 7 4" xfId="15432"/>
    <cellStyle name="Percent 6 7 5" xfId="15433"/>
    <cellStyle name="Percent 6 7 6" xfId="15434"/>
    <cellStyle name="Percent 6 7 7" xfId="15435"/>
    <cellStyle name="Percent 6 7 8" xfId="15436"/>
    <cellStyle name="Percent 6 7 9" xfId="15437"/>
    <cellStyle name="Percent 6 8" xfId="829"/>
    <cellStyle name="Percent 6 8 10" xfId="15438"/>
    <cellStyle name="Percent 6 8 11" xfId="15439"/>
    <cellStyle name="Percent 6 8 12" xfId="15440"/>
    <cellStyle name="Percent 6 8 13" xfId="15441"/>
    <cellStyle name="Percent 6 8 14" xfId="15442"/>
    <cellStyle name="Percent 6 8 15" xfId="15443"/>
    <cellStyle name="Percent 6 8 16" xfId="15444"/>
    <cellStyle name="Percent 6 8 17" xfId="15445"/>
    <cellStyle name="Percent 6 8 18" xfId="15446"/>
    <cellStyle name="Percent 6 8 19" xfId="15447"/>
    <cellStyle name="Percent 6 8 2" xfId="830"/>
    <cellStyle name="Percent 6 8 20" xfId="15448"/>
    <cellStyle name="Percent 6 8 21" xfId="15449"/>
    <cellStyle name="Percent 6 8 22" xfId="15450"/>
    <cellStyle name="Percent 6 8 23" xfId="15451"/>
    <cellStyle name="Percent 6 8 24" xfId="15452"/>
    <cellStyle name="Percent 6 8 25" xfId="24963"/>
    <cellStyle name="Percent 6 8 26" xfId="24964"/>
    <cellStyle name="Percent 6 8 27" xfId="24965"/>
    <cellStyle name="Percent 6 8 28" xfId="24966"/>
    <cellStyle name="Percent 6 8 29" xfId="24967"/>
    <cellStyle name="Percent 6 8 3" xfId="15453"/>
    <cellStyle name="Percent 6 8 30" xfId="24968"/>
    <cellStyle name="Percent 6 8 31" xfId="24969"/>
    <cellStyle name="Percent 6 8 32" xfId="24970"/>
    <cellStyle name="Percent 6 8 33" xfId="24971"/>
    <cellStyle name="Percent 6 8 34" xfId="24972"/>
    <cellStyle name="Percent 6 8 35" xfId="24973"/>
    <cellStyle name="Percent 6 8 36" xfId="24974"/>
    <cellStyle name="Percent 6 8 37" xfId="24975"/>
    <cellStyle name="Percent 6 8 4" xfId="15454"/>
    <cellStyle name="Percent 6 8 5" xfId="15455"/>
    <cellStyle name="Percent 6 8 6" xfId="15456"/>
    <cellStyle name="Percent 6 8 7" xfId="15457"/>
    <cellStyle name="Percent 6 8 8" xfId="15458"/>
    <cellStyle name="Percent 6 8 9" xfId="15459"/>
    <cellStyle name="Percent 6 9" xfId="831"/>
    <cellStyle name="Percent 6 9 10" xfId="15460"/>
    <cellStyle name="Percent 6 9 11" xfId="15461"/>
    <cellStyle name="Percent 6 9 12" xfId="15462"/>
    <cellStyle name="Percent 6 9 13" xfId="15463"/>
    <cellStyle name="Percent 6 9 14" xfId="15464"/>
    <cellStyle name="Percent 6 9 15" xfId="15465"/>
    <cellStyle name="Percent 6 9 16" xfId="15466"/>
    <cellStyle name="Percent 6 9 17" xfId="15467"/>
    <cellStyle name="Percent 6 9 18" xfId="15468"/>
    <cellStyle name="Percent 6 9 19" xfId="15469"/>
    <cellStyle name="Percent 6 9 2" xfId="832"/>
    <cellStyle name="Percent 6 9 20" xfId="15470"/>
    <cellStyle name="Percent 6 9 21" xfId="15471"/>
    <cellStyle name="Percent 6 9 22" xfId="15472"/>
    <cellStyle name="Percent 6 9 23" xfId="15473"/>
    <cellStyle name="Percent 6 9 24" xfId="15474"/>
    <cellStyle name="Percent 6 9 25" xfId="24976"/>
    <cellStyle name="Percent 6 9 26" xfId="24977"/>
    <cellStyle name="Percent 6 9 27" xfId="24978"/>
    <cellStyle name="Percent 6 9 28" xfId="24979"/>
    <cellStyle name="Percent 6 9 29" xfId="24980"/>
    <cellStyle name="Percent 6 9 3" xfId="15475"/>
    <cellStyle name="Percent 6 9 30" xfId="24981"/>
    <cellStyle name="Percent 6 9 31" xfId="24982"/>
    <cellStyle name="Percent 6 9 32" xfId="24983"/>
    <cellStyle name="Percent 6 9 33" xfId="24984"/>
    <cellStyle name="Percent 6 9 34" xfId="24985"/>
    <cellStyle name="Percent 6 9 35" xfId="24986"/>
    <cellStyle name="Percent 6 9 36" xfId="24987"/>
    <cellStyle name="Percent 6 9 37" xfId="24988"/>
    <cellStyle name="Percent 6 9 4" xfId="15476"/>
    <cellStyle name="Percent 6 9 5" xfId="15477"/>
    <cellStyle name="Percent 6 9 6" xfId="15478"/>
    <cellStyle name="Percent 6 9 7" xfId="15479"/>
    <cellStyle name="Percent 6 9 8" xfId="15480"/>
    <cellStyle name="Percent 6 9 9" xfId="15481"/>
    <cellStyle name="Percent 7" xfId="833"/>
    <cellStyle name="Percent 7 10" xfId="834"/>
    <cellStyle name="Percent 7 10 10" xfId="15482"/>
    <cellStyle name="Percent 7 10 11" xfId="15483"/>
    <cellStyle name="Percent 7 10 12" xfId="15484"/>
    <cellStyle name="Percent 7 10 13" xfId="15485"/>
    <cellStyle name="Percent 7 10 14" xfId="15486"/>
    <cellStyle name="Percent 7 10 15" xfId="15487"/>
    <cellStyle name="Percent 7 10 16" xfId="15488"/>
    <cellStyle name="Percent 7 10 17" xfId="15489"/>
    <cellStyle name="Percent 7 10 18" xfId="15490"/>
    <cellStyle name="Percent 7 10 19" xfId="15491"/>
    <cellStyle name="Percent 7 10 2" xfId="835"/>
    <cellStyle name="Percent 7 10 20" xfId="15492"/>
    <cellStyle name="Percent 7 10 21" xfId="15493"/>
    <cellStyle name="Percent 7 10 22" xfId="15494"/>
    <cellStyle name="Percent 7 10 23" xfId="15495"/>
    <cellStyle name="Percent 7 10 24" xfId="15496"/>
    <cellStyle name="Percent 7 10 25" xfId="24989"/>
    <cellStyle name="Percent 7 10 26" xfId="24990"/>
    <cellStyle name="Percent 7 10 27" xfId="24991"/>
    <cellStyle name="Percent 7 10 28" xfId="24992"/>
    <cellStyle name="Percent 7 10 29" xfId="24993"/>
    <cellStyle name="Percent 7 10 3" xfId="15497"/>
    <cellStyle name="Percent 7 10 30" xfId="24994"/>
    <cellStyle name="Percent 7 10 31" xfId="24995"/>
    <cellStyle name="Percent 7 10 32" xfId="24996"/>
    <cellStyle name="Percent 7 10 33" xfId="24997"/>
    <cellStyle name="Percent 7 10 34" xfId="24998"/>
    <cellStyle name="Percent 7 10 35" xfId="24999"/>
    <cellStyle name="Percent 7 10 36" xfId="25000"/>
    <cellStyle name="Percent 7 10 37" xfId="25001"/>
    <cellStyle name="Percent 7 10 4" xfId="15498"/>
    <cellStyle name="Percent 7 10 5" xfId="15499"/>
    <cellStyle name="Percent 7 10 6" xfId="15500"/>
    <cellStyle name="Percent 7 10 7" xfId="15501"/>
    <cellStyle name="Percent 7 10 8" xfId="15502"/>
    <cellStyle name="Percent 7 10 9" xfId="15503"/>
    <cellStyle name="Percent 7 11" xfId="836"/>
    <cellStyle name="Percent 7 11 10" xfId="15504"/>
    <cellStyle name="Percent 7 11 11" xfId="15505"/>
    <cellStyle name="Percent 7 11 12" xfId="15506"/>
    <cellStyle name="Percent 7 11 13" xfId="15507"/>
    <cellStyle name="Percent 7 11 14" xfId="15508"/>
    <cellStyle name="Percent 7 11 15" xfId="15509"/>
    <cellStyle name="Percent 7 11 16" xfId="15510"/>
    <cellStyle name="Percent 7 11 17" xfId="15511"/>
    <cellStyle name="Percent 7 11 18" xfId="15512"/>
    <cellStyle name="Percent 7 11 19" xfId="15513"/>
    <cellStyle name="Percent 7 11 2" xfId="837"/>
    <cellStyle name="Percent 7 11 20" xfId="15514"/>
    <cellStyle name="Percent 7 11 21" xfId="15515"/>
    <cellStyle name="Percent 7 11 22" xfId="15516"/>
    <cellStyle name="Percent 7 11 23" xfId="15517"/>
    <cellStyle name="Percent 7 11 24" xfId="15518"/>
    <cellStyle name="Percent 7 11 25" xfId="25002"/>
    <cellStyle name="Percent 7 11 26" xfId="25003"/>
    <cellStyle name="Percent 7 11 27" xfId="25004"/>
    <cellStyle name="Percent 7 11 28" xfId="25005"/>
    <cellStyle name="Percent 7 11 29" xfId="25006"/>
    <cellStyle name="Percent 7 11 3" xfId="15519"/>
    <cellStyle name="Percent 7 11 30" xfId="25007"/>
    <cellStyle name="Percent 7 11 31" xfId="25008"/>
    <cellStyle name="Percent 7 11 32" xfId="25009"/>
    <cellStyle name="Percent 7 11 33" xfId="25010"/>
    <cellStyle name="Percent 7 11 34" xfId="25011"/>
    <cellStyle name="Percent 7 11 35" xfId="25012"/>
    <cellStyle name="Percent 7 11 36" xfId="25013"/>
    <cellStyle name="Percent 7 11 37" xfId="25014"/>
    <cellStyle name="Percent 7 11 4" xfId="15520"/>
    <cellStyle name="Percent 7 11 5" xfId="15521"/>
    <cellStyle name="Percent 7 11 6" xfId="15522"/>
    <cellStyle name="Percent 7 11 7" xfId="15523"/>
    <cellStyle name="Percent 7 11 8" xfId="15524"/>
    <cellStyle name="Percent 7 11 9" xfId="15525"/>
    <cellStyle name="Percent 7 12" xfId="838"/>
    <cellStyle name="Percent 7 12 10" xfId="15526"/>
    <cellStyle name="Percent 7 12 11" xfId="15527"/>
    <cellStyle name="Percent 7 12 12" xfId="15528"/>
    <cellStyle name="Percent 7 12 13" xfId="15529"/>
    <cellStyle name="Percent 7 12 14" xfId="15530"/>
    <cellStyle name="Percent 7 12 15" xfId="15531"/>
    <cellStyle name="Percent 7 12 16" xfId="15532"/>
    <cellStyle name="Percent 7 12 17" xfId="15533"/>
    <cellStyle name="Percent 7 12 18" xfId="15534"/>
    <cellStyle name="Percent 7 12 19" xfId="15535"/>
    <cellStyle name="Percent 7 12 2" xfId="839"/>
    <cellStyle name="Percent 7 12 20" xfId="15536"/>
    <cellStyle name="Percent 7 12 21" xfId="15537"/>
    <cellStyle name="Percent 7 12 22" xfId="15538"/>
    <cellStyle name="Percent 7 12 23" xfId="15539"/>
    <cellStyle name="Percent 7 12 24" xfId="15540"/>
    <cellStyle name="Percent 7 12 25" xfId="25015"/>
    <cellStyle name="Percent 7 12 26" xfId="25016"/>
    <cellStyle name="Percent 7 12 27" xfId="25017"/>
    <cellStyle name="Percent 7 12 28" xfId="25018"/>
    <cellStyle name="Percent 7 12 29" xfId="25019"/>
    <cellStyle name="Percent 7 12 3" xfId="15541"/>
    <cellStyle name="Percent 7 12 30" xfId="25020"/>
    <cellStyle name="Percent 7 12 31" xfId="25021"/>
    <cellStyle name="Percent 7 12 32" xfId="25022"/>
    <cellStyle name="Percent 7 12 33" xfId="25023"/>
    <cellStyle name="Percent 7 12 34" xfId="25024"/>
    <cellStyle name="Percent 7 12 35" xfId="25025"/>
    <cellStyle name="Percent 7 12 36" xfId="25026"/>
    <cellStyle name="Percent 7 12 37" xfId="25027"/>
    <cellStyle name="Percent 7 12 4" xfId="15542"/>
    <cellStyle name="Percent 7 12 5" xfId="15543"/>
    <cellStyle name="Percent 7 12 6" xfId="15544"/>
    <cellStyle name="Percent 7 12 7" xfId="15545"/>
    <cellStyle name="Percent 7 12 8" xfId="15546"/>
    <cellStyle name="Percent 7 12 9" xfId="15547"/>
    <cellStyle name="Percent 7 13" xfId="840"/>
    <cellStyle name="Percent 7 13 10" xfId="15548"/>
    <cellStyle name="Percent 7 13 11" xfId="15549"/>
    <cellStyle name="Percent 7 13 12" xfId="15550"/>
    <cellStyle name="Percent 7 13 13" xfId="15551"/>
    <cellStyle name="Percent 7 13 14" xfId="15552"/>
    <cellStyle name="Percent 7 13 15" xfId="15553"/>
    <cellStyle name="Percent 7 13 16" xfId="15554"/>
    <cellStyle name="Percent 7 13 17" xfId="15555"/>
    <cellStyle name="Percent 7 13 18" xfId="15556"/>
    <cellStyle name="Percent 7 13 19" xfId="15557"/>
    <cellStyle name="Percent 7 13 2" xfId="841"/>
    <cellStyle name="Percent 7 13 20" xfId="15558"/>
    <cellStyle name="Percent 7 13 21" xfId="15559"/>
    <cellStyle name="Percent 7 13 22" xfId="15560"/>
    <cellStyle name="Percent 7 13 23" xfId="15561"/>
    <cellStyle name="Percent 7 13 24" xfId="15562"/>
    <cellStyle name="Percent 7 13 25" xfId="25028"/>
    <cellStyle name="Percent 7 13 26" xfId="25029"/>
    <cellStyle name="Percent 7 13 27" xfId="25030"/>
    <cellStyle name="Percent 7 13 28" xfId="25031"/>
    <cellStyle name="Percent 7 13 29" xfId="25032"/>
    <cellStyle name="Percent 7 13 3" xfId="15563"/>
    <cellStyle name="Percent 7 13 30" xfId="25033"/>
    <cellStyle name="Percent 7 13 31" xfId="25034"/>
    <cellStyle name="Percent 7 13 32" xfId="25035"/>
    <cellStyle name="Percent 7 13 33" xfId="25036"/>
    <cellStyle name="Percent 7 13 34" xfId="25037"/>
    <cellStyle name="Percent 7 13 35" xfId="25038"/>
    <cellStyle name="Percent 7 13 36" xfId="25039"/>
    <cellStyle name="Percent 7 13 37" xfId="25040"/>
    <cellStyle name="Percent 7 13 4" xfId="15564"/>
    <cellStyle name="Percent 7 13 5" xfId="15565"/>
    <cellStyle name="Percent 7 13 6" xfId="15566"/>
    <cellStyle name="Percent 7 13 7" xfId="15567"/>
    <cellStyle name="Percent 7 13 8" xfId="15568"/>
    <cellStyle name="Percent 7 13 9" xfId="15569"/>
    <cellStyle name="Percent 7 14" xfId="842"/>
    <cellStyle name="Percent 7 14 10" xfId="15570"/>
    <cellStyle name="Percent 7 14 11" xfId="15571"/>
    <cellStyle name="Percent 7 14 12" xfId="15572"/>
    <cellStyle name="Percent 7 14 13" xfId="15573"/>
    <cellStyle name="Percent 7 14 14" xfId="15574"/>
    <cellStyle name="Percent 7 14 15" xfId="15575"/>
    <cellStyle name="Percent 7 14 16" xfId="15576"/>
    <cellStyle name="Percent 7 14 17" xfId="15577"/>
    <cellStyle name="Percent 7 14 18" xfId="15578"/>
    <cellStyle name="Percent 7 14 19" xfId="15579"/>
    <cellStyle name="Percent 7 14 2" xfId="15580"/>
    <cellStyle name="Percent 7 14 20" xfId="15581"/>
    <cellStyle name="Percent 7 14 21" xfId="15582"/>
    <cellStyle name="Percent 7 14 22" xfId="15583"/>
    <cellStyle name="Percent 7 14 23" xfId="25041"/>
    <cellStyle name="Percent 7 14 24" xfId="25042"/>
    <cellStyle name="Percent 7 14 25" xfId="25043"/>
    <cellStyle name="Percent 7 14 26" xfId="25044"/>
    <cellStyle name="Percent 7 14 27" xfId="25045"/>
    <cellStyle name="Percent 7 14 28" xfId="25046"/>
    <cellStyle name="Percent 7 14 29" xfId="25047"/>
    <cellStyle name="Percent 7 14 3" xfId="15584"/>
    <cellStyle name="Percent 7 14 30" xfId="25048"/>
    <cellStyle name="Percent 7 14 31" xfId="25049"/>
    <cellStyle name="Percent 7 14 32" xfId="25050"/>
    <cellStyle name="Percent 7 14 33" xfId="25051"/>
    <cellStyle name="Percent 7 14 34" xfId="25052"/>
    <cellStyle name="Percent 7 14 35" xfId="25053"/>
    <cellStyle name="Percent 7 14 4" xfId="15585"/>
    <cellStyle name="Percent 7 14 5" xfId="15586"/>
    <cellStyle name="Percent 7 14 6" xfId="15587"/>
    <cellStyle name="Percent 7 14 7" xfId="15588"/>
    <cellStyle name="Percent 7 14 8" xfId="15589"/>
    <cellStyle name="Percent 7 14 9" xfId="15590"/>
    <cellStyle name="Percent 7 15" xfId="843"/>
    <cellStyle name="Percent 7 15 10" xfId="15591"/>
    <cellStyle name="Percent 7 15 11" xfId="15592"/>
    <cellStyle name="Percent 7 15 12" xfId="15593"/>
    <cellStyle name="Percent 7 15 13" xfId="15594"/>
    <cellStyle name="Percent 7 15 14" xfId="15595"/>
    <cellStyle name="Percent 7 15 15" xfId="15596"/>
    <cellStyle name="Percent 7 15 16" xfId="15597"/>
    <cellStyle name="Percent 7 15 17" xfId="15598"/>
    <cellStyle name="Percent 7 15 18" xfId="15599"/>
    <cellStyle name="Percent 7 15 19" xfId="15600"/>
    <cellStyle name="Percent 7 15 2" xfId="15601"/>
    <cellStyle name="Percent 7 15 20" xfId="15602"/>
    <cellStyle name="Percent 7 15 21" xfId="15603"/>
    <cellStyle name="Percent 7 15 22" xfId="15604"/>
    <cellStyle name="Percent 7 15 23" xfId="25054"/>
    <cellStyle name="Percent 7 15 24" xfId="25055"/>
    <cellStyle name="Percent 7 15 25" xfId="25056"/>
    <cellStyle name="Percent 7 15 26" xfId="25057"/>
    <cellStyle name="Percent 7 15 27" xfId="25058"/>
    <cellStyle name="Percent 7 15 28" xfId="25059"/>
    <cellStyle name="Percent 7 15 29" xfId="25060"/>
    <cellStyle name="Percent 7 15 3" xfId="15605"/>
    <cellStyle name="Percent 7 15 30" xfId="25061"/>
    <cellStyle name="Percent 7 15 31" xfId="25062"/>
    <cellStyle name="Percent 7 15 32" xfId="25063"/>
    <cellStyle name="Percent 7 15 33" xfId="25064"/>
    <cellStyle name="Percent 7 15 34" xfId="25065"/>
    <cellStyle name="Percent 7 15 35" xfId="25066"/>
    <cellStyle name="Percent 7 15 4" xfId="15606"/>
    <cellStyle name="Percent 7 15 5" xfId="15607"/>
    <cellStyle name="Percent 7 15 6" xfId="15608"/>
    <cellStyle name="Percent 7 15 7" xfId="15609"/>
    <cellStyle name="Percent 7 15 8" xfId="15610"/>
    <cellStyle name="Percent 7 15 9" xfId="15611"/>
    <cellStyle name="Percent 7 16" xfId="844"/>
    <cellStyle name="Percent 7 16 10" xfId="15612"/>
    <cellStyle name="Percent 7 16 11" xfId="15613"/>
    <cellStyle name="Percent 7 16 12" xfId="15614"/>
    <cellStyle name="Percent 7 16 13" xfId="15615"/>
    <cellStyle name="Percent 7 16 14" xfId="15616"/>
    <cellStyle name="Percent 7 16 15" xfId="15617"/>
    <cellStyle name="Percent 7 16 16" xfId="15618"/>
    <cellStyle name="Percent 7 16 17" xfId="15619"/>
    <cellStyle name="Percent 7 16 18" xfId="15620"/>
    <cellStyle name="Percent 7 16 19" xfId="15621"/>
    <cellStyle name="Percent 7 16 2" xfId="15622"/>
    <cellStyle name="Percent 7 16 20" xfId="15623"/>
    <cellStyle name="Percent 7 16 21" xfId="15624"/>
    <cellStyle name="Percent 7 16 22" xfId="15625"/>
    <cellStyle name="Percent 7 16 23" xfId="25067"/>
    <cellStyle name="Percent 7 16 24" xfId="25068"/>
    <cellStyle name="Percent 7 16 25" xfId="25069"/>
    <cellStyle name="Percent 7 16 26" xfId="25070"/>
    <cellStyle name="Percent 7 16 27" xfId="25071"/>
    <cellStyle name="Percent 7 16 28" xfId="25072"/>
    <cellStyle name="Percent 7 16 29" xfId="25073"/>
    <cellStyle name="Percent 7 16 3" xfId="15626"/>
    <cellStyle name="Percent 7 16 30" xfId="25074"/>
    <cellStyle name="Percent 7 16 31" xfId="25075"/>
    <cellStyle name="Percent 7 16 32" xfId="25076"/>
    <cellStyle name="Percent 7 16 33" xfId="25077"/>
    <cellStyle name="Percent 7 16 34" xfId="25078"/>
    <cellStyle name="Percent 7 16 35" xfId="25079"/>
    <cellStyle name="Percent 7 16 4" xfId="15627"/>
    <cellStyle name="Percent 7 16 5" xfId="15628"/>
    <cellStyle name="Percent 7 16 6" xfId="15629"/>
    <cellStyle name="Percent 7 16 7" xfId="15630"/>
    <cellStyle name="Percent 7 16 8" xfId="15631"/>
    <cellStyle name="Percent 7 16 9" xfId="15632"/>
    <cellStyle name="Percent 7 17" xfId="845"/>
    <cellStyle name="Percent 7 17 10" xfId="15633"/>
    <cellStyle name="Percent 7 17 11" xfId="15634"/>
    <cellStyle name="Percent 7 17 12" xfId="15635"/>
    <cellStyle name="Percent 7 17 13" xfId="15636"/>
    <cellStyle name="Percent 7 17 14" xfId="15637"/>
    <cellStyle name="Percent 7 17 15" xfId="15638"/>
    <cellStyle name="Percent 7 17 16" xfId="15639"/>
    <cellStyle name="Percent 7 17 17" xfId="15640"/>
    <cellStyle name="Percent 7 17 18" xfId="15641"/>
    <cellStyle name="Percent 7 17 19" xfId="15642"/>
    <cellStyle name="Percent 7 17 2" xfId="15643"/>
    <cellStyle name="Percent 7 17 20" xfId="15644"/>
    <cellStyle name="Percent 7 17 21" xfId="15645"/>
    <cellStyle name="Percent 7 17 22" xfId="15646"/>
    <cellStyle name="Percent 7 17 23" xfId="25080"/>
    <cellStyle name="Percent 7 17 24" xfId="25081"/>
    <cellStyle name="Percent 7 17 25" xfId="25082"/>
    <cellStyle name="Percent 7 17 26" xfId="25083"/>
    <cellStyle name="Percent 7 17 27" xfId="25084"/>
    <cellStyle name="Percent 7 17 28" xfId="25085"/>
    <cellStyle name="Percent 7 17 29" xfId="25086"/>
    <cellStyle name="Percent 7 17 3" xfId="15647"/>
    <cellStyle name="Percent 7 17 30" xfId="25087"/>
    <cellStyle name="Percent 7 17 31" xfId="25088"/>
    <cellStyle name="Percent 7 17 32" xfId="25089"/>
    <cellStyle name="Percent 7 17 33" xfId="25090"/>
    <cellStyle name="Percent 7 17 34" xfId="25091"/>
    <cellStyle name="Percent 7 17 35" xfId="25092"/>
    <cellStyle name="Percent 7 17 4" xfId="15648"/>
    <cellStyle name="Percent 7 17 5" xfId="15649"/>
    <cellStyle name="Percent 7 17 6" xfId="15650"/>
    <cellStyle name="Percent 7 17 7" xfId="15651"/>
    <cellStyle name="Percent 7 17 8" xfId="15652"/>
    <cellStyle name="Percent 7 17 9" xfId="15653"/>
    <cellStyle name="Percent 7 18" xfId="846"/>
    <cellStyle name="Percent 7 18 10" xfId="15654"/>
    <cellStyle name="Percent 7 18 11" xfId="15655"/>
    <cellStyle name="Percent 7 18 12" xfId="15656"/>
    <cellStyle name="Percent 7 18 13" xfId="15657"/>
    <cellStyle name="Percent 7 18 14" xfId="15658"/>
    <cellStyle name="Percent 7 18 15" xfId="15659"/>
    <cellStyle name="Percent 7 18 16" xfId="15660"/>
    <cellStyle name="Percent 7 18 17" xfId="15661"/>
    <cellStyle name="Percent 7 18 18" xfId="15662"/>
    <cellStyle name="Percent 7 18 19" xfId="15663"/>
    <cellStyle name="Percent 7 18 2" xfId="15664"/>
    <cellStyle name="Percent 7 18 20" xfId="15665"/>
    <cellStyle name="Percent 7 18 21" xfId="15666"/>
    <cellStyle name="Percent 7 18 22" xfId="15667"/>
    <cellStyle name="Percent 7 18 23" xfId="25093"/>
    <cellStyle name="Percent 7 18 24" xfId="25094"/>
    <cellStyle name="Percent 7 18 25" xfId="25095"/>
    <cellStyle name="Percent 7 18 26" xfId="25096"/>
    <cellStyle name="Percent 7 18 27" xfId="25097"/>
    <cellStyle name="Percent 7 18 28" xfId="25098"/>
    <cellStyle name="Percent 7 18 29" xfId="25099"/>
    <cellStyle name="Percent 7 18 3" xfId="15668"/>
    <cellStyle name="Percent 7 18 30" xfId="25100"/>
    <cellStyle name="Percent 7 18 31" xfId="25101"/>
    <cellStyle name="Percent 7 18 32" xfId="25102"/>
    <cellStyle name="Percent 7 18 33" xfId="25103"/>
    <cellStyle name="Percent 7 18 34" xfId="25104"/>
    <cellStyle name="Percent 7 18 35" xfId="25105"/>
    <cellStyle name="Percent 7 18 4" xfId="15669"/>
    <cellStyle name="Percent 7 18 5" xfId="15670"/>
    <cellStyle name="Percent 7 18 6" xfId="15671"/>
    <cellStyle name="Percent 7 18 7" xfId="15672"/>
    <cellStyle name="Percent 7 18 8" xfId="15673"/>
    <cellStyle name="Percent 7 18 9" xfId="15674"/>
    <cellStyle name="Percent 7 19" xfId="847"/>
    <cellStyle name="Percent 7 19 10" xfId="15675"/>
    <cellStyle name="Percent 7 19 11" xfId="15676"/>
    <cellStyle name="Percent 7 19 12" xfId="15677"/>
    <cellStyle name="Percent 7 19 13" xfId="15678"/>
    <cellStyle name="Percent 7 19 14" xfId="15679"/>
    <cellStyle name="Percent 7 19 15" xfId="15680"/>
    <cellStyle name="Percent 7 19 16" xfId="15681"/>
    <cellStyle name="Percent 7 19 17" xfId="15682"/>
    <cellStyle name="Percent 7 19 18" xfId="15683"/>
    <cellStyle name="Percent 7 19 19" xfId="15684"/>
    <cellStyle name="Percent 7 19 2" xfId="15685"/>
    <cellStyle name="Percent 7 19 20" xfId="15686"/>
    <cellStyle name="Percent 7 19 21" xfId="15687"/>
    <cellStyle name="Percent 7 19 22" xfId="15688"/>
    <cellStyle name="Percent 7 19 23" xfId="25106"/>
    <cellStyle name="Percent 7 19 24" xfId="25107"/>
    <cellStyle name="Percent 7 19 25" xfId="25108"/>
    <cellStyle name="Percent 7 19 26" xfId="25109"/>
    <cellStyle name="Percent 7 19 27" xfId="25110"/>
    <cellStyle name="Percent 7 19 28" xfId="25111"/>
    <cellStyle name="Percent 7 19 29" xfId="25112"/>
    <cellStyle name="Percent 7 19 3" xfId="15689"/>
    <cellStyle name="Percent 7 19 30" xfId="25113"/>
    <cellStyle name="Percent 7 19 31" xfId="25114"/>
    <cellStyle name="Percent 7 19 32" xfId="25115"/>
    <cellStyle name="Percent 7 19 33" xfId="25116"/>
    <cellStyle name="Percent 7 19 34" xfId="25117"/>
    <cellStyle name="Percent 7 19 35" xfId="25118"/>
    <cellStyle name="Percent 7 19 4" xfId="15690"/>
    <cellStyle name="Percent 7 19 5" xfId="15691"/>
    <cellStyle name="Percent 7 19 6" xfId="15692"/>
    <cellStyle name="Percent 7 19 7" xfId="15693"/>
    <cellStyle name="Percent 7 19 8" xfId="15694"/>
    <cellStyle name="Percent 7 19 9" xfId="15695"/>
    <cellStyle name="Percent 7 2" xfId="848"/>
    <cellStyle name="Percent 7 2 10" xfId="15696"/>
    <cellStyle name="Percent 7 2 11" xfId="15697"/>
    <cellStyle name="Percent 7 2 12" xfId="15698"/>
    <cellStyle name="Percent 7 2 13" xfId="15699"/>
    <cellStyle name="Percent 7 2 14" xfId="15700"/>
    <cellStyle name="Percent 7 2 15" xfId="15701"/>
    <cellStyle name="Percent 7 2 16" xfId="15702"/>
    <cellStyle name="Percent 7 2 17" xfId="15703"/>
    <cellStyle name="Percent 7 2 18" xfId="15704"/>
    <cellStyle name="Percent 7 2 19" xfId="15705"/>
    <cellStyle name="Percent 7 2 2" xfId="849"/>
    <cellStyle name="Percent 7 2 20" xfId="15706"/>
    <cellStyle name="Percent 7 2 21" xfId="15707"/>
    <cellStyle name="Percent 7 2 22" xfId="15708"/>
    <cellStyle name="Percent 7 2 23" xfId="15709"/>
    <cellStyle name="Percent 7 2 24" xfId="15710"/>
    <cellStyle name="Percent 7 2 25" xfId="25119"/>
    <cellStyle name="Percent 7 2 26" xfId="25120"/>
    <cellStyle name="Percent 7 2 27" xfId="25121"/>
    <cellStyle name="Percent 7 2 28" xfId="25122"/>
    <cellStyle name="Percent 7 2 29" xfId="25123"/>
    <cellStyle name="Percent 7 2 3" xfId="15711"/>
    <cellStyle name="Percent 7 2 30" xfId="25124"/>
    <cellStyle name="Percent 7 2 31" xfId="25125"/>
    <cellStyle name="Percent 7 2 32" xfId="25126"/>
    <cellStyle name="Percent 7 2 33" xfId="25127"/>
    <cellStyle name="Percent 7 2 34" xfId="25128"/>
    <cellStyle name="Percent 7 2 35" xfId="25129"/>
    <cellStyle name="Percent 7 2 36" xfId="25130"/>
    <cellStyle name="Percent 7 2 37" xfId="25131"/>
    <cellStyle name="Percent 7 2 4" xfId="15712"/>
    <cellStyle name="Percent 7 2 5" xfId="15713"/>
    <cellStyle name="Percent 7 2 6" xfId="15714"/>
    <cellStyle name="Percent 7 2 7" xfId="15715"/>
    <cellStyle name="Percent 7 2 8" xfId="15716"/>
    <cellStyle name="Percent 7 2 9" xfId="15717"/>
    <cellStyle name="Percent 7 20" xfId="850"/>
    <cellStyle name="Percent 7 20 10" xfId="15718"/>
    <cellStyle name="Percent 7 20 11" xfId="15719"/>
    <cellStyle name="Percent 7 20 12" xfId="15720"/>
    <cellStyle name="Percent 7 20 13" xfId="15721"/>
    <cellStyle name="Percent 7 20 14" xfId="15722"/>
    <cellStyle name="Percent 7 20 15" xfId="15723"/>
    <cellStyle name="Percent 7 20 16" xfId="15724"/>
    <cellStyle name="Percent 7 20 17" xfId="15725"/>
    <cellStyle name="Percent 7 20 18" xfId="15726"/>
    <cellStyle name="Percent 7 20 19" xfId="15727"/>
    <cellStyle name="Percent 7 20 2" xfId="15728"/>
    <cellStyle name="Percent 7 20 20" xfId="15729"/>
    <cellStyle name="Percent 7 20 21" xfId="15730"/>
    <cellStyle name="Percent 7 20 22" xfId="15731"/>
    <cellStyle name="Percent 7 20 23" xfId="25132"/>
    <cellStyle name="Percent 7 20 24" xfId="25133"/>
    <cellStyle name="Percent 7 20 25" xfId="25134"/>
    <cellStyle name="Percent 7 20 26" xfId="25135"/>
    <cellStyle name="Percent 7 20 27" xfId="25136"/>
    <cellStyle name="Percent 7 20 28" xfId="25137"/>
    <cellStyle name="Percent 7 20 29" xfId="25138"/>
    <cellStyle name="Percent 7 20 3" xfId="15732"/>
    <cellStyle name="Percent 7 20 30" xfId="25139"/>
    <cellStyle name="Percent 7 20 31" xfId="25140"/>
    <cellStyle name="Percent 7 20 32" xfId="25141"/>
    <cellStyle name="Percent 7 20 33" xfId="25142"/>
    <cellStyle name="Percent 7 20 34" xfId="25143"/>
    <cellStyle name="Percent 7 20 35" xfId="25144"/>
    <cellStyle name="Percent 7 20 4" xfId="15733"/>
    <cellStyle name="Percent 7 20 5" xfId="15734"/>
    <cellStyle name="Percent 7 20 6" xfId="15735"/>
    <cellStyle name="Percent 7 20 7" xfId="15736"/>
    <cellStyle name="Percent 7 20 8" xfId="15737"/>
    <cellStyle name="Percent 7 20 9" xfId="15738"/>
    <cellStyle name="Percent 7 21" xfId="851"/>
    <cellStyle name="Percent 7 21 10" xfId="15739"/>
    <cellStyle name="Percent 7 21 11" xfId="15740"/>
    <cellStyle name="Percent 7 21 12" xfId="15741"/>
    <cellStyle name="Percent 7 21 13" xfId="15742"/>
    <cellStyle name="Percent 7 21 14" xfId="15743"/>
    <cellStyle name="Percent 7 21 15" xfId="15744"/>
    <cellStyle name="Percent 7 21 16" xfId="15745"/>
    <cellStyle name="Percent 7 21 17" xfId="15746"/>
    <cellStyle name="Percent 7 21 18" xfId="15747"/>
    <cellStyle name="Percent 7 21 19" xfId="15748"/>
    <cellStyle name="Percent 7 21 2" xfId="15749"/>
    <cellStyle name="Percent 7 21 20" xfId="15750"/>
    <cellStyle name="Percent 7 21 21" xfId="15751"/>
    <cellStyle name="Percent 7 21 22" xfId="15752"/>
    <cellStyle name="Percent 7 21 23" xfId="25145"/>
    <cellStyle name="Percent 7 21 24" xfId="25146"/>
    <cellStyle name="Percent 7 21 25" xfId="25147"/>
    <cellStyle name="Percent 7 21 26" xfId="25148"/>
    <cellStyle name="Percent 7 21 27" xfId="25149"/>
    <cellStyle name="Percent 7 21 28" xfId="25150"/>
    <cellStyle name="Percent 7 21 29" xfId="25151"/>
    <cellStyle name="Percent 7 21 3" xfId="15753"/>
    <cellStyle name="Percent 7 21 30" xfId="25152"/>
    <cellStyle name="Percent 7 21 31" xfId="25153"/>
    <cellStyle name="Percent 7 21 32" xfId="25154"/>
    <cellStyle name="Percent 7 21 33" xfId="25155"/>
    <cellStyle name="Percent 7 21 34" xfId="25156"/>
    <cellStyle name="Percent 7 21 35" xfId="25157"/>
    <cellStyle name="Percent 7 21 4" xfId="15754"/>
    <cellStyle name="Percent 7 21 5" xfId="15755"/>
    <cellStyle name="Percent 7 21 6" xfId="15756"/>
    <cellStyle name="Percent 7 21 7" xfId="15757"/>
    <cellStyle name="Percent 7 21 8" xfId="15758"/>
    <cellStyle name="Percent 7 21 9" xfId="15759"/>
    <cellStyle name="Percent 7 22" xfId="852"/>
    <cellStyle name="Percent 7 22 10" xfId="15760"/>
    <cellStyle name="Percent 7 22 11" xfId="15761"/>
    <cellStyle name="Percent 7 22 12" xfId="15762"/>
    <cellStyle name="Percent 7 22 13" xfId="15763"/>
    <cellStyle name="Percent 7 22 14" xfId="15764"/>
    <cellStyle name="Percent 7 22 15" xfId="15765"/>
    <cellStyle name="Percent 7 22 16" xfId="15766"/>
    <cellStyle name="Percent 7 22 17" xfId="15767"/>
    <cellStyle name="Percent 7 22 18" xfId="15768"/>
    <cellStyle name="Percent 7 22 19" xfId="15769"/>
    <cellStyle name="Percent 7 22 2" xfId="15770"/>
    <cellStyle name="Percent 7 22 20" xfId="15771"/>
    <cellStyle name="Percent 7 22 21" xfId="15772"/>
    <cellStyle name="Percent 7 22 22" xfId="15773"/>
    <cellStyle name="Percent 7 22 23" xfId="25158"/>
    <cellStyle name="Percent 7 22 24" xfId="25159"/>
    <cellStyle name="Percent 7 22 25" xfId="25160"/>
    <cellStyle name="Percent 7 22 26" xfId="25161"/>
    <cellStyle name="Percent 7 22 27" xfId="25162"/>
    <cellStyle name="Percent 7 22 28" xfId="25163"/>
    <cellStyle name="Percent 7 22 29" xfId="25164"/>
    <cellStyle name="Percent 7 22 3" xfId="15774"/>
    <cellStyle name="Percent 7 22 30" xfId="25165"/>
    <cellStyle name="Percent 7 22 31" xfId="25166"/>
    <cellStyle name="Percent 7 22 32" xfId="25167"/>
    <cellStyle name="Percent 7 22 33" xfId="25168"/>
    <cellStyle name="Percent 7 22 34" xfId="25169"/>
    <cellStyle name="Percent 7 22 35" xfId="25170"/>
    <cellStyle name="Percent 7 22 4" xfId="15775"/>
    <cellStyle name="Percent 7 22 5" xfId="15776"/>
    <cellStyle name="Percent 7 22 6" xfId="15777"/>
    <cellStyle name="Percent 7 22 7" xfId="15778"/>
    <cellStyle name="Percent 7 22 8" xfId="15779"/>
    <cellStyle name="Percent 7 22 9" xfId="15780"/>
    <cellStyle name="Percent 7 23" xfId="853"/>
    <cellStyle name="Percent 7 23 10" xfId="15781"/>
    <cellStyle name="Percent 7 23 11" xfId="15782"/>
    <cellStyle name="Percent 7 23 12" xfId="15783"/>
    <cellStyle name="Percent 7 23 13" xfId="15784"/>
    <cellStyle name="Percent 7 23 14" xfId="15785"/>
    <cellStyle name="Percent 7 23 15" xfId="15786"/>
    <cellStyle name="Percent 7 23 16" xfId="15787"/>
    <cellStyle name="Percent 7 23 17" xfId="15788"/>
    <cellStyle name="Percent 7 23 18" xfId="15789"/>
    <cellStyle name="Percent 7 23 19" xfId="15790"/>
    <cellStyle name="Percent 7 23 2" xfId="15791"/>
    <cellStyle name="Percent 7 23 20" xfId="15792"/>
    <cellStyle name="Percent 7 23 21" xfId="15793"/>
    <cellStyle name="Percent 7 23 22" xfId="15794"/>
    <cellStyle name="Percent 7 23 23" xfId="25171"/>
    <cellStyle name="Percent 7 23 24" xfId="25172"/>
    <cellStyle name="Percent 7 23 25" xfId="25173"/>
    <cellStyle name="Percent 7 23 26" xfId="25174"/>
    <cellStyle name="Percent 7 23 27" xfId="25175"/>
    <cellStyle name="Percent 7 23 28" xfId="25176"/>
    <cellStyle name="Percent 7 23 29" xfId="25177"/>
    <cellStyle name="Percent 7 23 3" xfId="15795"/>
    <cellStyle name="Percent 7 23 30" xfId="25178"/>
    <cellStyle name="Percent 7 23 31" xfId="25179"/>
    <cellStyle name="Percent 7 23 32" xfId="25180"/>
    <cellStyle name="Percent 7 23 33" xfId="25181"/>
    <cellStyle name="Percent 7 23 34" xfId="25182"/>
    <cellStyle name="Percent 7 23 35" xfId="25183"/>
    <cellStyle name="Percent 7 23 4" xfId="15796"/>
    <cellStyle name="Percent 7 23 5" xfId="15797"/>
    <cellStyle name="Percent 7 23 6" xfId="15798"/>
    <cellStyle name="Percent 7 23 7" xfId="15799"/>
    <cellStyle name="Percent 7 23 8" xfId="15800"/>
    <cellStyle name="Percent 7 23 9" xfId="15801"/>
    <cellStyle name="Percent 7 24" xfId="854"/>
    <cellStyle name="Percent 7 24 10" xfId="15802"/>
    <cellStyle name="Percent 7 24 11" xfId="15803"/>
    <cellStyle name="Percent 7 24 12" xfId="15804"/>
    <cellStyle name="Percent 7 24 13" xfId="15805"/>
    <cellStyle name="Percent 7 24 14" xfId="15806"/>
    <cellStyle name="Percent 7 24 15" xfId="15807"/>
    <cellStyle name="Percent 7 24 16" xfId="15808"/>
    <cellStyle name="Percent 7 24 17" xfId="15809"/>
    <cellStyle name="Percent 7 24 18" xfId="15810"/>
    <cellStyle name="Percent 7 24 19" xfId="15811"/>
    <cellStyle name="Percent 7 24 2" xfId="15812"/>
    <cellStyle name="Percent 7 24 20" xfId="15813"/>
    <cellStyle name="Percent 7 24 21" xfId="15814"/>
    <cellStyle name="Percent 7 24 22" xfId="15815"/>
    <cellStyle name="Percent 7 24 23" xfId="25184"/>
    <cellStyle name="Percent 7 24 24" xfId="25185"/>
    <cellStyle name="Percent 7 24 25" xfId="25186"/>
    <cellStyle name="Percent 7 24 26" xfId="25187"/>
    <cellStyle name="Percent 7 24 27" xfId="25188"/>
    <cellStyle name="Percent 7 24 28" xfId="25189"/>
    <cellStyle name="Percent 7 24 29" xfId="25190"/>
    <cellStyle name="Percent 7 24 3" xfId="15816"/>
    <cellStyle name="Percent 7 24 30" xfId="25191"/>
    <cellStyle name="Percent 7 24 31" xfId="25192"/>
    <cellStyle name="Percent 7 24 32" xfId="25193"/>
    <cellStyle name="Percent 7 24 33" xfId="25194"/>
    <cellStyle name="Percent 7 24 34" xfId="25195"/>
    <cellStyle name="Percent 7 24 35" xfId="25196"/>
    <cellStyle name="Percent 7 24 4" xfId="15817"/>
    <cellStyle name="Percent 7 24 5" xfId="15818"/>
    <cellStyle name="Percent 7 24 6" xfId="15819"/>
    <cellStyle name="Percent 7 24 7" xfId="15820"/>
    <cellStyle name="Percent 7 24 8" xfId="15821"/>
    <cellStyle name="Percent 7 24 9" xfId="15822"/>
    <cellStyle name="Percent 7 25" xfId="855"/>
    <cellStyle name="Percent 7 25 10" xfId="15823"/>
    <cellStyle name="Percent 7 25 11" xfId="15824"/>
    <cellStyle name="Percent 7 25 12" xfId="15825"/>
    <cellStyle name="Percent 7 25 13" xfId="15826"/>
    <cellStyle name="Percent 7 25 14" xfId="15827"/>
    <cellStyle name="Percent 7 25 15" xfId="15828"/>
    <cellStyle name="Percent 7 25 16" xfId="15829"/>
    <cellStyle name="Percent 7 25 17" xfId="15830"/>
    <cellStyle name="Percent 7 25 18" xfId="15831"/>
    <cellStyle name="Percent 7 25 19" xfId="15832"/>
    <cellStyle name="Percent 7 25 2" xfId="15833"/>
    <cellStyle name="Percent 7 25 20" xfId="15834"/>
    <cellStyle name="Percent 7 25 21" xfId="15835"/>
    <cellStyle name="Percent 7 25 22" xfId="15836"/>
    <cellStyle name="Percent 7 25 23" xfId="25197"/>
    <cellStyle name="Percent 7 25 24" xfId="25198"/>
    <cellStyle name="Percent 7 25 25" xfId="25199"/>
    <cellStyle name="Percent 7 25 26" xfId="25200"/>
    <cellStyle name="Percent 7 25 27" xfId="25201"/>
    <cellStyle name="Percent 7 25 28" xfId="25202"/>
    <cellStyle name="Percent 7 25 29" xfId="25203"/>
    <cellStyle name="Percent 7 25 3" xfId="15837"/>
    <cellStyle name="Percent 7 25 30" xfId="25204"/>
    <cellStyle name="Percent 7 25 31" xfId="25205"/>
    <cellStyle name="Percent 7 25 32" xfId="25206"/>
    <cellStyle name="Percent 7 25 33" xfId="25207"/>
    <cellStyle name="Percent 7 25 34" xfId="25208"/>
    <cellStyle name="Percent 7 25 35" xfId="25209"/>
    <cellStyle name="Percent 7 25 4" xfId="15838"/>
    <cellStyle name="Percent 7 25 5" xfId="15839"/>
    <cellStyle name="Percent 7 25 6" xfId="15840"/>
    <cellStyle name="Percent 7 25 7" xfId="15841"/>
    <cellStyle name="Percent 7 25 8" xfId="15842"/>
    <cellStyle name="Percent 7 25 9" xfId="15843"/>
    <cellStyle name="Percent 7 26" xfId="856"/>
    <cellStyle name="Percent 7 26 10" xfId="15844"/>
    <cellStyle name="Percent 7 26 11" xfId="15845"/>
    <cellStyle name="Percent 7 26 12" xfId="15846"/>
    <cellStyle name="Percent 7 26 13" xfId="15847"/>
    <cellStyle name="Percent 7 26 14" xfId="15848"/>
    <cellStyle name="Percent 7 26 15" xfId="15849"/>
    <cellStyle name="Percent 7 26 16" xfId="15850"/>
    <cellStyle name="Percent 7 26 17" xfId="15851"/>
    <cellStyle name="Percent 7 26 18" xfId="15852"/>
    <cellStyle name="Percent 7 26 19" xfId="15853"/>
    <cellStyle name="Percent 7 26 2" xfId="15854"/>
    <cellStyle name="Percent 7 26 20" xfId="15855"/>
    <cellStyle name="Percent 7 26 21" xfId="15856"/>
    <cellStyle name="Percent 7 26 22" xfId="15857"/>
    <cellStyle name="Percent 7 26 23" xfId="25210"/>
    <cellStyle name="Percent 7 26 24" xfId="25211"/>
    <cellStyle name="Percent 7 26 25" xfId="25212"/>
    <cellStyle name="Percent 7 26 26" xfId="25213"/>
    <cellStyle name="Percent 7 26 27" xfId="25214"/>
    <cellStyle name="Percent 7 26 28" xfId="25215"/>
    <cellStyle name="Percent 7 26 29" xfId="25216"/>
    <cellStyle name="Percent 7 26 3" xfId="15858"/>
    <cellStyle name="Percent 7 26 30" xfId="25217"/>
    <cellStyle name="Percent 7 26 31" xfId="25218"/>
    <cellStyle name="Percent 7 26 32" xfId="25219"/>
    <cellStyle name="Percent 7 26 33" xfId="25220"/>
    <cellStyle name="Percent 7 26 34" xfId="25221"/>
    <cellStyle name="Percent 7 26 35" xfId="25222"/>
    <cellStyle name="Percent 7 26 4" xfId="15859"/>
    <cellStyle name="Percent 7 26 5" xfId="15860"/>
    <cellStyle name="Percent 7 26 6" xfId="15861"/>
    <cellStyle name="Percent 7 26 7" xfId="15862"/>
    <cellStyle name="Percent 7 26 8" xfId="15863"/>
    <cellStyle name="Percent 7 26 9" xfId="15864"/>
    <cellStyle name="Percent 7 27" xfId="857"/>
    <cellStyle name="Percent 7 28" xfId="15865"/>
    <cellStyle name="Percent 7 29" xfId="15866"/>
    <cellStyle name="Percent 7 3" xfId="858"/>
    <cellStyle name="Percent 7 3 10" xfId="15867"/>
    <cellStyle name="Percent 7 3 11" xfId="15868"/>
    <cellStyle name="Percent 7 3 12" xfId="15869"/>
    <cellStyle name="Percent 7 3 13" xfId="15870"/>
    <cellStyle name="Percent 7 3 14" xfId="15871"/>
    <cellStyle name="Percent 7 3 15" xfId="15872"/>
    <cellStyle name="Percent 7 3 16" xfId="15873"/>
    <cellStyle name="Percent 7 3 17" xfId="15874"/>
    <cellStyle name="Percent 7 3 18" xfId="15875"/>
    <cellStyle name="Percent 7 3 19" xfId="15876"/>
    <cellStyle name="Percent 7 3 2" xfId="859"/>
    <cellStyle name="Percent 7 3 20" xfId="15877"/>
    <cellStyle name="Percent 7 3 21" xfId="15878"/>
    <cellStyle name="Percent 7 3 22" xfId="15879"/>
    <cellStyle name="Percent 7 3 23" xfId="15880"/>
    <cellStyle name="Percent 7 3 24" xfId="15881"/>
    <cellStyle name="Percent 7 3 25" xfId="25223"/>
    <cellStyle name="Percent 7 3 26" xfId="25224"/>
    <cellStyle name="Percent 7 3 27" xfId="25225"/>
    <cellStyle name="Percent 7 3 28" xfId="25226"/>
    <cellStyle name="Percent 7 3 29" xfId="25227"/>
    <cellStyle name="Percent 7 3 3" xfId="15882"/>
    <cellStyle name="Percent 7 3 30" xfId="25228"/>
    <cellStyle name="Percent 7 3 31" xfId="25229"/>
    <cellStyle name="Percent 7 3 32" xfId="25230"/>
    <cellStyle name="Percent 7 3 33" xfId="25231"/>
    <cellStyle name="Percent 7 3 34" xfId="25232"/>
    <cellStyle name="Percent 7 3 35" xfId="25233"/>
    <cellStyle name="Percent 7 3 36" xfId="25234"/>
    <cellStyle name="Percent 7 3 37" xfId="25235"/>
    <cellStyle name="Percent 7 3 4" xfId="15883"/>
    <cellStyle name="Percent 7 3 5" xfId="15884"/>
    <cellStyle name="Percent 7 3 6" xfId="15885"/>
    <cellStyle name="Percent 7 3 7" xfId="15886"/>
    <cellStyle name="Percent 7 3 8" xfId="15887"/>
    <cellStyle name="Percent 7 3 9" xfId="15888"/>
    <cellStyle name="Percent 7 30" xfId="15889"/>
    <cellStyle name="Percent 7 31" xfId="15890"/>
    <cellStyle name="Percent 7 32" xfId="15891"/>
    <cellStyle name="Percent 7 33" xfId="15892"/>
    <cellStyle name="Percent 7 34" xfId="15893"/>
    <cellStyle name="Percent 7 35" xfId="15894"/>
    <cellStyle name="Percent 7 36" xfId="15895"/>
    <cellStyle name="Percent 7 37" xfId="15896"/>
    <cellStyle name="Percent 7 38" xfId="15897"/>
    <cellStyle name="Percent 7 39" xfId="15898"/>
    <cellStyle name="Percent 7 4" xfId="860"/>
    <cellStyle name="Percent 7 4 10" xfId="15899"/>
    <cellStyle name="Percent 7 4 11" xfId="15900"/>
    <cellStyle name="Percent 7 4 12" xfId="15901"/>
    <cellStyle name="Percent 7 4 13" xfId="15902"/>
    <cellStyle name="Percent 7 4 14" xfId="15903"/>
    <cellStyle name="Percent 7 4 15" xfId="15904"/>
    <cellStyle name="Percent 7 4 16" xfId="15905"/>
    <cellStyle name="Percent 7 4 17" xfId="15906"/>
    <cellStyle name="Percent 7 4 18" xfId="15907"/>
    <cellStyle name="Percent 7 4 19" xfId="15908"/>
    <cellStyle name="Percent 7 4 2" xfId="861"/>
    <cellStyle name="Percent 7 4 20" xfId="15909"/>
    <cellStyle name="Percent 7 4 21" xfId="15910"/>
    <cellStyle name="Percent 7 4 22" xfId="15911"/>
    <cellStyle name="Percent 7 4 23" xfId="15912"/>
    <cellStyle name="Percent 7 4 24" xfId="15913"/>
    <cellStyle name="Percent 7 4 25" xfId="25236"/>
    <cellStyle name="Percent 7 4 26" xfId="25237"/>
    <cellStyle name="Percent 7 4 27" xfId="25238"/>
    <cellStyle name="Percent 7 4 28" xfId="25239"/>
    <cellStyle name="Percent 7 4 29" xfId="25240"/>
    <cellStyle name="Percent 7 4 3" xfId="15914"/>
    <cellStyle name="Percent 7 4 30" xfId="25241"/>
    <cellStyle name="Percent 7 4 31" xfId="25242"/>
    <cellStyle name="Percent 7 4 32" xfId="25243"/>
    <cellStyle name="Percent 7 4 33" xfId="25244"/>
    <cellStyle name="Percent 7 4 34" xfId="25245"/>
    <cellStyle name="Percent 7 4 35" xfId="25246"/>
    <cellStyle name="Percent 7 4 36" xfId="25247"/>
    <cellStyle name="Percent 7 4 37" xfId="25248"/>
    <cellStyle name="Percent 7 4 4" xfId="15915"/>
    <cellStyle name="Percent 7 4 5" xfId="15916"/>
    <cellStyle name="Percent 7 4 6" xfId="15917"/>
    <cellStyle name="Percent 7 4 7" xfId="15918"/>
    <cellStyle name="Percent 7 4 8" xfId="15919"/>
    <cellStyle name="Percent 7 4 9" xfId="15920"/>
    <cellStyle name="Percent 7 40" xfId="15921"/>
    <cellStyle name="Percent 7 41" xfId="15922"/>
    <cellStyle name="Percent 7 42" xfId="15923"/>
    <cellStyle name="Percent 7 43" xfId="15924"/>
    <cellStyle name="Percent 7 44" xfId="15925"/>
    <cellStyle name="Percent 7 45" xfId="15926"/>
    <cellStyle name="Percent 7 46" xfId="15927"/>
    <cellStyle name="Percent 7 47" xfId="15928"/>
    <cellStyle name="Percent 7 48" xfId="15929"/>
    <cellStyle name="Percent 7 49" xfId="15930"/>
    <cellStyle name="Percent 7 5" xfId="862"/>
    <cellStyle name="Percent 7 5 10" xfId="15931"/>
    <cellStyle name="Percent 7 5 11" xfId="15932"/>
    <cellStyle name="Percent 7 5 12" xfId="15933"/>
    <cellStyle name="Percent 7 5 13" xfId="15934"/>
    <cellStyle name="Percent 7 5 14" xfId="15935"/>
    <cellStyle name="Percent 7 5 15" xfId="15936"/>
    <cellStyle name="Percent 7 5 16" xfId="15937"/>
    <cellStyle name="Percent 7 5 17" xfId="15938"/>
    <cellStyle name="Percent 7 5 18" xfId="15939"/>
    <cellStyle name="Percent 7 5 19" xfId="15940"/>
    <cellStyle name="Percent 7 5 2" xfId="863"/>
    <cellStyle name="Percent 7 5 20" xfId="15941"/>
    <cellStyle name="Percent 7 5 21" xfId="15942"/>
    <cellStyle name="Percent 7 5 22" xfId="15943"/>
    <cellStyle name="Percent 7 5 23" xfId="15944"/>
    <cellStyle name="Percent 7 5 24" xfId="15945"/>
    <cellStyle name="Percent 7 5 25" xfId="25249"/>
    <cellStyle name="Percent 7 5 26" xfId="25250"/>
    <cellStyle name="Percent 7 5 27" xfId="25251"/>
    <cellStyle name="Percent 7 5 28" xfId="25252"/>
    <cellStyle name="Percent 7 5 29" xfId="25253"/>
    <cellStyle name="Percent 7 5 3" xfId="15946"/>
    <cellStyle name="Percent 7 5 30" xfId="25254"/>
    <cellStyle name="Percent 7 5 31" xfId="25255"/>
    <cellStyle name="Percent 7 5 32" xfId="25256"/>
    <cellStyle name="Percent 7 5 33" xfId="25257"/>
    <cellStyle name="Percent 7 5 34" xfId="25258"/>
    <cellStyle name="Percent 7 5 35" xfId="25259"/>
    <cellStyle name="Percent 7 5 36" xfId="25260"/>
    <cellStyle name="Percent 7 5 37" xfId="25261"/>
    <cellStyle name="Percent 7 5 4" xfId="15947"/>
    <cellStyle name="Percent 7 5 5" xfId="15948"/>
    <cellStyle name="Percent 7 5 6" xfId="15949"/>
    <cellStyle name="Percent 7 5 7" xfId="15950"/>
    <cellStyle name="Percent 7 5 8" xfId="15951"/>
    <cellStyle name="Percent 7 5 9" xfId="15952"/>
    <cellStyle name="Percent 7 50" xfId="25262"/>
    <cellStyle name="Percent 7 51" xfId="25263"/>
    <cellStyle name="Percent 7 52" xfId="25264"/>
    <cellStyle name="Percent 7 53" xfId="25265"/>
    <cellStyle name="Percent 7 54" xfId="25266"/>
    <cellStyle name="Percent 7 55" xfId="25267"/>
    <cellStyle name="Percent 7 56" xfId="25268"/>
    <cellStyle name="Percent 7 57" xfId="25269"/>
    <cellStyle name="Percent 7 58" xfId="25270"/>
    <cellStyle name="Percent 7 59" xfId="25271"/>
    <cellStyle name="Percent 7 6" xfId="864"/>
    <cellStyle name="Percent 7 6 10" xfId="15953"/>
    <cellStyle name="Percent 7 6 11" xfId="15954"/>
    <cellStyle name="Percent 7 6 12" xfId="15955"/>
    <cellStyle name="Percent 7 6 13" xfId="15956"/>
    <cellStyle name="Percent 7 6 14" xfId="15957"/>
    <cellStyle name="Percent 7 6 15" xfId="15958"/>
    <cellStyle name="Percent 7 6 16" xfId="15959"/>
    <cellStyle name="Percent 7 6 17" xfId="15960"/>
    <cellStyle name="Percent 7 6 18" xfId="15961"/>
    <cellStyle name="Percent 7 6 19" xfId="15962"/>
    <cellStyle name="Percent 7 6 2" xfId="865"/>
    <cellStyle name="Percent 7 6 20" xfId="15963"/>
    <cellStyle name="Percent 7 6 21" xfId="15964"/>
    <cellStyle name="Percent 7 6 22" xfId="15965"/>
    <cellStyle name="Percent 7 6 23" xfId="15966"/>
    <cellStyle name="Percent 7 6 24" xfId="15967"/>
    <cellStyle name="Percent 7 6 25" xfId="25272"/>
    <cellStyle name="Percent 7 6 26" xfId="25273"/>
    <cellStyle name="Percent 7 6 27" xfId="25274"/>
    <cellStyle name="Percent 7 6 28" xfId="25275"/>
    <cellStyle name="Percent 7 6 29" xfId="25276"/>
    <cellStyle name="Percent 7 6 3" xfId="15968"/>
    <cellStyle name="Percent 7 6 30" xfId="25277"/>
    <cellStyle name="Percent 7 6 31" xfId="25278"/>
    <cellStyle name="Percent 7 6 32" xfId="25279"/>
    <cellStyle name="Percent 7 6 33" xfId="25280"/>
    <cellStyle name="Percent 7 6 34" xfId="25281"/>
    <cellStyle name="Percent 7 6 35" xfId="25282"/>
    <cellStyle name="Percent 7 6 36" xfId="25283"/>
    <cellStyle name="Percent 7 6 37" xfId="25284"/>
    <cellStyle name="Percent 7 6 4" xfId="15969"/>
    <cellStyle name="Percent 7 6 5" xfId="15970"/>
    <cellStyle name="Percent 7 6 6" xfId="15971"/>
    <cellStyle name="Percent 7 6 7" xfId="15972"/>
    <cellStyle name="Percent 7 6 8" xfId="15973"/>
    <cellStyle name="Percent 7 6 9" xfId="15974"/>
    <cellStyle name="Percent 7 60" xfId="25285"/>
    <cellStyle name="Percent 7 61" xfId="25286"/>
    <cellStyle name="Percent 7 62" xfId="25287"/>
    <cellStyle name="Percent 7 7" xfId="866"/>
    <cellStyle name="Percent 7 7 10" xfId="15975"/>
    <cellStyle name="Percent 7 7 11" xfId="15976"/>
    <cellStyle name="Percent 7 7 12" xfId="15977"/>
    <cellStyle name="Percent 7 7 13" xfId="15978"/>
    <cellStyle name="Percent 7 7 14" xfId="15979"/>
    <cellStyle name="Percent 7 7 15" xfId="15980"/>
    <cellStyle name="Percent 7 7 16" xfId="15981"/>
    <cellStyle name="Percent 7 7 17" xfId="15982"/>
    <cellStyle name="Percent 7 7 18" xfId="15983"/>
    <cellStyle name="Percent 7 7 19" xfId="15984"/>
    <cellStyle name="Percent 7 7 2" xfId="867"/>
    <cellStyle name="Percent 7 7 20" xfId="15985"/>
    <cellStyle name="Percent 7 7 21" xfId="15986"/>
    <cellStyle name="Percent 7 7 22" xfId="15987"/>
    <cellStyle name="Percent 7 7 23" xfId="15988"/>
    <cellStyle name="Percent 7 7 24" xfId="15989"/>
    <cellStyle name="Percent 7 7 25" xfId="25288"/>
    <cellStyle name="Percent 7 7 26" xfId="25289"/>
    <cellStyle name="Percent 7 7 27" xfId="25290"/>
    <cellStyle name="Percent 7 7 28" xfId="25291"/>
    <cellStyle name="Percent 7 7 29" xfId="25292"/>
    <cellStyle name="Percent 7 7 3" xfId="15990"/>
    <cellStyle name="Percent 7 7 30" xfId="25293"/>
    <cellStyle name="Percent 7 7 31" xfId="25294"/>
    <cellStyle name="Percent 7 7 32" xfId="25295"/>
    <cellStyle name="Percent 7 7 33" xfId="25296"/>
    <cellStyle name="Percent 7 7 34" xfId="25297"/>
    <cellStyle name="Percent 7 7 35" xfId="25298"/>
    <cellStyle name="Percent 7 7 36" xfId="25299"/>
    <cellStyle name="Percent 7 7 37" xfId="25300"/>
    <cellStyle name="Percent 7 7 4" xfId="15991"/>
    <cellStyle name="Percent 7 7 5" xfId="15992"/>
    <cellStyle name="Percent 7 7 6" xfId="15993"/>
    <cellStyle name="Percent 7 7 7" xfId="15994"/>
    <cellStyle name="Percent 7 7 8" xfId="15995"/>
    <cellStyle name="Percent 7 7 9" xfId="15996"/>
    <cellStyle name="Percent 7 8" xfId="868"/>
    <cellStyle name="Percent 7 8 10" xfId="15997"/>
    <cellStyle name="Percent 7 8 11" xfId="15998"/>
    <cellStyle name="Percent 7 8 12" xfId="15999"/>
    <cellStyle name="Percent 7 8 13" xfId="16000"/>
    <cellStyle name="Percent 7 8 14" xfId="16001"/>
    <cellStyle name="Percent 7 8 15" xfId="16002"/>
    <cellStyle name="Percent 7 8 16" xfId="16003"/>
    <cellStyle name="Percent 7 8 17" xfId="16004"/>
    <cellStyle name="Percent 7 8 18" xfId="16005"/>
    <cellStyle name="Percent 7 8 19" xfId="16006"/>
    <cellStyle name="Percent 7 8 2" xfId="869"/>
    <cellStyle name="Percent 7 8 20" xfId="16007"/>
    <cellStyle name="Percent 7 8 21" xfId="16008"/>
    <cellStyle name="Percent 7 8 22" xfId="16009"/>
    <cellStyle name="Percent 7 8 23" xfId="16010"/>
    <cellStyle name="Percent 7 8 24" xfId="16011"/>
    <cellStyle name="Percent 7 8 25" xfId="25301"/>
    <cellStyle name="Percent 7 8 26" xfId="25302"/>
    <cellStyle name="Percent 7 8 27" xfId="25303"/>
    <cellStyle name="Percent 7 8 28" xfId="25304"/>
    <cellStyle name="Percent 7 8 29" xfId="25305"/>
    <cellStyle name="Percent 7 8 3" xfId="16012"/>
    <cellStyle name="Percent 7 8 30" xfId="25306"/>
    <cellStyle name="Percent 7 8 31" xfId="25307"/>
    <cellStyle name="Percent 7 8 32" xfId="25308"/>
    <cellStyle name="Percent 7 8 33" xfId="25309"/>
    <cellStyle name="Percent 7 8 34" xfId="25310"/>
    <cellStyle name="Percent 7 8 35" xfId="25311"/>
    <cellStyle name="Percent 7 8 36" xfId="25312"/>
    <cellStyle name="Percent 7 8 37" xfId="25313"/>
    <cellStyle name="Percent 7 8 4" xfId="16013"/>
    <cellStyle name="Percent 7 8 5" xfId="16014"/>
    <cellStyle name="Percent 7 8 6" xfId="16015"/>
    <cellStyle name="Percent 7 8 7" xfId="16016"/>
    <cellStyle name="Percent 7 8 8" xfId="16017"/>
    <cellStyle name="Percent 7 8 9" xfId="16018"/>
    <cellStyle name="Percent 7 9" xfId="870"/>
    <cellStyle name="Percent 7 9 10" xfId="16019"/>
    <cellStyle name="Percent 7 9 11" xfId="16020"/>
    <cellStyle name="Percent 7 9 12" xfId="16021"/>
    <cellStyle name="Percent 7 9 13" xfId="16022"/>
    <cellStyle name="Percent 7 9 14" xfId="16023"/>
    <cellStyle name="Percent 7 9 15" xfId="16024"/>
    <cellStyle name="Percent 7 9 16" xfId="16025"/>
    <cellStyle name="Percent 7 9 17" xfId="16026"/>
    <cellStyle name="Percent 7 9 18" xfId="16027"/>
    <cellStyle name="Percent 7 9 19" xfId="16028"/>
    <cellStyle name="Percent 7 9 2" xfId="871"/>
    <cellStyle name="Percent 7 9 20" xfId="16029"/>
    <cellStyle name="Percent 7 9 21" xfId="16030"/>
    <cellStyle name="Percent 7 9 22" xfId="16031"/>
    <cellStyle name="Percent 7 9 23" xfId="16032"/>
    <cellStyle name="Percent 7 9 24" xfId="16033"/>
    <cellStyle name="Percent 7 9 25" xfId="25314"/>
    <cellStyle name="Percent 7 9 26" xfId="25315"/>
    <cellStyle name="Percent 7 9 27" xfId="25316"/>
    <cellStyle name="Percent 7 9 28" xfId="25317"/>
    <cellStyle name="Percent 7 9 29" xfId="25318"/>
    <cellStyle name="Percent 7 9 3" xfId="16034"/>
    <cellStyle name="Percent 7 9 30" xfId="25319"/>
    <cellStyle name="Percent 7 9 31" xfId="25320"/>
    <cellStyle name="Percent 7 9 32" xfId="25321"/>
    <cellStyle name="Percent 7 9 33" xfId="25322"/>
    <cellStyle name="Percent 7 9 34" xfId="25323"/>
    <cellStyle name="Percent 7 9 35" xfId="25324"/>
    <cellStyle name="Percent 7 9 36" xfId="25325"/>
    <cellStyle name="Percent 7 9 37" xfId="25326"/>
    <cellStyle name="Percent 7 9 4" xfId="16035"/>
    <cellStyle name="Percent 7 9 5" xfId="16036"/>
    <cellStyle name="Percent 7 9 6" xfId="16037"/>
    <cellStyle name="Percent 7 9 7" xfId="16038"/>
    <cellStyle name="Percent 7 9 8" xfId="16039"/>
    <cellStyle name="Percent 7 9 9" xfId="16040"/>
    <cellStyle name="Percent 8" xfId="872"/>
    <cellStyle name="Percent 8 10" xfId="873"/>
    <cellStyle name="Percent 8 10 10" xfId="16041"/>
    <cellStyle name="Percent 8 10 11" xfId="16042"/>
    <cellStyle name="Percent 8 10 12" xfId="16043"/>
    <cellStyle name="Percent 8 10 13" xfId="16044"/>
    <cellStyle name="Percent 8 10 14" xfId="16045"/>
    <cellStyle name="Percent 8 10 15" xfId="16046"/>
    <cellStyle name="Percent 8 10 16" xfId="16047"/>
    <cellStyle name="Percent 8 10 17" xfId="16048"/>
    <cellStyle name="Percent 8 10 18" xfId="16049"/>
    <cellStyle name="Percent 8 10 19" xfId="16050"/>
    <cellStyle name="Percent 8 10 2" xfId="874"/>
    <cellStyle name="Percent 8 10 20" xfId="16051"/>
    <cellStyle name="Percent 8 10 21" xfId="16052"/>
    <cellStyle name="Percent 8 10 22" xfId="16053"/>
    <cellStyle name="Percent 8 10 23" xfId="16054"/>
    <cellStyle name="Percent 8 10 24" xfId="16055"/>
    <cellStyle name="Percent 8 10 25" xfId="25327"/>
    <cellStyle name="Percent 8 10 26" xfId="25328"/>
    <cellStyle name="Percent 8 10 27" xfId="25329"/>
    <cellStyle name="Percent 8 10 28" xfId="25330"/>
    <cellStyle name="Percent 8 10 29" xfId="25331"/>
    <cellStyle name="Percent 8 10 3" xfId="16056"/>
    <cellStyle name="Percent 8 10 30" xfId="25332"/>
    <cellStyle name="Percent 8 10 31" xfId="25333"/>
    <cellStyle name="Percent 8 10 32" xfId="25334"/>
    <cellStyle name="Percent 8 10 33" xfId="25335"/>
    <cellStyle name="Percent 8 10 34" xfId="25336"/>
    <cellStyle name="Percent 8 10 35" xfId="25337"/>
    <cellStyle name="Percent 8 10 36" xfId="25338"/>
    <cellStyle name="Percent 8 10 37" xfId="25339"/>
    <cellStyle name="Percent 8 10 4" xfId="16057"/>
    <cellStyle name="Percent 8 10 5" xfId="16058"/>
    <cellStyle name="Percent 8 10 6" xfId="16059"/>
    <cellStyle name="Percent 8 10 7" xfId="16060"/>
    <cellStyle name="Percent 8 10 8" xfId="16061"/>
    <cellStyle name="Percent 8 10 9" xfId="16062"/>
    <cellStyle name="Percent 8 11" xfId="875"/>
    <cellStyle name="Percent 8 11 10" xfId="16063"/>
    <cellStyle name="Percent 8 11 11" xfId="16064"/>
    <cellStyle name="Percent 8 11 12" xfId="16065"/>
    <cellStyle name="Percent 8 11 13" xfId="16066"/>
    <cellStyle name="Percent 8 11 14" xfId="16067"/>
    <cellStyle name="Percent 8 11 15" xfId="16068"/>
    <cellStyle name="Percent 8 11 16" xfId="16069"/>
    <cellStyle name="Percent 8 11 17" xfId="16070"/>
    <cellStyle name="Percent 8 11 18" xfId="16071"/>
    <cellStyle name="Percent 8 11 19" xfId="16072"/>
    <cellStyle name="Percent 8 11 2" xfId="876"/>
    <cellStyle name="Percent 8 11 20" xfId="16073"/>
    <cellStyle name="Percent 8 11 21" xfId="16074"/>
    <cellStyle name="Percent 8 11 22" xfId="16075"/>
    <cellStyle name="Percent 8 11 23" xfId="16076"/>
    <cellStyle name="Percent 8 11 24" xfId="16077"/>
    <cellStyle name="Percent 8 11 25" xfId="25340"/>
    <cellStyle name="Percent 8 11 26" xfId="25341"/>
    <cellStyle name="Percent 8 11 27" xfId="25342"/>
    <cellStyle name="Percent 8 11 28" xfId="25343"/>
    <cellStyle name="Percent 8 11 29" xfId="25344"/>
    <cellStyle name="Percent 8 11 3" xfId="16078"/>
    <cellStyle name="Percent 8 11 30" xfId="25345"/>
    <cellStyle name="Percent 8 11 31" xfId="25346"/>
    <cellStyle name="Percent 8 11 32" xfId="25347"/>
    <cellStyle name="Percent 8 11 33" xfId="25348"/>
    <cellStyle name="Percent 8 11 34" xfId="25349"/>
    <cellStyle name="Percent 8 11 35" xfId="25350"/>
    <cellStyle name="Percent 8 11 36" xfId="25351"/>
    <cellStyle name="Percent 8 11 37" xfId="25352"/>
    <cellStyle name="Percent 8 11 4" xfId="16079"/>
    <cellStyle name="Percent 8 11 5" xfId="16080"/>
    <cellStyle name="Percent 8 11 6" xfId="16081"/>
    <cellStyle name="Percent 8 11 7" xfId="16082"/>
    <cellStyle name="Percent 8 11 8" xfId="16083"/>
    <cellStyle name="Percent 8 11 9" xfId="16084"/>
    <cellStyle name="Percent 8 12" xfId="877"/>
    <cellStyle name="Percent 8 12 10" xfId="16085"/>
    <cellStyle name="Percent 8 12 11" xfId="16086"/>
    <cellStyle name="Percent 8 12 12" xfId="16087"/>
    <cellStyle name="Percent 8 12 13" xfId="16088"/>
    <cellStyle name="Percent 8 12 14" xfId="16089"/>
    <cellStyle name="Percent 8 12 15" xfId="16090"/>
    <cellStyle name="Percent 8 12 16" xfId="16091"/>
    <cellStyle name="Percent 8 12 17" xfId="16092"/>
    <cellStyle name="Percent 8 12 18" xfId="16093"/>
    <cellStyle name="Percent 8 12 19" xfId="16094"/>
    <cellStyle name="Percent 8 12 2" xfId="878"/>
    <cellStyle name="Percent 8 12 20" xfId="16095"/>
    <cellStyle name="Percent 8 12 21" xfId="16096"/>
    <cellStyle name="Percent 8 12 22" xfId="16097"/>
    <cellStyle name="Percent 8 12 23" xfId="16098"/>
    <cellStyle name="Percent 8 12 24" xfId="16099"/>
    <cellStyle name="Percent 8 12 25" xfId="25353"/>
    <cellStyle name="Percent 8 12 26" xfId="25354"/>
    <cellStyle name="Percent 8 12 27" xfId="25355"/>
    <cellStyle name="Percent 8 12 28" xfId="25356"/>
    <cellStyle name="Percent 8 12 29" xfId="25357"/>
    <cellStyle name="Percent 8 12 3" xfId="16100"/>
    <cellStyle name="Percent 8 12 30" xfId="25358"/>
    <cellStyle name="Percent 8 12 31" xfId="25359"/>
    <cellStyle name="Percent 8 12 32" xfId="25360"/>
    <cellStyle name="Percent 8 12 33" xfId="25361"/>
    <cellStyle name="Percent 8 12 34" xfId="25362"/>
    <cellStyle name="Percent 8 12 35" xfId="25363"/>
    <cellStyle name="Percent 8 12 36" xfId="25364"/>
    <cellStyle name="Percent 8 12 37" xfId="25365"/>
    <cellStyle name="Percent 8 12 4" xfId="16101"/>
    <cellStyle name="Percent 8 12 5" xfId="16102"/>
    <cellStyle name="Percent 8 12 6" xfId="16103"/>
    <cellStyle name="Percent 8 12 7" xfId="16104"/>
    <cellStyle name="Percent 8 12 8" xfId="16105"/>
    <cellStyle name="Percent 8 12 9" xfId="16106"/>
    <cellStyle name="Percent 8 13" xfId="879"/>
    <cellStyle name="Percent 8 13 10" xfId="16107"/>
    <cellStyle name="Percent 8 13 11" xfId="16108"/>
    <cellStyle name="Percent 8 13 12" xfId="16109"/>
    <cellStyle name="Percent 8 13 13" xfId="16110"/>
    <cellStyle name="Percent 8 13 14" xfId="16111"/>
    <cellStyle name="Percent 8 13 15" xfId="16112"/>
    <cellStyle name="Percent 8 13 16" xfId="16113"/>
    <cellStyle name="Percent 8 13 17" xfId="16114"/>
    <cellStyle name="Percent 8 13 18" xfId="16115"/>
    <cellStyle name="Percent 8 13 19" xfId="16116"/>
    <cellStyle name="Percent 8 13 2" xfId="880"/>
    <cellStyle name="Percent 8 13 20" xfId="16117"/>
    <cellStyle name="Percent 8 13 21" xfId="16118"/>
    <cellStyle name="Percent 8 13 22" xfId="16119"/>
    <cellStyle name="Percent 8 13 23" xfId="16120"/>
    <cellStyle name="Percent 8 13 24" xfId="16121"/>
    <cellStyle name="Percent 8 13 25" xfId="25366"/>
    <cellStyle name="Percent 8 13 26" xfId="25367"/>
    <cellStyle name="Percent 8 13 27" xfId="25368"/>
    <cellStyle name="Percent 8 13 28" xfId="25369"/>
    <cellStyle name="Percent 8 13 29" xfId="25370"/>
    <cellStyle name="Percent 8 13 3" xfId="16122"/>
    <cellStyle name="Percent 8 13 30" xfId="25371"/>
    <cellStyle name="Percent 8 13 31" xfId="25372"/>
    <cellStyle name="Percent 8 13 32" xfId="25373"/>
    <cellStyle name="Percent 8 13 33" xfId="25374"/>
    <cellStyle name="Percent 8 13 34" xfId="25375"/>
    <cellStyle name="Percent 8 13 35" xfId="25376"/>
    <cellStyle name="Percent 8 13 36" xfId="25377"/>
    <cellStyle name="Percent 8 13 37" xfId="25378"/>
    <cellStyle name="Percent 8 13 4" xfId="16123"/>
    <cellStyle name="Percent 8 13 5" xfId="16124"/>
    <cellStyle name="Percent 8 13 6" xfId="16125"/>
    <cellStyle name="Percent 8 13 7" xfId="16126"/>
    <cellStyle name="Percent 8 13 8" xfId="16127"/>
    <cellStyle name="Percent 8 13 9" xfId="16128"/>
    <cellStyle name="Percent 8 14" xfId="881"/>
    <cellStyle name="Percent 8 14 10" xfId="16129"/>
    <cellStyle name="Percent 8 14 11" xfId="16130"/>
    <cellStyle name="Percent 8 14 12" xfId="16131"/>
    <cellStyle name="Percent 8 14 13" xfId="16132"/>
    <cellStyle name="Percent 8 14 14" xfId="16133"/>
    <cellStyle name="Percent 8 14 15" xfId="16134"/>
    <cellStyle name="Percent 8 14 16" xfId="16135"/>
    <cellStyle name="Percent 8 14 17" xfId="16136"/>
    <cellStyle name="Percent 8 14 18" xfId="16137"/>
    <cellStyle name="Percent 8 14 19" xfId="16138"/>
    <cellStyle name="Percent 8 14 2" xfId="16139"/>
    <cellStyle name="Percent 8 14 20" xfId="16140"/>
    <cellStyle name="Percent 8 14 21" xfId="16141"/>
    <cellStyle name="Percent 8 14 22" xfId="16142"/>
    <cellStyle name="Percent 8 14 23" xfId="25379"/>
    <cellStyle name="Percent 8 14 24" xfId="25380"/>
    <cellStyle name="Percent 8 14 25" xfId="25381"/>
    <cellStyle name="Percent 8 14 26" xfId="25382"/>
    <cellStyle name="Percent 8 14 27" xfId="25383"/>
    <cellStyle name="Percent 8 14 28" xfId="25384"/>
    <cellStyle name="Percent 8 14 29" xfId="25385"/>
    <cellStyle name="Percent 8 14 3" xfId="16143"/>
    <cellStyle name="Percent 8 14 30" xfId="25386"/>
    <cellStyle name="Percent 8 14 31" xfId="25387"/>
    <cellStyle name="Percent 8 14 32" xfId="25388"/>
    <cellStyle name="Percent 8 14 33" xfId="25389"/>
    <cellStyle name="Percent 8 14 34" xfId="25390"/>
    <cellStyle name="Percent 8 14 35" xfId="25391"/>
    <cellStyle name="Percent 8 14 4" xfId="16144"/>
    <cellStyle name="Percent 8 14 5" xfId="16145"/>
    <cellStyle name="Percent 8 14 6" xfId="16146"/>
    <cellStyle name="Percent 8 14 7" xfId="16147"/>
    <cellStyle name="Percent 8 14 8" xfId="16148"/>
    <cellStyle name="Percent 8 14 9" xfId="16149"/>
    <cellStyle name="Percent 8 15" xfId="882"/>
    <cellStyle name="Percent 8 15 10" xfId="16150"/>
    <cellStyle name="Percent 8 15 11" xfId="16151"/>
    <cellStyle name="Percent 8 15 12" xfId="16152"/>
    <cellStyle name="Percent 8 15 13" xfId="16153"/>
    <cellStyle name="Percent 8 15 14" xfId="16154"/>
    <cellStyle name="Percent 8 15 15" xfId="16155"/>
    <cellStyle name="Percent 8 15 16" xfId="16156"/>
    <cellStyle name="Percent 8 15 17" xfId="16157"/>
    <cellStyle name="Percent 8 15 18" xfId="16158"/>
    <cellStyle name="Percent 8 15 19" xfId="16159"/>
    <cellStyle name="Percent 8 15 2" xfId="16160"/>
    <cellStyle name="Percent 8 15 20" xfId="16161"/>
    <cellStyle name="Percent 8 15 21" xfId="16162"/>
    <cellStyle name="Percent 8 15 22" xfId="16163"/>
    <cellStyle name="Percent 8 15 23" xfId="25392"/>
    <cellStyle name="Percent 8 15 24" xfId="25393"/>
    <cellStyle name="Percent 8 15 25" xfId="25394"/>
    <cellStyle name="Percent 8 15 26" xfId="25395"/>
    <cellStyle name="Percent 8 15 27" xfId="25396"/>
    <cellStyle name="Percent 8 15 28" xfId="25397"/>
    <cellStyle name="Percent 8 15 29" xfId="25398"/>
    <cellStyle name="Percent 8 15 3" xfId="16164"/>
    <cellStyle name="Percent 8 15 30" xfId="25399"/>
    <cellStyle name="Percent 8 15 31" xfId="25400"/>
    <cellStyle name="Percent 8 15 32" xfId="25401"/>
    <cellStyle name="Percent 8 15 33" xfId="25402"/>
    <cellStyle name="Percent 8 15 34" xfId="25403"/>
    <cellStyle name="Percent 8 15 35" xfId="25404"/>
    <cellStyle name="Percent 8 15 4" xfId="16165"/>
    <cellStyle name="Percent 8 15 5" xfId="16166"/>
    <cellStyle name="Percent 8 15 6" xfId="16167"/>
    <cellStyle name="Percent 8 15 7" xfId="16168"/>
    <cellStyle name="Percent 8 15 8" xfId="16169"/>
    <cellStyle name="Percent 8 15 9" xfId="16170"/>
    <cellStyle name="Percent 8 16" xfId="883"/>
    <cellStyle name="Percent 8 16 10" xfId="16171"/>
    <cellStyle name="Percent 8 16 11" xfId="16172"/>
    <cellStyle name="Percent 8 16 12" xfId="16173"/>
    <cellStyle name="Percent 8 16 13" xfId="16174"/>
    <cellStyle name="Percent 8 16 14" xfId="16175"/>
    <cellStyle name="Percent 8 16 15" xfId="16176"/>
    <cellStyle name="Percent 8 16 16" xfId="16177"/>
    <cellStyle name="Percent 8 16 17" xfId="16178"/>
    <cellStyle name="Percent 8 16 18" xfId="16179"/>
    <cellStyle name="Percent 8 16 19" xfId="16180"/>
    <cellStyle name="Percent 8 16 2" xfId="16181"/>
    <cellStyle name="Percent 8 16 20" xfId="16182"/>
    <cellStyle name="Percent 8 16 21" xfId="16183"/>
    <cellStyle name="Percent 8 16 22" xfId="16184"/>
    <cellStyle name="Percent 8 16 23" xfId="25405"/>
    <cellStyle name="Percent 8 16 24" xfId="25406"/>
    <cellStyle name="Percent 8 16 25" xfId="25407"/>
    <cellStyle name="Percent 8 16 26" xfId="25408"/>
    <cellStyle name="Percent 8 16 27" xfId="25409"/>
    <cellStyle name="Percent 8 16 28" xfId="25410"/>
    <cellStyle name="Percent 8 16 29" xfId="25411"/>
    <cellStyle name="Percent 8 16 3" xfId="16185"/>
    <cellStyle name="Percent 8 16 30" xfId="25412"/>
    <cellStyle name="Percent 8 16 31" xfId="25413"/>
    <cellStyle name="Percent 8 16 32" xfId="25414"/>
    <cellStyle name="Percent 8 16 33" xfId="25415"/>
    <cellStyle name="Percent 8 16 34" xfId="25416"/>
    <cellStyle name="Percent 8 16 35" xfId="25417"/>
    <cellStyle name="Percent 8 16 4" xfId="16186"/>
    <cellStyle name="Percent 8 16 5" xfId="16187"/>
    <cellStyle name="Percent 8 16 6" xfId="16188"/>
    <cellStyle name="Percent 8 16 7" xfId="16189"/>
    <cellStyle name="Percent 8 16 8" xfId="16190"/>
    <cellStyle name="Percent 8 16 9" xfId="16191"/>
    <cellStyle name="Percent 8 17" xfId="884"/>
    <cellStyle name="Percent 8 17 10" xfId="16192"/>
    <cellStyle name="Percent 8 17 11" xfId="16193"/>
    <cellStyle name="Percent 8 17 12" xfId="16194"/>
    <cellStyle name="Percent 8 17 13" xfId="16195"/>
    <cellStyle name="Percent 8 17 14" xfId="16196"/>
    <cellStyle name="Percent 8 17 15" xfId="16197"/>
    <cellStyle name="Percent 8 17 16" xfId="16198"/>
    <cellStyle name="Percent 8 17 17" xfId="16199"/>
    <cellStyle name="Percent 8 17 18" xfId="16200"/>
    <cellStyle name="Percent 8 17 19" xfId="16201"/>
    <cellStyle name="Percent 8 17 2" xfId="16202"/>
    <cellStyle name="Percent 8 17 20" xfId="16203"/>
    <cellStyle name="Percent 8 17 21" xfId="16204"/>
    <cellStyle name="Percent 8 17 22" xfId="16205"/>
    <cellStyle name="Percent 8 17 23" xfId="25418"/>
    <cellStyle name="Percent 8 17 24" xfId="25419"/>
    <cellStyle name="Percent 8 17 25" xfId="25420"/>
    <cellStyle name="Percent 8 17 26" xfId="25421"/>
    <cellStyle name="Percent 8 17 27" xfId="25422"/>
    <cellStyle name="Percent 8 17 28" xfId="25423"/>
    <cellStyle name="Percent 8 17 29" xfId="25424"/>
    <cellStyle name="Percent 8 17 3" xfId="16206"/>
    <cellStyle name="Percent 8 17 30" xfId="25425"/>
    <cellStyle name="Percent 8 17 31" xfId="25426"/>
    <cellStyle name="Percent 8 17 32" xfId="25427"/>
    <cellStyle name="Percent 8 17 33" xfId="25428"/>
    <cellStyle name="Percent 8 17 34" xfId="25429"/>
    <cellStyle name="Percent 8 17 35" xfId="25430"/>
    <cellStyle name="Percent 8 17 4" xfId="16207"/>
    <cellStyle name="Percent 8 17 5" xfId="16208"/>
    <cellStyle name="Percent 8 17 6" xfId="16209"/>
    <cellStyle name="Percent 8 17 7" xfId="16210"/>
    <cellStyle name="Percent 8 17 8" xfId="16211"/>
    <cellStyle name="Percent 8 17 9" xfId="16212"/>
    <cellStyle name="Percent 8 18" xfId="885"/>
    <cellStyle name="Percent 8 18 10" xfId="16213"/>
    <cellStyle name="Percent 8 18 11" xfId="16214"/>
    <cellStyle name="Percent 8 18 12" xfId="16215"/>
    <cellStyle name="Percent 8 18 13" xfId="16216"/>
    <cellStyle name="Percent 8 18 14" xfId="16217"/>
    <cellStyle name="Percent 8 18 15" xfId="16218"/>
    <cellStyle name="Percent 8 18 16" xfId="16219"/>
    <cellStyle name="Percent 8 18 17" xfId="16220"/>
    <cellStyle name="Percent 8 18 18" xfId="16221"/>
    <cellStyle name="Percent 8 18 19" xfId="16222"/>
    <cellStyle name="Percent 8 18 2" xfId="16223"/>
    <cellStyle name="Percent 8 18 20" xfId="16224"/>
    <cellStyle name="Percent 8 18 21" xfId="16225"/>
    <cellStyle name="Percent 8 18 22" xfId="16226"/>
    <cellStyle name="Percent 8 18 23" xfId="25431"/>
    <cellStyle name="Percent 8 18 24" xfId="25432"/>
    <cellStyle name="Percent 8 18 25" xfId="25433"/>
    <cellStyle name="Percent 8 18 26" xfId="25434"/>
    <cellStyle name="Percent 8 18 27" xfId="25435"/>
    <cellStyle name="Percent 8 18 28" xfId="25436"/>
    <cellStyle name="Percent 8 18 29" xfId="25437"/>
    <cellStyle name="Percent 8 18 3" xfId="16227"/>
    <cellStyle name="Percent 8 18 30" xfId="25438"/>
    <cellStyle name="Percent 8 18 31" xfId="25439"/>
    <cellStyle name="Percent 8 18 32" xfId="25440"/>
    <cellStyle name="Percent 8 18 33" xfId="25441"/>
    <cellStyle name="Percent 8 18 34" xfId="25442"/>
    <cellStyle name="Percent 8 18 35" xfId="25443"/>
    <cellStyle name="Percent 8 18 4" xfId="16228"/>
    <cellStyle name="Percent 8 18 5" xfId="16229"/>
    <cellStyle name="Percent 8 18 6" xfId="16230"/>
    <cellStyle name="Percent 8 18 7" xfId="16231"/>
    <cellStyle name="Percent 8 18 8" xfId="16232"/>
    <cellStyle name="Percent 8 18 9" xfId="16233"/>
    <cellStyle name="Percent 8 19" xfId="886"/>
    <cellStyle name="Percent 8 19 10" xfId="16234"/>
    <cellStyle name="Percent 8 19 11" xfId="16235"/>
    <cellStyle name="Percent 8 19 12" xfId="16236"/>
    <cellStyle name="Percent 8 19 13" xfId="16237"/>
    <cellStyle name="Percent 8 19 14" xfId="16238"/>
    <cellStyle name="Percent 8 19 15" xfId="16239"/>
    <cellStyle name="Percent 8 19 16" xfId="16240"/>
    <cellStyle name="Percent 8 19 17" xfId="16241"/>
    <cellStyle name="Percent 8 19 18" xfId="16242"/>
    <cellStyle name="Percent 8 19 19" xfId="16243"/>
    <cellStyle name="Percent 8 19 2" xfId="16244"/>
    <cellStyle name="Percent 8 19 20" xfId="16245"/>
    <cellStyle name="Percent 8 19 21" xfId="16246"/>
    <cellStyle name="Percent 8 19 22" xfId="16247"/>
    <cellStyle name="Percent 8 19 23" xfId="25444"/>
    <cellStyle name="Percent 8 19 24" xfId="25445"/>
    <cellStyle name="Percent 8 19 25" xfId="25446"/>
    <cellStyle name="Percent 8 19 26" xfId="25447"/>
    <cellStyle name="Percent 8 19 27" xfId="25448"/>
    <cellStyle name="Percent 8 19 28" xfId="25449"/>
    <cellStyle name="Percent 8 19 29" xfId="25450"/>
    <cellStyle name="Percent 8 19 3" xfId="16248"/>
    <cellStyle name="Percent 8 19 30" xfId="25451"/>
    <cellStyle name="Percent 8 19 31" xfId="25452"/>
    <cellStyle name="Percent 8 19 32" xfId="25453"/>
    <cellStyle name="Percent 8 19 33" xfId="25454"/>
    <cellStyle name="Percent 8 19 34" xfId="25455"/>
    <cellStyle name="Percent 8 19 35" xfId="25456"/>
    <cellStyle name="Percent 8 19 4" xfId="16249"/>
    <cellStyle name="Percent 8 19 5" xfId="16250"/>
    <cellStyle name="Percent 8 19 6" xfId="16251"/>
    <cellStyle name="Percent 8 19 7" xfId="16252"/>
    <cellStyle name="Percent 8 19 8" xfId="16253"/>
    <cellStyle name="Percent 8 19 9" xfId="16254"/>
    <cellStyle name="Percent 8 2" xfId="887"/>
    <cellStyle name="Percent 8 2 10" xfId="16255"/>
    <cellStyle name="Percent 8 2 11" xfId="16256"/>
    <cellStyle name="Percent 8 2 12" xfId="16257"/>
    <cellStyle name="Percent 8 2 13" xfId="16258"/>
    <cellStyle name="Percent 8 2 14" xfId="16259"/>
    <cellStyle name="Percent 8 2 15" xfId="16260"/>
    <cellStyle name="Percent 8 2 16" xfId="16261"/>
    <cellStyle name="Percent 8 2 17" xfId="16262"/>
    <cellStyle name="Percent 8 2 18" xfId="16263"/>
    <cellStyle name="Percent 8 2 19" xfId="16264"/>
    <cellStyle name="Percent 8 2 2" xfId="888"/>
    <cellStyle name="Percent 8 2 20" xfId="16265"/>
    <cellStyle name="Percent 8 2 21" xfId="16266"/>
    <cellStyle name="Percent 8 2 22" xfId="16267"/>
    <cellStyle name="Percent 8 2 23" xfId="16268"/>
    <cellStyle name="Percent 8 2 24" xfId="16269"/>
    <cellStyle name="Percent 8 2 25" xfId="25457"/>
    <cellStyle name="Percent 8 2 26" xfId="25458"/>
    <cellStyle name="Percent 8 2 27" xfId="25459"/>
    <cellStyle name="Percent 8 2 28" xfId="25460"/>
    <cellStyle name="Percent 8 2 29" xfId="25461"/>
    <cellStyle name="Percent 8 2 3" xfId="16270"/>
    <cellStyle name="Percent 8 2 30" xfId="25462"/>
    <cellStyle name="Percent 8 2 31" xfId="25463"/>
    <cellStyle name="Percent 8 2 32" xfId="25464"/>
    <cellStyle name="Percent 8 2 33" xfId="25465"/>
    <cellStyle name="Percent 8 2 34" xfId="25466"/>
    <cellStyle name="Percent 8 2 35" xfId="25467"/>
    <cellStyle name="Percent 8 2 36" xfId="25468"/>
    <cellStyle name="Percent 8 2 37" xfId="25469"/>
    <cellStyle name="Percent 8 2 4" xfId="16271"/>
    <cellStyle name="Percent 8 2 5" xfId="16272"/>
    <cellStyle name="Percent 8 2 6" xfId="16273"/>
    <cellStyle name="Percent 8 2 7" xfId="16274"/>
    <cellStyle name="Percent 8 2 8" xfId="16275"/>
    <cellStyle name="Percent 8 2 9" xfId="16276"/>
    <cellStyle name="Percent 8 20" xfId="889"/>
    <cellStyle name="Percent 8 20 10" xfId="16277"/>
    <cellStyle name="Percent 8 20 11" xfId="16278"/>
    <cellStyle name="Percent 8 20 12" xfId="16279"/>
    <cellStyle name="Percent 8 20 13" xfId="16280"/>
    <cellStyle name="Percent 8 20 14" xfId="16281"/>
    <cellStyle name="Percent 8 20 15" xfId="16282"/>
    <cellStyle name="Percent 8 20 16" xfId="16283"/>
    <cellStyle name="Percent 8 20 17" xfId="16284"/>
    <cellStyle name="Percent 8 20 18" xfId="16285"/>
    <cellStyle name="Percent 8 20 19" xfId="16286"/>
    <cellStyle name="Percent 8 20 2" xfId="16287"/>
    <cellStyle name="Percent 8 20 20" xfId="16288"/>
    <cellStyle name="Percent 8 20 21" xfId="16289"/>
    <cellStyle name="Percent 8 20 22" xfId="16290"/>
    <cellStyle name="Percent 8 20 23" xfId="25470"/>
    <cellStyle name="Percent 8 20 24" xfId="25471"/>
    <cellStyle name="Percent 8 20 25" xfId="25472"/>
    <cellStyle name="Percent 8 20 26" xfId="25473"/>
    <cellStyle name="Percent 8 20 27" xfId="25474"/>
    <cellStyle name="Percent 8 20 28" xfId="25475"/>
    <cellStyle name="Percent 8 20 29" xfId="25476"/>
    <cellStyle name="Percent 8 20 3" xfId="16291"/>
    <cellStyle name="Percent 8 20 30" xfId="25477"/>
    <cellStyle name="Percent 8 20 31" xfId="25478"/>
    <cellStyle name="Percent 8 20 32" xfId="25479"/>
    <cellStyle name="Percent 8 20 33" xfId="25480"/>
    <cellStyle name="Percent 8 20 34" xfId="25481"/>
    <cellStyle name="Percent 8 20 35" xfId="25482"/>
    <cellStyle name="Percent 8 20 4" xfId="16292"/>
    <cellStyle name="Percent 8 20 5" xfId="16293"/>
    <cellStyle name="Percent 8 20 6" xfId="16294"/>
    <cellStyle name="Percent 8 20 7" xfId="16295"/>
    <cellStyle name="Percent 8 20 8" xfId="16296"/>
    <cellStyle name="Percent 8 20 9" xfId="16297"/>
    <cellStyle name="Percent 8 21" xfId="890"/>
    <cellStyle name="Percent 8 21 10" xfId="16298"/>
    <cellStyle name="Percent 8 21 11" xfId="16299"/>
    <cellStyle name="Percent 8 21 12" xfId="16300"/>
    <cellStyle name="Percent 8 21 13" xfId="16301"/>
    <cellStyle name="Percent 8 21 14" xfId="16302"/>
    <cellStyle name="Percent 8 21 15" xfId="16303"/>
    <cellStyle name="Percent 8 21 16" xfId="16304"/>
    <cellStyle name="Percent 8 21 17" xfId="16305"/>
    <cellStyle name="Percent 8 21 18" xfId="16306"/>
    <cellStyle name="Percent 8 21 19" xfId="16307"/>
    <cellStyle name="Percent 8 21 2" xfId="16308"/>
    <cellStyle name="Percent 8 21 20" xfId="16309"/>
    <cellStyle name="Percent 8 21 21" xfId="16310"/>
    <cellStyle name="Percent 8 21 22" xfId="16311"/>
    <cellStyle name="Percent 8 21 23" xfId="25483"/>
    <cellStyle name="Percent 8 21 24" xfId="25484"/>
    <cellStyle name="Percent 8 21 25" xfId="25485"/>
    <cellStyle name="Percent 8 21 26" xfId="25486"/>
    <cellStyle name="Percent 8 21 27" xfId="25487"/>
    <cellStyle name="Percent 8 21 28" xfId="25488"/>
    <cellStyle name="Percent 8 21 29" xfId="25489"/>
    <cellStyle name="Percent 8 21 3" xfId="16312"/>
    <cellStyle name="Percent 8 21 30" xfId="25490"/>
    <cellStyle name="Percent 8 21 31" xfId="25491"/>
    <cellStyle name="Percent 8 21 32" xfId="25492"/>
    <cellStyle name="Percent 8 21 33" xfId="25493"/>
    <cellStyle name="Percent 8 21 34" xfId="25494"/>
    <cellStyle name="Percent 8 21 35" xfId="25495"/>
    <cellStyle name="Percent 8 21 4" xfId="16313"/>
    <cellStyle name="Percent 8 21 5" xfId="16314"/>
    <cellStyle name="Percent 8 21 6" xfId="16315"/>
    <cellStyle name="Percent 8 21 7" xfId="16316"/>
    <cellStyle name="Percent 8 21 8" xfId="16317"/>
    <cellStyle name="Percent 8 21 9" xfId="16318"/>
    <cellStyle name="Percent 8 22" xfId="891"/>
    <cellStyle name="Percent 8 22 10" xfId="16319"/>
    <cellStyle name="Percent 8 22 11" xfId="16320"/>
    <cellStyle name="Percent 8 22 12" xfId="16321"/>
    <cellStyle name="Percent 8 22 13" xfId="16322"/>
    <cellStyle name="Percent 8 22 14" xfId="16323"/>
    <cellStyle name="Percent 8 22 15" xfId="16324"/>
    <cellStyle name="Percent 8 22 16" xfId="16325"/>
    <cellStyle name="Percent 8 22 17" xfId="16326"/>
    <cellStyle name="Percent 8 22 18" xfId="16327"/>
    <cellStyle name="Percent 8 22 19" xfId="16328"/>
    <cellStyle name="Percent 8 22 2" xfId="16329"/>
    <cellStyle name="Percent 8 22 20" xfId="16330"/>
    <cellStyle name="Percent 8 22 21" xfId="16331"/>
    <cellStyle name="Percent 8 22 22" xfId="16332"/>
    <cellStyle name="Percent 8 22 23" xfId="25496"/>
    <cellStyle name="Percent 8 22 24" xfId="25497"/>
    <cellStyle name="Percent 8 22 25" xfId="25498"/>
    <cellStyle name="Percent 8 22 26" xfId="25499"/>
    <cellStyle name="Percent 8 22 27" xfId="25500"/>
    <cellStyle name="Percent 8 22 28" xfId="25501"/>
    <cellStyle name="Percent 8 22 29" xfId="25502"/>
    <cellStyle name="Percent 8 22 3" xfId="16333"/>
    <cellStyle name="Percent 8 22 30" xfId="25503"/>
    <cellStyle name="Percent 8 22 31" xfId="25504"/>
    <cellStyle name="Percent 8 22 32" xfId="25505"/>
    <cellStyle name="Percent 8 22 33" xfId="25506"/>
    <cellStyle name="Percent 8 22 34" xfId="25507"/>
    <cellStyle name="Percent 8 22 35" xfId="25508"/>
    <cellStyle name="Percent 8 22 4" xfId="16334"/>
    <cellStyle name="Percent 8 22 5" xfId="16335"/>
    <cellStyle name="Percent 8 22 6" xfId="16336"/>
    <cellStyle name="Percent 8 22 7" xfId="16337"/>
    <cellStyle name="Percent 8 22 8" xfId="16338"/>
    <cellStyle name="Percent 8 22 9" xfId="16339"/>
    <cellStyle name="Percent 8 23" xfId="892"/>
    <cellStyle name="Percent 8 23 10" xfId="16340"/>
    <cellStyle name="Percent 8 23 11" xfId="16341"/>
    <cellStyle name="Percent 8 23 12" xfId="16342"/>
    <cellStyle name="Percent 8 23 13" xfId="16343"/>
    <cellStyle name="Percent 8 23 14" xfId="16344"/>
    <cellStyle name="Percent 8 23 15" xfId="16345"/>
    <cellStyle name="Percent 8 23 16" xfId="16346"/>
    <cellStyle name="Percent 8 23 17" xfId="16347"/>
    <cellStyle name="Percent 8 23 18" xfId="16348"/>
    <cellStyle name="Percent 8 23 19" xfId="16349"/>
    <cellStyle name="Percent 8 23 2" xfId="16350"/>
    <cellStyle name="Percent 8 23 20" xfId="16351"/>
    <cellStyle name="Percent 8 23 21" xfId="16352"/>
    <cellStyle name="Percent 8 23 22" xfId="16353"/>
    <cellStyle name="Percent 8 23 23" xfId="25509"/>
    <cellStyle name="Percent 8 23 24" xfId="25510"/>
    <cellStyle name="Percent 8 23 25" xfId="25511"/>
    <cellStyle name="Percent 8 23 26" xfId="25512"/>
    <cellStyle name="Percent 8 23 27" xfId="25513"/>
    <cellStyle name="Percent 8 23 28" xfId="25514"/>
    <cellStyle name="Percent 8 23 29" xfId="25515"/>
    <cellStyle name="Percent 8 23 3" xfId="16354"/>
    <cellStyle name="Percent 8 23 30" xfId="25516"/>
    <cellStyle name="Percent 8 23 31" xfId="25517"/>
    <cellStyle name="Percent 8 23 32" xfId="25518"/>
    <cellStyle name="Percent 8 23 33" xfId="25519"/>
    <cellStyle name="Percent 8 23 34" xfId="25520"/>
    <cellStyle name="Percent 8 23 35" xfId="25521"/>
    <cellStyle name="Percent 8 23 4" xfId="16355"/>
    <cellStyle name="Percent 8 23 5" xfId="16356"/>
    <cellStyle name="Percent 8 23 6" xfId="16357"/>
    <cellStyle name="Percent 8 23 7" xfId="16358"/>
    <cellStyle name="Percent 8 23 8" xfId="16359"/>
    <cellStyle name="Percent 8 23 9" xfId="16360"/>
    <cellStyle name="Percent 8 24" xfId="893"/>
    <cellStyle name="Percent 8 24 10" xfId="16361"/>
    <cellStyle name="Percent 8 24 11" xfId="16362"/>
    <cellStyle name="Percent 8 24 12" xfId="16363"/>
    <cellStyle name="Percent 8 24 13" xfId="16364"/>
    <cellStyle name="Percent 8 24 14" xfId="16365"/>
    <cellStyle name="Percent 8 24 15" xfId="16366"/>
    <cellStyle name="Percent 8 24 16" xfId="16367"/>
    <cellStyle name="Percent 8 24 17" xfId="16368"/>
    <cellStyle name="Percent 8 24 18" xfId="16369"/>
    <cellStyle name="Percent 8 24 19" xfId="16370"/>
    <cellStyle name="Percent 8 24 2" xfId="16371"/>
    <cellStyle name="Percent 8 24 20" xfId="16372"/>
    <cellStyle name="Percent 8 24 21" xfId="16373"/>
    <cellStyle name="Percent 8 24 22" xfId="16374"/>
    <cellStyle name="Percent 8 24 23" xfId="25522"/>
    <cellStyle name="Percent 8 24 24" xfId="25523"/>
    <cellStyle name="Percent 8 24 25" xfId="25524"/>
    <cellStyle name="Percent 8 24 26" xfId="25525"/>
    <cellStyle name="Percent 8 24 27" xfId="25526"/>
    <cellStyle name="Percent 8 24 28" xfId="25527"/>
    <cellStyle name="Percent 8 24 29" xfId="25528"/>
    <cellStyle name="Percent 8 24 3" xfId="16375"/>
    <cellStyle name="Percent 8 24 30" xfId="25529"/>
    <cellStyle name="Percent 8 24 31" xfId="25530"/>
    <cellStyle name="Percent 8 24 32" xfId="25531"/>
    <cellStyle name="Percent 8 24 33" xfId="25532"/>
    <cellStyle name="Percent 8 24 34" xfId="25533"/>
    <cellStyle name="Percent 8 24 35" xfId="25534"/>
    <cellStyle name="Percent 8 24 4" xfId="16376"/>
    <cellStyle name="Percent 8 24 5" xfId="16377"/>
    <cellStyle name="Percent 8 24 6" xfId="16378"/>
    <cellStyle name="Percent 8 24 7" xfId="16379"/>
    <cellStyle name="Percent 8 24 8" xfId="16380"/>
    <cellStyle name="Percent 8 24 9" xfId="16381"/>
    <cellStyle name="Percent 8 25" xfId="894"/>
    <cellStyle name="Percent 8 25 10" xfId="16382"/>
    <cellStyle name="Percent 8 25 11" xfId="16383"/>
    <cellStyle name="Percent 8 25 12" xfId="16384"/>
    <cellStyle name="Percent 8 25 13" xfId="16385"/>
    <cellStyle name="Percent 8 25 14" xfId="16386"/>
    <cellStyle name="Percent 8 25 15" xfId="16387"/>
    <cellStyle name="Percent 8 25 16" xfId="16388"/>
    <cellStyle name="Percent 8 25 17" xfId="16389"/>
    <cellStyle name="Percent 8 25 18" xfId="16390"/>
    <cellStyle name="Percent 8 25 19" xfId="16391"/>
    <cellStyle name="Percent 8 25 2" xfId="16392"/>
    <cellStyle name="Percent 8 25 20" xfId="16393"/>
    <cellStyle name="Percent 8 25 21" xfId="16394"/>
    <cellStyle name="Percent 8 25 22" xfId="16395"/>
    <cellStyle name="Percent 8 25 23" xfId="25535"/>
    <cellStyle name="Percent 8 25 24" xfId="25536"/>
    <cellStyle name="Percent 8 25 25" xfId="25537"/>
    <cellStyle name="Percent 8 25 26" xfId="25538"/>
    <cellStyle name="Percent 8 25 27" xfId="25539"/>
    <cellStyle name="Percent 8 25 28" xfId="25540"/>
    <cellStyle name="Percent 8 25 29" xfId="25541"/>
    <cellStyle name="Percent 8 25 3" xfId="16396"/>
    <cellStyle name="Percent 8 25 30" xfId="25542"/>
    <cellStyle name="Percent 8 25 31" xfId="25543"/>
    <cellStyle name="Percent 8 25 32" xfId="25544"/>
    <cellStyle name="Percent 8 25 33" xfId="25545"/>
    <cellStyle name="Percent 8 25 34" xfId="25546"/>
    <cellStyle name="Percent 8 25 35" xfId="25547"/>
    <cellStyle name="Percent 8 25 4" xfId="16397"/>
    <cellStyle name="Percent 8 25 5" xfId="16398"/>
    <cellStyle name="Percent 8 25 6" xfId="16399"/>
    <cellStyle name="Percent 8 25 7" xfId="16400"/>
    <cellStyle name="Percent 8 25 8" xfId="16401"/>
    <cellStyle name="Percent 8 25 9" xfId="16402"/>
    <cellStyle name="Percent 8 26" xfId="895"/>
    <cellStyle name="Percent 8 26 10" xfId="16403"/>
    <cellStyle name="Percent 8 26 11" xfId="16404"/>
    <cellStyle name="Percent 8 26 12" xfId="16405"/>
    <cellStyle name="Percent 8 26 13" xfId="16406"/>
    <cellStyle name="Percent 8 26 14" xfId="16407"/>
    <cellStyle name="Percent 8 26 15" xfId="16408"/>
    <cellStyle name="Percent 8 26 16" xfId="16409"/>
    <cellStyle name="Percent 8 26 17" xfId="16410"/>
    <cellStyle name="Percent 8 26 18" xfId="16411"/>
    <cellStyle name="Percent 8 26 19" xfId="16412"/>
    <cellStyle name="Percent 8 26 2" xfId="16413"/>
    <cellStyle name="Percent 8 26 20" xfId="16414"/>
    <cellStyle name="Percent 8 26 21" xfId="16415"/>
    <cellStyle name="Percent 8 26 22" xfId="16416"/>
    <cellStyle name="Percent 8 26 23" xfId="25548"/>
    <cellStyle name="Percent 8 26 24" xfId="25549"/>
    <cellStyle name="Percent 8 26 25" xfId="25550"/>
    <cellStyle name="Percent 8 26 26" xfId="25551"/>
    <cellStyle name="Percent 8 26 27" xfId="25552"/>
    <cellStyle name="Percent 8 26 28" xfId="25553"/>
    <cellStyle name="Percent 8 26 29" xfId="25554"/>
    <cellStyle name="Percent 8 26 3" xfId="16417"/>
    <cellStyle name="Percent 8 26 30" xfId="25555"/>
    <cellStyle name="Percent 8 26 31" xfId="25556"/>
    <cellStyle name="Percent 8 26 32" xfId="25557"/>
    <cellStyle name="Percent 8 26 33" xfId="25558"/>
    <cellStyle name="Percent 8 26 34" xfId="25559"/>
    <cellStyle name="Percent 8 26 35" xfId="25560"/>
    <cellStyle name="Percent 8 26 4" xfId="16418"/>
    <cellStyle name="Percent 8 26 5" xfId="16419"/>
    <cellStyle name="Percent 8 26 6" xfId="16420"/>
    <cellStyle name="Percent 8 26 7" xfId="16421"/>
    <cellStyle name="Percent 8 26 8" xfId="16422"/>
    <cellStyle name="Percent 8 26 9" xfId="16423"/>
    <cellStyle name="Percent 8 27" xfId="896"/>
    <cellStyle name="Percent 8 28" xfId="16424"/>
    <cellStyle name="Percent 8 29" xfId="16425"/>
    <cellStyle name="Percent 8 3" xfId="897"/>
    <cellStyle name="Percent 8 3 10" xfId="16426"/>
    <cellStyle name="Percent 8 3 11" xfId="16427"/>
    <cellStyle name="Percent 8 3 12" xfId="16428"/>
    <cellStyle name="Percent 8 3 13" xfId="16429"/>
    <cellStyle name="Percent 8 3 14" xfId="16430"/>
    <cellStyle name="Percent 8 3 15" xfId="16431"/>
    <cellStyle name="Percent 8 3 16" xfId="16432"/>
    <cellStyle name="Percent 8 3 17" xfId="16433"/>
    <cellStyle name="Percent 8 3 18" xfId="16434"/>
    <cellStyle name="Percent 8 3 19" xfId="16435"/>
    <cellStyle name="Percent 8 3 2" xfId="898"/>
    <cellStyle name="Percent 8 3 20" xfId="16436"/>
    <cellStyle name="Percent 8 3 21" xfId="16437"/>
    <cellStyle name="Percent 8 3 22" xfId="16438"/>
    <cellStyle name="Percent 8 3 23" xfId="16439"/>
    <cellStyle name="Percent 8 3 24" xfId="16440"/>
    <cellStyle name="Percent 8 3 25" xfId="25561"/>
    <cellStyle name="Percent 8 3 26" xfId="25562"/>
    <cellStyle name="Percent 8 3 27" xfId="25563"/>
    <cellStyle name="Percent 8 3 28" xfId="25564"/>
    <cellStyle name="Percent 8 3 29" xfId="25565"/>
    <cellStyle name="Percent 8 3 3" xfId="16441"/>
    <cellStyle name="Percent 8 3 30" xfId="25566"/>
    <cellStyle name="Percent 8 3 31" xfId="25567"/>
    <cellStyle name="Percent 8 3 32" xfId="25568"/>
    <cellStyle name="Percent 8 3 33" xfId="25569"/>
    <cellStyle name="Percent 8 3 34" xfId="25570"/>
    <cellStyle name="Percent 8 3 35" xfId="25571"/>
    <cellStyle name="Percent 8 3 36" xfId="25572"/>
    <cellStyle name="Percent 8 3 37" xfId="25573"/>
    <cellStyle name="Percent 8 3 4" xfId="16442"/>
    <cellStyle name="Percent 8 3 5" xfId="16443"/>
    <cellStyle name="Percent 8 3 6" xfId="16444"/>
    <cellStyle name="Percent 8 3 7" xfId="16445"/>
    <cellStyle name="Percent 8 3 8" xfId="16446"/>
    <cellStyle name="Percent 8 3 9" xfId="16447"/>
    <cellStyle name="Percent 8 30" xfId="16448"/>
    <cellStyle name="Percent 8 31" xfId="16449"/>
    <cellStyle name="Percent 8 32" xfId="16450"/>
    <cellStyle name="Percent 8 33" xfId="16451"/>
    <cellStyle name="Percent 8 34" xfId="16452"/>
    <cellStyle name="Percent 8 35" xfId="16453"/>
    <cellStyle name="Percent 8 36" xfId="16454"/>
    <cellStyle name="Percent 8 37" xfId="16455"/>
    <cellStyle name="Percent 8 38" xfId="16456"/>
    <cellStyle name="Percent 8 39" xfId="16457"/>
    <cellStyle name="Percent 8 4" xfId="899"/>
    <cellStyle name="Percent 8 4 10" xfId="16458"/>
    <cellStyle name="Percent 8 4 11" xfId="16459"/>
    <cellStyle name="Percent 8 4 12" xfId="16460"/>
    <cellStyle name="Percent 8 4 13" xfId="16461"/>
    <cellStyle name="Percent 8 4 14" xfId="16462"/>
    <cellStyle name="Percent 8 4 15" xfId="16463"/>
    <cellStyle name="Percent 8 4 16" xfId="16464"/>
    <cellStyle name="Percent 8 4 17" xfId="16465"/>
    <cellStyle name="Percent 8 4 18" xfId="16466"/>
    <cellStyle name="Percent 8 4 19" xfId="16467"/>
    <cellStyle name="Percent 8 4 2" xfId="900"/>
    <cellStyle name="Percent 8 4 20" xfId="16468"/>
    <cellStyle name="Percent 8 4 21" xfId="16469"/>
    <cellStyle name="Percent 8 4 22" xfId="16470"/>
    <cellStyle name="Percent 8 4 23" xfId="16471"/>
    <cellStyle name="Percent 8 4 24" xfId="16472"/>
    <cellStyle name="Percent 8 4 25" xfId="25574"/>
    <cellStyle name="Percent 8 4 26" xfId="25575"/>
    <cellStyle name="Percent 8 4 27" xfId="25576"/>
    <cellStyle name="Percent 8 4 28" xfId="25577"/>
    <cellStyle name="Percent 8 4 29" xfId="25578"/>
    <cellStyle name="Percent 8 4 3" xfId="16473"/>
    <cellStyle name="Percent 8 4 30" xfId="25579"/>
    <cellStyle name="Percent 8 4 31" xfId="25580"/>
    <cellStyle name="Percent 8 4 32" xfId="25581"/>
    <cellStyle name="Percent 8 4 33" xfId="25582"/>
    <cellStyle name="Percent 8 4 34" xfId="25583"/>
    <cellStyle name="Percent 8 4 35" xfId="25584"/>
    <cellStyle name="Percent 8 4 36" xfId="25585"/>
    <cellStyle name="Percent 8 4 37" xfId="25586"/>
    <cellStyle name="Percent 8 4 4" xfId="16474"/>
    <cellStyle name="Percent 8 4 5" xfId="16475"/>
    <cellStyle name="Percent 8 4 6" xfId="16476"/>
    <cellStyle name="Percent 8 4 7" xfId="16477"/>
    <cellStyle name="Percent 8 4 8" xfId="16478"/>
    <cellStyle name="Percent 8 4 9" xfId="16479"/>
    <cellStyle name="Percent 8 40" xfId="16480"/>
    <cellStyle name="Percent 8 41" xfId="16481"/>
    <cellStyle name="Percent 8 42" xfId="16482"/>
    <cellStyle name="Percent 8 43" xfId="16483"/>
    <cellStyle name="Percent 8 44" xfId="16484"/>
    <cellStyle name="Percent 8 45" xfId="16485"/>
    <cellStyle name="Percent 8 46" xfId="16486"/>
    <cellStyle name="Percent 8 47" xfId="16487"/>
    <cellStyle name="Percent 8 48" xfId="16488"/>
    <cellStyle name="Percent 8 49" xfId="16489"/>
    <cellStyle name="Percent 8 5" xfId="901"/>
    <cellStyle name="Percent 8 5 10" xfId="16490"/>
    <cellStyle name="Percent 8 5 11" xfId="16491"/>
    <cellStyle name="Percent 8 5 12" xfId="16492"/>
    <cellStyle name="Percent 8 5 13" xfId="16493"/>
    <cellStyle name="Percent 8 5 14" xfId="16494"/>
    <cellStyle name="Percent 8 5 15" xfId="16495"/>
    <cellStyle name="Percent 8 5 16" xfId="16496"/>
    <cellStyle name="Percent 8 5 17" xfId="16497"/>
    <cellStyle name="Percent 8 5 18" xfId="16498"/>
    <cellStyle name="Percent 8 5 19" xfId="16499"/>
    <cellStyle name="Percent 8 5 2" xfId="902"/>
    <cellStyle name="Percent 8 5 20" xfId="16500"/>
    <cellStyle name="Percent 8 5 21" xfId="16501"/>
    <cellStyle name="Percent 8 5 22" xfId="16502"/>
    <cellStyle name="Percent 8 5 23" xfId="16503"/>
    <cellStyle name="Percent 8 5 24" xfId="16504"/>
    <cellStyle name="Percent 8 5 25" xfId="25587"/>
    <cellStyle name="Percent 8 5 26" xfId="25588"/>
    <cellStyle name="Percent 8 5 27" xfId="25589"/>
    <cellStyle name="Percent 8 5 28" xfId="25590"/>
    <cellStyle name="Percent 8 5 29" xfId="25591"/>
    <cellStyle name="Percent 8 5 3" xfId="16505"/>
    <cellStyle name="Percent 8 5 30" xfId="25592"/>
    <cellStyle name="Percent 8 5 31" xfId="25593"/>
    <cellStyle name="Percent 8 5 32" xfId="25594"/>
    <cellStyle name="Percent 8 5 33" xfId="25595"/>
    <cellStyle name="Percent 8 5 34" xfId="25596"/>
    <cellStyle name="Percent 8 5 35" xfId="25597"/>
    <cellStyle name="Percent 8 5 36" xfId="25598"/>
    <cellStyle name="Percent 8 5 37" xfId="25599"/>
    <cellStyle name="Percent 8 5 4" xfId="16506"/>
    <cellStyle name="Percent 8 5 5" xfId="16507"/>
    <cellStyle name="Percent 8 5 6" xfId="16508"/>
    <cellStyle name="Percent 8 5 7" xfId="16509"/>
    <cellStyle name="Percent 8 5 8" xfId="16510"/>
    <cellStyle name="Percent 8 5 9" xfId="16511"/>
    <cellStyle name="Percent 8 50" xfId="25600"/>
    <cellStyle name="Percent 8 51" xfId="25601"/>
    <cellStyle name="Percent 8 52" xfId="25602"/>
    <cellStyle name="Percent 8 53" xfId="25603"/>
    <cellStyle name="Percent 8 54" xfId="25604"/>
    <cellStyle name="Percent 8 55" xfId="25605"/>
    <cellStyle name="Percent 8 56" xfId="25606"/>
    <cellStyle name="Percent 8 57" xfId="25607"/>
    <cellStyle name="Percent 8 58" xfId="25608"/>
    <cellStyle name="Percent 8 59" xfId="25609"/>
    <cellStyle name="Percent 8 6" xfId="903"/>
    <cellStyle name="Percent 8 6 10" xfId="16512"/>
    <cellStyle name="Percent 8 6 11" xfId="16513"/>
    <cellStyle name="Percent 8 6 12" xfId="16514"/>
    <cellStyle name="Percent 8 6 13" xfId="16515"/>
    <cellStyle name="Percent 8 6 14" xfId="16516"/>
    <cellStyle name="Percent 8 6 15" xfId="16517"/>
    <cellStyle name="Percent 8 6 16" xfId="16518"/>
    <cellStyle name="Percent 8 6 17" xfId="16519"/>
    <cellStyle name="Percent 8 6 18" xfId="16520"/>
    <cellStyle name="Percent 8 6 19" xfId="16521"/>
    <cellStyle name="Percent 8 6 2" xfId="904"/>
    <cellStyle name="Percent 8 6 20" xfId="16522"/>
    <cellStyle name="Percent 8 6 21" xfId="16523"/>
    <cellStyle name="Percent 8 6 22" xfId="16524"/>
    <cellStyle name="Percent 8 6 23" xfId="16525"/>
    <cellStyle name="Percent 8 6 24" xfId="16526"/>
    <cellStyle name="Percent 8 6 25" xfId="25610"/>
    <cellStyle name="Percent 8 6 26" xfId="25611"/>
    <cellStyle name="Percent 8 6 27" xfId="25612"/>
    <cellStyle name="Percent 8 6 28" xfId="25613"/>
    <cellStyle name="Percent 8 6 29" xfId="25614"/>
    <cellStyle name="Percent 8 6 3" xfId="16527"/>
    <cellStyle name="Percent 8 6 30" xfId="25615"/>
    <cellStyle name="Percent 8 6 31" xfId="25616"/>
    <cellStyle name="Percent 8 6 32" xfId="25617"/>
    <cellStyle name="Percent 8 6 33" xfId="25618"/>
    <cellStyle name="Percent 8 6 34" xfId="25619"/>
    <cellStyle name="Percent 8 6 35" xfId="25620"/>
    <cellStyle name="Percent 8 6 36" xfId="25621"/>
    <cellStyle name="Percent 8 6 37" xfId="25622"/>
    <cellStyle name="Percent 8 6 4" xfId="16528"/>
    <cellStyle name="Percent 8 6 5" xfId="16529"/>
    <cellStyle name="Percent 8 6 6" xfId="16530"/>
    <cellStyle name="Percent 8 6 7" xfId="16531"/>
    <cellStyle name="Percent 8 6 8" xfId="16532"/>
    <cellStyle name="Percent 8 6 9" xfId="16533"/>
    <cellStyle name="Percent 8 60" xfId="25623"/>
    <cellStyle name="Percent 8 61" xfId="25624"/>
    <cellStyle name="Percent 8 62" xfId="25625"/>
    <cellStyle name="Percent 8 7" xfId="905"/>
    <cellStyle name="Percent 8 7 10" xfId="16534"/>
    <cellStyle name="Percent 8 7 11" xfId="16535"/>
    <cellStyle name="Percent 8 7 12" xfId="16536"/>
    <cellStyle name="Percent 8 7 13" xfId="16537"/>
    <cellStyle name="Percent 8 7 14" xfId="16538"/>
    <cellStyle name="Percent 8 7 15" xfId="16539"/>
    <cellStyle name="Percent 8 7 16" xfId="16540"/>
    <cellStyle name="Percent 8 7 17" xfId="16541"/>
    <cellStyle name="Percent 8 7 18" xfId="16542"/>
    <cellStyle name="Percent 8 7 19" xfId="16543"/>
    <cellStyle name="Percent 8 7 2" xfId="906"/>
    <cellStyle name="Percent 8 7 20" xfId="16544"/>
    <cellStyle name="Percent 8 7 21" xfId="16545"/>
    <cellStyle name="Percent 8 7 22" xfId="16546"/>
    <cellStyle name="Percent 8 7 23" xfId="16547"/>
    <cellStyle name="Percent 8 7 24" xfId="16548"/>
    <cellStyle name="Percent 8 7 25" xfId="25626"/>
    <cellStyle name="Percent 8 7 26" xfId="25627"/>
    <cellStyle name="Percent 8 7 27" xfId="25628"/>
    <cellStyle name="Percent 8 7 28" xfId="25629"/>
    <cellStyle name="Percent 8 7 29" xfId="25630"/>
    <cellStyle name="Percent 8 7 3" xfId="16549"/>
    <cellStyle name="Percent 8 7 30" xfId="25631"/>
    <cellStyle name="Percent 8 7 31" xfId="25632"/>
    <cellStyle name="Percent 8 7 32" xfId="25633"/>
    <cellStyle name="Percent 8 7 33" xfId="25634"/>
    <cellStyle name="Percent 8 7 34" xfId="25635"/>
    <cellStyle name="Percent 8 7 35" xfId="25636"/>
    <cellStyle name="Percent 8 7 36" xfId="25637"/>
    <cellStyle name="Percent 8 7 37" xfId="25638"/>
    <cellStyle name="Percent 8 7 4" xfId="16550"/>
    <cellStyle name="Percent 8 7 5" xfId="16551"/>
    <cellStyle name="Percent 8 7 6" xfId="16552"/>
    <cellStyle name="Percent 8 7 7" xfId="16553"/>
    <cellStyle name="Percent 8 7 8" xfId="16554"/>
    <cellStyle name="Percent 8 7 9" xfId="16555"/>
    <cellStyle name="Percent 8 8" xfId="907"/>
    <cellStyle name="Percent 8 8 10" xfId="16556"/>
    <cellStyle name="Percent 8 8 11" xfId="16557"/>
    <cellStyle name="Percent 8 8 12" xfId="16558"/>
    <cellStyle name="Percent 8 8 13" xfId="16559"/>
    <cellStyle name="Percent 8 8 14" xfId="16560"/>
    <cellStyle name="Percent 8 8 15" xfId="16561"/>
    <cellStyle name="Percent 8 8 16" xfId="16562"/>
    <cellStyle name="Percent 8 8 17" xfId="16563"/>
    <cellStyle name="Percent 8 8 18" xfId="16564"/>
    <cellStyle name="Percent 8 8 19" xfId="16565"/>
    <cellStyle name="Percent 8 8 2" xfId="908"/>
    <cellStyle name="Percent 8 8 20" xfId="16566"/>
    <cellStyle name="Percent 8 8 21" xfId="16567"/>
    <cellStyle name="Percent 8 8 22" xfId="16568"/>
    <cellStyle name="Percent 8 8 23" xfId="16569"/>
    <cellStyle name="Percent 8 8 24" xfId="16570"/>
    <cellStyle name="Percent 8 8 25" xfId="25639"/>
    <cellStyle name="Percent 8 8 26" xfId="25640"/>
    <cellStyle name="Percent 8 8 27" xfId="25641"/>
    <cellStyle name="Percent 8 8 28" xfId="25642"/>
    <cellStyle name="Percent 8 8 29" xfId="25643"/>
    <cellStyle name="Percent 8 8 3" xfId="16571"/>
    <cellStyle name="Percent 8 8 30" xfId="25644"/>
    <cellStyle name="Percent 8 8 31" xfId="25645"/>
    <cellStyle name="Percent 8 8 32" xfId="25646"/>
    <cellStyle name="Percent 8 8 33" xfId="25647"/>
    <cellStyle name="Percent 8 8 34" xfId="25648"/>
    <cellStyle name="Percent 8 8 35" xfId="25649"/>
    <cellStyle name="Percent 8 8 36" xfId="25650"/>
    <cellStyle name="Percent 8 8 37" xfId="25651"/>
    <cellStyle name="Percent 8 8 4" xfId="16572"/>
    <cellStyle name="Percent 8 8 5" xfId="16573"/>
    <cellStyle name="Percent 8 8 6" xfId="16574"/>
    <cellStyle name="Percent 8 8 7" xfId="16575"/>
    <cellStyle name="Percent 8 8 8" xfId="16576"/>
    <cellStyle name="Percent 8 8 9" xfId="16577"/>
    <cellStyle name="Percent 8 9" xfId="909"/>
    <cellStyle name="Percent 8 9 10" xfId="16578"/>
    <cellStyle name="Percent 8 9 11" xfId="16579"/>
    <cellStyle name="Percent 8 9 12" xfId="16580"/>
    <cellStyle name="Percent 8 9 13" xfId="16581"/>
    <cellStyle name="Percent 8 9 14" xfId="16582"/>
    <cellStyle name="Percent 8 9 15" xfId="16583"/>
    <cellStyle name="Percent 8 9 16" xfId="16584"/>
    <cellStyle name="Percent 8 9 17" xfId="16585"/>
    <cellStyle name="Percent 8 9 18" xfId="16586"/>
    <cellStyle name="Percent 8 9 19" xfId="16587"/>
    <cellStyle name="Percent 8 9 2" xfId="910"/>
    <cellStyle name="Percent 8 9 20" xfId="16588"/>
    <cellStyle name="Percent 8 9 21" xfId="16589"/>
    <cellStyle name="Percent 8 9 22" xfId="16590"/>
    <cellStyle name="Percent 8 9 23" xfId="16591"/>
    <cellStyle name="Percent 8 9 24" xfId="16592"/>
    <cellStyle name="Percent 8 9 25" xfId="25652"/>
    <cellStyle name="Percent 8 9 26" xfId="25653"/>
    <cellStyle name="Percent 8 9 27" xfId="25654"/>
    <cellStyle name="Percent 8 9 28" xfId="25655"/>
    <cellStyle name="Percent 8 9 29" xfId="25656"/>
    <cellStyle name="Percent 8 9 3" xfId="16593"/>
    <cellStyle name="Percent 8 9 30" xfId="25657"/>
    <cellStyle name="Percent 8 9 31" xfId="25658"/>
    <cellStyle name="Percent 8 9 32" xfId="25659"/>
    <cellStyle name="Percent 8 9 33" xfId="25660"/>
    <cellStyle name="Percent 8 9 34" xfId="25661"/>
    <cellStyle name="Percent 8 9 35" xfId="25662"/>
    <cellStyle name="Percent 8 9 36" xfId="25663"/>
    <cellStyle name="Percent 8 9 37" xfId="25664"/>
    <cellStyle name="Percent 8 9 4" xfId="16594"/>
    <cellStyle name="Percent 8 9 5" xfId="16595"/>
    <cellStyle name="Percent 8 9 6" xfId="16596"/>
    <cellStyle name="Percent 8 9 7" xfId="16597"/>
    <cellStyle name="Percent 8 9 8" xfId="16598"/>
    <cellStyle name="Percent 8 9 9" xfId="16599"/>
    <cellStyle name="Percent 9" xfId="911"/>
    <cellStyle name="Percent 9 10" xfId="16600"/>
    <cellStyle name="Percent 9 11" xfId="16601"/>
    <cellStyle name="Percent 9 12" xfId="16602"/>
    <cellStyle name="Percent 9 13" xfId="16603"/>
    <cellStyle name="Percent 9 14" xfId="16604"/>
    <cellStyle name="Percent 9 15" xfId="16605"/>
    <cellStyle name="Percent 9 16" xfId="16606"/>
    <cellStyle name="Percent 9 17" xfId="16607"/>
    <cellStyle name="Percent 9 18" xfId="16608"/>
    <cellStyle name="Percent 9 19" xfId="16609"/>
    <cellStyle name="Percent 9 2" xfId="912"/>
    <cellStyle name="Percent 9 2 10" xfId="16610"/>
    <cellStyle name="Percent 9 2 11" xfId="16611"/>
    <cellStyle name="Percent 9 2 12" xfId="16612"/>
    <cellStyle name="Percent 9 2 13" xfId="16613"/>
    <cellStyle name="Percent 9 2 14" xfId="16614"/>
    <cellStyle name="Percent 9 2 15" xfId="16615"/>
    <cellStyle name="Percent 9 2 16" xfId="16616"/>
    <cellStyle name="Percent 9 2 17" xfId="16617"/>
    <cellStyle name="Percent 9 2 18" xfId="16618"/>
    <cellStyle name="Percent 9 2 19" xfId="16619"/>
    <cellStyle name="Percent 9 2 2" xfId="16620"/>
    <cellStyle name="Percent 9 2 20" xfId="16621"/>
    <cellStyle name="Percent 9 2 21" xfId="16622"/>
    <cellStyle name="Percent 9 2 22" xfId="16623"/>
    <cellStyle name="Percent 9 2 23" xfId="25665"/>
    <cellStyle name="Percent 9 2 24" xfId="25666"/>
    <cellStyle name="Percent 9 2 25" xfId="25667"/>
    <cellStyle name="Percent 9 2 26" xfId="25668"/>
    <cellStyle name="Percent 9 2 27" xfId="25669"/>
    <cellStyle name="Percent 9 2 28" xfId="25670"/>
    <cellStyle name="Percent 9 2 29" xfId="25671"/>
    <cellStyle name="Percent 9 2 3" xfId="16624"/>
    <cellStyle name="Percent 9 2 30" xfId="25672"/>
    <cellStyle name="Percent 9 2 31" xfId="25673"/>
    <cellStyle name="Percent 9 2 32" xfId="25674"/>
    <cellStyle name="Percent 9 2 33" xfId="25675"/>
    <cellStyle name="Percent 9 2 34" xfId="25676"/>
    <cellStyle name="Percent 9 2 35" xfId="25677"/>
    <cellStyle name="Percent 9 2 4" xfId="16625"/>
    <cellStyle name="Percent 9 2 5" xfId="16626"/>
    <cellStyle name="Percent 9 2 6" xfId="16627"/>
    <cellStyle name="Percent 9 2 7" xfId="16628"/>
    <cellStyle name="Percent 9 2 8" xfId="16629"/>
    <cellStyle name="Percent 9 2 9" xfId="16630"/>
    <cellStyle name="Percent 9 20" xfId="16631"/>
    <cellStyle name="Percent 9 21" xfId="16632"/>
    <cellStyle name="Percent 9 22" xfId="16633"/>
    <cellStyle name="Percent 9 23" xfId="16634"/>
    <cellStyle name="Percent 9 24" xfId="16635"/>
    <cellStyle name="Percent 9 25" xfId="16636"/>
    <cellStyle name="Percent 9 26" xfId="16637"/>
    <cellStyle name="Percent 9 27" xfId="16638"/>
    <cellStyle name="Percent 9 28" xfId="16639"/>
    <cellStyle name="Percent 9 29" xfId="16640"/>
    <cellStyle name="Percent 9 3" xfId="913"/>
    <cellStyle name="Percent 9 3 10" xfId="16641"/>
    <cellStyle name="Percent 9 3 11" xfId="16642"/>
    <cellStyle name="Percent 9 3 12" xfId="16643"/>
    <cellStyle name="Percent 9 3 13" xfId="16644"/>
    <cellStyle name="Percent 9 3 14" xfId="16645"/>
    <cellStyle name="Percent 9 3 15" xfId="16646"/>
    <cellStyle name="Percent 9 3 16" xfId="16647"/>
    <cellStyle name="Percent 9 3 17" xfId="16648"/>
    <cellStyle name="Percent 9 3 18" xfId="16649"/>
    <cellStyle name="Percent 9 3 19" xfId="16650"/>
    <cellStyle name="Percent 9 3 2" xfId="16651"/>
    <cellStyle name="Percent 9 3 20" xfId="16652"/>
    <cellStyle name="Percent 9 3 21" xfId="16653"/>
    <cellStyle name="Percent 9 3 22" xfId="16654"/>
    <cellStyle name="Percent 9 3 23" xfId="25678"/>
    <cellStyle name="Percent 9 3 24" xfId="25679"/>
    <cellStyle name="Percent 9 3 25" xfId="25680"/>
    <cellStyle name="Percent 9 3 26" xfId="25681"/>
    <cellStyle name="Percent 9 3 27" xfId="25682"/>
    <cellStyle name="Percent 9 3 28" xfId="25683"/>
    <cellStyle name="Percent 9 3 29" xfId="25684"/>
    <cellStyle name="Percent 9 3 3" xfId="16655"/>
    <cellStyle name="Percent 9 3 30" xfId="25685"/>
    <cellStyle name="Percent 9 3 31" xfId="25686"/>
    <cellStyle name="Percent 9 3 32" xfId="25687"/>
    <cellStyle name="Percent 9 3 33" xfId="25688"/>
    <cellStyle name="Percent 9 3 34" xfId="25689"/>
    <cellStyle name="Percent 9 3 35" xfId="25690"/>
    <cellStyle name="Percent 9 3 4" xfId="16656"/>
    <cellStyle name="Percent 9 3 5" xfId="16657"/>
    <cellStyle name="Percent 9 3 6" xfId="16658"/>
    <cellStyle name="Percent 9 3 7" xfId="16659"/>
    <cellStyle name="Percent 9 3 8" xfId="16660"/>
    <cellStyle name="Percent 9 3 9" xfId="16661"/>
    <cellStyle name="Percent 9 30" xfId="16662"/>
    <cellStyle name="Percent 9 31" xfId="25691"/>
    <cellStyle name="Percent 9 32" xfId="25692"/>
    <cellStyle name="Percent 9 33" xfId="25693"/>
    <cellStyle name="Percent 9 34" xfId="25694"/>
    <cellStyle name="Percent 9 35" xfId="25695"/>
    <cellStyle name="Percent 9 36" xfId="25696"/>
    <cellStyle name="Percent 9 37" xfId="25697"/>
    <cellStyle name="Percent 9 38" xfId="25698"/>
    <cellStyle name="Percent 9 39" xfId="25699"/>
    <cellStyle name="Percent 9 4" xfId="914"/>
    <cellStyle name="Percent 9 4 10" xfId="16663"/>
    <cellStyle name="Percent 9 4 11" xfId="16664"/>
    <cellStyle name="Percent 9 4 12" xfId="16665"/>
    <cellStyle name="Percent 9 4 13" xfId="16666"/>
    <cellStyle name="Percent 9 4 14" xfId="16667"/>
    <cellStyle name="Percent 9 4 15" xfId="16668"/>
    <cellStyle name="Percent 9 4 16" xfId="16669"/>
    <cellStyle name="Percent 9 4 17" xfId="16670"/>
    <cellStyle name="Percent 9 4 18" xfId="16671"/>
    <cellStyle name="Percent 9 4 19" xfId="16672"/>
    <cellStyle name="Percent 9 4 2" xfId="16673"/>
    <cellStyle name="Percent 9 4 20" xfId="16674"/>
    <cellStyle name="Percent 9 4 21" xfId="16675"/>
    <cellStyle name="Percent 9 4 22" xfId="16676"/>
    <cellStyle name="Percent 9 4 23" xfId="25700"/>
    <cellStyle name="Percent 9 4 24" xfId="25701"/>
    <cellStyle name="Percent 9 4 25" xfId="25702"/>
    <cellStyle name="Percent 9 4 26" xfId="25703"/>
    <cellStyle name="Percent 9 4 27" xfId="25704"/>
    <cellStyle name="Percent 9 4 28" xfId="25705"/>
    <cellStyle name="Percent 9 4 29" xfId="25706"/>
    <cellStyle name="Percent 9 4 3" xfId="16677"/>
    <cellStyle name="Percent 9 4 30" xfId="25707"/>
    <cellStyle name="Percent 9 4 31" xfId="25708"/>
    <cellStyle name="Percent 9 4 32" xfId="25709"/>
    <cellStyle name="Percent 9 4 33" xfId="25710"/>
    <cellStyle name="Percent 9 4 34" xfId="25711"/>
    <cellStyle name="Percent 9 4 35" xfId="25712"/>
    <cellStyle name="Percent 9 4 4" xfId="16678"/>
    <cellStyle name="Percent 9 4 5" xfId="16679"/>
    <cellStyle name="Percent 9 4 6" xfId="16680"/>
    <cellStyle name="Percent 9 4 7" xfId="16681"/>
    <cellStyle name="Percent 9 4 8" xfId="16682"/>
    <cellStyle name="Percent 9 4 9" xfId="16683"/>
    <cellStyle name="Percent 9 40" xfId="25713"/>
    <cellStyle name="Percent 9 41" xfId="25714"/>
    <cellStyle name="Percent 9 42" xfId="25715"/>
    <cellStyle name="Percent 9 43" xfId="25716"/>
    <cellStyle name="Percent 9 5" xfId="915"/>
    <cellStyle name="Percent 9 5 10" xfId="16684"/>
    <cellStyle name="Percent 9 5 11" xfId="16685"/>
    <cellStyle name="Percent 9 5 12" xfId="16686"/>
    <cellStyle name="Percent 9 5 13" xfId="16687"/>
    <cellStyle name="Percent 9 5 14" xfId="16688"/>
    <cellStyle name="Percent 9 5 15" xfId="16689"/>
    <cellStyle name="Percent 9 5 16" xfId="16690"/>
    <cellStyle name="Percent 9 5 17" xfId="16691"/>
    <cellStyle name="Percent 9 5 18" xfId="16692"/>
    <cellStyle name="Percent 9 5 19" xfId="16693"/>
    <cellStyle name="Percent 9 5 2" xfId="16694"/>
    <cellStyle name="Percent 9 5 20" xfId="16695"/>
    <cellStyle name="Percent 9 5 21" xfId="16696"/>
    <cellStyle name="Percent 9 5 22" xfId="16697"/>
    <cellStyle name="Percent 9 5 23" xfId="25717"/>
    <cellStyle name="Percent 9 5 24" xfId="25718"/>
    <cellStyle name="Percent 9 5 25" xfId="25719"/>
    <cellStyle name="Percent 9 5 26" xfId="25720"/>
    <cellStyle name="Percent 9 5 27" xfId="25721"/>
    <cellStyle name="Percent 9 5 28" xfId="25722"/>
    <cellStyle name="Percent 9 5 29" xfId="25723"/>
    <cellStyle name="Percent 9 5 3" xfId="16698"/>
    <cellStyle name="Percent 9 5 30" xfId="25724"/>
    <cellStyle name="Percent 9 5 31" xfId="25725"/>
    <cellStyle name="Percent 9 5 32" xfId="25726"/>
    <cellStyle name="Percent 9 5 33" xfId="25727"/>
    <cellStyle name="Percent 9 5 34" xfId="25728"/>
    <cellStyle name="Percent 9 5 35" xfId="25729"/>
    <cellStyle name="Percent 9 5 4" xfId="16699"/>
    <cellStyle name="Percent 9 5 5" xfId="16700"/>
    <cellStyle name="Percent 9 5 6" xfId="16701"/>
    <cellStyle name="Percent 9 5 7" xfId="16702"/>
    <cellStyle name="Percent 9 5 8" xfId="16703"/>
    <cellStyle name="Percent 9 5 9" xfId="16704"/>
    <cellStyle name="Percent 9 6" xfId="916"/>
    <cellStyle name="Percent 9 6 10" xfId="16705"/>
    <cellStyle name="Percent 9 6 11" xfId="16706"/>
    <cellStyle name="Percent 9 6 12" xfId="16707"/>
    <cellStyle name="Percent 9 6 13" xfId="16708"/>
    <cellStyle name="Percent 9 6 14" xfId="16709"/>
    <cellStyle name="Percent 9 6 15" xfId="16710"/>
    <cellStyle name="Percent 9 6 16" xfId="16711"/>
    <cellStyle name="Percent 9 6 17" xfId="16712"/>
    <cellStyle name="Percent 9 6 18" xfId="16713"/>
    <cellStyle name="Percent 9 6 19" xfId="16714"/>
    <cellStyle name="Percent 9 6 2" xfId="16715"/>
    <cellStyle name="Percent 9 6 20" xfId="16716"/>
    <cellStyle name="Percent 9 6 21" xfId="16717"/>
    <cellStyle name="Percent 9 6 22" xfId="16718"/>
    <cellStyle name="Percent 9 6 23" xfId="25730"/>
    <cellStyle name="Percent 9 6 24" xfId="25731"/>
    <cellStyle name="Percent 9 6 25" xfId="25732"/>
    <cellStyle name="Percent 9 6 26" xfId="25733"/>
    <cellStyle name="Percent 9 6 27" xfId="25734"/>
    <cellStyle name="Percent 9 6 28" xfId="25735"/>
    <cellStyle name="Percent 9 6 29" xfId="25736"/>
    <cellStyle name="Percent 9 6 3" xfId="16719"/>
    <cellStyle name="Percent 9 6 30" xfId="25737"/>
    <cellStyle name="Percent 9 6 31" xfId="25738"/>
    <cellStyle name="Percent 9 6 32" xfId="25739"/>
    <cellStyle name="Percent 9 6 33" xfId="25740"/>
    <cellStyle name="Percent 9 6 34" xfId="25741"/>
    <cellStyle name="Percent 9 6 35" xfId="25742"/>
    <cellStyle name="Percent 9 6 4" xfId="16720"/>
    <cellStyle name="Percent 9 6 5" xfId="16721"/>
    <cellStyle name="Percent 9 6 6" xfId="16722"/>
    <cellStyle name="Percent 9 6 7" xfId="16723"/>
    <cellStyle name="Percent 9 6 8" xfId="16724"/>
    <cellStyle name="Percent 9 6 9" xfId="16725"/>
    <cellStyle name="Percent 9 7" xfId="917"/>
    <cellStyle name="Percent 9 7 10" xfId="16726"/>
    <cellStyle name="Percent 9 7 11" xfId="16727"/>
    <cellStyle name="Percent 9 7 12" xfId="16728"/>
    <cellStyle name="Percent 9 7 13" xfId="16729"/>
    <cellStyle name="Percent 9 7 14" xfId="16730"/>
    <cellStyle name="Percent 9 7 15" xfId="16731"/>
    <cellStyle name="Percent 9 7 16" xfId="16732"/>
    <cellStyle name="Percent 9 7 17" xfId="16733"/>
    <cellStyle name="Percent 9 7 18" xfId="16734"/>
    <cellStyle name="Percent 9 7 19" xfId="16735"/>
    <cellStyle name="Percent 9 7 2" xfId="16736"/>
    <cellStyle name="Percent 9 7 20" xfId="16737"/>
    <cellStyle name="Percent 9 7 21" xfId="16738"/>
    <cellStyle name="Percent 9 7 22" xfId="16739"/>
    <cellStyle name="Percent 9 7 23" xfId="25743"/>
    <cellStyle name="Percent 9 7 24" xfId="25744"/>
    <cellStyle name="Percent 9 7 25" xfId="25745"/>
    <cellStyle name="Percent 9 7 26" xfId="25746"/>
    <cellStyle name="Percent 9 7 27" xfId="25747"/>
    <cellStyle name="Percent 9 7 28" xfId="25748"/>
    <cellStyle name="Percent 9 7 29" xfId="25749"/>
    <cellStyle name="Percent 9 7 3" xfId="16740"/>
    <cellStyle name="Percent 9 7 30" xfId="25750"/>
    <cellStyle name="Percent 9 7 31" xfId="25751"/>
    <cellStyle name="Percent 9 7 32" xfId="25752"/>
    <cellStyle name="Percent 9 7 33" xfId="25753"/>
    <cellStyle name="Percent 9 7 34" xfId="25754"/>
    <cellStyle name="Percent 9 7 35" xfId="25755"/>
    <cellStyle name="Percent 9 7 4" xfId="16741"/>
    <cellStyle name="Percent 9 7 5" xfId="16742"/>
    <cellStyle name="Percent 9 7 6" xfId="16743"/>
    <cellStyle name="Percent 9 7 7" xfId="16744"/>
    <cellStyle name="Percent 9 7 8" xfId="16745"/>
    <cellStyle name="Percent 9 7 9" xfId="16746"/>
    <cellStyle name="Percent 9 8" xfId="918"/>
    <cellStyle name="Percent 9 9" xfId="16747"/>
    <cellStyle name="Style 1" xfId="68"/>
    <cellStyle name="Style 1 10" xfId="1119"/>
    <cellStyle name="Style 1 10 2" xfId="2616"/>
    <cellStyle name="Style 1 10 3" xfId="2329"/>
    <cellStyle name="Style 1 10 4" xfId="2435"/>
    <cellStyle name="Style 1 10 5" xfId="2938"/>
    <cellStyle name="Style 1 10 6" xfId="3018"/>
    <cellStyle name="Style 1 10 7" xfId="3081"/>
    <cellStyle name="Style 1 10 8" xfId="2232"/>
    <cellStyle name="Style 1 11" xfId="1168"/>
    <cellStyle name="Style 1 11 2" xfId="2640"/>
    <cellStyle name="Style 1 11 3" xfId="2825"/>
    <cellStyle name="Style 1 11 4" xfId="2211"/>
    <cellStyle name="Style 1 11 5" xfId="2501"/>
    <cellStyle name="Style 1 11 6" xfId="2578"/>
    <cellStyle name="Style 1 11 7" xfId="2346"/>
    <cellStyle name="Style 1 11 8" xfId="2595"/>
    <cellStyle name="Style 1 12" xfId="1204"/>
    <cellStyle name="Style 1 12 2" xfId="2660"/>
    <cellStyle name="Style 1 12 3" xfId="2849"/>
    <cellStyle name="Style 1 12 4" xfId="2206"/>
    <cellStyle name="Style 1 12 5" xfId="2506"/>
    <cellStyle name="Style 1 12 6" xfId="2703"/>
    <cellStyle name="Style 1 12 7" xfId="2917"/>
    <cellStyle name="Style 1 12 8" xfId="2548"/>
    <cellStyle name="Style 1 13" xfId="1236"/>
    <cellStyle name="Style 1 13 2" xfId="2675"/>
    <cellStyle name="Style 1 13 3" xfId="2551"/>
    <cellStyle name="Style 1 13 4" xfId="2868"/>
    <cellStyle name="Style 1 13 5" xfId="2195"/>
    <cellStyle name="Style 1 13 6" xfId="2515"/>
    <cellStyle name="Style 1 13 7" xfId="2741"/>
    <cellStyle name="Style 1 13 8" xfId="3198"/>
    <cellStyle name="Style 1 14" xfId="1269"/>
    <cellStyle name="Style 1 14 2" xfId="2696"/>
    <cellStyle name="Style 1 14 3" xfId="2284"/>
    <cellStyle name="Style 1 14 4" xfId="2470"/>
    <cellStyle name="Style 1 14 5" xfId="2378"/>
    <cellStyle name="Style 1 14 6" xfId="2405"/>
    <cellStyle name="Style 1 14 7" xfId="2890"/>
    <cellStyle name="Style 1 14 8" xfId="2801"/>
    <cellStyle name="Style 1 15" xfId="1302"/>
    <cellStyle name="Style 1 15 2" xfId="2716"/>
    <cellStyle name="Style 1 15 3" xfId="2274"/>
    <cellStyle name="Style 1 15 4" xfId="2862"/>
    <cellStyle name="Style 1 15 5" xfId="2597"/>
    <cellStyle name="Style 1 15 6" xfId="2336"/>
    <cellStyle name="Style 1 15 7" xfId="2430"/>
    <cellStyle name="Style 1 15 8" xfId="3199"/>
    <cellStyle name="Style 1 16" xfId="1334"/>
    <cellStyle name="Style 1 16 2" xfId="2736"/>
    <cellStyle name="Style 1 16 3" xfId="2258"/>
    <cellStyle name="Style 1 16 4" xfId="2674"/>
    <cellStyle name="Style 1 16 5" xfId="2584"/>
    <cellStyle name="Style 1 16 6" xfId="2784"/>
    <cellStyle name="Style 1 16 7" xfId="2231"/>
    <cellStyle name="Style 1 16 8" xfId="2927"/>
    <cellStyle name="Style 1 17" xfId="1363"/>
    <cellStyle name="Style 1 17 2" xfId="2753"/>
    <cellStyle name="Style 1 17 3" xfId="2780"/>
    <cellStyle name="Style 1 17 4" xfId="2234"/>
    <cellStyle name="Style 1 17 5" xfId="2570"/>
    <cellStyle name="Style 1 17 6" xfId="2354"/>
    <cellStyle name="Style 1 17 7" xfId="2416"/>
    <cellStyle name="Style 1 17 8" xfId="3184"/>
    <cellStyle name="Style 1 18" xfId="1384"/>
    <cellStyle name="Style 1 18 2" xfId="2767"/>
    <cellStyle name="Style 1 18 3" xfId="2817"/>
    <cellStyle name="Style 1 18 4" xfId="2628"/>
    <cellStyle name="Style 1 18 5" xfId="2897"/>
    <cellStyle name="Style 1 18 6" xfId="2981"/>
    <cellStyle name="Style 1 18 7" xfId="3051"/>
    <cellStyle name="Style 1 18 8" xfId="2366"/>
    <cellStyle name="Style 1 19" xfId="1688"/>
    <cellStyle name="Style 1 19 2" xfId="2912"/>
    <cellStyle name="Style 1 19 3" xfId="2994"/>
    <cellStyle name="Style 1 19 4" xfId="3062"/>
    <cellStyle name="Style 1 19 5" xfId="3120"/>
    <cellStyle name="Style 1 19 6" xfId="3171"/>
    <cellStyle name="Style 1 19 7" xfId="3207"/>
    <cellStyle name="Style 1 19 8" xfId="3228"/>
    <cellStyle name="Style 1 2" xfId="69"/>
    <cellStyle name="Style 1 2 10" xfId="1205"/>
    <cellStyle name="Style 1 2 11" xfId="1237"/>
    <cellStyle name="Style 1 2 12" xfId="1270"/>
    <cellStyle name="Style 1 2 13" xfId="1303"/>
    <cellStyle name="Style 1 2 14" xfId="1335"/>
    <cellStyle name="Style 1 2 15" xfId="1364"/>
    <cellStyle name="Style 1 2 16" xfId="1385"/>
    <cellStyle name="Style 1 2 17" xfId="1447"/>
    <cellStyle name="Style 1 2 18" xfId="1529"/>
    <cellStyle name="Style 1 2 19" xfId="1582"/>
    <cellStyle name="Style 1 2 2" xfId="91"/>
    <cellStyle name="Style 1 2 2 10" xfId="2256"/>
    <cellStyle name="Style 1 2 2 11" xfId="2714"/>
    <cellStyle name="Style 1 2 2 12" xfId="2275"/>
    <cellStyle name="Style 1 2 2 13" xfId="2791"/>
    <cellStyle name="Style 1 2 2 14" xfId="2333"/>
    <cellStyle name="Style 1 2 2 2" xfId="1465"/>
    <cellStyle name="Style 1 2 2 3" xfId="1515"/>
    <cellStyle name="Style 1 2 2 4" xfId="1480"/>
    <cellStyle name="Style 1 2 2 5" xfId="1502"/>
    <cellStyle name="Style 1 2 2 6" xfId="1761"/>
    <cellStyle name="Style 1 2 2 7" xfId="1784"/>
    <cellStyle name="Style 1 2 2 8" xfId="2169"/>
    <cellStyle name="Style 1 2 2 9" xfId="2738"/>
    <cellStyle name="Style 1 2 20" xfId="1634"/>
    <cellStyle name="Style 1 2 21" xfId="1748"/>
    <cellStyle name="Style 1 2 22" xfId="1797"/>
    <cellStyle name="Style 1 2 23" xfId="2148"/>
    <cellStyle name="Style 1 2 24" xfId="2739"/>
    <cellStyle name="Style 1 2 25" xfId="2255"/>
    <cellStyle name="Style 1 2 26" xfId="2735"/>
    <cellStyle name="Style 1 2 27" xfId="2259"/>
    <cellStyle name="Style 1 2 28" xfId="2923"/>
    <cellStyle name="Style 1 2 29" xfId="2308"/>
    <cellStyle name="Style 1 2 3" xfId="971"/>
    <cellStyle name="Style 1 2 4" xfId="1006"/>
    <cellStyle name="Style 1 2 5" xfId="1039"/>
    <cellStyle name="Style 1 2 6" xfId="1070"/>
    <cellStyle name="Style 1 2 7" xfId="1099"/>
    <cellStyle name="Style 1 2 8" xfId="1120"/>
    <cellStyle name="Style 1 2 9" xfId="1169"/>
    <cellStyle name="Style 1 3" xfId="70"/>
    <cellStyle name="Style 1 3 10" xfId="1206"/>
    <cellStyle name="Style 1 3 11" xfId="1238"/>
    <cellStyle name="Style 1 3 12" xfId="1271"/>
    <cellStyle name="Style 1 3 13" xfId="1304"/>
    <cellStyle name="Style 1 3 14" xfId="1336"/>
    <cellStyle name="Style 1 3 15" xfId="1365"/>
    <cellStyle name="Style 1 3 16" xfId="1386"/>
    <cellStyle name="Style 1 3 17" xfId="1448"/>
    <cellStyle name="Style 1 3 18" xfId="1528"/>
    <cellStyle name="Style 1 3 19" xfId="1581"/>
    <cellStyle name="Style 1 3 2" xfId="92"/>
    <cellStyle name="Style 1 3 2 10" xfId="2272"/>
    <cellStyle name="Style 1 3 2 11" xfId="2831"/>
    <cellStyle name="Style 1 3 2 12" xfId="2651"/>
    <cellStyle name="Style 1 3 2 13" xfId="2848"/>
    <cellStyle name="Style 1 3 2 14" xfId="2900"/>
    <cellStyle name="Style 1 3 2 2" xfId="1466"/>
    <cellStyle name="Style 1 3 2 3" xfId="1514"/>
    <cellStyle name="Style 1 3 2 4" xfId="1481"/>
    <cellStyle name="Style 1 3 2 5" xfId="1501"/>
    <cellStyle name="Style 1 3 2 6" xfId="1762"/>
    <cellStyle name="Style 1 3 2 7" xfId="1783"/>
    <cellStyle name="Style 1 3 2 8" xfId="2170"/>
    <cellStyle name="Style 1 3 2 9" xfId="2718"/>
    <cellStyle name="Style 1 3 20" xfId="1633"/>
    <cellStyle name="Style 1 3 21" xfId="1749"/>
    <cellStyle name="Style 1 3 22" xfId="1796"/>
    <cellStyle name="Style 1 3 23" xfId="2149"/>
    <cellStyle name="Style 1 3 24" xfId="2719"/>
    <cellStyle name="Style 1 3 25" xfId="2271"/>
    <cellStyle name="Style 1 3 26" xfId="2776"/>
    <cellStyle name="Style 1 3 27" xfId="2826"/>
    <cellStyle name="Style 1 3 28" xfId="2905"/>
    <cellStyle name="Style 1 3 29" xfId="2774"/>
    <cellStyle name="Style 1 3 3" xfId="972"/>
    <cellStyle name="Style 1 3 4" xfId="1007"/>
    <cellStyle name="Style 1 3 5" xfId="1040"/>
    <cellStyle name="Style 1 3 6" xfId="1071"/>
    <cellStyle name="Style 1 3 7" xfId="1100"/>
    <cellStyle name="Style 1 3 8" xfId="1121"/>
    <cellStyle name="Style 1 3 9" xfId="1170"/>
    <cellStyle name="Style 1 4" xfId="71"/>
    <cellStyle name="Style 1 4 10" xfId="1207"/>
    <cellStyle name="Style 1 4 11" xfId="1239"/>
    <cellStyle name="Style 1 4 12" xfId="1272"/>
    <cellStyle name="Style 1 4 13" xfId="1305"/>
    <cellStyle name="Style 1 4 14" xfId="1337"/>
    <cellStyle name="Style 1 4 15" xfId="1366"/>
    <cellStyle name="Style 1 4 16" xfId="1387"/>
    <cellStyle name="Style 1 4 17" xfId="1449"/>
    <cellStyle name="Style 1 4 18" xfId="1527"/>
    <cellStyle name="Style 1 4 19" xfId="1580"/>
    <cellStyle name="Style 1 4 2" xfId="93"/>
    <cellStyle name="Style 1 4 2 10" xfId="2283"/>
    <cellStyle name="Style 1 4 2 11" xfId="2471"/>
    <cellStyle name="Style 1 4 2 12" xfId="2377"/>
    <cellStyle name="Style 1 4 2 13" xfId="2672"/>
    <cellStyle name="Style 1 4 2 14" xfId="3080"/>
    <cellStyle name="Style 1 4 2 2" xfId="1467"/>
    <cellStyle name="Style 1 4 2 3" xfId="1513"/>
    <cellStyle name="Style 1 4 2 4" xfId="1482"/>
    <cellStyle name="Style 1 4 2 5" xfId="1500"/>
    <cellStyle name="Style 1 4 2 6" xfId="1763"/>
    <cellStyle name="Style 1 4 2 7" xfId="1782"/>
    <cellStyle name="Style 1 4 2 8" xfId="2171"/>
    <cellStyle name="Style 1 4 2 9" xfId="2697"/>
    <cellStyle name="Style 1 4 20" xfId="1632"/>
    <cellStyle name="Style 1 4 21" xfId="1750"/>
    <cellStyle name="Style 1 4 22" xfId="1795"/>
    <cellStyle name="Style 1 4 23" xfId="2150"/>
    <cellStyle name="Style 1 4 24" xfId="2698"/>
    <cellStyle name="Style 1 4 25" xfId="2282"/>
    <cellStyle name="Style 1 4 26" xfId="2472"/>
    <cellStyle name="Style 1 4 27" xfId="2376"/>
    <cellStyle name="Style 1 4 28" xfId="2691"/>
    <cellStyle name="Style 1 4 29" xfId="3077"/>
    <cellStyle name="Style 1 4 3" xfId="973"/>
    <cellStyle name="Style 1 4 4" xfId="1008"/>
    <cellStyle name="Style 1 4 5" xfId="1041"/>
    <cellStyle name="Style 1 4 6" xfId="1072"/>
    <cellStyle name="Style 1 4 7" xfId="1101"/>
    <cellStyle name="Style 1 4 8" xfId="1122"/>
    <cellStyle name="Style 1 4 9" xfId="1171"/>
    <cellStyle name="Style 1 5" xfId="970"/>
    <cellStyle name="Style 1 5 2" xfId="2538"/>
    <cellStyle name="Style 1 5 3" xfId="2643"/>
    <cellStyle name="Style 1 5 4" xfId="2314"/>
    <cellStyle name="Style 1 5 5" xfId="2790"/>
    <cellStyle name="Style 1 5 6" xfId="2809"/>
    <cellStyle name="Style 1 5 7" xfId="2856"/>
    <cellStyle name="Style 1 5 8" xfId="3216"/>
    <cellStyle name="Style 1 6" xfId="1005"/>
    <cellStyle name="Style 1 6 2" xfId="2557"/>
    <cellStyle name="Style 1 6 3" xfId="2920"/>
    <cellStyle name="Style 1 6 4" xfId="3002"/>
    <cellStyle name="Style 1 6 5" xfId="3069"/>
    <cellStyle name="Style 1 6 6" xfId="3126"/>
    <cellStyle name="Style 1 6 7" xfId="3177"/>
    <cellStyle name="Style 1 6 8" xfId="3007"/>
    <cellStyle name="Style 1 7" xfId="1038"/>
    <cellStyle name="Style 1 7 2" xfId="2571"/>
    <cellStyle name="Style 1 7 3" xfId="2353"/>
    <cellStyle name="Style 1 7 4" xfId="2417"/>
    <cellStyle name="Style 1 7 5" xfId="2747"/>
    <cellStyle name="Style 1 7 6" xfId="2250"/>
    <cellStyle name="Style 1 7 7" xfId="2556"/>
    <cellStyle name="Style 1 7 8" xfId="3066"/>
    <cellStyle name="Style 1 8" xfId="1069"/>
    <cellStyle name="Style 1 8 2" xfId="2589"/>
    <cellStyle name="Style 1 8 3" xfId="2342"/>
    <cellStyle name="Style 1 8 4" xfId="2425"/>
    <cellStyle name="Style 1 8 5" xfId="2398"/>
    <cellStyle name="Style 1 8 6" xfId="2763"/>
    <cellStyle name="Style 1 8 7" xfId="2241"/>
    <cellStyle name="Style 1 8 8" xfId="2964"/>
    <cellStyle name="Style 1 9" xfId="1098"/>
    <cellStyle name="Style 1 9 2" xfId="2604"/>
    <cellStyle name="Style 1 9 3" xfId="2915"/>
    <cellStyle name="Style 1 9 4" xfId="2997"/>
    <cellStyle name="Style 1 9 5" xfId="3065"/>
    <cellStyle name="Style 1 9 6" xfId="3123"/>
    <cellStyle name="Style 1 9 7" xfId="3174"/>
    <cellStyle name="Style 1 9 8" xfId="2513"/>
    <cellStyle name="STYLE1" xfId="72"/>
    <cellStyle name="STYLE1 10" xfId="1102"/>
    <cellStyle name="STYLE1 11" xfId="1123"/>
    <cellStyle name="STYLE1 12" xfId="1172"/>
    <cellStyle name="STYLE1 13" xfId="1208"/>
    <cellStyle name="STYLE1 14" xfId="1240"/>
    <cellStyle name="STYLE1 15" xfId="1273"/>
    <cellStyle name="STYLE1 16" xfId="1306"/>
    <cellStyle name="STYLE1 17" xfId="1338"/>
    <cellStyle name="STYLE1 18" xfId="1367"/>
    <cellStyle name="STYLE1 19" xfId="1388"/>
    <cellStyle name="STYLE1 2" xfId="73"/>
    <cellStyle name="STYLE1 20" xfId="1450"/>
    <cellStyle name="STYLE1 21" xfId="1526"/>
    <cellStyle name="STYLE1 22" xfId="1579"/>
    <cellStyle name="STYLE1 23" xfId="1631"/>
    <cellStyle name="STYLE1 24" xfId="1751"/>
    <cellStyle name="STYLE1 25" xfId="1794"/>
    <cellStyle name="STYLE1 26" xfId="2151"/>
    <cellStyle name="STYLE1 27" xfId="2677"/>
    <cellStyle name="STYLE1 28" xfId="2525"/>
    <cellStyle name="STYLE1 29" xfId="2359"/>
    <cellStyle name="STYLE1 3" xfId="74"/>
    <cellStyle name="STYLE1 30" xfId="2413"/>
    <cellStyle name="STYLE1 31" xfId="2600"/>
    <cellStyle name="STYLE1 32" xfId="2389"/>
    <cellStyle name="STYLE1 4" xfId="75"/>
    <cellStyle name="STYLE1 5" xfId="94"/>
    <cellStyle name="STYLE1 6" xfId="974"/>
    <cellStyle name="STYLE1 7" xfId="1009"/>
    <cellStyle name="STYLE1 8" xfId="1042"/>
    <cellStyle name="STYLE1 9" xfId="1073"/>
    <cellStyle name="STYLE2" xfId="76"/>
    <cellStyle name="STYLE3" xfId="77"/>
    <cellStyle name="STYLE3 10" xfId="1103"/>
    <cellStyle name="STYLE3 11" xfId="1124"/>
    <cellStyle name="STYLE3 12" xfId="1177"/>
    <cellStyle name="STYLE3 13" xfId="1213"/>
    <cellStyle name="STYLE3 14" xfId="1245"/>
    <cellStyle name="STYLE3 15" xfId="1278"/>
    <cellStyle name="STYLE3 16" xfId="1311"/>
    <cellStyle name="STYLE3 17" xfId="1343"/>
    <cellStyle name="STYLE3 18" xfId="1368"/>
    <cellStyle name="STYLE3 19" xfId="1389"/>
    <cellStyle name="STYLE3 2" xfId="78"/>
    <cellStyle name="STYLE3 20" xfId="1455"/>
    <cellStyle name="STYLE3 21" xfId="1525"/>
    <cellStyle name="STYLE3 22" xfId="1578"/>
    <cellStyle name="STYLE3 23" xfId="1630"/>
    <cellStyle name="STYLE3 24" xfId="1752"/>
    <cellStyle name="STYLE3 25" xfId="1793"/>
    <cellStyle name="STYLE3 26" xfId="2156"/>
    <cellStyle name="STYLE3 27" xfId="2591"/>
    <cellStyle name="STYLE3 28" xfId="2340"/>
    <cellStyle name="STYLE3 29" xfId="2427"/>
    <cellStyle name="STYLE3 3" xfId="79"/>
    <cellStyle name="STYLE3 30" xfId="2396"/>
    <cellStyle name="STYLE3 31" xfId="2787"/>
    <cellStyle name="STYLE3 32" xfId="3195"/>
    <cellStyle name="STYLE3 4" xfId="80"/>
    <cellStyle name="STYLE3 5" xfId="95"/>
    <cellStyle name="STYLE3 6" xfId="979"/>
    <cellStyle name="STYLE3 7" xfId="1014"/>
    <cellStyle name="STYLE3 8" xfId="1047"/>
    <cellStyle name="STYLE3 9" xfId="1078"/>
    <cellStyle name="STYLE4" xfId="81"/>
    <cellStyle name="Table_Title" xfId="82"/>
  </cellStyles>
  <dxfs count="6">
    <dxf>
      <font>
        <b/>
        <i val="0"/>
        <condense val="0"/>
        <extend val="0"/>
        <color indexed="10"/>
      </font>
      <fill>
        <patternFill>
          <bgColor indexed="34"/>
        </patternFill>
      </fill>
    </dxf>
    <dxf>
      <font>
        <b/>
        <i val="0"/>
        <condense val="0"/>
        <extend val="0"/>
        <color indexed="10"/>
      </font>
      <fill>
        <patternFill>
          <bgColor indexed="34"/>
        </patternFill>
      </fill>
    </dxf>
    <dxf>
      <font>
        <condense val="0"/>
        <extend val="0"/>
        <color indexed="10"/>
      </font>
      <fill>
        <patternFill>
          <bgColor indexed="43"/>
        </patternFill>
      </fill>
    </dxf>
    <dxf>
      <font>
        <condense val="0"/>
        <extend val="0"/>
        <color indexed="10"/>
      </font>
      <fill>
        <patternFill>
          <bgColor indexed="13"/>
        </patternFill>
      </fill>
    </dxf>
    <dxf>
      <font>
        <condense val="0"/>
        <extend val="0"/>
        <color indexed="10"/>
      </font>
      <fill>
        <patternFill>
          <bgColor indexed="43"/>
        </patternFill>
      </fill>
    </dxf>
    <dxf>
      <font>
        <condense val="0"/>
        <extend val="0"/>
        <color indexed="10"/>
      </font>
      <fill>
        <patternFill>
          <bgColor indexed="4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QuantTools/MtgAnalyzer/MtgAnalyze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QuantTools\MtgAnalyzer\MtgAnalyzer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bcushman\My%20Documents\2007%20Q4\Consol\Disclosures\JPM%20FinSupp%20file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bcushman/LOCALS~1/Temp/notesE1EF34/FinDat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bcushman\LOCALS~1\Temp\notesE1EF34\FinData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bcushman/LOCALS~1/Temp/c.lotus.notes.data/Ceres/Rocking%20Chair%20Model%20v149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bcushman\LOCALS~1\Temp\c.lotus.notes.data\Ceres\Rocking%20Chair%20Model%20v14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gData"/>
      <sheetName val="MtgUniverse"/>
      <sheetName val="TearSheet"/>
      <sheetName val="Report"/>
      <sheetName val="HELP"/>
      <sheetName val="Bloomberg"/>
      <sheetName val="YieldBook"/>
      <sheetName val="Display"/>
      <sheetName val="Settings"/>
      <sheetName val="Format"/>
    </sheetNames>
    <sheetDataSet>
      <sheetData sheetId="0" refreshError="1">
        <row r="6">
          <cell r="C6" t="str">
            <v>User</v>
          </cell>
          <cell r="F6" t="str">
            <v>Collateral(51)</v>
          </cell>
        </row>
        <row r="7">
          <cell r="C7" t="str">
            <v>LIVE</v>
          </cell>
          <cell r="F7" t="str">
            <v>CPN(10)</v>
          </cell>
        </row>
        <row r="8">
          <cell r="C8" t="str">
            <v>DEF</v>
          </cell>
          <cell r="F8" t="str">
            <v>PPType(140)</v>
          </cell>
        </row>
        <row r="9">
          <cell r="C9" t="str">
            <v>LIVE</v>
          </cell>
          <cell r="F9" t="str">
            <v>PPPct(141)</v>
          </cell>
        </row>
        <row r="10">
          <cell r="C10" t="str">
            <v>DEF</v>
          </cell>
          <cell r="F10" t="str">
            <v>PPDes(142)</v>
          </cell>
        </row>
        <row r="11">
          <cell r="C11" t="str">
            <v>LIVE</v>
          </cell>
          <cell r="F11" t="str">
            <v>Price(103)</v>
          </cell>
        </row>
        <row r="12">
          <cell r="F12" t="str">
            <v>Yield(104)</v>
          </cell>
        </row>
        <row r="13">
          <cell r="F13" t="str">
            <v>EffDur(117)</v>
          </cell>
        </row>
        <row r="14">
          <cell r="F14" t="str">
            <v>EffCnvx(118)</v>
          </cell>
        </row>
        <row r="15">
          <cell r="F15" t="str">
            <v>WAL(110)</v>
          </cell>
        </row>
        <row r="100">
          <cell r="B100" t="str">
            <v>CParty</v>
          </cell>
          <cell r="C100" t="str">
            <v>Portfolio</v>
          </cell>
          <cell r="D100" t="str">
            <v>CUSIP</v>
          </cell>
          <cell r="E100" t="str">
            <v>Name</v>
          </cell>
          <cell r="H100" t="str">
            <v>Price</v>
          </cell>
        </row>
      </sheetData>
      <sheetData sheetId="1" refreshError="1">
        <row r="1">
          <cell r="A1" t="str">
            <v>Cparty</v>
          </cell>
          <cell r="B1" t="str">
            <v>Portfolio</v>
          </cell>
          <cell r="C1" t="str">
            <v>Security ID</v>
          </cell>
          <cell r="D1" t="str">
            <v>Original Face</v>
          </cell>
          <cell r="E1" t="str">
            <v>Price Level</v>
          </cell>
          <cell r="F1" t="str">
            <v>Prepay Type</v>
          </cell>
          <cell r="G1" t="str">
            <v>Prepay Rate</v>
          </cell>
          <cell r="H1" t="str">
            <v>Payup (32)</v>
          </cell>
        </row>
      </sheetData>
      <sheetData sheetId="2" refreshError="1"/>
      <sheetData sheetId="3" refreshError="1">
        <row r="20">
          <cell r="A20" t="str">
            <v>CParty</v>
          </cell>
          <cell r="J20" t="str">
            <v>CPR1m</v>
          </cell>
          <cell r="L20" t="str">
            <v>CPR6m</v>
          </cell>
          <cell r="M20" t="str">
            <v>CPR1y</v>
          </cell>
          <cell r="N20" t="str">
            <v>Ln Pchse</v>
          </cell>
        </row>
        <row r="21">
          <cell r="J21" t="str">
            <v/>
          </cell>
          <cell r="L21" t="str">
            <v/>
          </cell>
          <cell r="M21" t="str">
            <v/>
          </cell>
          <cell r="N21" t="str">
            <v/>
          </cell>
        </row>
        <row r="22">
          <cell r="J22" t="str">
            <v/>
          </cell>
          <cell r="L22" t="str">
            <v/>
          </cell>
          <cell r="M22" t="str">
            <v/>
          </cell>
          <cell r="N22" t="str">
            <v/>
          </cell>
        </row>
        <row r="23">
          <cell r="J23" t="str">
            <v/>
          </cell>
          <cell r="L23" t="str">
            <v/>
          </cell>
          <cell r="M23" t="str">
            <v/>
          </cell>
          <cell r="N23" t="str">
            <v/>
          </cell>
        </row>
        <row r="24">
          <cell r="J24" t="str">
            <v/>
          </cell>
          <cell r="L24" t="str">
            <v/>
          </cell>
          <cell r="M24" t="str">
            <v/>
          </cell>
          <cell r="N24" t="str">
            <v/>
          </cell>
        </row>
        <row r="25">
          <cell r="J25" t="str">
            <v/>
          </cell>
          <cell r="L25" t="str">
            <v/>
          </cell>
          <cell r="M25" t="str">
            <v/>
          </cell>
          <cell r="N25" t="str">
            <v/>
          </cell>
        </row>
        <row r="26">
          <cell r="J26" t="str">
            <v/>
          </cell>
          <cell r="L26" t="str">
            <v/>
          </cell>
          <cell r="M26" t="str">
            <v/>
          </cell>
          <cell r="N26" t="str">
            <v/>
          </cell>
        </row>
        <row r="27">
          <cell r="J27" t="str">
            <v/>
          </cell>
          <cell r="L27" t="str">
            <v/>
          </cell>
          <cell r="M27" t="str">
            <v/>
          </cell>
          <cell r="N27" t="str">
            <v/>
          </cell>
        </row>
        <row r="28">
          <cell r="J28" t="str">
            <v/>
          </cell>
          <cell r="L28" t="str">
            <v/>
          </cell>
          <cell r="M28" t="str">
            <v/>
          </cell>
          <cell r="N28" t="str">
            <v/>
          </cell>
        </row>
        <row r="29">
          <cell r="J29" t="str">
            <v/>
          </cell>
          <cell r="L29" t="str">
            <v/>
          </cell>
          <cell r="M29" t="str">
            <v/>
          </cell>
          <cell r="N29" t="str">
            <v/>
          </cell>
        </row>
        <row r="30">
          <cell r="J30" t="str">
            <v/>
          </cell>
          <cell r="L30" t="str">
            <v/>
          </cell>
          <cell r="M30" t="str">
            <v/>
          </cell>
          <cell r="N30" t="str">
            <v/>
          </cell>
        </row>
        <row r="31">
          <cell r="J31" t="str">
            <v/>
          </cell>
          <cell r="L31" t="str">
            <v/>
          </cell>
          <cell r="M31" t="str">
            <v/>
          </cell>
          <cell r="N31" t="str">
            <v/>
          </cell>
        </row>
        <row r="32">
          <cell r="J32" t="str">
            <v/>
          </cell>
          <cell r="L32" t="str">
            <v/>
          </cell>
          <cell r="M32" t="str">
            <v/>
          </cell>
          <cell r="N32" t="str">
            <v/>
          </cell>
        </row>
        <row r="33">
          <cell r="J33" t="str">
            <v/>
          </cell>
          <cell r="L33" t="str">
            <v/>
          </cell>
          <cell r="M33" t="str">
            <v/>
          </cell>
          <cell r="N33" t="str">
            <v/>
          </cell>
        </row>
        <row r="34">
          <cell r="J34" t="str">
            <v/>
          </cell>
          <cell r="L34" t="str">
            <v/>
          </cell>
          <cell r="M34" t="str">
            <v/>
          </cell>
          <cell r="N34" t="str">
            <v/>
          </cell>
        </row>
        <row r="35">
          <cell r="J35" t="str">
            <v/>
          </cell>
          <cell r="L35" t="str">
            <v/>
          </cell>
          <cell r="M35" t="str">
            <v/>
          </cell>
          <cell r="N35" t="str">
            <v/>
          </cell>
        </row>
        <row r="36">
          <cell r="J36" t="str">
            <v/>
          </cell>
          <cell r="L36" t="str">
            <v/>
          </cell>
          <cell r="M36" t="str">
            <v/>
          </cell>
          <cell r="N36" t="str">
            <v/>
          </cell>
        </row>
        <row r="37">
          <cell r="J37" t="str">
            <v/>
          </cell>
          <cell r="L37" t="str">
            <v/>
          </cell>
          <cell r="M37" t="str">
            <v/>
          </cell>
          <cell r="N37" t="str">
            <v/>
          </cell>
        </row>
        <row r="38">
          <cell r="J38" t="str">
            <v/>
          </cell>
          <cell r="L38" t="str">
            <v/>
          </cell>
          <cell r="M38" t="str">
            <v/>
          </cell>
          <cell r="N38" t="str">
            <v/>
          </cell>
        </row>
        <row r="39">
          <cell r="J39" t="str">
            <v/>
          </cell>
          <cell r="L39" t="str">
            <v/>
          </cell>
          <cell r="M39" t="str">
            <v/>
          </cell>
          <cell r="N39" t="str">
            <v/>
          </cell>
        </row>
        <row r="40">
          <cell r="J40" t="str">
            <v/>
          </cell>
          <cell r="L40" t="str">
            <v/>
          </cell>
          <cell r="M40" t="str">
            <v/>
          </cell>
          <cell r="N40" t="str">
            <v/>
          </cell>
        </row>
        <row r="41">
          <cell r="J41" t="str">
            <v/>
          </cell>
          <cell r="L41" t="str">
            <v/>
          </cell>
          <cell r="M41" t="str">
            <v/>
          </cell>
          <cell r="N41" t="str">
            <v/>
          </cell>
        </row>
        <row r="42">
          <cell r="J42" t="str">
            <v/>
          </cell>
          <cell r="L42" t="str">
            <v/>
          </cell>
          <cell r="M42" t="str">
            <v/>
          </cell>
          <cell r="N42" t="str">
            <v/>
          </cell>
        </row>
        <row r="43">
          <cell r="J43" t="str">
            <v/>
          </cell>
          <cell r="L43" t="str">
            <v/>
          </cell>
          <cell r="M43" t="str">
            <v/>
          </cell>
          <cell r="N43" t="str">
            <v/>
          </cell>
        </row>
        <row r="44">
          <cell r="J44" t="str">
            <v/>
          </cell>
          <cell r="L44" t="str">
            <v/>
          </cell>
          <cell r="M44" t="str">
            <v/>
          </cell>
          <cell r="N44" t="str">
            <v/>
          </cell>
        </row>
        <row r="45">
          <cell r="J45" t="str">
            <v/>
          </cell>
          <cell r="L45" t="str">
            <v/>
          </cell>
          <cell r="M45" t="str">
            <v/>
          </cell>
          <cell r="N45" t="str">
            <v/>
          </cell>
        </row>
        <row r="46">
          <cell r="J46">
            <v>30.07</v>
          </cell>
          <cell r="L46">
            <v>16.84</v>
          </cell>
          <cell r="M46">
            <v>14.04</v>
          </cell>
          <cell r="N46">
            <v>45.77</v>
          </cell>
        </row>
        <row r="47">
          <cell r="J47">
            <v>0.34</v>
          </cell>
          <cell r="L47">
            <v>0.25</v>
          </cell>
          <cell r="M47">
            <v>11.54</v>
          </cell>
          <cell r="N47">
            <v>80.400000000000006</v>
          </cell>
        </row>
        <row r="48">
          <cell r="J48">
            <v>0.4</v>
          </cell>
          <cell r="L48">
            <v>4.34</v>
          </cell>
          <cell r="M48">
            <v>12.11</v>
          </cell>
          <cell r="N48">
            <v>49.4</v>
          </cell>
        </row>
        <row r="49">
          <cell r="J49">
            <v>0.6</v>
          </cell>
          <cell r="L49" t="str">
            <v/>
          </cell>
          <cell r="M49" t="str">
            <v/>
          </cell>
          <cell r="N49">
            <v>54.04</v>
          </cell>
        </row>
        <row r="50">
          <cell r="J50" t="str">
            <v/>
          </cell>
        </row>
        <row r="51">
          <cell r="J51" t="str">
            <v/>
          </cell>
        </row>
        <row r="52">
          <cell r="J52">
            <v>0.26300000000000001</v>
          </cell>
        </row>
        <row r="53">
          <cell r="J53">
            <v>0.108</v>
          </cell>
        </row>
        <row r="54">
          <cell r="J54">
            <v>9.7000000000000003E-2</v>
          </cell>
        </row>
      </sheetData>
      <sheetData sheetId="4" refreshError="1"/>
      <sheetData sheetId="5" refreshError="1">
        <row r="1">
          <cell r="A1" t="str">
            <v>Security ID</v>
          </cell>
          <cell r="C1" t="str">
            <v>Yld Cnv Ask</v>
          </cell>
          <cell r="D1" t="str">
            <v>Mtg Prepay Speed</v>
          </cell>
          <cell r="E1" t="str">
            <v>Mtg Prepay Typ</v>
          </cell>
          <cell r="F1" t="str">
            <v>Z Sprd Ask</v>
          </cell>
          <cell r="G1" t="str">
            <v>I Sprd Ask</v>
          </cell>
          <cell r="H1" t="str">
            <v>N Sprd Ask</v>
          </cell>
          <cell r="I1" t="str">
            <v>E Sprd Ask</v>
          </cell>
          <cell r="J1" t="str">
            <v>OAS Curve ID</v>
          </cell>
          <cell r="K1" t="str">
            <v>Yld Flag</v>
          </cell>
          <cell r="L1" t="str">
            <v>Settle Dt</v>
          </cell>
          <cell r="M1" t="str">
            <v>Mtg BEEM</v>
          </cell>
          <cell r="O1" t="str">
            <v>Yld Cnv Ask</v>
          </cell>
          <cell r="P1" t="str">
            <v>Mtg Prepay Speed</v>
          </cell>
          <cell r="Q1" t="str">
            <v>Mtg Prepay Typ</v>
          </cell>
          <cell r="R1" t="str">
            <v>Z Sprd Ask</v>
          </cell>
          <cell r="S1" t="str">
            <v>I Sprd Ask</v>
          </cell>
          <cell r="T1" t="str">
            <v>N Sprd Ask</v>
          </cell>
          <cell r="U1" t="str">
            <v>E Sprd Ask</v>
          </cell>
          <cell r="V1" t="str">
            <v>Dur Adj Ask</v>
          </cell>
          <cell r="W1" t="str">
            <v>Mtg WAL</v>
          </cell>
          <cell r="X1" t="str">
            <v>Mtg Princ Win</v>
          </cell>
          <cell r="Y1" t="str">
            <v>OAS Curve ID</v>
          </cell>
          <cell r="Z1" t="str">
            <v>Yld Flag</v>
          </cell>
          <cell r="AA1" t="str">
            <v>Settle Dt</v>
          </cell>
          <cell r="AB1" t="str">
            <v>Mtg BEEM</v>
          </cell>
          <cell r="AC1" t="str">
            <v>ID CUSIP</v>
          </cell>
          <cell r="AD1" t="str">
            <v>Name</v>
          </cell>
          <cell r="AG1" t="str">
            <v>Cpn Typ</v>
          </cell>
          <cell r="DK1" t="str">
            <v>Mtg BMed</v>
          </cell>
          <cell r="DL1" t="str">
            <v>Mtg BMed U100</v>
          </cell>
          <cell r="DM1" t="str">
            <v>Mtg BMed U200</v>
          </cell>
          <cell r="DN1" t="str">
            <v>Mtg BMed D100</v>
          </cell>
          <cell r="DO1" t="str">
            <v>Mtg BMed D200</v>
          </cell>
          <cell r="EG1" t="str">
            <v>Run Date</v>
          </cell>
          <cell r="EH1" t="str">
            <v>Run Time</v>
          </cell>
          <cell r="EJ1" t="str">
            <v>Px Ask Scen1</v>
          </cell>
          <cell r="EX1" t="str">
            <v>Mtg BEEM</v>
          </cell>
          <cell r="EZ1" t="str">
            <v>Px Ask Scen2</v>
          </cell>
          <cell r="FN1" t="str">
            <v>Mtg BEEM</v>
          </cell>
          <cell r="FP1" t="str">
            <v>Px Ask Scen3</v>
          </cell>
          <cell r="GD1" t="str">
            <v>Mtg BEEM</v>
          </cell>
          <cell r="GF1" t="str">
            <v>Px Ask Scen4</v>
          </cell>
          <cell r="GT1" t="str">
            <v>Mtg BEEM</v>
          </cell>
          <cell r="GV1" t="str">
            <v>Px Ask Scen5</v>
          </cell>
          <cell r="HJ1" t="str">
            <v>Mtg BEEM</v>
          </cell>
          <cell r="HL1" t="str">
            <v>Run Date</v>
          </cell>
          <cell r="HM1" t="str">
            <v>Run Time</v>
          </cell>
          <cell r="HO1" t="str">
            <v>TBA ID</v>
          </cell>
          <cell r="HP1" t="str">
            <v>Feed ID BB Security</v>
          </cell>
          <cell r="HR1" t="str">
            <v>TBA1st ID</v>
          </cell>
          <cell r="HS1" t="str">
            <v>Px Yest Ask</v>
          </cell>
          <cell r="HT1" t="str">
            <v>Px Ask</v>
          </cell>
        </row>
      </sheetData>
      <sheetData sheetId="6" refreshError="1">
        <row r="1">
          <cell r="A1" t="str">
            <v>Calc?</v>
          </cell>
          <cell r="B1" t="str">
            <v>Results?</v>
          </cell>
          <cell r="C1" t="str">
            <v>CUSIP</v>
          </cell>
          <cell r="D1" t="str">
            <v>Original Face</v>
          </cell>
          <cell r="E1" t="str">
            <v>Pricing Level</v>
          </cell>
          <cell r="F1" t="str">
            <v>Pricing Level</v>
          </cell>
          <cell r="G1" t="str">
            <v>PRICE</v>
          </cell>
          <cell r="H1" t="str">
            <v>YTM</v>
          </cell>
          <cell r="I1" t="str">
            <v>OAS</v>
          </cell>
          <cell r="J1" t="str">
            <v>CPR1MN</v>
          </cell>
          <cell r="K1" t="str">
            <v>CPR3MN</v>
          </cell>
          <cell r="L1" t="str">
            <v>CPR6MN</v>
          </cell>
          <cell r="M1" t="str">
            <v>CPR1YR</v>
          </cell>
          <cell r="N1" t="str">
            <v>LTCPR</v>
          </cell>
          <cell r="O1" t="str">
            <v>WAL</v>
          </cell>
          <cell r="P1" t="str">
            <v>TSYCVSPD</v>
          </cell>
          <cell r="Q1" t="str">
            <v>SWAPCVSPD</v>
          </cell>
          <cell r="R1" t="str">
            <v>ZSPREAD</v>
          </cell>
          <cell r="S1" t="str">
            <v>ECURVESPRD</v>
          </cell>
          <cell r="T1" t="str">
            <v>GSPRD</v>
          </cell>
          <cell r="U1" t="str">
            <v>MODDUR</v>
          </cell>
          <cell r="V1" t="str">
            <v>EFFDUR</v>
          </cell>
          <cell r="W1" t="str">
            <v>EFFDV01</v>
          </cell>
          <cell r="X1" t="str">
            <v>EFFCNVX</v>
          </cell>
          <cell r="Y1" t="str">
            <v>VEGA</v>
          </cell>
          <cell r="Z1" t="str">
            <v>VOLDUR</v>
          </cell>
          <cell r="AA1" t="str">
            <v>SPRDDUR</v>
          </cell>
          <cell r="AD1" t="str">
            <v>REFIDUR</v>
          </cell>
          <cell r="AE1" t="str">
            <v>ELBOWDUR</v>
          </cell>
          <cell r="AF1" t="str">
            <v>TRNOVRDUR</v>
          </cell>
          <cell r="AG1" t="str">
            <v>PDUR1</v>
          </cell>
          <cell r="AH1" t="str">
            <v>PDUR2</v>
          </cell>
          <cell r="AI1" t="str">
            <v>PDUR3</v>
          </cell>
          <cell r="AJ1" t="str">
            <v>PDUR5</v>
          </cell>
          <cell r="AK1" t="str">
            <v>PDUR10</v>
          </cell>
          <cell r="AL1" t="str">
            <v>PDUR20</v>
          </cell>
          <cell r="AM1" t="str">
            <v>PDUR30</v>
          </cell>
          <cell r="AN1" t="str">
            <v>DV01P1</v>
          </cell>
          <cell r="AO1" t="str">
            <v>DV01P2</v>
          </cell>
          <cell r="AP1" t="str">
            <v>DV01P3</v>
          </cell>
          <cell r="AQ1" t="str">
            <v>DV01P5</v>
          </cell>
          <cell r="AR1" t="str">
            <v>DV01P10</v>
          </cell>
          <cell r="AS1" t="str">
            <v>DV01P20</v>
          </cell>
          <cell r="AT1" t="str">
            <v>DV01P30</v>
          </cell>
          <cell r="AU1" t="str">
            <v>CUSIP9</v>
          </cell>
          <cell r="AV1" t="str">
            <v>FACTORDT</v>
          </cell>
          <cell r="AW1" t="str">
            <v>FACTOR</v>
          </cell>
          <cell r="AX1" t="str">
            <v>PREPAYTYPE</v>
          </cell>
          <cell r="AY1" t="str">
            <v>PCTPRPY</v>
          </cell>
          <cell r="AZ1" t="str">
            <v>PPMDLDESC</v>
          </cell>
          <cell r="BA1" t="str">
            <v>ARMPPMODEL</v>
          </cell>
          <cell r="BB1" t="str">
            <v>MONSTOROLL</v>
          </cell>
          <cell r="BC1" t="str">
            <v>BCNOMRET.1</v>
          </cell>
          <cell r="BD1" t="str">
            <v>BCNOMRET.2</v>
          </cell>
          <cell r="BE1" t="str">
            <v>BCNOMRET.3</v>
          </cell>
          <cell r="BF1" t="str">
            <v>BCNOMRET.4</v>
          </cell>
          <cell r="BG1" t="str">
            <v>BCNOMRET.5</v>
          </cell>
          <cell r="BH1" t="str">
            <v>BCNOMRET.6</v>
          </cell>
          <cell r="BI1" t="str">
            <v>BCNOMRET.7</v>
          </cell>
          <cell r="BJ1" t="str">
            <v>RUNTIMEFLAG</v>
          </cell>
          <cell r="BK1" t="str">
            <v>RELCRV</v>
          </cell>
          <cell r="BL1" t="str">
            <v>CURVEDATE</v>
          </cell>
          <cell r="BM1" t="str">
            <v>STLDATE</v>
          </cell>
          <cell r="BN1" t="str">
            <v>DESCRIPT</v>
          </cell>
          <cell r="BO1" t="str">
            <v>DATE</v>
          </cell>
          <cell r="BP1" t="str">
            <v>TIME</v>
          </cell>
          <cell r="BR1" t="str">
            <v>TBA1st ID</v>
          </cell>
          <cell r="BS1" t="str">
            <v>Px Yest Ask</v>
          </cell>
          <cell r="BT1" t="str">
            <v>Px Ask</v>
          </cell>
          <cell r="BU1" t="str">
            <v>OAS</v>
          </cell>
          <cell r="BV1" t="str">
            <v>PRICE</v>
          </cell>
          <cell r="BW1" t="str">
            <v>BCNOMRET.1</v>
          </cell>
          <cell r="BX1" t="str">
            <v>BCNOMRET.2</v>
          </cell>
          <cell r="BY1" t="str">
            <v>BCNOMRET.3</v>
          </cell>
          <cell r="BZ1" t="str">
            <v>BCNOMRET.4</v>
          </cell>
          <cell r="CA1" t="str">
            <v>BCNOMRET.5</v>
          </cell>
          <cell r="CB1" t="str">
            <v>BCNOMRET.6</v>
          </cell>
          <cell r="CC1" t="str">
            <v>BCNOMRET.7</v>
          </cell>
          <cell r="CD1" t="str">
            <v>RUNTIMEFLAG</v>
          </cell>
          <cell r="CE1" t="str">
            <v>RELCRV</v>
          </cell>
          <cell r="CF1" t="str">
            <v>CURVEDATE</v>
          </cell>
          <cell r="CG1" t="str">
            <v>STLDATE</v>
          </cell>
          <cell r="CH1" t="str">
            <v>CUSIP9</v>
          </cell>
          <cell r="CI1" t="str">
            <v>DATE</v>
          </cell>
          <cell r="CJ1" t="str">
            <v>TIME</v>
          </cell>
          <cell r="CL1" t="str">
            <v>CUSIP</v>
          </cell>
          <cell r="CM1" t="str">
            <v>PRICE</v>
          </cell>
          <cell r="CN1" t="str">
            <v>OAS</v>
          </cell>
          <cell r="CO1" t="str">
            <v>RUNTIMEFLAG</v>
          </cell>
          <cell r="CP1" t="str">
            <v>RELCRV</v>
          </cell>
          <cell r="CQ1" t="str">
            <v>CURVEDATE</v>
          </cell>
          <cell r="CR1" t="str">
            <v>STLDATE</v>
          </cell>
          <cell r="CS1" t="str">
            <v>CUSIP9</v>
          </cell>
          <cell r="CT1" t="str">
            <v>DATE</v>
          </cell>
          <cell r="CU1" t="str">
            <v>TIME</v>
          </cell>
          <cell r="CW1" t="str">
            <v>YBCalc?</v>
          </cell>
        </row>
      </sheetData>
      <sheetData sheetId="7" refreshError="1">
        <row r="1">
          <cell r="A1" t="str">
            <v>CParty</v>
          </cell>
          <cell r="B1" t="str">
            <v>Portfolio</v>
          </cell>
          <cell r="C1" t="str">
            <v>CUSIP</v>
          </cell>
          <cell r="D1" t="str">
            <v>Name</v>
          </cell>
          <cell r="E1" t="str">
            <v>Original Face</v>
          </cell>
          <cell r="F1" t="str">
            <v>Current Face</v>
          </cell>
          <cell r="G1" t="str">
            <v>Price</v>
          </cell>
          <cell r="H1" t="str">
            <v>Yield</v>
          </cell>
          <cell r="I1" t="str">
            <v>CPN</v>
          </cell>
          <cell r="J1" t="str">
            <v>WAC</v>
          </cell>
          <cell r="K1" t="str">
            <v>WALA</v>
          </cell>
          <cell r="L1" t="str">
            <v>WAM</v>
          </cell>
          <cell r="M1" t="str">
            <v>Maturity</v>
          </cell>
          <cell r="N1" t="str">
            <v>WAL</v>
          </cell>
          <cell r="O1" t="str">
            <v>ModDur</v>
          </cell>
          <cell r="P1" t="str">
            <v>ZSprd</v>
          </cell>
          <cell r="Q1" t="str">
            <v>ISprd</v>
          </cell>
          <cell r="R1" t="str">
            <v>NSprd</v>
          </cell>
          <cell r="T1" t="str">
            <v>Curve</v>
          </cell>
          <cell r="U1" t="str">
            <v>SettleDate</v>
          </cell>
          <cell r="V1" t="str">
            <v>RunDate</v>
          </cell>
          <cell r="W1" t="str">
            <v>RunTime</v>
          </cell>
          <cell r="X1" t="str">
            <v>CPR1m</v>
          </cell>
          <cell r="Y1" t="str">
            <v>CPR3m</v>
          </cell>
          <cell r="Z1" t="str">
            <v>CPR6m</v>
          </cell>
          <cell r="AA1" t="str">
            <v>CPR1y</v>
          </cell>
          <cell r="AB1" t="str">
            <v>GCPR1m</v>
          </cell>
          <cell r="AC1" t="str">
            <v>GCPR3m</v>
          </cell>
          <cell r="AD1" t="str">
            <v>GCPR6m</v>
          </cell>
          <cell r="AE1" t="str">
            <v>GCPR1y</v>
          </cell>
          <cell r="AF1" t="str">
            <v>Cpn Typ</v>
          </cell>
          <cell r="AG1" t="str">
            <v>MTR</v>
          </cell>
          <cell r="AI1" t="str">
            <v>Subtyp</v>
          </cell>
          <cell r="AJ1" t="str">
            <v>Nxt Rst</v>
          </cell>
          <cell r="AK1" t="str">
            <v>Rst Idx</v>
          </cell>
          <cell r="AL1" t="str">
            <v>Idx Val</v>
          </cell>
          <cell r="AM1" t="str">
            <v>WASprd</v>
          </cell>
          <cell r="AN1" t="str">
            <v>Per Cap</v>
          </cell>
          <cell r="AO1" t="str">
            <v>Orig Life Cap</v>
          </cell>
          <cell r="AP1" t="str">
            <v>Life Cap</v>
          </cell>
          <cell r="AQ1" t="str">
            <v>Loan Mrgn</v>
          </cell>
          <cell r="AR1" t="str">
            <v>WAOC</v>
          </cell>
          <cell r="AS1" t="str">
            <v>WAOLS</v>
          </cell>
          <cell r="AT1" t="str">
            <v>Loan#</v>
          </cell>
          <cell r="AU1" t="str">
            <v>WAOCS</v>
          </cell>
          <cell r="AV1" t="str">
            <v>WAOLTV</v>
          </cell>
          <cell r="AW1" t="str">
            <v>Subgrp</v>
          </cell>
          <cell r="AX1" t="str">
            <v>Collateral</v>
          </cell>
          <cell r="AY1" t="str">
            <v>Orig Amt</v>
          </cell>
          <cell r="AZ1" t="str">
            <v>Curr Amt</v>
          </cell>
          <cell r="BA1" t="str">
            <v>Ln Pchse</v>
          </cell>
          <cell r="BB1" t="str">
            <v>Ln Refi</v>
          </cell>
          <cell r="BC1" t="str">
            <v>Ln Eq</v>
          </cell>
          <cell r="BD1" t="str">
            <v>Geo1</v>
          </cell>
          <cell r="BE1" t="str">
            <v>Geo2</v>
          </cell>
          <cell r="BF1" t="str">
            <v>Geo3</v>
          </cell>
          <cell r="BG1" t="str">
            <v>WAC Min</v>
          </cell>
          <cell r="BH1" t="str">
            <v>WAC 25</v>
          </cell>
          <cell r="BI1" t="str">
            <v>WAC Med</v>
          </cell>
          <cell r="BJ1" t="str">
            <v>WAC 75</v>
          </cell>
          <cell r="BK1" t="str">
            <v>WAC Max</v>
          </cell>
          <cell r="BL1" t="str">
            <v>AOLS Min</v>
          </cell>
          <cell r="BN1" t="str">
            <v>AOLS Med</v>
          </cell>
          <cell r="BO1" t="str">
            <v>AOLS 75</v>
          </cell>
          <cell r="BP1" t="str">
            <v>AOLS Max</v>
          </cell>
          <cell r="BQ1" t="str">
            <v>OCS Min</v>
          </cell>
          <cell r="BR1" t="str">
            <v>OCS 25</v>
          </cell>
          <cell r="BS1" t="str">
            <v>OCS Med</v>
          </cell>
          <cell r="BT1" t="str">
            <v>OCS 75</v>
          </cell>
          <cell r="BU1" t="str">
            <v>OCS Max</v>
          </cell>
          <cell r="BV1" t="str">
            <v>LTV Min</v>
          </cell>
          <cell r="BW1" t="str">
            <v>LTV 25</v>
          </cell>
          <cell r="BX1" t="str">
            <v>LTV Med</v>
          </cell>
          <cell r="BY1" t="str">
            <v>LTV 75</v>
          </cell>
          <cell r="BZ1" t="str">
            <v>LTV Max</v>
          </cell>
          <cell r="CA1" t="str">
            <v>Occ Owner</v>
          </cell>
          <cell r="CB1" t="str">
            <v>Occ Vaca</v>
          </cell>
          <cell r="CC1" t="str">
            <v>Occ Inv</v>
          </cell>
          <cell r="CD1" t="str">
            <v>S&amp;P</v>
          </cell>
          <cell r="CE1" t="str">
            <v>Moody</v>
          </cell>
          <cell r="CF1" t="str">
            <v>Fitch</v>
          </cell>
          <cell r="CG1" t="str">
            <v>Rtg Chg</v>
          </cell>
          <cell r="CH1" t="str">
            <v>30Dlq</v>
          </cell>
          <cell r="CI1" t="str">
            <v>60Dlq</v>
          </cell>
          <cell r="CJ1" t="str">
            <v>90Dlq</v>
          </cell>
          <cell r="CK1" t="str">
            <v>REO</v>
          </cell>
          <cell r="CL1" t="str">
            <v>Fcls</v>
          </cell>
          <cell r="CM1" t="str">
            <v>Cred Sup</v>
          </cell>
          <cell r="CN1" t="str">
            <v>CS Cvrage</v>
          </cell>
          <cell r="CO1" t="str">
            <v>60+</v>
          </cell>
          <cell r="CP1" t="str">
            <v>90+</v>
          </cell>
          <cell r="CQ1" t="str">
            <v>Rem IO Term ARM</v>
          </cell>
          <cell r="CR1" t="str">
            <v>IO Collat %</v>
          </cell>
          <cell r="CS1" t="str">
            <v>BMed U200</v>
          </cell>
          <cell r="CT1" t="str">
            <v>BMed U100</v>
          </cell>
          <cell r="CU1" t="str">
            <v>BMed</v>
          </cell>
          <cell r="CV1" t="str">
            <v>BMed D100</v>
          </cell>
          <cell r="CW1" t="str">
            <v>BMed D200</v>
          </cell>
          <cell r="CX1" t="str">
            <v>Price</v>
          </cell>
          <cell r="CY1" t="str">
            <v>Yield</v>
          </cell>
          <cell r="CZ1" t="str">
            <v>OAS</v>
          </cell>
          <cell r="DA1" t="str">
            <v>ZSprd</v>
          </cell>
          <cell r="DB1" t="str">
            <v>ISprd</v>
          </cell>
          <cell r="DC1" t="str">
            <v>NSprd</v>
          </cell>
          <cell r="DD1" t="str">
            <v>ESprd</v>
          </cell>
          <cell r="DE1" t="str">
            <v>WAL</v>
          </cell>
          <cell r="DF1" t="str">
            <v>CPR1m</v>
          </cell>
          <cell r="DG1" t="str">
            <v>CPR3m</v>
          </cell>
          <cell r="DH1" t="str">
            <v>CPR6m</v>
          </cell>
          <cell r="DI1" t="str">
            <v>CPR1y</v>
          </cell>
          <cell r="DJ1" t="str">
            <v>LTCPR</v>
          </cell>
          <cell r="DK1" t="str">
            <v>ModDur</v>
          </cell>
          <cell r="DL1" t="str">
            <v>EffDur</v>
          </cell>
          <cell r="DM1" t="str">
            <v>EffCnvx</v>
          </cell>
          <cell r="DN1" t="str">
            <v>EffDV01</v>
          </cell>
          <cell r="DO1" t="str">
            <v>PDV01 1y</v>
          </cell>
          <cell r="DP1" t="str">
            <v>PDV01 2y</v>
          </cell>
          <cell r="DQ1" t="str">
            <v>PDV01 3y</v>
          </cell>
          <cell r="DR1" t="str">
            <v>PDV01 5y</v>
          </cell>
          <cell r="DS1" t="str">
            <v>PDV01 10y</v>
          </cell>
          <cell r="DT1" t="str">
            <v>PDV01 20y</v>
          </cell>
          <cell r="DU1" t="str">
            <v>PDV01 30y</v>
          </cell>
          <cell r="DV1" t="str">
            <v>Vega</v>
          </cell>
          <cell r="DW1" t="str">
            <v>VolDur</v>
          </cell>
          <cell r="DX1" t="str">
            <v>OASDur</v>
          </cell>
          <cell r="DY1" t="str">
            <v>PPDur</v>
          </cell>
          <cell r="DZ1" t="str">
            <v>CCSprdDur</v>
          </cell>
          <cell r="EA1" t="str">
            <v>RefiDur</v>
          </cell>
          <cell r="EB1" t="str">
            <v>ElbowDur</v>
          </cell>
          <cell r="EC1" t="str">
            <v>TrnOvrDur</v>
          </cell>
          <cell r="ED1" t="str">
            <v>ROR(D200)</v>
          </cell>
          <cell r="EE1" t="str">
            <v>ROR(D100)</v>
          </cell>
          <cell r="EF1" t="str">
            <v>ROR(0)</v>
          </cell>
          <cell r="EG1" t="str">
            <v>ROR(U100)</v>
          </cell>
          <cell r="EH1" t="str">
            <v>ROR(U200)</v>
          </cell>
          <cell r="EI1" t="str">
            <v>Curve</v>
          </cell>
          <cell r="EJ1" t="str">
            <v>CurveDate</v>
          </cell>
          <cell r="EK1" t="str">
            <v>SettleDate</v>
          </cell>
          <cell r="EL1" t="str">
            <v>RunDate</v>
          </cell>
          <cell r="EM1" t="str">
            <v>RunTime</v>
          </cell>
          <cell r="EQ1" t="str">
            <v>ROR(D200)</v>
          </cell>
          <cell r="ER1" t="str">
            <v>ROR(D100)</v>
          </cell>
          <cell r="ES1" t="str">
            <v>ROR(0)</v>
          </cell>
          <cell r="ET1" t="str">
            <v>ROR(U100)</v>
          </cell>
          <cell r="EU1" t="str">
            <v>ROR(U200)</v>
          </cell>
          <cell r="FH1" t="str">
            <v>Theo Payup</v>
          </cell>
          <cell r="FI1" t="str">
            <v>Act Payup</v>
          </cell>
          <cell r="FJ1" t="str">
            <v>Act/Theo</v>
          </cell>
        </row>
      </sheetData>
      <sheetData sheetId="8" refreshError="1">
        <row r="3">
          <cell r="H3">
            <v>39869</v>
          </cell>
        </row>
        <row r="4">
          <cell r="C4" t="b">
            <v>0</v>
          </cell>
          <cell r="E4" t="b">
            <v>0</v>
          </cell>
        </row>
        <row r="5">
          <cell r="C5" t="b">
            <v>0</v>
          </cell>
          <cell r="E5" t="b">
            <v>0</v>
          </cell>
          <cell r="H5" t="b">
            <v>1</v>
          </cell>
        </row>
        <row r="6">
          <cell r="C6" t="b">
            <v>0</v>
          </cell>
          <cell r="E6" t="b">
            <v>0</v>
          </cell>
          <cell r="H6" t="b">
            <v>1</v>
          </cell>
        </row>
        <row r="7">
          <cell r="C7" t="b">
            <v>0</v>
          </cell>
          <cell r="E7" t="b">
            <v>0</v>
          </cell>
          <cell r="H7" t="b">
            <v>1</v>
          </cell>
        </row>
        <row r="8">
          <cell r="C8" t="b">
            <v>0</v>
          </cell>
          <cell r="H8" t="b">
            <v>1</v>
          </cell>
        </row>
        <row r="9">
          <cell r="C9" t="b">
            <v>0</v>
          </cell>
          <cell r="H9" t="b">
            <v>1</v>
          </cell>
        </row>
        <row r="10">
          <cell r="H10" t="b">
            <v>1</v>
          </cell>
        </row>
        <row r="11">
          <cell r="H11" t="b">
            <v>1</v>
          </cell>
        </row>
        <row r="13">
          <cell r="C13" t="str">
            <v>Pull YB Results</v>
          </cell>
          <cell r="H13" t="str">
            <v>SWISSRE13</v>
          </cell>
        </row>
        <row r="14">
          <cell r="B14" t="str">
            <v>Pull YB Results</v>
          </cell>
          <cell r="H14" t="str">
            <v>SWISSRE9</v>
          </cell>
        </row>
        <row r="15">
          <cell r="B15" t="str">
            <v>Push YB Results</v>
          </cell>
          <cell r="H15" t="b">
            <v>1</v>
          </cell>
        </row>
        <row r="16">
          <cell r="B16" t="str">
            <v>Export MtgUniverse</v>
          </cell>
        </row>
        <row r="17">
          <cell r="B17" t="str">
            <v>Import MtgUniverse</v>
          </cell>
          <cell r="H17" t="b">
            <v>1</v>
          </cell>
        </row>
        <row r="18">
          <cell r="B18" t="str">
            <v>Generate Tear Sheet</v>
          </cell>
          <cell r="H18" t="b">
            <v>1</v>
          </cell>
        </row>
        <row r="19">
          <cell r="B19" t="str">
            <v>Archive Tear Sheet</v>
          </cell>
          <cell r="H19" t="str">
            <v>SWAP</v>
          </cell>
        </row>
        <row r="20">
          <cell r="B20" t="str">
            <v>Generate Report</v>
          </cell>
          <cell r="H20" t="str">
            <v>DEFAULT</v>
          </cell>
        </row>
        <row r="23">
          <cell r="C23" t="str">
            <v>Personal</v>
          </cell>
        </row>
        <row r="24">
          <cell r="B24" t="str">
            <v>Personal</v>
          </cell>
        </row>
        <row r="25">
          <cell r="B25" t="str">
            <v>Shared</v>
          </cell>
        </row>
        <row r="27">
          <cell r="C27" t="str">
            <v>Basic Info/Collateral Info/Relative Value/ROR &amp; Opt Dur//</v>
          </cell>
        </row>
        <row r="28">
          <cell r="C28" t="str">
            <v>Basic Info</v>
          </cell>
        </row>
        <row r="29">
          <cell r="C29" t="str">
            <v>Collateral Info</v>
          </cell>
        </row>
        <row r="30">
          <cell r="C30" t="str">
            <v>Relative Value</v>
          </cell>
        </row>
        <row r="31">
          <cell r="C31" t="str">
            <v>ROR &amp; Opt Dur</v>
          </cell>
        </row>
        <row r="35">
          <cell r="C35">
            <v>31</v>
          </cell>
        </row>
        <row r="36">
          <cell r="C36">
            <v>32</v>
          </cell>
        </row>
        <row r="39">
          <cell r="C39" t="str">
            <v>xlAscending</v>
          </cell>
        </row>
        <row r="40">
          <cell r="C40">
            <v>41</v>
          </cell>
        </row>
        <row r="45">
          <cell r="C45">
            <v>46</v>
          </cell>
        </row>
        <row r="46">
          <cell r="C46">
            <v>51</v>
          </cell>
          <cell r="D46" t="str">
            <v>Collateral</v>
          </cell>
        </row>
        <row r="47">
          <cell r="C47">
            <v>10</v>
          </cell>
          <cell r="D47" t="str">
            <v>CPN</v>
          </cell>
        </row>
        <row r="48">
          <cell r="C48">
            <v>140</v>
          </cell>
          <cell r="D48" t="str">
            <v>PPType</v>
          </cell>
        </row>
        <row r="49">
          <cell r="C49">
            <v>141</v>
          </cell>
          <cell r="D49" t="str">
            <v>PPPct</v>
          </cell>
        </row>
        <row r="50">
          <cell r="C50">
            <v>142</v>
          </cell>
          <cell r="D50" t="str">
            <v>PPDes</v>
          </cell>
        </row>
        <row r="51">
          <cell r="C51">
            <v>103</v>
          </cell>
          <cell r="D51" t="str">
            <v>Price</v>
          </cell>
        </row>
        <row r="52">
          <cell r="C52">
            <v>104</v>
          </cell>
          <cell r="D52" t="str">
            <v>Yield</v>
          </cell>
        </row>
        <row r="53">
          <cell r="C53">
            <v>117</v>
          </cell>
          <cell r="D53" t="str">
            <v>EffDur</v>
          </cell>
        </row>
        <row r="54">
          <cell r="C54">
            <v>118</v>
          </cell>
          <cell r="D54" t="str">
            <v>EffCnvx</v>
          </cell>
        </row>
        <row r="55">
          <cell r="C55">
            <v>110</v>
          </cell>
          <cell r="D55" t="str">
            <v>WAL</v>
          </cell>
        </row>
      </sheetData>
      <sheetData sheetId="9" refreshError="1">
        <row r="2">
          <cell r="B2" t="str">
            <v>FN 773356</v>
          </cell>
          <cell r="F2" t="str">
            <v>31404NE51</v>
          </cell>
          <cell r="G2">
            <v>4.9020000000000001</v>
          </cell>
          <cell r="I2">
            <v>49491</v>
          </cell>
          <cell r="L2" t="str">
            <v>Home Equity Other</v>
          </cell>
          <cell r="P2" t="str">
            <v>User</v>
          </cell>
          <cell r="Q2">
            <v>1000000</v>
          </cell>
        </row>
        <row r="3">
          <cell r="M3" t="str">
            <v>Yield Book</v>
          </cell>
          <cell r="N3" t="str">
            <v>Bloomberg</v>
          </cell>
        </row>
        <row r="4">
          <cell r="B4" t="str">
            <v>SECURITY INFO</v>
          </cell>
          <cell r="C4" t="str">
            <v>AA-/A2/-</v>
          </cell>
          <cell r="E4" t="str">
            <v>Yes(-)</v>
          </cell>
          <cell r="L4" t="str">
            <v>PREPAY EST</v>
          </cell>
          <cell r="M4" t="str">
            <v>Model</v>
          </cell>
          <cell r="N4" t="str">
            <v>10 CPB</v>
          </cell>
          <cell r="O4" t="str">
            <v>15 CPB</v>
          </cell>
          <cell r="P4" t="str">
            <v>20 CPB</v>
          </cell>
          <cell r="Q4" t="str">
            <v>25 CPB</v>
          </cell>
          <cell r="R4" t="str">
            <v>30 CPB</v>
          </cell>
        </row>
        <row r="5">
          <cell r="B5" t="str">
            <v>Orig Amount (MM):</v>
          </cell>
          <cell r="C5">
            <v>13.925834999999999</v>
          </cell>
          <cell r="F5" t="str">
            <v>Orig Life Cap:</v>
          </cell>
          <cell r="G5">
            <v>9.9169999999999998</v>
          </cell>
          <cell r="I5" t="str">
            <v>30 DLQ:</v>
          </cell>
          <cell r="L5" t="str">
            <v>Price:</v>
          </cell>
          <cell r="M5">
            <v>102.13200000000001</v>
          </cell>
          <cell r="N5">
            <v>102.1315391</v>
          </cell>
          <cell r="O5">
            <v>102.1315391</v>
          </cell>
          <cell r="P5">
            <v>102.1315391</v>
          </cell>
          <cell r="Q5">
            <v>102.1315391</v>
          </cell>
          <cell r="R5">
            <v>102.1315391</v>
          </cell>
          <cell r="S5">
            <v>0.5</v>
          </cell>
          <cell r="T5" t="str">
            <v>CMT</v>
          </cell>
        </row>
        <row r="6">
          <cell r="B6" t="str">
            <v>Current Face (MM):</v>
          </cell>
          <cell r="C6">
            <v>7.6252846600000002</v>
          </cell>
          <cell r="F6" t="str">
            <v>Current Life Cap:</v>
          </cell>
          <cell r="G6">
            <v>9.9030000000000005</v>
          </cell>
          <cell r="I6" t="str">
            <v>60 DLQ:</v>
          </cell>
          <cell r="L6" t="str">
            <v>Yield:</v>
          </cell>
          <cell r="M6">
            <v>4.032</v>
          </cell>
          <cell r="N6">
            <v>4.03</v>
          </cell>
          <cell r="O6">
            <v>3.9460000000000002</v>
          </cell>
          <cell r="P6">
            <v>3.8530000000000002</v>
          </cell>
          <cell r="Q6">
            <v>3.7480000000000002</v>
          </cell>
          <cell r="R6">
            <v>3.6320000000000001</v>
          </cell>
        </row>
        <row r="7">
          <cell r="B7" t="str">
            <v>Collateral:</v>
          </cell>
          <cell r="C7" t="str">
            <v>FNARM</v>
          </cell>
          <cell r="F7" t="str">
            <v>Periodic Cap:</v>
          </cell>
          <cell r="G7">
            <v>2</v>
          </cell>
          <cell r="I7" t="str">
            <v>90 DLQ:</v>
          </cell>
          <cell r="L7" t="str">
            <v>OAS:</v>
          </cell>
          <cell r="M7">
            <v>59</v>
          </cell>
        </row>
        <row r="8">
          <cell r="B8" t="str">
            <v>Current Factor:</v>
          </cell>
          <cell r="C8">
            <v>0.54756390981223035</v>
          </cell>
          <cell r="F8" t="str">
            <v>Loan Margin:</v>
          </cell>
          <cell r="G8">
            <v>2.86</v>
          </cell>
          <cell r="I8" t="str">
            <v>Fcls:</v>
          </cell>
          <cell r="L8" t="str">
            <v>Average Life:</v>
          </cell>
          <cell r="M8">
            <v>2.9</v>
          </cell>
          <cell r="N8">
            <v>2.6419999999999999</v>
          </cell>
          <cell r="O8">
            <v>2.4239999999999999</v>
          </cell>
          <cell r="P8">
            <v>2.2200000000000002</v>
          </cell>
          <cell r="Q8">
            <v>2.0299999999999998</v>
          </cell>
          <cell r="R8">
            <v>1.853</v>
          </cell>
        </row>
        <row r="9">
          <cell r="B9" t="str">
            <v>Current Coupon:</v>
          </cell>
          <cell r="C9">
            <v>4.9020000000000001</v>
          </cell>
          <cell r="F9" t="str">
            <v>Subtype (FN only):</v>
          </cell>
          <cell r="G9" t="str">
            <v>243W</v>
          </cell>
          <cell r="I9" t="str">
            <v>REO:</v>
          </cell>
          <cell r="L9" t="str">
            <v>Mod Duration:</v>
          </cell>
          <cell r="M9">
            <v>2.65</v>
          </cell>
          <cell r="N9">
            <v>2.6419999999999999</v>
          </cell>
          <cell r="O9">
            <v>2.4239999999999999</v>
          </cell>
          <cell r="P9">
            <v>2.2200000000000002</v>
          </cell>
          <cell r="Q9">
            <v>2.0299999999999998</v>
          </cell>
          <cell r="R9">
            <v>1.853</v>
          </cell>
          <cell r="S9">
            <v>39447</v>
          </cell>
          <cell r="T9">
            <v>39447</v>
          </cell>
        </row>
        <row r="10">
          <cell r="B10" t="str">
            <v>Current WALA:</v>
          </cell>
          <cell r="C10">
            <v>41</v>
          </cell>
          <cell r="F10" t="str">
            <v>Next Reset Date:</v>
          </cell>
          <cell r="G10">
            <v>41030</v>
          </cell>
          <cell r="I10" t="str">
            <v>60+:</v>
          </cell>
          <cell r="L10" t="str">
            <v>Eff Duration:</v>
          </cell>
          <cell r="M10">
            <v>2.33</v>
          </cell>
          <cell r="N10" t="str">
            <v>11/08-05/12</v>
          </cell>
          <cell r="O10" t="str">
            <v>11/08-05/12</v>
          </cell>
          <cell r="P10" t="str">
            <v>11/08-05/12</v>
          </cell>
          <cell r="Q10" t="str">
            <v>11/08-05/12</v>
          </cell>
          <cell r="R10" t="str">
            <v>11/08-05/12</v>
          </cell>
        </row>
        <row r="11">
          <cell r="B11" t="str">
            <v>Current WARM:</v>
          </cell>
          <cell r="C11">
            <v>319</v>
          </cell>
          <cell r="F11" t="str">
            <v>WAvg Months to Roll:</v>
          </cell>
          <cell r="G11" t="str">
            <v>43mnths</v>
          </cell>
          <cell r="I11" t="str">
            <v>90+:</v>
          </cell>
          <cell r="L11" t="str">
            <v>Eff Convexity:</v>
          </cell>
          <cell r="M11">
            <v>-0.371</v>
          </cell>
        </row>
        <row r="12">
          <cell r="B12" t="str">
            <v># Loans:</v>
          </cell>
          <cell r="C12">
            <v>42</v>
          </cell>
          <cell r="F12" t="str">
            <v>Reset Index:</v>
          </cell>
          <cell r="G12" t="str">
            <v>H15T1Y</v>
          </cell>
          <cell r="L12" t="str">
            <v>Z Sprd:</v>
          </cell>
          <cell r="M12">
            <v>77</v>
          </cell>
          <cell r="N12">
            <v>90.2</v>
          </cell>
          <cell r="O12">
            <v>93.5</v>
          </cell>
          <cell r="P12">
            <v>95.2</v>
          </cell>
          <cell r="Q12">
            <v>94.6</v>
          </cell>
          <cell r="R12">
            <v>91.9</v>
          </cell>
        </row>
        <row r="13">
          <cell r="B13" t="str">
            <v>WAOLTV:</v>
          </cell>
          <cell r="C13">
            <v>82</v>
          </cell>
          <cell r="F13" t="str">
            <v>Current Index Value:</v>
          </cell>
          <cell r="G13">
            <v>1.41597</v>
          </cell>
          <cell r="I13" t="str">
            <v>Cred Supp:</v>
          </cell>
          <cell r="L13" t="str">
            <v>Sprd to Tsy (I):</v>
          </cell>
          <cell r="M13" t="str">
            <v/>
          </cell>
          <cell r="N13">
            <v>76.3</v>
          </cell>
          <cell r="O13">
            <v>72.599999999999994</v>
          </cell>
          <cell r="P13">
            <v>68.2</v>
          </cell>
          <cell r="Q13">
            <v>62.7</v>
          </cell>
          <cell r="R13">
            <v>56.2</v>
          </cell>
          <cell r="S13" t="str">
            <v>BB Curve:</v>
          </cell>
          <cell r="T13" t="str">
            <v>BB Settle:</v>
          </cell>
        </row>
        <row r="14">
          <cell r="B14" t="str">
            <v>Orig WAC:</v>
          </cell>
          <cell r="C14">
            <v>5.64</v>
          </cell>
          <cell r="F14" t="str">
            <v>WAvg Spread:</v>
          </cell>
          <cell r="G14">
            <v>2.137</v>
          </cell>
          <cell r="I14" t="str">
            <v>Supp Cvg:</v>
          </cell>
          <cell r="L14" t="str">
            <v>Sprd to Swaps (N):</v>
          </cell>
          <cell r="M14">
            <v>92</v>
          </cell>
          <cell r="N14">
            <v>261.39999999999998</v>
          </cell>
          <cell r="O14">
            <v>253</v>
          </cell>
          <cell r="P14">
            <v>243.7</v>
          </cell>
          <cell r="Q14">
            <v>233.2</v>
          </cell>
          <cell r="R14">
            <v>221.6</v>
          </cell>
        </row>
        <row r="15">
          <cell r="L15" t="str">
            <v>E Sprd:</v>
          </cell>
          <cell r="M15">
            <v>75.38</v>
          </cell>
          <cell r="N15">
            <v>261.39999999999998</v>
          </cell>
          <cell r="O15">
            <v>253</v>
          </cell>
          <cell r="P15">
            <v>243.7</v>
          </cell>
          <cell r="Q15">
            <v>233.2</v>
          </cell>
          <cell r="R15">
            <v>221.6</v>
          </cell>
        </row>
        <row r="16">
          <cell r="B16" t="str">
            <v>Loan Purpose (%)</v>
          </cell>
          <cell r="E16" t="str">
            <v>Hist Speeds</v>
          </cell>
          <cell r="F16" t="str">
            <v>Pool</v>
          </cell>
          <cell r="G16" t="str">
            <v>Generic</v>
          </cell>
          <cell r="I16" t="str">
            <v>Geo (Top 3)</v>
          </cell>
        </row>
        <row r="17">
          <cell r="B17" t="str">
            <v>Purchase:</v>
          </cell>
          <cell r="C17">
            <v>80.39</v>
          </cell>
          <cell r="E17" t="str">
            <v>1 Mth CPR:</v>
          </cell>
          <cell r="F17">
            <v>0.27</v>
          </cell>
          <cell r="G17" t="str">
            <v/>
          </cell>
          <cell r="I17" t="str">
            <v>NY 23%</v>
          </cell>
          <cell r="L17" t="str">
            <v>Effective DV01:</v>
          </cell>
          <cell r="P17" t="str">
            <v>Theo Payup</v>
          </cell>
          <cell r="Q17" t="str">
            <v>Act Payup</v>
          </cell>
          <cell r="R17" t="str">
            <v>Act/Theo</v>
          </cell>
        </row>
        <row r="18">
          <cell r="B18" t="str">
            <v>No Cash Refi:</v>
          </cell>
          <cell r="C18">
            <v>19.61</v>
          </cell>
          <cell r="E18" t="str">
            <v>3 Mth CPR:</v>
          </cell>
          <cell r="F18">
            <v>0.23</v>
          </cell>
          <cell r="G18" t="str">
            <v/>
          </cell>
          <cell r="I18" t="str">
            <v>MD 18%</v>
          </cell>
          <cell r="L18" t="str">
            <v>Vega:</v>
          </cell>
          <cell r="P18">
            <v>1.2669999999999959</v>
          </cell>
          <cell r="Q18">
            <v>1.9999999999996021E-2</v>
          </cell>
          <cell r="R18">
            <v>1.5785319652719877E-2</v>
          </cell>
        </row>
        <row r="19">
          <cell r="B19" t="str">
            <v>Owner Occ:</v>
          </cell>
          <cell r="C19">
            <v>94.89</v>
          </cell>
          <cell r="E19" t="str">
            <v>6 Mth CPR:</v>
          </cell>
          <cell r="F19">
            <v>21.55</v>
          </cell>
          <cell r="G19" t="str">
            <v/>
          </cell>
          <cell r="I19" t="str">
            <v>IL 16%</v>
          </cell>
          <cell r="L19" t="str">
            <v>PrepayDuration:</v>
          </cell>
          <cell r="S19">
            <v>0.5</v>
          </cell>
          <cell r="T19" t="str">
            <v>SwapCrv</v>
          </cell>
        </row>
        <row r="20">
          <cell r="B20" t="str">
            <v>Vacation:</v>
          </cell>
          <cell r="C20">
            <v>2.87</v>
          </cell>
          <cell r="E20" t="str">
            <v>12 Mth CPR:</v>
          </cell>
          <cell r="F20">
            <v>15.78</v>
          </cell>
          <cell r="G20" t="str">
            <v/>
          </cell>
          <cell r="L20" t="str">
            <v>VolatilityDuration:</v>
          </cell>
          <cell r="P20" t="str">
            <v>Shift</v>
          </cell>
          <cell r="Q20" t="str">
            <v>ROR</v>
          </cell>
          <cell r="R20" t="str">
            <v>vs. Generic</v>
          </cell>
        </row>
        <row r="21">
          <cell r="B21" t="str">
            <v>Investor:</v>
          </cell>
          <cell r="C21">
            <v>2.2400000000000002</v>
          </cell>
          <cell r="L21" t="str">
            <v>RefiElbowDuration:</v>
          </cell>
          <cell r="P21" t="str">
            <v>-200bp</v>
          </cell>
        </row>
        <row r="22">
          <cell r="B22" t="str">
            <v>Non-Reported:</v>
          </cell>
          <cell r="L22" t="str">
            <v>RefiPrepayDuration:</v>
          </cell>
          <cell r="P22" t="str">
            <v>-100bp</v>
          </cell>
        </row>
        <row r="23">
          <cell r="L23" t="str">
            <v>TurnoverPrepayDuration:</v>
          </cell>
          <cell r="P23">
            <v>0</v>
          </cell>
          <cell r="S23">
            <v>39447</v>
          </cell>
          <cell r="T23">
            <v>39447</v>
          </cell>
        </row>
        <row r="24">
          <cell r="C24" t="str">
            <v>Avg Loan Size</v>
          </cell>
          <cell r="E24" t="str">
            <v>Fico</v>
          </cell>
          <cell r="F24" t="str">
            <v>Rate</v>
          </cell>
          <cell r="G24" t="str">
            <v>LTV</v>
          </cell>
          <cell r="I24" t="str">
            <v>Other:</v>
          </cell>
          <cell r="L24" t="str">
            <v>CC SpreadSensitivity:</v>
          </cell>
          <cell r="P24" t="str">
            <v>+100bp</v>
          </cell>
        </row>
        <row r="25">
          <cell r="B25" t="str">
            <v>Curr:</v>
          </cell>
          <cell r="C25">
            <v>191638</v>
          </cell>
          <cell r="E25">
            <v>693</v>
          </cell>
          <cell r="F25">
            <v>6.35</v>
          </cell>
          <cell r="G25">
            <v>58</v>
          </cell>
          <cell r="I25" t="str">
            <v>IO Pct:</v>
          </cell>
          <cell r="J25">
            <v>11.77</v>
          </cell>
          <cell r="L25" t="str">
            <v>Proj Speeds</v>
          </cell>
          <cell r="P25" t="str">
            <v>+200bp</v>
          </cell>
        </row>
        <row r="26">
          <cell r="B26" t="str">
            <v>Min:</v>
          </cell>
          <cell r="C26">
            <v>63000</v>
          </cell>
          <cell r="E26">
            <v>601</v>
          </cell>
          <cell r="F26">
            <v>6.25</v>
          </cell>
          <cell r="G26">
            <v>13</v>
          </cell>
          <cell r="I26" t="str">
            <v>Rem Term:</v>
          </cell>
          <cell r="J26">
            <v>46</v>
          </cell>
          <cell r="L26" t="str">
            <v>1 Mth CPR</v>
          </cell>
          <cell r="M26">
            <v>10.02</v>
          </cell>
        </row>
        <row r="27">
          <cell r="B27" t="str">
            <v>0.25:</v>
          </cell>
          <cell r="C27">
            <v>178985</v>
          </cell>
          <cell r="E27">
            <v>650</v>
          </cell>
          <cell r="F27">
            <v>6.375</v>
          </cell>
          <cell r="G27">
            <v>74</v>
          </cell>
          <cell r="L27" t="str">
            <v>3 Mth CPR:</v>
          </cell>
          <cell r="M27">
            <v>8.76</v>
          </cell>
          <cell r="S27" t="str">
            <v>YB Curve:</v>
          </cell>
          <cell r="T27" t="str">
            <v>YB Settle:</v>
          </cell>
        </row>
        <row r="28">
          <cell r="B28" t="str">
            <v>Med:</v>
          </cell>
          <cell r="C28">
            <v>226000</v>
          </cell>
          <cell r="E28">
            <v>689</v>
          </cell>
          <cell r="F28">
            <v>6.375</v>
          </cell>
          <cell r="G28">
            <v>84</v>
          </cell>
          <cell r="L28" t="str">
            <v>6 Mth CPR:</v>
          </cell>
          <cell r="M28">
            <v>8.98</v>
          </cell>
        </row>
        <row r="29">
          <cell r="B29" t="str">
            <v>0.75:</v>
          </cell>
          <cell r="C29">
            <v>265000</v>
          </cell>
          <cell r="E29">
            <v>731</v>
          </cell>
          <cell r="F29">
            <v>6.375</v>
          </cell>
          <cell r="G29">
            <v>90</v>
          </cell>
          <cell r="L29" t="str">
            <v>12 Mth CPR</v>
          </cell>
          <cell r="M29">
            <v>9.92</v>
          </cell>
        </row>
        <row r="30">
          <cell r="B30" t="str">
            <v>Max:</v>
          </cell>
          <cell r="C30">
            <v>359650</v>
          </cell>
          <cell r="E30">
            <v>810</v>
          </cell>
          <cell r="F30">
            <v>6.375</v>
          </cell>
          <cell r="G30">
            <v>100</v>
          </cell>
          <cell r="L30" t="str">
            <v>LT CPR:</v>
          </cell>
          <cell r="M30">
            <v>28.41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gData"/>
      <sheetName val="MtgUniverse"/>
      <sheetName val="TearSheet"/>
      <sheetName val="Report"/>
      <sheetName val="HELP"/>
      <sheetName val="Bloomberg"/>
      <sheetName val="YieldBook"/>
      <sheetName val="Display"/>
      <sheetName val="Settings"/>
      <sheetName val="Format"/>
    </sheetNames>
    <sheetDataSet>
      <sheetData sheetId="0" refreshError="1">
        <row r="6">
          <cell r="C6" t="str">
            <v>User</v>
          </cell>
          <cell r="F6" t="str">
            <v>Collateral(51)</v>
          </cell>
        </row>
        <row r="7">
          <cell r="C7" t="str">
            <v>LIVE</v>
          </cell>
          <cell r="F7" t="str">
            <v>CPN(10)</v>
          </cell>
        </row>
        <row r="8">
          <cell r="C8" t="str">
            <v>DEF</v>
          </cell>
          <cell r="F8" t="str">
            <v>PPType(140)</v>
          </cell>
        </row>
        <row r="9">
          <cell r="C9" t="str">
            <v>LIVE</v>
          </cell>
          <cell r="F9" t="str">
            <v>PPPct(141)</v>
          </cell>
        </row>
        <row r="10">
          <cell r="C10" t="str">
            <v>DEF</v>
          </cell>
          <cell r="F10" t="str">
            <v>PPDes(142)</v>
          </cell>
        </row>
        <row r="11">
          <cell r="C11" t="str">
            <v>LIVE</v>
          </cell>
          <cell r="F11" t="str">
            <v>Price(103)</v>
          </cell>
        </row>
        <row r="12">
          <cell r="F12" t="str">
            <v>Yield(104)</v>
          </cell>
        </row>
        <row r="13">
          <cell r="F13" t="str">
            <v>EffDur(117)</v>
          </cell>
        </row>
        <row r="14">
          <cell r="F14" t="str">
            <v>EffCnvx(118)</v>
          </cell>
        </row>
        <row r="15">
          <cell r="F15" t="str">
            <v>WAL(110)</v>
          </cell>
        </row>
        <row r="100">
          <cell r="B100" t="str">
            <v>CParty</v>
          </cell>
          <cell r="C100" t="str">
            <v>Portfolio</v>
          </cell>
          <cell r="D100" t="str">
            <v>CUSIP</v>
          </cell>
          <cell r="E100" t="str">
            <v>Name</v>
          </cell>
          <cell r="H100" t="str">
            <v>Price</v>
          </cell>
        </row>
      </sheetData>
      <sheetData sheetId="1" refreshError="1">
        <row r="1">
          <cell r="A1" t="str">
            <v>Cparty</v>
          </cell>
          <cell r="B1" t="str">
            <v>Portfolio</v>
          </cell>
          <cell r="C1" t="str">
            <v>Security ID</v>
          </cell>
          <cell r="D1" t="str">
            <v>Original Face</v>
          </cell>
          <cell r="E1" t="str">
            <v>Price Level</v>
          </cell>
          <cell r="F1" t="str">
            <v>Prepay Type</v>
          </cell>
          <cell r="G1" t="str">
            <v>Prepay Rate</v>
          </cell>
          <cell r="H1" t="str">
            <v>Payup (32)</v>
          </cell>
        </row>
      </sheetData>
      <sheetData sheetId="2" refreshError="1"/>
      <sheetData sheetId="3" refreshError="1">
        <row r="20">
          <cell r="A20" t="str">
            <v>CParty</v>
          </cell>
          <cell r="J20" t="str">
            <v>CPR1m</v>
          </cell>
          <cell r="L20" t="str">
            <v>CPR6m</v>
          </cell>
          <cell r="M20" t="str">
            <v>CPR1y</v>
          </cell>
          <cell r="N20" t="str">
            <v>Ln Pchse</v>
          </cell>
        </row>
        <row r="21">
          <cell r="J21" t="str">
            <v/>
          </cell>
          <cell r="L21" t="str">
            <v/>
          </cell>
          <cell r="M21" t="str">
            <v/>
          </cell>
          <cell r="N21" t="str">
            <v/>
          </cell>
        </row>
        <row r="22">
          <cell r="J22" t="str">
            <v/>
          </cell>
          <cell r="L22" t="str">
            <v/>
          </cell>
          <cell r="M22" t="str">
            <v/>
          </cell>
          <cell r="N22" t="str">
            <v/>
          </cell>
        </row>
        <row r="23">
          <cell r="J23" t="str">
            <v/>
          </cell>
          <cell r="L23" t="str">
            <v/>
          </cell>
          <cell r="M23" t="str">
            <v/>
          </cell>
          <cell r="N23" t="str">
            <v/>
          </cell>
        </row>
        <row r="24">
          <cell r="J24" t="str">
            <v/>
          </cell>
          <cell r="L24" t="str">
            <v/>
          </cell>
          <cell r="M24" t="str">
            <v/>
          </cell>
          <cell r="N24" t="str">
            <v/>
          </cell>
        </row>
        <row r="25">
          <cell r="J25" t="str">
            <v/>
          </cell>
          <cell r="L25" t="str">
            <v/>
          </cell>
          <cell r="M25" t="str">
            <v/>
          </cell>
          <cell r="N25" t="str">
            <v/>
          </cell>
        </row>
        <row r="26">
          <cell r="J26" t="str">
            <v/>
          </cell>
          <cell r="L26" t="str">
            <v/>
          </cell>
          <cell r="M26" t="str">
            <v/>
          </cell>
          <cell r="N26" t="str">
            <v/>
          </cell>
        </row>
        <row r="27">
          <cell r="J27" t="str">
            <v/>
          </cell>
          <cell r="L27" t="str">
            <v/>
          </cell>
          <cell r="M27" t="str">
            <v/>
          </cell>
          <cell r="N27" t="str">
            <v/>
          </cell>
        </row>
        <row r="28">
          <cell r="J28" t="str">
            <v/>
          </cell>
          <cell r="L28" t="str">
            <v/>
          </cell>
          <cell r="M28" t="str">
            <v/>
          </cell>
          <cell r="N28" t="str">
            <v/>
          </cell>
        </row>
        <row r="29">
          <cell r="J29" t="str">
            <v/>
          </cell>
          <cell r="L29" t="str">
            <v/>
          </cell>
          <cell r="M29" t="str">
            <v/>
          </cell>
          <cell r="N29" t="str">
            <v/>
          </cell>
        </row>
        <row r="30">
          <cell r="J30" t="str">
            <v/>
          </cell>
          <cell r="L30" t="str">
            <v/>
          </cell>
          <cell r="M30" t="str">
            <v/>
          </cell>
          <cell r="N30" t="str">
            <v/>
          </cell>
        </row>
        <row r="31">
          <cell r="J31" t="str">
            <v/>
          </cell>
          <cell r="L31" t="str">
            <v/>
          </cell>
          <cell r="M31" t="str">
            <v/>
          </cell>
          <cell r="N31" t="str">
            <v/>
          </cell>
        </row>
        <row r="32">
          <cell r="J32" t="str">
            <v/>
          </cell>
          <cell r="L32" t="str">
            <v/>
          </cell>
          <cell r="M32" t="str">
            <v/>
          </cell>
          <cell r="N32" t="str">
            <v/>
          </cell>
        </row>
        <row r="33">
          <cell r="J33" t="str">
            <v/>
          </cell>
          <cell r="L33" t="str">
            <v/>
          </cell>
          <cell r="M33" t="str">
            <v/>
          </cell>
          <cell r="N33" t="str">
            <v/>
          </cell>
        </row>
        <row r="34">
          <cell r="J34" t="str">
            <v/>
          </cell>
          <cell r="L34" t="str">
            <v/>
          </cell>
          <cell r="M34" t="str">
            <v/>
          </cell>
          <cell r="N34" t="str">
            <v/>
          </cell>
        </row>
        <row r="35">
          <cell r="J35" t="str">
            <v/>
          </cell>
          <cell r="L35" t="str">
            <v/>
          </cell>
          <cell r="M35" t="str">
            <v/>
          </cell>
          <cell r="N35" t="str">
            <v/>
          </cell>
        </row>
        <row r="36">
          <cell r="J36" t="str">
            <v/>
          </cell>
          <cell r="L36" t="str">
            <v/>
          </cell>
          <cell r="M36" t="str">
            <v/>
          </cell>
          <cell r="N36" t="str">
            <v/>
          </cell>
        </row>
        <row r="37">
          <cell r="J37" t="str">
            <v/>
          </cell>
          <cell r="L37" t="str">
            <v/>
          </cell>
          <cell r="M37" t="str">
            <v/>
          </cell>
          <cell r="N37" t="str">
            <v/>
          </cell>
        </row>
        <row r="38">
          <cell r="J38" t="str">
            <v/>
          </cell>
          <cell r="L38" t="str">
            <v/>
          </cell>
          <cell r="M38" t="str">
            <v/>
          </cell>
          <cell r="N38" t="str">
            <v/>
          </cell>
        </row>
        <row r="39">
          <cell r="J39" t="str">
            <v/>
          </cell>
          <cell r="L39" t="str">
            <v/>
          </cell>
          <cell r="M39" t="str">
            <v/>
          </cell>
          <cell r="N39" t="str">
            <v/>
          </cell>
        </row>
        <row r="40">
          <cell r="J40" t="str">
            <v/>
          </cell>
          <cell r="L40" t="str">
            <v/>
          </cell>
          <cell r="M40" t="str">
            <v/>
          </cell>
          <cell r="N40" t="str">
            <v/>
          </cell>
        </row>
        <row r="41">
          <cell r="J41" t="str">
            <v/>
          </cell>
          <cell r="L41" t="str">
            <v/>
          </cell>
          <cell r="M41" t="str">
            <v/>
          </cell>
          <cell r="N41" t="str">
            <v/>
          </cell>
        </row>
        <row r="42">
          <cell r="J42" t="str">
            <v/>
          </cell>
          <cell r="L42" t="str">
            <v/>
          </cell>
          <cell r="M42" t="str">
            <v/>
          </cell>
          <cell r="N42" t="str">
            <v/>
          </cell>
        </row>
        <row r="43">
          <cell r="J43" t="str">
            <v/>
          </cell>
          <cell r="L43" t="str">
            <v/>
          </cell>
          <cell r="M43" t="str">
            <v/>
          </cell>
          <cell r="N43" t="str">
            <v/>
          </cell>
        </row>
        <row r="44">
          <cell r="J44" t="str">
            <v/>
          </cell>
          <cell r="L44" t="str">
            <v/>
          </cell>
          <cell r="M44" t="str">
            <v/>
          </cell>
          <cell r="N44" t="str">
            <v/>
          </cell>
        </row>
        <row r="45">
          <cell r="J45" t="str">
            <v/>
          </cell>
          <cell r="L45" t="str">
            <v/>
          </cell>
          <cell r="M45" t="str">
            <v/>
          </cell>
          <cell r="N45" t="str">
            <v/>
          </cell>
        </row>
        <row r="46">
          <cell r="J46">
            <v>30.07</v>
          </cell>
          <cell r="L46">
            <v>16.84</v>
          </cell>
          <cell r="M46">
            <v>14.04</v>
          </cell>
          <cell r="N46">
            <v>45.77</v>
          </cell>
        </row>
        <row r="47">
          <cell r="J47">
            <v>0.34</v>
          </cell>
          <cell r="L47">
            <v>0.25</v>
          </cell>
          <cell r="M47">
            <v>11.54</v>
          </cell>
          <cell r="N47">
            <v>80.400000000000006</v>
          </cell>
        </row>
        <row r="48">
          <cell r="J48">
            <v>0.4</v>
          </cell>
          <cell r="L48">
            <v>4.34</v>
          </cell>
          <cell r="M48">
            <v>12.11</v>
          </cell>
          <cell r="N48">
            <v>49.4</v>
          </cell>
        </row>
        <row r="49">
          <cell r="J49">
            <v>0.6</v>
          </cell>
          <cell r="L49" t="str">
            <v/>
          </cell>
          <cell r="M49" t="str">
            <v/>
          </cell>
          <cell r="N49">
            <v>54.04</v>
          </cell>
        </row>
        <row r="50">
          <cell r="J50" t="str">
            <v/>
          </cell>
        </row>
        <row r="51">
          <cell r="J51" t="str">
            <v/>
          </cell>
        </row>
        <row r="52">
          <cell r="J52">
            <v>0.26300000000000001</v>
          </cell>
        </row>
        <row r="53">
          <cell r="J53">
            <v>0.108</v>
          </cell>
        </row>
        <row r="54">
          <cell r="J54">
            <v>9.7000000000000003E-2</v>
          </cell>
        </row>
      </sheetData>
      <sheetData sheetId="4" refreshError="1"/>
      <sheetData sheetId="5" refreshError="1">
        <row r="1">
          <cell r="A1" t="str">
            <v>Security ID</v>
          </cell>
          <cell r="B1" t="str">
            <v>Px Ask</v>
          </cell>
          <cell r="C1" t="str">
            <v>Yld Cnv Ask</v>
          </cell>
          <cell r="D1" t="str">
            <v>Mtg Prepay Speed</v>
          </cell>
          <cell r="E1" t="str">
            <v>Mtg Prepay Typ</v>
          </cell>
          <cell r="F1" t="str">
            <v>Z Sprd Ask</v>
          </cell>
          <cell r="G1" t="str">
            <v>I Sprd Ask</v>
          </cell>
          <cell r="H1" t="str">
            <v>N Sprd Ask</v>
          </cell>
          <cell r="I1" t="str">
            <v>E Sprd Ask</v>
          </cell>
          <cell r="J1" t="str">
            <v>OAS Curve ID</v>
          </cell>
          <cell r="K1" t="str">
            <v>Yld Flag</v>
          </cell>
          <cell r="L1" t="str">
            <v>Settle Dt</v>
          </cell>
          <cell r="M1" t="str">
            <v>Mtg BEEM</v>
          </cell>
          <cell r="N1" t="str">
            <v>Px Ask</v>
          </cell>
          <cell r="O1" t="str">
            <v>Yld Cnv Ask</v>
          </cell>
          <cell r="P1" t="str">
            <v>Mtg Prepay Speed</v>
          </cell>
          <cell r="Q1" t="str">
            <v>Mtg Prepay Typ</v>
          </cell>
          <cell r="R1" t="str">
            <v>Z Sprd Ask</v>
          </cell>
          <cell r="S1" t="str">
            <v>I Sprd Ask</v>
          </cell>
          <cell r="T1" t="str">
            <v>N Sprd Ask</v>
          </cell>
          <cell r="U1" t="str">
            <v>E Sprd Ask</v>
          </cell>
          <cell r="V1" t="str">
            <v>Dur Adj Ask</v>
          </cell>
          <cell r="W1" t="str">
            <v>Mtg WAL</v>
          </cell>
          <cell r="X1" t="str">
            <v>Mtg Princ Win</v>
          </cell>
          <cell r="Y1" t="str">
            <v>OAS Curve ID</v>
          </cell>
          <cell r="Z1" t="str">
            <v>Yld Flag</v>
          </cell>
          <cell r="AA1" t="str">
            <v>Settle Dt</v>
          </cell>
          <cell r="AB1" t="str">
            <v>Mtg BEEM</v>
          </cell>
          <cell r="AC1" t="str">
            <v>ID CUSIP</v>
          </cell>
          <cell r="AD1" t="str">
            <v>Name</v>
          </cell>
          <cell r="AG1" t="str">
            <v>Cpn Typ</v>
          </cell>
          <cell r="DK1" t="str">
            <v>Mtg BMed</v>
          </cell>
          <cell r="DL1" t="str">
            <v>Mtg BMed U100</v>
          </cell>
          <cell r="DM1" t="str">
            <v>Mtg BMed U200</v>
          </cell>
          <cell r="DN1" t="str">
            <v>Mtg BMed D100</v>
          </cell>
          <cell r="DO1" t="str">
            <v>Mtg BMed D200</v>
          </cell>
          <cell r="EG1" t="str">
            <v>Run Date</v>
          </cell>
          <cell r="EH1" t="str">
            <v>Run Time</v>
          </cell>
          <cell r="EJ1" t="str">
            <v>Px Ask Scen1</v>
          </cell>
          <cell r="EX1" t="str">
            <v>Mtg BEEM</v>
          </cell>
          <cell r="EZ1" t="str">
            <v>Px Ask Scen2</v>
          </cell>
          <cell r="FN1" t="str">
            <v>Mtg BEEM</v>
          </cell>
          <cell r="FP1" t="str">
            <v>Px Ask Scen3</v>
          </cell>
          <cell r="GD1" t="str">
            <v>Mtg BEEM</v>
          </cell>
          <cell r="GF1" t="str">
            <v>Px Ask Scen4</v>
          </cell>
          <cell r="GT1" t="str">
            <v>Mtg BEEM</v>
          </cell>
          <cell r="GV1" t="str">
            <v>Px Ask Scen5</v>
          </cell>
          <cell r="HJ1" t="str">
            <v>Mtg BEEM</v>
          </cell>
          <cell r="HL1" t="str">
            <v>Run Date</v>
          </cell>
          <cell r="HM1" t="str">
            <v>Run Time</v>
          </cell>
          <cell r="HO1" t="str">
            <v>TBA ID</v>
          </cell>
          <cell r="HP1" t="str">
            <v>Feed ID BB Security</v>
          </cell>
          <cell r="HR1" t="str">
            <v>TBA1st ID</v>
          </cell>
          <cell r="HS1" t="str">
            <v>Px Yest Ask</v>
          </cell>
          <cell r="HT1" t="str">
            <v>Px Ask</v>
          </cell>
        </row>
      </sheetData>
      <sheetData sheetId="6" refreshError="1">
        <row r="1">
          <cell r="A1" t="str">
            <v>Calc?</v>
          </cell>
          <cell r="B1" t="str">
            <v>Results?</v>
          </cell>
          <cell r="C1" t="str">
            <v>CUSIP</v>
          </cell>
          <cell r="D1" t="str">
            <v>Original Face</v>
          </cell>
          <cell r="E1" t="str">
            <v>Pricing Level</v>
          </cell>
          <cell r="F1" t="str">
            <v>Pricing Level</v>
          </cell>
          <cell r="G1" t="str">
            <v>PRICE</v>
          </cell>
          <cell r="H1" t="str">
            <v>YTM</v>
          </cell>
          <cell r="I1" t="str">
            <v>OAS</v>
          </cell>
          <cell r="J1" t="str">
            <v>CPR1MN</v>
          </cell>
          <cell r="K1" t="str">
            <v>CPR3MN</v>
          </cell>
          <cell r="L1" t="str">
            <v>CPR6MN</v>
          </cell>
          <cell r="M1" t="str">
            <v>CPR1YR</v>
          </cell>
          <cell r="N1" t="str">
            <v>LTCPR</v>
          </cell>
          <cell r="O1" t="str">
            <v>WAL</v>
          </cell>
          <cell r="P1" t="str">
            <v>TSYCVSPD</v>
          </cell>
          <cell r="Q1" t="str">
            <v>SWAPCVSPD</v>
          </cell>
          <cell r="R1" t="str">
            <v>ZSPREAD</v>
          </cell>
          <cell r="S1" t="str">
            <v>ECURVESPRD</v>
          </cell>
          <cell r="T1" t="str">
            <v>GSPRD</v>
          </cell>
          <cell r="U1" t="str">
            <v>MODDUR</v>
          </cell>
          <cell r="V1" t="str">
            <v>EFFDUR</v>
          </cell>
          <cell r="W1" t="str">
            <v>EFFDV01</v>
          </cell>
          <cell r="X1" t="str">
            <v>EFFCNVX</v>
          </cell>
          <cell r="Y1" t="str">
            <v>VEGA</v>
          </cell>
          <cell r="Z1" t="str">
            <v>VOLDUR</v>
          </cell>
          <cell r="AA1" t="str">
            <v>SPRDDUR</v>
          </cell>
          <cell r="AC1" t="str">
            <v>CCSPRDDUR</v>
          </cell>
          <cell r="AD1" t="str">
            <v>REFIDUR</v>
          </cell>
          <cell r="AE1" t="str">
            <v>ELBOWDUR</v>
          </cell>
          <cell r="AF1" t="str">
            <v>TRNOVRDUR</v>
          </cell>
          <cell r="AG1" t="str">
            <v>PDUR1</v>
          </cell>
          <cell r="AH1" t="str">
            <v>PDUR2</v>
          </cell>
          <cell r="AI1" t="str">
            <v>PDUR3</v>
          </cell>
          <cell r="AJ1" t="str">
            <v>PDUR5</v>
          </cell>
          <cell r="AK1" t="str">
            <v>PDUR10</v>
          </cell>
          <cell r="AL1" t="str">
            <v>PDUR20</v>
          </cell>
          <cell r="AM1" t="str">
            <v>PDUR30</v>
          </cell>
          <cell r="AN1" t="str">
            <v>DV01P1</v>
          </cell>
          <cell r="AO1" t="str">
            <v>DV01P2</v>
          </cell>
          <cell r="AP1" t="str">
            <v>DV01P3</v>
          </cell>
          <cell r="AQ1" t="str">
            <v>DV01P5</v>
          </cell>
          <cell r="AR1" t="str">
            <v>DV01P10</v>
          </cell>
          <cell r="AS1" t="str">
            <v>DV01P20</v>
          </cell>
          <cell r="AT1" t="str">
            <v>DV01P30</v>
          </cell>
          <cell r="AU1" t="str">
            <v>CUSIP9</v>
          </cell>
          <cell r="AV1" t="str">
            <v>FACTORDT</v>
          </cell>
          <cell r="AW1" t="str">
            <v>FACTOR</v>
          </cell>
          <cell r="AX1" t="str">
            <v>PREPAYTYPE</v>
          </cell>
          <cell r="AY1" t="str">
            <v>PCTPRPY</v>
          </cell>
          <cell r="AZ1" t="str">
            <v>PPMDLDESC</v>
          </cell>
          <cell r="BA1" t="str">
            <v>ARMPPMODEL</v>
          </cell>
          <cell r="BB1" t="str">
            <v>MONSTOROLL</v>
          </cell>
          <cell r="BC1" t="str">
            <v>BCNOMRET.1</v>
          </cell>
          <cell r="BD1" t="str">
            <v>BCNOMRET.2</v>
          </cell>
          <cell r="BE1" t="str">
            <v>BCNOMRET.3</v>
          </cell>
          <cell r="BF1" t="str">
            <v>BCNOMRET.4</v>
          </cell>
          <cell r="BG1" t="str">
            <v>BCNOMRET.5</v>
          </cell>
          <cell r="BH1" t="str">
            <v>BCNOMRET.6</v>
          </cell>
          <cell r="BI1" t="str">
            <v>BCNOMRET.7</v>
          </cell>
          <cell r="BJ1" t="str">
            <v>RUNTIMEFLAG</v>
          </cell>
          <cell r="BK1" t="str">
            <v>RELCRV</v>
          </cell>
          <cell r="BL1" t="str">
            <v>CURVEDATE</v>
          </cell>
          <cell r="BM1" t="str">
            <v>STLDATE</v>
          </cell>
          <cell r="BN1" t="str">
            <v>DESCRIPT</v>
          </cell>
          <cell r="BO1" t="str">
            <v>DATE</v>
          </cell>
          <cell r="BP1" t="str">
            <v>TIME</v>
          </cell>
          <cell r="BR1" t="str">
            <v>TBA1st ID</v>
          </cell>
          <cell r="BS1" t="str">
            <v>Px Yest Ask</v>
          </cell>
          <cell r="BT1" t="str">
            <v>Px Ask</v>
          </cell>
          <cell r="BU1" t="str">
            <v>OAS</v>
          </cell>
          <cell r="BV1" t="str">
            <v>PRICE</v>
          </cell>
          <cell r="BW1" t="str">
            <v>BCNOMRET.1</v>
          </cell>
          <cell r="BX1" t="str">
            <v>BCNOMRET.2</v>
          </cell>
          <cell r="BY1" t="str">
            <v>BCNOMRET.3</v>
          </cell>
          <cell r="BZ1" t="str">
            <v>BCNOMRET.4</v>
          </cell>
          <cell r="CA1" t="str">
            <v>BCNOMRET.5</v>
          </cell>
          <cell r="CB1" t="str">
            <v>BCNOMRET.6</v>
          </cell>
          <cell r="CC1" t="str">
            <v>BCNOMRET.7</v>
          </cell>
          <cell r="CD1" t="str">
            <v>RUNTIMEFLAG</v>
          </cell>
          <cell r="CE1" t="str">
            <v>RELCRV</v>
          </cell>
          <cell r="CF1" t="str">
            <v>CURVEDATE</v>
          </cell>
          <cell r="CG1" t="str">
            <v>STLDATE</v>
          </cell>
          <cell r="CH1" t="str">
            <v>CUSIP9</v>
          </cell>
          <cell r="CI1" t="str">
            <v>DATE</v>
          </cell>
          <cell r="CJ1" t="str">
            <v>TIME</v>
          </cell>
          <cell r="CL1" t="str">
            <v>CUSIP</v>
          </cell>
          <cell r="CM1" t="str">
            <v>PRICE</v>
          </cell>
          <cell r="CN1" t="str">
            <v>OAS</v>
          </cell>
          <cell r="CO1" t="str">
            <v>RUNTIMEFLAG</v>
          </cell>
          <cell r="CP1" t="str">
            <v>RELCRV</v>
          </cell>
          <cell r="CQ1" t="str">
            <v>CURVEDATE</v>
          </cell>
          <cell r="CR1" t="str">
            <v>STLDATE</v>
          </cell>
          <cell r="CS1" t="str">
            <v>CUSIP9</v>
          </cell>
          <cell r="CT1" t="str">
            <v>DATE</v>
          </cell>
          <cell r="CU1" t="str">
            <v>TIME</v>
          </cell>
          <cell r="CW1" t="str">
            <v>YBCalc?</v>
          </cell>
        </row>
      </sheetData>
      <sheetData sheetId="7" refreshError="1">
        <row r="1">
          <cell r="A1" t="str">
            <v>CParty</v>
          </cell>
          <cell r="B1" t="str">
            <v>Portfolio</v>
          </cell>
          <cell r="C1" t="str">
            <v>CUSIP</v>
          </cell>
          <cell r="D1" t="str">
            <v>Name</v>
          </cell>
          <cell r="E1" t="str">
            <v>Original Face</v>
          </cell>
          <cell r="F1" t="str">
            <v>Current Face</v>
          </cell>
          <cell r="G1" t="str">
            <v>Price</v>
          </cell>
          <cell r="H1" t="str">
            <v>Yield</v>
          </cell>
          <cell r="I1" t="str">
            <v>CPN</v>
          </cell>
          <cell r="J1" t="str">
            <v>WAC</v>
          </cell>
          <cell r="K1" t="str">
            <v>WALA</v>
          </cell>
          <cell r="L1" t="str">
            <v>WAM</v>
          </cell>
          <cell r="M1" t="str">
            <v>Maturity</v>
          </cell>
          <cell r="N1" t="str">
            <v>WAL</v>
          </cell>
          <cell r="O1" t="str">
            <v>ModDur</v>
          </cell>
          <cell r="P1" t="str">
            <v>ZSprd</v>
          </cell>
          <cell r="Q1" t="str">
            <v>ISprd</v>
          </cell>
          <cell r="R1" t="str">
            <v>NSprd</v>
          </cell>
          <cell r="T1" t="str">
            <v>Curve</v>
          </cell>
          <cell r="U1" t="str">
            <v>SettleDate</v>
          </cell>
          <cell r="V1" t="str">
            <v>RunDate</v>
          </cell>
          <cell r="W1" t="str">
            <v>RunTime</v>
          </cell>
          <cell r="X1" t="str">
            <v>CPR1m</v>
          </cell>
          <cell r="Y1" t="str">
            <v>CPR3m</v>
          </cell>
          <cell r="Z1" t="str">
            <v>CPR6m</v>
          </cell>
          <cell r="AA1" t="str">
            <v>CPR1y</v>
          </cell>
          <cell r="AB1" t="str">
            <v>GCPR1m</v>
          </cell>
          <cell r="AC1" t="str">
            <v>GCPR3m</v>
          </cell>
          <cell r="AD1" t="str">
            <v>GCPR6m</v>
          </cell>
          <cell r="AE1" t="str">
            <v>GCPR1y</v>
          </cell>
          <cell r="AF1" t="str">
            <v>Cpn Typ</v>
          </cell>
          <cell r="AG1" t="str">
            <v>MTR</v>
          </cell>
          <cell r="AI1" t="str">
            <v>Subtyp</v>
          </cell>
          <cell r="AJ1" t="str">
            <v>Nxt Rst</v>
          </cell>
          <cell r="AK1" t="str">
            <v>Rst Idx</v>
          </cell>
          <cell r="AL1" t="str">
            <v>Idx Val</v>
          </cell>
          <cell r="AM1" t="str">
            <v>WASprd</v>
          </cell>
          <cell r="AN1" t="str">
            <v>Per Cap</v>
          </cell>
          <cell r="AO1" t="str">
            <v>Orig Life Cap</v>
          </cell>
          <cell r="AP1" t="str">
            <v>Life Cap</v>
          </cell>
          <cell r="AQ1" t="str">
            <v>Loan Mrgn</v>
          </cell>
          <cell r="AR1" t="str">
            <v>WAOC</v>
          </cell>
          <cell r="AS1" t="str">
            <v>WAOLS</v>
          </cell>
          <cell r="AT1" t="str">
            <v>Loan#</v>
          </cell>
          <cell r="AU1" t="str">
            <v>WAOCS</v>
          </cell>
          <cell r="AV1" t="str">
            <v>WAOLTV</v>
          </cell>
          <cell r="AW1" t="str">
            <v>Subgrp</v>
          </cell>
          <cell r="AX1" t="str">
            <v>Collateral</v>
          </cell>
          <cell r="AY1" t="str">
            <v>Orig Amt</v>
          </cell>
          <cell r="AZ1" t="str">
            <v>Curr Amt</v>
          </cell>
          <cell r="BA1" t="str">
            <v>Ln Pchse</v>
          </cell>
          <cell r="BB1" t="str">
            <v>Ln Refi</v>
          </cell>
          <cell r="BC1" t="str">
            <v>Ln Eq</v>
          </cell>
          <cell r="BD1" t="str">
            <v>Geo1</v>
          </cell>
          <cell r="BE1" t="str">
            <v>Geo2</v>
          </cell>
          <cell r="BF1" t="str">
            <v>Geo3</v>
          </cell>
          <cell r="BG1" t="str">
            <v>WAC Min</v>
          </cell>
          <cell r="BH1" t="str">
            <v>WAC 25</v>
          </cell>
          <cell r="BI1" t="str">
            <v>WAC Med</v>
          </cell>
          <cell r="BJ1" t="str">
            <v>WAC 75</v>
          </cell>
          <cell r="BK1" t="str">
            <v>WAC Max</v>
          </cell>
          <cell r="BL1" t="str">
            <v>AOLS Min</v>
          </cell>
          <cell r="BM1" t="str">
            <v>AOLS 25</v>
          </cell>
          <cell r="BN1" t="str">
            <v>AOLS Med</v>
          </cell>
          <cell r="BO1" t="str">
            <v>AOLS 75</v>
          </cell>
          <cell r="BP1" t="str">
            <v>AOLS Max</v>
          </cell>
          <cell r="BQ1" t="str">
            <v>OCS Min</v>
          </cell>
          <cell r="BR1" t="str">
            <v>OCS 25</v>
          </cell>
          <cell r="BS1" t="str">
            <v>OCS Med</v>
          </cell>
          <cell r="BT1" t="str">
            <v>OCS 75</v>
          </cell>
          <cell r="BU1" t="str">
            <v>OCS Max</v>
          </cell>
          <cell r="BV1" t="str">
            <v>LTV Min</v>
          </cell>
          <cell r="BW1" t="str">
            <v>LTV 25</v>
          </cell>
          <cell r="BX1" t="str">
            <v>LTV Med</v>
          </cell>
          <cell r="BY1" t="str">
            <v>LTV 75</v>
          </cell>
          <cell r="BZ1" t="str">
            <v>LTV Max</v>
          </cell>
          <cell r="CA1" t="str">
            <v>Occ Owner</v>
          </cell>
          <cell r="CB1" t="str">
            <v>Occ Vaca</v>
          </cell>
          <cell r="CC1" t="str">
            <v>Occ Inv</v>
          </cell>
          <cell r="CD1" t="str">
            <v>S&amp;P</v>
          </cell>
          <cell r="CE1" t="str">
            <v>Moody</v>
          </cell>
          <cell r="CF1" t="str">
            <v>Fitch</v>
          </cell>
          <cell r="CG1" t="str">
            <v>Rtg Chg</v>
          </cell>
          <cell r="CH1" t="str">
            <v>30Dlq</v>
          </cell>
          <cell r="CI1" t="str">
            <v>60Dlq</v>
          </cell>
          <cell r="CJ1" t="str">
            <v>90Dlq</v>
          </cell>
          <cell r="CK1" t="str">
            <v>REO</v>
          </cell>
          <cell r="CL1" t="str">
            <v>Fcls</v>
          </cell>
          <cell r="CM1" t="str">
            <v>Cred Sup</v>
          </cell>
          <cell r="CN1" t="str">
            <v>CS Cvrage</v>
          </cell>
          <cell r="CO1" t="str">
            <v>60+</v>
          </cell>
          <cell r="CP1" t="str">
            <v>90+</v>
          </cell>
          <cell r="CQ1" t="str">
            <v>Rem IO Term ARM</v>
          </cell>
          <cell r="CR1" t="str">
            <v>IO Collat %</v>
          </cell>
          <cell r="CS1" t="str">
            <v>BMed U200</v>
          </cell>
          <cell r="CT1" t="str">
            <v>BMed U100</v>
          </cell>
          <cell r="CU1" t="str">
            <v>BMed</v>
          </cell>
          <cell r="CV1" t="str">
            <v>BMed D100</v>
          </cell>
          <cell r="CW1" t="str">
            <v>BMed D200</v>
          </cell>
          <cell r="CX1" t="str">
            <v>Price</v>
          </cell>
          <cell r="CY1" t="str">
            <v>Yield</v>
          </cell>
          <cell r="CZ1" t="str">
            <v>OAS</v>
          </cell>
          <cell r="DA1" t="str">
            <v>ZSprd</v>
          </cell>
          <cell r="DB1" t="str">
            <v>ISprd</v>
          </cell>
          <cell r="DC1" t="str">
            <v>NSprd</v>
          </cell>
          <cell r="DD1" t="str">
            <v>ESprd</v>
          </cell>
          <cell r="DE1" t="str">
            <v>WAL</v>
          </cell>
          <cell r="DF1" t="str">
            <v>CPR1m</v>
          </cell>
          <cell r="DG1" t="str">
            <v>CPR3m</v>
          </cell>
          <cell r="DH1" t="str">
            <v>CPR6m</v>
          </cell>
          <cell r="DI1" t="str">
            <v>CPR1y</v>
          </cell>
          <cell r="DJ1" t="str">
            <v>LTCPR</v>
          </cell>
          <cell r="DK1" t="str">
            <v>ModDur</v>
          </cell>
          <cell r="DL1" t="str">
            <v>EffDur</v>
          </cell>
          <cell r="DM1" t="str">
            <v>EffCnvx</v>
          </cell>
          <cell r="DN1" t="str">
            <v>EffDV01</v>
          </cell>
          <cell r="DO1" t="str">
            <v>PDV01 1y</v>
          </cell>
          <cell r="DP1" t="str">
            <v>PDV01 2y</v>
          </cell>
          <cell r="DQ1" t="str">
            <v>PDV01 3y</v>
          </cell>
          <cell r="DR1" t="str">
            <v>PDV01 5y</v>
          </cell>
          <cell r="DS1" t="str">
            <v>PDV01 10y</v>
          </cell>
          <cell r="DT1" t="str">
            <v>PDV01 20y</v>
          </cell>
          <cell r="DU1" t="str">
            <v>PDV01 30y</v>
          </cell>
          <cell r="DV1" t="str">
            <v>Vega</v>
          </cell>
          <cell r="DW1" t="str">
            <v>VolDur</v>
          </cell>
          <cell r="DX1" t="str">
            <v>OASDur</v>
          </cell>
          <cell r="DY1" t="str">
            <v>PPDur</v>
          </cell>
          <cell r="DZ1" t="str">
            <v>CCSprdDur</v>
          </cell>
          <cell r="EA1" t="str">
            <v>RefiDur</v>
          </cell>
          <cell r="EB1" t="str">
            <v>ElbowDur</v>
          </cell>
          <cell r="EC1" t="str">
            <v>TrnOvrDur</v>
          </cell>
          <cell r="ED1" t="str">
            <v>ROR(D200)</v>
          </cell>
          <cell r="EE1" t="str">
            <v>ROR(D100)</v>
          </cell>
          <cell r="EF1" t="str">
            <v>ROR(0)</v>
          </cell>
          <cell r="EG1" t="str">
            <v>ROR(U100)</v>
          </cell>
          <cell r="EH1" t="str">
            <v>ROR(U200)</v>
          </cell>
          <cell r="EI1" t="str">
            <v>Curve</v>
          </cell>
          <cell r="EJ1" t="str">
            <v>CurveDate</v>
          </cell>
          <cell r="EK1" t="str">
            <v>SettleDate</v>
          </cell>
          <cell r="EL1" t="str">
            <v>RunDate</v>
          </cell>
          <cell r="EM1" t="str">
            <v>RunTime</v>
          </cell>
          <cell r="EQ1" t="str">
            <v>ROR(D200)</v>
          </cell>
          <cell r="ER1" t="str">
            <v>ROR(D100)</v>
          </cell>
          <cell r="ES1" t="str">
            <v>ROR(0)</v>
          </cell>
          <cell r="ET1" t="str">
            <v>ROR(U100)</v>
          </cell>
          <cell r="EU1" t="str">
            <v>ROR(U200)</v>
          </cell>
          <cell r="FH1" t="str">
            <v>Theo Payup</v>
          </cell>
          <cell r="FI1" t="str">
            <v>Act Payup</v>
          </cell>
          <cell r="FJ1" t="str">
            <v>Act/Theo</v>
          </cell>
        </row>
      </sheetData>
      <sheetData sheetId="8" refreshError="1">
        <row r="3">
          <cell r="H3">
            <v>39869</v>
          </cell>
        </row>
        <row r="4">
          <cell r="C4" t="b">
            <v>0</v>
          </cell>
          <cell r="E4" t="b">
            <v>0</v>
          </cell>
        </row>
        <row r="5">
          <cell r="C5" t="b">
            <v>0</v>
          </cell>
          <cell r="E5" t="b">
            <v>0</v>
          </cell>
          <cell r="H5" t="b">
            <v>1</v>
          </cell>
        </row>
        <row r="6">
          <cell r="C6" t="b">
            <v>0</v>
          </cell>
          <cell r="E6" t="b">
            <v>0</v>
          </cell>
          <cell r="H6" t="b">
            <v>1</v>
          </cell>
        </row>
        <row r="7">
          <cell r="C7" t="b">
            <v>0</v>
          </cell>
          <cell r="E7" t="b">
            <v>0</v>
          </cell>
          <cell r="H7" t="b">
            <v>1</v>
          </cell>
        </row>
        <row r="8">
          <cell r="C8" t="b">
            <v>0</v>
          </cell>
          <cell r="H8" t="b">
            <v>1</v>
          </cell>
        </row>
        <row r="9">
          <cell r="C9" t="b">
            <v>0</v>
          </cell>
          <cell r="H9" t="b">
            <v>1</v>
          </cell>
        </row>
        <row r="10">
          <cell r="H10" t="b">
            <v>1</v>
          </cell>
        </row>
        <row r="11">
          <cell r="H11" t="b">
            <v>1</v>
          </cell>
        </row>
        <row r="13">
          <cell r="C13" t="str">
            <v>Pull YB Results</v>
          </cell>
          <cell r="H13" t="str">
            <v>SWISSRE13</v>
          </cell>
        </row>
        <row r="14">
          <cell r="B14" t="str">
            <v>Pull YB Results</v>
          </cell>
          <cell r="H14" t="str">
            <v>SWISSRE9</v>
          </cell>
        </row>
        <row r="15">
          <cell r="B15" t="str">
            <v>Push YB Results</v>
          </cell>
          <cell r="H15" t="b">
            <v>1</v>
          </cell>
        </row>
        <row r="16">
          <cell r="B16" t="str">
            <v>Export MtgUniverse</v>
          </cell>
        </row>
        <row r="17">
          <cell r="B17" t="str">
            <v>Import MtgUniverse</v>
          </cell>
          <cell r="H17" t="b">
            <v>1</v>
          </cell>
        </row>
        <row r="18">
          <cell r="B18" t="str">
            <v>Generate Tear Sheet</v>
          </cell>
          <cell r="H18" t="b">
            <v>1</v>
          </cell>
        </row>
        <row r="19">
          <cell r="B19" t="str">
            <v>Archive Tear Sheet</v>
          </cell>
          <cell r="H19" t="str">
            <v>SWAP</v>
          </cell>
        </row>
        <row r="20">
          <cell r="B20" t="str">
            <v>Generate Report</v>
          </cell>
          <cell r="H20" t="str">
            <v>DEFAULT</v>
          </cell>
        </row>
        <row r="23">
          <cell r="C23" t="str">
            <v>Personal</v>
          </cell>
        </row>
        <row r="24">
          <cell r="B24" t="str">
            <v>Personal</v>
          </cell>
        </row>
        <row r="25">
          <cell r="B25" t="str">
            <v>Shared</v>
          </cell>
        </row>
        <row r="27">
          <cell r="C27" t="str">
            <v>Basic Info/Collateral Info/Relative Value/ROR &amp; Opt Dur//</v>
          </cell>
        </row>
        <row r="28">
          <cell r="C28" t="str">
            <v>Basic Info</v>
          </cell>
        </row>
        <row r="29">
          <cell r="C29" t="str">
            <v>Collateral Info</v>
          </cell>
        </row>
        <row r="30">
          <cell r="C30" t="str">
            <v>Relative Value</v>
          </cell>
        </row>
        <row r="31">
          <cell r="C31" t="str">
            <v>ROR &amp; Opt Dur</v>
          </cell>
        </row>
        <row r="35">
          <cell r="C35">
            <v>31</v>
          </cell>
        </row>
        <row r="36">
          <cell r="C36">
            <v>32</v>
          </cell>
        </row>
        <row r="39">
          <cell r="C39" t="str">
            <v>xlAscending</v>
          </cell>
        </row>
        <row r="40">
          <cell r="C40">
            <v>41</v>
          </cell>
        </row>
        <row r="45">
          <cell r="C45">
            <v>46</v>
          </cell>
        </row>
        <row r="46">
          <cell r="C46">
            <v>51</v>
          </cell>
          <cell r="D46" t="str">
            <v>Collateral</v>
          </cell>
        </row>
        <row r="47">
          <cell r="C47">
            <v>10</v>
          </cell>
          <cell r="D47" t="str">
            <v>CPN</v>
          </cell>
        </row>
        <row r="48">
          <cell r="C48">
            <v>140</v>
          </cell>
          <cell r="D48" t="str">
            <v>PPType</v>
          </cell>
        </row>
        <row r="49">
          <cell r="C49">
            <v>141</v>
          </cell>
          <cell r="D49" t="str">
            <v>PPPct</v>
          </cell>
        </row>
        <row r="50">
          <cell r="C50">
            <v>142</v>
          </cell>
          <cell r="D50" t="str">
            <v>PPDes</v>
          </cell>
        </row>
        <row r="51">
          <cell r="C51">
            <v>103</v>
          </cell>
          <cell r="D51" t="str">
            <v>Price</v>
          </cell>
        </row>
        <row r="52">
          <cell r="C52">
            <v>104</v>
          </cell>
          <cell r="D52" t="str">
            <v>Yield</v>
          </cell>
        </row>
        <row r="53">
          <cell r="C53">
            <v>117</v>
          </cell>
          <cell r="D53" t="str">
            <v>EffDur</v>
          </cell>
        </row>
        <row r="54">
          <cell r="C54">
            <v>118</v>
          </cell>
          <cell r="D54" t="str">
            <v>EffCnvx</v>
          </cell>
        </row>
        <row r="55">
          <cell r="C55">
            <v>110</v>
          </cell>
          <cell r="D55" t="str">
            <v>WAL</v>
          </cell>
        </row>
      </sheetData>
      <sheetData sheetId="9" refreshError="1">
        <row r="2">
          <cell r="B2" t="str">
            <v>FN 773356</v>
          </cell>
          <cell r="F2" t="str">
            <v>31404NE51</v>
          </cell>
          <cell r="G2">
            <v>4.9020000000000001</v>
          </cell>
          <cell r="I2">
            <v>49491</v>
          </cell>
          <cell r="L2" t="str">
            <v>Home Equity Other</v>
          </cell>
          <cell r="P2" t="str">
            <v>User</v>
          </cell>
          <cell r="Q2">
            <v>1000000</v>
          </cell>
        </row>
        <row r="3">
          <cell r="M3" t="str">
            <v>Yield Book</v>
          </cell>
          <cell r="N3" t="str">
            <v>Bloomberg</v>
          </cell>
        </row>
        <row r="4">
          <cell r="B4" t="str">
            <v>SECURITY INFO</v>
          </cell>
          <cell r="C4" t="str">
            <v>AA-/A2/-</v>
          </cell>
          <cell r="E4" t="str">
            <v>Yes(-)</v>
          </cell>
          <cell r="L4" t="str">
            <v>PREPAY EST</v>
          </cell>
          <cell r="M4" t="str">
            <v>Model</v>
          </cell>
          <cell r="N4" t="str">
            <v>10 CPB</v>
          </cell>
          <cell r="O4" t="str">
            <v>15 CPB</v>
          </cell>
          <cell r="P4" t="str">
            <v>20 CPB</v>
          </cell>
          <cell r="Q4" t="str">
            <v>25 CPB</v>
          </cell>
          <cell r="R4" t="str">
            <v>30 CPB</v>
          </cell>
        </row>
        <row r="5">
          <cell r="B5" t="str">
            <v>Orig Amount (MM):</v>
          </cell>
          <cell r="C5">
            <v>13.925834999999999</v>
          </cell>
          <cell r="F5" t="str">
            <v>Orig Life Cap:</v>
          </cell>
          <cell r="G5">
            <v>9.9169999999999998</v>
          </cell>
          <cell r="I5" t="str">
            <v>30 DLQ:</v>
          </cell>
          <cell r="L5" t="str">
            <v>Price:</v>
          </cell>
          <cell r="M5">
            <v>102.13200000000001</v>
          </cell>
          <cell r="N5">
            <v>102.1315391</v>
          </cell>
          <cell r="O5">
            <v>102.1315391</v>
          </cell>
          <cell r="P5">
            <v>102.1315391</v>
          </cell>
          <cell r="Q5">
            <v>102.1315391</v>
          </cell>
          <cell r="R5">
            <v>102.1315391</v>
          </cell>
          <cell r="S5">
            <v>0.5</v>
          </cell>
          <cell r="T5" t="str">
            <v>CMT</v>
          </cell>
        </row>
        <row r="6">
          <cell r="B6" t="str">
            <v>Current Face (MM):</v>
          </cell>
          <cell r="C6">
            <v>7.6252846600000002</v>
          </cell>
          <cell r="F6" t="str">
            <v>Current Life Cap:</v>
          </cell>
          <cell r="G6">
            <v>9.9030000000000005</v>
          </cell>
          <cell r="I6" t="str">
            <v>60 DLQ:</v>
          </cell>
          <cell r="L6" t="str">
            <v>Yield:</v>
          </cell>
          <cell r="M6">
            <v>4.032</v>
          </cell>
          <cell r="N6">
            <v>4.03</v>
          </cell>
          <cell r="O6">
            <v>3.9460000000000002</v>
          </cell>
          <cell r="P6">
            <v>3.8530000000000002</v>
          </cell>
          <cell r="Q6">
            <v>3.7480000000000002</v>
          </cell>
          <cell r="R6">
            <v>3.6320000000000001</v>
          </cell>
        </row>
        <row r="7">
          <cell r="B7" t="str">
            <v>Collateral:</v>
          </cell>
          <cell r="C7" t="str">
            <v>FNARM</v>
          </cell>
          <cell r="F7" t="str">
            <v>Periodic Cap:</v>
          </cell>
          <cell r="G7">
            <v>2</v>
          </cell>
          <cell r="I7" t="str">
            <v>90 DLQ:</v>
          </cell>
          <cell r="L7" t="str">
            <v>OAS:</v>
          </cell>
          <cell r="M7">
            <v>59</v>
          </cell>
        </row>
        <row r="8">
          <cell r="B8" t="str">
            <v>Current Factor:</v>
          </cell>
          <cell r="C8">
            <v>0.54756390981223035</v>
          </cell>
          <cell r="F8" t="str">
            <v>Loan Margin:</v>
          </cell>
          <cell r="G8">
            <v>2.86</v>
          </cell>
          <cell r="I8" t="str">
            <v>Fcls:</v>
          </cell>
          <cell r="L8" t="str">
            <v>Average Life:</v>
          </cell>
          <cell r="M8">
            <v>2.9</v>
          </cell>
          <cell r="N8">
            <v>2.6419999999999999</v>
          </cell>
          <cell r="O8">
            <v>2.4239999999999999</v>
          </cell>
          <cell r="P8">
            <v>2.2200000000000002</v>
          </cell>
          <cell r="Q8">
            <v>2.0299999999999998</v>
          </cell>
          <cell r="R8">
            <v>1.853</v>
          </cell>
        </row>
        <row r="9">
          <cell r="B9" t="str">
            <v>Current Coupon:</v>
          </cell>
          <cell r="C9">
            <v>4.9020000000000001</v>
          </cell>
          <cell r="F9" t="str">
            <v>Subtype (FN only):</v>
          </cell>
          <cell r="G9" t="str">
            <v>243W</v>
          </cell>
          <cell r="I9" t="str">
            <v>REO:</v>
          </cell>
          <cell r="L9" t="str">
            <v>Mod Duration:</v>
          </cell>
          <cell r="M9">
            <v>2.65</v>
          </cell>
          <cell r="N9">
            <v>2.6419999999999999</v>
          </cell>
          <cell r="O9">
            <v>2.4239999999999999</v>
          </cell>
          <cell r="P9">
            <v>2.2200000000000002</v>
          </cell>
          <cell r="Q9">
            <v>2.0299999999999998</v>
          </cell>
          <cell r="R9">
            <v>1.853</v>
          </cell>
          <cell r="S9">
            <v>39447</v>
          </cell>
          <cell r="T9">
            <v>39447</v>
          </cell>
        </row>
        <row r="10">
          <cell r="B10" t="str">
            <v>Current WALA:</v>
          </cell>
          <cell r="C10">
            <v>41</v>
          </cell>
          <cell r="F10" t="str">
            <v>Next Reset Date:</v>
          </cell>
          <cell r="G10">
            <v>41030</v>
          </cell>
          <cell r="I10" t="str">
            <v>60+:</v>
          </cell>
          <cell r="L10" t="str">
            <v>Eff Duration:</v>
          </cell>
          <cell r="M10">
            <v>2.33</v>
          </cell>
          <cell r="N10" t="str">
            <v>11/08-05/12</v>
          </cell>
          <cell r="O10" t="str">
            <v>11/08-05/12</v>
          </cell>
          <cell r="P10" t="str">
            <v>11/08-05/12</v>
          </cell>
          <cell r="Q10" t="str">
            <v>11/08-05/12</v>
          </cell>
          <cell r="R10" t="str">
            <v>11/08-05/12</v>
          </cell>
        </row>
        <row r="11">
          <cell r="B11" t="str">
            <v>Current WARM:</v>
          </cell>
          <cell r="C11">
            <v>319</v>
          </cell>
          <cell r="F11" t="str">
            <v>WAvg Months to Roll:</v>
          </cell>
          <cell r="G11" t="str">
            <v>43mnths</v>
          </cell>
          <cell r="I11" t="str">
            <v>90+:</v>
          </cell>
          <cell r="L11" t="str">
            <v>Eff Convexity:</v>
          </cell>
          <cell r="M11">
            <v>-0.371</v>
          </cell>
        </row>
        <row r="12">
          <cell r="B12" t="str">
            <v># Loans:</v>
          </cell>
          <cell r="C12">
            <v>42</v>
          </cell>
          <cell r="F12" t="str">
            <v>Reset Index:</v>
          </cell>
          <cell r="G12" t="str">
            <v>H15T1Y</v>
          </cell>
          <cell r="L12" t="str">
            <v>Z Sprd:</v>
          </cell>
          <cell r="M12">
            <v>77</v>
          </cell>
          <cell r="N12">
            <v>90.2</v>
          </cell>
          <cell r="O12">
            <v>93.5</v>
          </cell>
          <cell r="P12">
            <v>95.2</v>
          </cell>
          <cell r="Q12">
            <v>94.6</v>
          </cell>
          <cell r="R12">
            <v>91.9</v>
          </cell>
        </row>
        <row r="13">
          <cell r="B13" t="str">
            <v>WAOLTV:</v>
          </cell>
          <cell r="C13">
            <v>82</v>
          </cell>
          <cell r="F13" t="str">
            <v>Current Index Value:</v>
          </cell>
          <cell r="G13">
            <v>1.41597</v>
          </cell>
          <cell r="I13" t="str">
            <v>Cred Supp:</v>
          </cell>
          <cell r="L13" t="str">
            <v>Sprd to Tsy (I):</v>
          </cell>
          <cell r="M13" t="str">
            <v/>
          </cell>
          <cell r="N13">
            <v>76.3</v>
          </cell>
          <cell r="O13">
            <v>72.599999999999994</v>
          </cell>
          <cell r="P13">
            <v>68.2</v>
          </cell>
          <cell r="Q13">
            <v>62.7</v>
          </cell>
          <cell r="R13">
            <v>56.2</v>
          </cell>
          <cell r="S13" t="str">
            <v>BB Curve:</v>
          </cell>
          <cell r="T13" t="str">
            <v>BB Settle:</v>
          </cell>
        </row>
        <row r="14">
          <cell r="B14" t="str">
            <v>Orig WAC:</v>
          </cell>
          <cell r="C14">
            <v>5.64</v>
          </cell>
          <cell r="F14" t="str">
            <v>WAvg Spread:</v>
          </cell>
          <cell r="G14">
            <v>2.137</v>
          </cell>
          <cell r="I14" t="str">
            <v>Supp Cvg:</v>
          </cell>
          <cell r="L14" t="str">
            <v>Sprd to Swaps (N):</v>
          </cell>
          <cell r="M14">
            <v>92</v>
          </cell>
          <cell r="N14">
            <v>261.39999999999998</v>
          </cell>
          <cell r="O14">
            <v>253</v>
          </cell>
          <cell r="P14">
            <v>243.7</v>
          </cell>
          <cell r="Q14">
            <v>233.2</v>
          </cell>
          <cell r="R14">
            <v>221.6</v>
          </cell>
        </row>
        <row r="15">
          <cell r="L15" t="str">
            <v>E Sprd:</v>
          </cell>
          <cell r="M15">
            <v>75.38</v>
          </cell>
          <cell r="N15">
            <v>261.39999999999998</v>
          </cell>
          <cell r="O15">
            <v>253</v>
          </cell>
          <cell r="P15">
            <v>243.7</v>
          </cell>
          <cell r="Q15">
            <v>233.2</v>
          </cell>
          <cell r="R15">
            <v>221.6</v>
          </cell>
        </row>
        <row r="16">
          <cell r="B16" t="str">
            <v>Loan Purpose (%)</v>
          </cell>
          <cell r="E16" t="str">
            <v>Hist Speeds</v>
          </cell>
          <cell r="F16" t="str">
            <v>Pool</v>
          </cell>
          <cell r="G16" t="str">
            <v>Generic</v>
          </cell>
          <cell r="I16" t="str">
            <v>Geo (Top 3)</v>
          </cell>
        </row>
        <row r="17">
          <cell r="B17" t="str">
            <v>Purchase:</v>
          </cell>
          <cell r="C17">
            <v>80.39</v>
          </cell>
          <cell r="E17" t="str">
            <v>1 Mth CPR:</v>
          </cell>
          <cell r="F17">
            <v>0.27</v>
          </cell>
          <cell r="G17" t="str">
            <v/>
          </cell>
          <cell r="I17" t="str">
            <v>NY 23%</v>
          </cell>
          <cell r="L17" t="str">
            <v>Effective DV01:</v>
          </cell>
          <cell r="P17" t="str">
            <v>Theo Payup</v>
          </cell>
          <cell r="Q17" t="str">
            <v>Act Payup</v>
          </cell>
          <cell r="R17" t="str">
            <v>Act/Theo</v>
          </cell>
        </row>
        <row r="18">
          <cell r="B18" t="str">
            <v>No Cash Refi:</v>
          </cell>
          <cell r="C18">
            <v>19.61</v>
          </cell>
          <cell r="E18" t="str">
            <v>3 Mth CPR:</v>
          </cell>
          <cell r="F18">
            <v>0.23</v>
          </cell>
          <cell r="G18" t="str">
            <v/>
          </cell>
          <cell r="I18" t="str">
            <v>MD 18%</v>
          </cell>
          <cell r="L18" t="str">
            <v>Vega:</v>
          </cell>
          <cell r="P18">
            <v>1.2669999999999959</v>
          </cell>
          <cell r="Q18">
            <v>1.9999999999996021E-2</v>
          </cell>
          <cell r="R18">
            <v>1.5785319652719877E-2</v>
          </cell>
        </row>
        <row r="19">
          <cell r="B19" t="str">
            <v>Owner Occ:</v>
          </cell>
          <cell r="C19">
            <v>94.89</v>
          </cell>
          <cell r="E19" t="str">
            <v>6 Mth CPR:</v>
          </cell>
          <cell r="F19">
            <v>21.55</v>
          </cell>
          <cell r="G19" t="str">
            <v/>
          </cell>
          <cell r="I19" t="str">
            <v>IL 16%</v>
          </cell>
          <cell r="L19" t="str">
            <v>PrepayDuration:</v>
          </cell>
          <cell r="S19">
            <v>0.5</v>
          </cell>
          <cell r="T19" t="str">
            <v>SwapCrv</v>
          </cell>
        </row>
        <row r="20">
          <cell r="B20" t="str">
            <v>Vacation:</v>
          </cell>
          <cell r="C20">
            <v>2.87</v>
          </cell>
          <cell r="E20" t="str">
            <v>12 Mth CPR:</v>
          </cell>
          <cell r="F20">
            <v>15.78</v>
          </cell>
          <cell r="G20" t="str">
            <v/>
          </cell>
          <cell r="L20" t="str">
            <v>VolatilityDuration:</v>
          </cell>
          <cell r="P20" t="str">
            <v>Shift</v>
          </cell>
          <cell r="Q20" t="str">
            <v>ROR</v>
          </cell>
          <cell r="R20" t="str">
            <v>vs. Generic</v>
          </cell>
        </row>
        <row r="21">
          <cell r="B21" t="str">
            <v>Investor:</v>
          </cell>
          <cell r="C21">
            <v>2.2400000000000002</v>
          </cell>
          <cell r="L21" t="str">
            <v>RefiElbowDuration:</v>
          </cell>
          <cell r="P21" t="str">
            <v>-200bp</v>
          </cell>
        </row>
        <row r="22">
          <cell r="B22" t="str">
            <v>Non-Reported:</v>
          </cell>
          <cell r="L22" t="str">
            <v>RefiPrepayDuration:</v>
          </cell>
          <cell r="P22" t="str">
            <v>-100bp</v>
          </cell>
        </row>
        <row r="23">
          <cell r="L23" t="str">
            <v>TurnoverPrepayDuration:</v>
          </cell>
          <cell r="P23">
            <v>0</v>
          </cell>
          <cell r="S23">
            <v>39447</v>
          </cell>
          <cell r="T23">
            <v>39447</v>
          </cell>
        </row>
        <row r="24">
          <cell r="C24" t="str">
            <v>Avg Loan Size</v>
          </cell>
          <cell r="E24" t="str">
            <v>Fico</v>
          </cell>
          <cell r="F24" t="str">
            <v>Rate</v>
          </cell>
          <cell r="G24" t="str">
            <v>LTV</v>
          </cell>
          <cell r="I24" t="str">
            <v>Other:</v>
          </cell>
          <cell r="L24" t="str">
            <v>CC SpreadSensitivity:</v>
          </cell>
          <cell r="P24" t="str">
            <v>+100bp</v>
          </cell>
        </row>
        <row r="25">
          <cell r="B25" t="str">
            <v>Curr:</v>
          </cell>
          <cell r="C25">
            <v>191638</v>
          </cell>
          <cell r="E25">
            <v>693</v>
          </cell>
          <cell r="F25">
            <v>6.35</v>
          </cell>
          <cell r="G25">
            <v>58</v>
          </cell>
          <cell r="I25" t="str">
            <v>IO Pct:</v>
          </cell>
          <cell r="J25">
            <v>11.77</v>
          </cell>
          <cell r="L25" t="str">
            <v>Proj Speeds</v>
          </cell>
          <cell r="P25" t="str">
            <v>+200bp</v>
          </cell>
        </row>
        <row r="26">
          <cell r="B26" t="str">
            <v>Min:</v>
          </cell>
          <cell r="C26">
            <v>63000</v>
          </cell>
          <cell r="E26">
            <v>601</v>
          </cell>
          <cell r="F26">
            <v>6.25</v>
          </cell>
          <cell r="G26">
            <v>13</v>
          </cell>
          <cell r="I26" t="str">
            <v>Rem Term:</v>
          </cell>
          <cell r="J26">
            <v>46</v>
          </cell>
          <cell r="L26" t="str">
            <v>1 Mth CPR</v>
          </cell>
          <cell r="M26">
            <v>10.02</v>
          </cell>
        </row>
        <row r="27">
          <cell r="B27" t="str">
            <v>0.25:</v>
          </cell>
          <cell r="C27">
            <v>178985</v>
          </cell>
          <cell r="E27">
            <v>650</v>
          </cell>
          <cell r="F27">
            <v>6.375</v>
          </cell>
          <cell r="G27">
            <v>74</v>
          </cell>
          <cell r="L27" t="str">
            <v>3 Mth CPR:</v>
          </cell>
          <cell r="M27">
            <v>8.76</v>
          </cell>
          <cell r="S27" t="str">
            <v>YB Curve:</v>
          </cell>
          <cell r="T27" t="str">
            <v>YB Settle:</v>
          </cell>
        </row>
        <row r="28">
          <cell r="B28" t="str">
            <v>Med:</v>
          </cell>
          <cell r="C28">
            <v>226000</v>
          </cell>
          <cell r="E28">
            <v>689</v>
          </cell>
          <cell r="F28">
            <v>6.375</v>
          </cell>
          <cell r="G28">
            <v>84</v>
          </cell>
          <cell r="L28" t="str">
            <v>6 Mth CPR:</v>
          </cell>
          <cell r="M28">
            <v>8.98</v>
          </cell>
        </row>
        <row r="29">
          <cell r="B29" t="str">
            <v>0.75:</v>
          </cell>
          <cell r="C29">
            <v>265000</v>
          </cell>
          <cell r="E29">
            <v>731</v>
          </cell>
          <cell r="F29">
            <v>6.375</v>
          </cell>
          <cell r="G29">
            <v>90</v>
          </cell>
          <cell r="L29" t="str">
            <v>12 Mth CPR</v>
          </cell>
          <cell r="M29">
            <v>9.92</v>
          </cell>
        </row>
        <row r="30">
          <cell r="B30" t="str">
            <v>Max:</v>
          </cell>
          <cell r="C30">
            <v>359650</v>
          </cell>
          <cell r="E30">
            <v>810</v>
          </cell>
          <cell r="F30">
            <v>6.375</v>
          </cell>
          <cell r="G30">
            <v>100</v>
          </cell>
          <cell r="L30" t="str">
            <v>LT CPR:</v>
          </cell>
          <cell r="M30">
            <v>28.41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F"/>
      <sheetName val="Prod"/>
      <sheetName val="MA Trends"/>
    </sheetNames>
    <sheetDataSet>
      <sheetData sheetId="0"/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IP Graphs"/>
      <sheetName val="GR InvPort"/>
      <sheetName val="PIF"/>
      <sheetName val="BizMix"/>
      <sheetName val="IS Sum"/>
      <sheetName val="Qtrly Seg"/>
      <sheetName val="MA Detail"/>
      <sheetName val="BalSht"/>
      <sheetName val="InvPort"/>
      <sheetName val="PIF Calcs"/>
      <sheetName val="Prod"/>
      <sheetName val="Debt Cov"/>
      <sheetName val="DebtCovCalcs"/>
      <sheetName val="Hedge"/>
      <sheetName val="Misc"/>
      <sheetName val="RatAgency=&gt;"/>
      <sheetName val="STAT Combo"/>
      <sheetName val="STAT IS DATA"/>
      <sheetName val="STAT BS DATA"/>
      <sheetName val="STAT OLD"/>
      <sheetName val="Ins RBCs"/>
      <sheetName val="HP RBCs"/>
      <sheetName val="Valuation"/>
      <sheetName val="HC Finls"/>
      <sheetName val="MA Trends"/>
      <sheetName val="RA Sum"/>
      <sheetName val="STAT"/>
      <sheetName val="US STAT IS"/>
    </sheetNames>
    <sheetDataSet>
      <sheetData sheetId="0" refreshError="1">
        <row r="1">
          <cell r="A1">
            <v>39263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IP Graphs"/>
      <sheetName val="GR InvPort"/>
      <sheetName val="PIF"/>
      <sheetName val="BizMix"/>
      <sheetName val="IS Sum"/>
      <sheetName val="Qtrly Seg"/>
      <sheetName val="MA Detail"/>
      <sheetName val="BalSht"/>
      <sheetName val="InvPort"/>
      <sheetName val="PIF Calcs"/>
      <sheetName val="Prod"/>
      <sheetName val="Debt Cov"/>
      <sheetName val="DebtCovCalcs"/>
      <sheetName val="Hedge"/>
      <sheetName val="Misc"/>
      <sheetName val="RatAgency=&gt;"/>
      <sheetName val="STAT Combo"/>
      <sheetName val="STAT IS DATA"/>
      <sheetName val="STAT BS DATA"/>
      <sheetName val="STAT OLD"/>
      <sheetName val="Ins RBCs"/>
      <sheetName val="HP RBCs"/>
      <sheetName val="Valuation"/>
      <sheetName val="HC Finls"/>
      <sheetName val="MA Trends"/>
      <sheetName val="RA Sum"/>
      <sheetName val="STAT"/>
      <sheetName val="US STAT IS"/>
    </sheetNames>
    <sheetDataSet>
      <sheetData sheetId="0" refreshError="1">
        <row r="1">
          <cell r="A1">
            <v>39263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Assumptions"/>
      <sheetName val="Summary"/>
      <sheetName val="Sources and Uses"/>
      <sheetName val="Pro forma GAAP Financials"/>
      <sheetName val="Pro forma GAAP Balance Sheet"/>
      <sheetName val="PYR GAAP Income Statement"/>
      <sheetName val="UHCO GAAP Income Statement"/>
      <sheetName val="UHCO PF GAAP Income Statement"/>
      <sheetName val="PYR Proj. -&gt;"/>
      <sheetName val="Consolidated PYR SAP Financials"/>
      <sheetName val="PYR New MS"/>
      <sheetName val="PYR Inforce Rollup"/>
      <sheetName val="PYR Med Sup"/>
      <sheetName val="PYR Med Sel"/>
      <sheetName val="PYR Other A&amp;H"/>
      <sheetName val="PYR LT Care"/>
      <sheetName val="PYR Universal"/>
      <sheetName val="PYR Other Life"/>
      <sheetName val="PYR Annuities"/>
      <sheetName val="CG New Med Sup"/>
      <sheetName val="UHCO Proj. -&gt;"/>
      <sheetName val="Union Bankers"/>
      <sheetName val="Penn Life"/>
      <sheetName val="Constitution"/>
      <sheetName val="UHCO Sou&amp;Use"/>
    </sheetNames>
    <sheetDataSet>
      <sheetData sheetId="0" refreshError="1"/>
      <sheetData sheetId="1" refreshError="1">
        <row r="9">
          <cell r="G9">
            <v>2002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Assumptions"/>
      <sheetName val="Summary"/>
      <sheetName val="Sources and Uses"/>
      <sheetName val="Pro forma GAAP Financials"/>
      <sheetName val="Pro forma GAAP Balance Sheet"/>
      <sheetName val="PYR GAAP Income Statement"/>
      <sheetName val="UHCO GAAP Income Statement"/>
      <sheetName val="UHCO PF GAAP Income Statement"/>
      <sheetName val="PYR Proj. -&gt;"/>
      <sheetName val="Consolidated PYR SAP Financials"/>
      <sheetName val="PYR New MS"/>
      <sheetName val="PYR Inforce Rollup"/>
      <sheetName val="PYR Med Sup"/>
      <sheetName val="PYR Med Sel"/>
      <sheetName val="PYR Other A&amp;H"/>
      <sheetName val="PYR LT Care"/>
      <sheetName val="PYR Universal"/>
      <sheetName val="PYR Other Life"/>
      <sheetName val="PYR Annuities"/>
      <sheetName val="CG New Med Sup"/>
      <sheetName val="UHCO Proj. -&gt;"/>
      <sheetName val="Union Bankers"/>
      <sheetName val="Penn Life"/>
      <sheetName val="Constitution"/>
      <sheetName val="UHCO Sou&amp;Use"/>
    </sheetNames>
    <sheetDataSet>
      <sheetData sheetId="0" refreshError="1"/>
      <sheetData sheetId="1" refreshError="1">
        <row r="9">
          <cell r="G9">
            <v>2002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K57"/>
  <sheetViews>
    <sheetView tabSelected="1" view="pageBreakPreview" zoomScaleSheetLayoutView="100" workbookViewId="0">
      <pane xSplit="1" ySplit="6" topLeftCell="B7" activePane="bottomRight" state="frozen"/>
      <selection activeCell="N27" sqref="N27"/>
      <selection pane="topRight" activeCell="N27" sqref="N27"/>
      <selection pane="bottomLeft" activeCell="N27" sqref="N27"/>
      <selection pane="bottomRight" activeCell="I28" sqref="I28"/>
    </sheetView>
  </sheetViews>
  <sheetFormatPr defaultRowHeight="12.75"/>
  <cols>
    <col min="1" max="1" width="46" style="17" customWidth="1"/>
    <col min="2" max="2" width="2.28515625" style="438" customWidth="1"/>
    <col min="3" max="3" width="18.28515625" style="17" customWidth="1"/>
    <col min="4" max="4" width="2.140625" style="438" customWidth="1"/>
    <col min="5" max="5" width="17.28515625" style="438" customWidth="1"/>
    <col min="6" max="6" width="1.7109375" style="312" customWidth="1"/>
    <col min="7" max="7" width="16.5703125" style="312" customWidth="1"/>
    <col min="8" max="8" width="1.7109375" style="312" customWidth="1"/>
    <col min="9" max="9" width="14.42578125" style="312" customWidth="1"/>
    <col min="10" max="10" width="1.42578125" style="312" customWidth="1"/>
    <col min="11" max="11" width="13.5703125" style="312" customWidth="1"/>
  </cols>
  <sheetData>
    <row r="1" spans="1:11" s="113" customFormat="1" ht="15.75">
      <c r="A1" s="537" t="s">
        <v>252</v>
      </c>
      <c r="B1" s="537"/>
      <c r="C1" s="537"/>
      <c r="D1" s="537"/>
      <c r="E1" s="537"/>
      <c r="F1" s="537"/>
      <c r="G1" s="537"/>
      <c r="H1" s="537"/>
      <c r="I1" s="537"/>
      <c r="J1" s="537"/>
      <c r="K1" s="537"/>
    </row>
    <row r="2" spans="1:11" s="113" customFormat="1" ht="15.75">
      <c r="A2" s="537" t="s">
        <v>1</v>
      </c>
      <c r="B2" s="537"/>
      <c r="C2" s="537"/>
      <c r="D2" s="537"/>
      <c r="E2" s="537"/>
      <c r="F2" s="537"/>
      <c r="G2" s="537"/>
      <c r="H2" s="537"/>
      <c r="I2" s="537"/>
      <c r="J2" s="537"/>
      <c r="K2" s="537"/>
    </row>
    <row r="3" spans="1:11" s="113" customFormat="1" ht="15.75">
      <c r="A3" s="537" t="s">
        <v>4</v>
      </c>
      <c r="B3" s="537"/>
      <c r="C3" s="537"/>
      <c r="D3" s="537"/>
      <c r="E3" s="537"/>
      <c r="F3" s="537"/>
      <c r="G3" s="537"/>
      <c r="H3" s="537"/>
      <c r="I3" s="537"/>
      <c r="J3" s="537"/>
      <c r="K3" s="537"/>
    </row>
    <row r="4" spans="1:11" s="17" customFormat="1">
      <c r="A4" s="39"/>
      <c r="B4" s="39"/>
      <c r="C4" s="278"/>
      <c r="D4" s="278"/>
      <c r="E4" s="278"/>
      <c r="F4" s="278"/>
      <c r="G4" s="278"/>
      <c r="H4" s="278"/>
      <c r="I4" s="278"/>
      <c r="J4" s="278"/>
      <c r="K4" s="278"/>
    </row>
    <row r="5" spans="1:11" s="17" customFormat="1" ht="12.75" customHeight="1">
      <c r="A5" s="536" t="s">
        <v>2</v>
      </c>
      <c r="B5" s="476"/>
      <c r="C5" s="40" t="s">
        <v>75</v>
      </c>
      <c r="D5" s="40"/>
      <c r="E5" s="40" t="s">
        <v>80</v>
      </c>
      <c r="F5" s="40"/>
      <c r="G5" s="40" t="s">
        <v>77</v>
      </c>
      <c r="H5" s="40"/>
      <c r="I5" s="40" t="s">
        <v>76</v>
      </c>
      <c r="J5" s="40"/>
      <c r="K5" s="40" t="s">
        <v>75</v>
      </c>
    </row>
    <row r="6" spans="1:11" s="17" customFormat="1" ht="15" customHeight="1" thickBot="1">
      <c r="A6" s="536"/>
      <c r="B6" s="476"/>
      <c r="C6" s="41">
        <v>2011</v>
      </c>
      <c r="D6" s="110"/>
      <c r="E6" s="41">
        <v>2011</v>
      </c>
      <c r="F6" s="110"/>
      <c r="G6" s="41">
        <v>2011</v>
      </c>
      <c r="H6" s="110"/>
      <c r="I6" s="41" t="s">
        <v>1203</v>
      </c>
      <c r="J6" s="110"/>
      <c r="K6" s="41" t="s">
        <v>1204</v>
      </c>
    </row>
    <row r="7" spans="1:11" s="17" customFormat="1" ht="16.5" thickTop="1">
      <c r="A7" s="42"/>
      <c r="B7" s="42"/>
      <c r="C7" s="361"/>
      <c r="D7" s="361"/>
      <c r="E7" s="40" t="s">
        <v>1205</v>
      </c>
      <c r="F7" s="361"/>
      <c r="G7" s="40" t="s">
        <v>1205</v>
      </c>
      <c r="H7" s="333"/>
      <c r="I7" s="40" t="s">
        <v>1205</v>
      </c>
      <c r="J7" s="381"/>
      <c r="K7" s="361"/>
    </row>
    <row r="8" spans="1:11" s="17" customFormat="1" ht="15">
      <c r="A8" s="43" t="s">
        <v>3</v>
      </c>
      <c r="B8" s="43"/>
      <c r="C8" s="381"/>
      <c r="D8" s="381"/>
      <c r="E8" s="381"/>
      <c r="F8" s="381"/>
      <c r="G8" s="381"/>
      <c r="H8" s="333"/>
      <c r="I8" s="381"/>
      <c r="J8" s="381"/>
      <c r="K8" s="381"/>
    </row>
    <row r="9" spans="1:11" s="17" customFormat="1" ht="15">
      <c r="A9" s="43" t="s">
        <v>111</v>
      </c>
      <c r="B9" s="43"/>
      <c r="C9" s="381"/>
      <c r="D9" s="381"/>
      <c r="E9" s="381"/>
      <c r="F9" s="381"/>
      <c r="G9" s="381"/>
      <c r="H9" s="333"/>
      <c r="I9" s="381"/>
      <c r="J9" s="381"/>
      <c r="K9" s="381"/>
    </row>
    <row r="10" spans="1:11" s="17" customFormat="1">
      <c r="A10" s="43" t="s">
        <v>1202</v>
      </c>
      <c r="B10" s="43"/>
      <c r="C10" s="455">
        <v>1222947.5744199997</v>
      </c>
      <c r="D10" s="432"/>
      <c r="E10" s="455">
        <v>1223576.0306800001</v>
      </c>
      <c r="F10" s="357"/>
      <c r="G10" s="432">
        <v>1197337</v>
      </c>
      <c r="H10" s="286"/>
      <c r="I10" s="432">
        <v>1264567</v>
      </c>
      <c r="J10" s="357"/>
      <c r="K10" s="432">
        <v>1398498</v>
      </c>
    </row>
    <row r="11" spans="1:11" s="17" customFormat="1">
      <c r="A11" s="43" t="s">
        <v>483</v>
      </c>
      <c r="B11" s="43"/>
      <c r="C11" s="447">
        <v>1561.4120600000001</v>
      </c>
      <c r="D11" s="391"/>
      <c r="E11" s="447">
        <v>1511.4677199999983</v>
      </c>
      <c r="F11" s="357"/>
      <c r="G11" s="386">
        <v>1476</v>
      </c>
      <c r="H11" s="286"/>
      <c r="I11" s="391">
        <v>1454</v>
      </c>
      <c r="J11" s="357"/>
      <c r="K11" s="391">
        <v>1409</v>
      </c>
    </row>
    <row r="12" spans="1:11" s="17" customFormat="1">
      <c r="A12" s="43" t="s">
        <v>5</v>
      </c>
      <c r="B12" s="43"/>
      <c r="C12" s="451">
        <f>SUM(C10:C11)</f>
        <v>1224508.9864799997</v>
      </c>
      <c r="D12" s="392"/>
      <c r="E12" s="451">
        <f>SUM(E10:E11)</f>
        <v>1225087.4984000002</v>
      </c>
      <c r="F12" s="356"/>
      <c r="G12" s="451">
        <f>SUM(G10:G11)</f>
        <v>1198813</v>
      </c>
      <c r="H12" s="289"/>
      <c r="I12" s="451">
        <f>SUM(I10:I11)</f>
        <v>1266021</v>
      </c>
      <c r="J12" s="356"/>
      <c r="K12" s="451">
        <f>SUM(K10:K11)</f>
        <v>1399907</v>
      </c>
    </row>
    <row r="13" spans="1:11" s="17" customFormat="1">
      <c r="A13" s="43"/>
      <c r="B13" s="43"/>
      <c r="C13" s="287"/>
      <c r="D13" s="287"/>
      <c r="E13" s="448"/>
      <c r="F13" s="287"/>
      <c r="G13" s="387"/>
      <c r="H13" s="287"/>
      <c r="I13" s="287"/>
      <c r="J13" s="287"/>
      <c r="K13" s="287"/>
    </row>
    <row r="14" spans="1:11" s="17" customFormat="1">
      <c r="A14" s="43" t="s">
        <v>6</v>
      </c>
      <c r="B14" s="43"/>
      <c r="C14" s="447">
        <v>63538.87055</v>
      </c>
      <c r="D14" s="391"/>
      <c r="E14" s="447">
        <v>219389.90855000002</v>
      </c>
      <c r="F14" s="357"/>
      <c r="G14" s="386">
        <v>20135</v>
      </c>
      <c r="H14" s="286"/>
      <c r="I14" s="391">
        <v>-11182.481450249936</v>
      </c>
      <c r="J14" s="357"/>
      <c r="K14" s="391">
        <v>23223.6166296023</v>
      </c>
    </row>
    <row r="15" spans="1:11" s="17" customFormat="1">
      <c r="A15" s="43" t="s">
        <v>7</v>
      </c>
      <c r="B15" s="43"/>
      <c r="C15" s="447">
        <v>10297.369859999999</v>
      </c>
      <c r="D15" s="391"/>
      <c r="E15" s="447">
        <v>11205.588519999999</v>
      </c>
      <c r="F15" s="357"/>
      <c r="G15" s="386">
        <v>10700</v>
      </c>
      <c r="H15" s="286"/>
      <c r="I15" s="391">
        <v>11731</v>
      </c>
      <c r="J15" s="357"/>
      <c r="K15" s="391">
        <v>12455</v>
      </c>
    </row>
    <row r="16" spans="1:11" s="17" customFormat="1">
      <c r="A16" s="43" t="s">
        <v>8</v>
      </c>
      <c r="B16" s="43"/>
      <c r="C16" s="447">
        <v>141513</v>
      </c>
      <c r="D16" s="391"/>
      <c r="E16" s="447">
        <v>142517.43291</v>
      </c>
      <c r="F16" s="357"/>
      <c r="G16" s="386">
        <v>142605</v>
      </c>
      <c r="H16" s="286"/>
      <c r="I16" s="391">
        <v>142452</v>
      </c>
      <c r="J16" s="357"/>
      <c r="K16" s="391">
        <v>144750</v>
      </c>
    </row>
    <row r="17" spans="1:11" s="17" customFormat="1">
      <c r="A17" s="43" t="s">
        <v>276</v>
      </c>
      <c r="B17" s="43"/>
      <c r="C17" s="447">
        <v>559274</v>
      </c>
      <c r="D17" s="391"/>
      <c r="E17" s="447">
        <v>567319</v>
      </c>
      <c r="F17" s="357"/>
      <c r="G17" s="386">
        <v>572724</v>
      </c>
      <c r="H17" s="286"/>
      <c r="I17" s="391">
        <v>584265</v>
      </c>
      <c r="J17" s="357"/>
      <c r="K17" s="391">
        <v>590253</v>
      </c>
    </row>
    <row r="18" spans="1:11" s="17" customFormat="1">
      <c r="A18" s="43" t="s">
        <v>277</v>
      </c>
      <c r="B18" s="43"/>
      <c r="C18" s="447">
        <v>122269</v>
      </c>
      <c r="D18" s="391"/>
      <c r="E18" s="447">
        <v>122158</v>
      </c>
      <c r="F18" s="357"/>
      <c r="G18" s="386">
        <v>120413</v>
      </c>
      <c r="H18" s="286"/>
      <c r="I18" s="391">
        <v>124275.20752</v>
      </c>
      <c r="J18" s="357"/>
      <c r="K18" s="391">
        <v>127614.13042</v>
      </c>
    </row>
    <row r="19" spans="1:11" s="17" customFormat="1">
      <c r="A19" s="43" t="s">
        <v>9</v>
      </c>
      <c r="B19" s="43"/>
      <c r="C19" s="447">
        <v>32510.059289999997</v>
      </c>
      <c r="D19" s="391"/>
      <c r="E19" s="447">
        <v>17967.209250000004</v>
      </c>
      <c r="F19" s="357"/>
      <c r="G19" s="386">
        <v>98364</v>
      </c>
      <c r="H19" s="286"/>
      <c r="I19" s="391">
        <v>75455.466109999994</v>
      </c>
      <c r="J19" s="357"/>
      <c r="K19" s="391">
        <v>52616.648270000005</v>
      </c>
    </row>
    <row r="20" spans="1:11" s="17" customFormat="1" ht="24">
      <c r="A20" s="43" t="s">
        <v>35</v>
      </c>
      <c r="B20" s="43"/>
      <c r="C20" s="447">
        <v>17401</v>
      </c>
      <c r="D20" s="391"/>
      <c r="E20" s="447">
        <v>34111.601260000003</v>
      </c>
      <c r="F20" s="357"/>
      <c r="G20" s="386">
        <v>35132</v>
      </c>
      <c r="H20" s="286"/>
      <c r="I20" s="391">
        <v>36261.08971</v>
      </c>
      <c r="J20" s="357"/>
      <c r="K20" s="391">
        <v>37433.523000000001</v>
      </c>
    </row>
    <row r="21" spans="1:11" s="17" customFormat="1">
      <c r="A21" s="43" t="s">
        <v>34</v>
      </c>
      <c r="B21" s="43"/>
      <c r="C21" s="447">
        <v>77458.718970000002</v>
      </c>
      <c r="D21" s="391"/>
      <c r="E21" s="447">
        <v>77458.718590000004</v>
      </c>
      <c r="F21" s="357"/>
      <c r="G21" s="386">
        <v>77459</v>
      </c>
      <c r="H21" s="286"/>
      <c r="I21" s="391">
        <v>77458.361939999973</v>
      </c>
      <c r="J21" s="357"/>
      <c r="K21" s="391">
        <v>77459.362000000023</v>
      </c>
    </row>
    <row r="22" spans="1:11" s="17" customFormat="1">
      <c r="A22" s="43" t="s">
        <v>78</v>
      </c>
      <c r="B22" s="43"/>
      <c r="C22" s="447">
        <v>51174.780392818218</v>
      </c>
      <c r="D22" s="391"/>
      <c r="E22" s="447">
        <v>17234.65418281822</v>
      </c>
      <c r="F22" s="357"/>
      <c r="G22" s="386">
        <v>22987</v>
      </c>
      <c r="H22" s="286"/>
      <c r="I22" s="391">
        <v>18289</v>
      </c>
      <c r="J22" s="357"/>
      <c r="K22" s="391">
        <v>0</v>
      </c>
    </row>
    <row r="23" spans="1:11" s="17" customFormat="1">
      <c r="A23" s="43" t="s">
        <v>278</v>
      </c>
      <c r="B23" s="43"/>
      <c r="C23" s="447">
        <v>16412.050859999992</v>
      </c>
      <c r="D23" s="391"/>
      <c r="E23" s="447">
        <v>24017.812379999996</v>
      </c>
      <c r="F23" s="357"/>
      <c r="G23" s="386">
        <v>28007</v>
      </c>
      <c r="H23" s="286"/>
      <c r="I23" s="391">
        <v>31650</v>
      </c>
      <c r="J23" s="357"/>
      <c r="K23" s="391">
        <v>36717.474000000002</v>
      </c>
    </row>
    <row r="24" spans="1:11" s="17" customFormat="1">
      <c r="A24" s="43" t="s">
        <v>10</v>
      </c>
      <c r="B24" s="43"/>
      <c r="C24" s="447">
        <v>72160</v>
      </c>
      <c r="D24" s="391"/>
      <c r="E24" s="447">
        <v>110553.22569000001</v>
      </c>
      <c r="F24" s="357"/>
      <c r="G24" s="386">
        <v>139071</v>
      </c>
      <c r="H24" s="334"/>
      <c r="I24" s="391">
        <v>143871.77578</v>
      </c>
      <c r="J24" s="357"/>
      <c r="K24" s="391">
        <v>141738.13735999999</v>
      </c>
    </row>
    <row r="25" spans="1:11" s="17" customFormat="1">
      <c r="A25" s="43" t="s">
        <v>1116</v>
      </c>
      <c r="B25" s="43"/>
      <c r="C25" s="447">
        <v>0</v>
      </c>
      <c r="D25" s="391"/>
      <c r="E25" s="447">
        <v>0</v>
      </c>
      <c r="F25" s="357"/>
      <c r="G25" s="386">
        <v>0</v>
      </c>
      <c r="H25" s="287"/>
      <c r="I25" s="391">
        <v>1058105.5803902498</v>
      </c>
      <c r="J25" s="357"/>
      <c r="K25" s="391">
        <v>1011842.1083203976</v>
      </c>
    </row>
    <row r="26" spans="1:11" s="17" customFormat="1" ht="13.5" thickBot="1">
      <c r="A26" s="43" t="s">
        <v>11</v>
      </c>
      <c r="B26" s="43"/>
      <c r="C26" s="456">
        <f>SUM(C12:C25)</f>
        <v>2388517.8364028172</v>
      </c>
      <c r="D26" s="445"/>
      <c r="E26" s="456">
        <f>SUM(E12:E25)</f>
        <v>2569020.6497328188</v>
      </c>
      <c r="F26" s="356"/>
      <c r="G26" s="456">
        <f>SUM(G12:G25)</f>
        <v>2466410</v>
      </c>
      <c r="H26" s="289"/>
      <c r="I26" s="456">
        <f>SUM(I12:I25)</f>
        <v>3558652.9999999995</v>
      </c>
      <c r="J26" s="356"/>
      <c r="K26" s="456">
        <f>SUM(K12:K25)</f>
        <v>3656010</v>
      </c>
    </row>
    <row r="27" spans="1:11" s="17" customFormat="1" ht="13.5" thickTop="1">
      <c r="A27" s="43"/>
      <c r="B27" s="43"/>
      <c r="C27" s="287"/>
      <c r="D27" s="287"/>
      <c r="E27" s="448"/>
      <c r="F27" s="287"/>
      <c r="G27" s="387"/>
      <c r="H27" s="287"/>
      <c r="I27" s="287"/>
      <c r="J27" s="287"/>
      <c r="K27" s="287"/>
    </row>
    <row r="28" spans="1:11" s="17" customFormat="1">
      <c r="A28" s="43" t="s">
        <v>12</v>
      </c>
      <c r="B28" s="43"/>
      <c r="C28" s="287"/>
      <c r="D28" s="287"/>
      <c r="E28" s="448"/>
      <c r="F28" s="287"/>
      <c r="G28" s="387"/>
      <c r="H28" s="287"/>
      <c r="I28" s="287"/>
      <c r="J28" s="287"/>
      <c r="K28" s="287"/>
    </row>
    <row r="29" spans="1:11" s="17" customFormat="1">
      <c r="A29" s="43"/>
      <c r="B29" s="43"/>
      <c r="C29" s="287"/>
      <c r="D29" s="287"/>
      <c r="E29" s="448"/>
      <c r="F29" s="287"/>
      <c r="G29" s="387"/>
      <c r="H29" s="287"/>
      <c r="I29" s="287"/>
      <c r="J29" s="287"/>
      <c r="K29" s="287"/>
    </row>
    <row r="30" spans="1:11" s="17" customFormat="1">
      <c r="A30" s="43" t="s">
        <v>13</v>
      </c>
      <c r="B30" s="43"/>
      <c r="C30" s="287"/>
      <c r="D30" s="287"/>
      <c r="E30" s="448"/>
      <c r="F30" s="287"/>
      <c r="G30" s="387"/>
      <c r="H30" s="287"/>
      <c r="I30" s="287"/>
      <c r="J30" s="287"/>
      <c r="K30" s="287"/>
    </row>
    <row r="31" spans="1:11" s="17" customFormat="1">
      <c r="A31" s="43" t="s">
        <v>303</v>
      </c>
      <c r="B31" s="43"/>
      <c r="C31" s="447">
        <v>561889</v>
      </c>
      <c r="D31" s="391"/>
      <c r="E31" s="447">
        <v>568034</v>
      </c>
      <c r="F31" s="357"/>
      <c r="G31" s="386">
        <v>571438</v>
      </c>
      <c r="H31" s="286"/>
      <c r="I31" s="391">
        <v>577407</v>
      </c>
      <c r="J31" s="357"/>
      <c r="K31" s="391">
        <v>582248</v>
      </c>
    </row>
    <row r="32" spans="1:11" s="17" customFormat="1">
      <c r="A32" s="43" t="s">
        <v>279</v>
      </c>
      <c r="B32" s="43"/>
      <c r="C32" s="447">
        <v>408872</v>
      </c>
      <c r="D32" s="391"/>
      <c r="E32" s="447">
        <v>404152</v>
      </c>
      <c r="F32" s="357"/>
      <c r="G32" s="386">
        <v>407525</v>
      </c>
      <c r="H32" s="286"/>
      <c r="I32" s="391">
        <v>408679</v>
      </c>
      <c r="J32" s="357"/>
      <c r="K32" s="391">
        <v>407312</v>
      </c>
    </row>
    <row r="33" spans="1:11" s="17" customFormat="1">
      <c r="A33" s="43" t="s">
        <v>14</v>
      </c>
      <c r="B33" s="43"/>
      <c r="C33" s="447">
        <v>182792</v>
      </c>
      <c r="D33" s="391"/>
      <c r="E33" s="447">
        <v>193799.61742</v>
      </c>
      <c r="F33" s="357"/>
      <c r="G33" s="386">
        <v>217664</v>
      </c>
      <c r="H33" s="286"/>
      <c r="I33" s="391">
        <v>248002.64424999995</v>
      </c>
      <c r="J33" s="357"/>
      <c r="K33" s="391">
        <v>306390</v>
      </c>
    </row>
    <row r="34" spans="1:11" s="17" customFormat="1">
      <c r="A34" s="43" t="s">
        <v>96</v>
      </c>
      <c r="B34" s="43"/>
      <c r="C34" s="447">
        <v>17072</v>
      </c>
      <c r="D34" s="391"/>
      <c r="E34" s="447">
        <v>164009.25131000002</v>
      </c>
      <c r="F34" s="357"/>
      <c r="G34" s="386">
        <v>9310</v>
      </c>
      <c r="H34" s="286"/>
      <c r="I34" s="391">
        <v>11385</v>
      </c>
      <c r="J34" s="357"/>
      <c r="K34" s="391">
        <v>16410</v>
      </c>
    </row>
    <row r="35" spans="1:11" s="312" customFormat="1">
      <c r="A35" s="43" t="s">
        <v>521</v>
      </c>
      <c r="B35" s="43"/>
      <c r="C35" s="447">
        <v>40000</v>
      </c>
      <c r="D35" s="391"/>
      <c r="E35" s="447">
        <v>40000</v>
      </c>
      <c r="F35" s="357"/>
      <c r="G35" s="386">
        <v>40000</v>
      </c>
      <c r="H35" s="357"/>
      <c r="I35" s="391">
        <v>0</v>
      </c>
      <c r="J35" s="357"/>
      <c r="K35" s="391">
        <v>0</v>
      </c>
    </row>
    <row r="36" spans="1:11" s="17" customFormat="1">
      <c r="A36" s="43" t="s">
        <v>15</v>
      </c>
      <c r="B36" s="43"/>
      <c r="C36" s="447">
        <v>9204</v>
      </c>
      <c r="D36" s="391"/>
      <c r="E36" s="447">
        <v>11165.51448999999</v>
      </c>
      <c r="F36" s="357"/>
      <c r="G36" s="386">
        <v>8456</v>
      </c>
      <c r="H36" s="286"/>
      <c r="I36" s="391">
        <v>5998</v>
      </c>
      <c r="J36" s="357"/>
      <c r="K36" s="391">
        <v>6710</v>
      </c>
    </row>
    <row r="37" spans="1:11" s="17" customFormat="1">
      <c r="A37" s="43" t="s">
        <v>36</v>
      </c>
      <c r="B37" s="43"/>
      <c r="C37" s="447">
        <v>0</v>
      </c>
      <c r="D37" s="391"/>
      <c r="E37" s="447">
        <v>0</v>
      </c>
      <c r="F37" s="357"/>
      <c r="G37" s="386">
        <v>0</v>
      </c>
      <c r="H37" s="286"/>
      <c r="I37" s="391">
        <v>0</v>
      </c>
      <c r="J37" s="357"/>
      <c r="K37" s="357">
        <v>48983</v>
      </c>
    </row>
    <row r="38" spans="1:11" s="17" customFormat="1">
      <c r="A38" s="43" t="s">
        <v>502</v>
      </c>
      <c r="B38" s="43"/>
      <c r="C38" s="447">
        <v>52032</v>
      </c>
      <c r="D38" s="391"/>
      <c r="E38" s="447">
        <v>32704.137168256832</v>
      </c>
      <c r="F38" s="357"/>
      <c r="G38" s="386">
        <v>35164</v>
      </c>
      <c r="H38" s="286"/>
      <c r="I38" s="391">
        <v>27264.44935825</v>
      </c>
      <c r="J38" s="357"/>
      <c r="K38" s="391">
        <v>24396</v>
      </c>
    </row>
    <row r="39" spans="1:11" s="17" customFormat="1">
      <c r="A39" s="43" t="s">
        <v>16</v>
      </c>
      <c r="B39" s="43"/>
      <c r="C39" s="447">
        <v>131351</v>
      </c>
      <c r="D39" s="391"/>
      <c r="E39" s="447">
        <v>149197.65561000002</v>
      </c>
      <c r="F39" s="357"/>
      <c r="G39" s="386">
        <v>176759</v>
      </c>
      <c r="H39" s="286"/>
      <c r="I39" s="391">
        <v>160142.90935</v>
      </c>
      <c r="J39" s="357"/>
      <c r="K39" s="391">
        <v>181813</v>
      </c>
    </row>
    <row r="40" spans="1:11" s="17" customFormat="1">
      <c r="A40" s="43" t="s">
        <v>1117</v>
      </c>
      <c r="B40" s="43"/>
      <c r="C40" s="447">
        <v>0</v>
      </c>
      <c r="D40" s="391"/>
      <c r="E40" s="447">
        <v>0</v>
      </c>
      <c r="F40" s="357"/>
      <c r="G40" s="386">
        <v>0</v>
      </c>
      <c r="H40" s="289"/>
      <c r="I40" s="391">
        <f>625030.05076175+28766</f>
        <v>653796.05076174997</v>
      </c>
      <c r="J40" s="356"/>
      <c r="K40" s="391">
        <v>579054</v>
      </c>
    </row>
    <row r="41" spans="1:11" s="17" customFormat="1">
      <c r="A41" s="43" t="s">
        <v>17</v>
      </c>
      <c r="B41" s="43"/>
      <c r="C41" s="457">
        <f>SUM(C31:C40)</f>
        <v>1403212</v>
      </c>
      <c r="D41" s="445"/>
      <c r="E41" s="457">
        <f>SUM(E31:E40)</f>
        <v>1563062.1759982568</v>
      </c>
      <c r="F41" s="356"/>
      <c r="G41" s="457">
        <f>SUM(G31:G40)</f>
        <v>1466316</v>
      </c>
      <c r="H41" s="289"/>
      <c r="I41" s="457">
        <f>SUM(I31:I40)</f>
        <v>2092675.05372</v>
      </c>
      <c r="J41" s="356"/>
      <c r="K41" s="457">
        <f>SUM(K31:K40)</f>
        <v>2153316</v>
      </c>
    </row>
    <row r="42" spans="1:11" s="17" customFormat="1">
      <c r="A42" s="43"/>
      <c r="B42" s="43"/>
      <c r="C42" s="358"/>
      <c r="D42" s="358"/>
      <c r="E42" s="453"/>
      <c r="F42" s="358"/>
      <c r="G42" s="388"/>
      <c r="H42" s="287"/>
      <c r="I42" s="358"/>
      <c r="J42" s="287"/>
      <c r="K42" s="287"/>
    </row>
    <row r="43" spans="1:11" s="312" customFormat="1">
      <c r="A43" s="43"/>
      <c r="B43" s="43"/>
      <c r="C43" s="359"/>
      <c r="D43" s="359"/>
      <c r="E43" s="454"/>
      <c r="F43" s="359"/>
      <c r="G43" s="387"/>
      <c r="H43" s="287"/>
      <c r="I43" s="359"/>
      <c r="J43" s="287"/>
      <c r="K43" s="287"/>
    </row>
    <row r="44" spans="1:11" s="17" customFormat="1">
      <c r="A44" s="43" t="s">
        <v>18</v>
      </c>
      <c r="B44" s="43"/>
      <c r="C44" s="287"/>
      <c r="D44" s="287"/>
      <c r="E44" s="448"/>
      <c r="F44" s="287"/>
      <c r="G44"/>
      <c r="H44" s="287"/>
      <c r="I44" s="287"/>
      <c r="J44" s="287"/>
      <c r="K44" s="287"/>
    </row>
    <row r="45" spans="1:11" s="17" customFormat="1" ht="5.25" customHeight="1">
      <c r="A45" s="43"/>
      <c r="B45" s="43"/>
      <c r="C45" s="287"/>
      <c r="D45" s="287"/>
      <c r="E45" s="448"/>
      <c r="F45" s="287"/>
      <c r="G45"/>
      <c r="H45" s="287"/>
      <c r="I45" s="287"/>
      <c r="J45" s="287"/>
      <c r="K45" s="287"/>
    </row>
    <row r="46" spans="1:11" s="17" customFormat="1" ht="36">
      <c r="A46" s="43" t="s">
        <v>1118</v>
      </c>
      <c r="B46" s="43"/>
      <c r="C46" s="447">
        <v>0</v>
      </c>
      <c r="D46" s="391"/>
      <c r="E46" s="447">
        <v>0</v>
      </c>
      <c r="F46" s="357"/>
      <c r="G46" s="389">
        <v>0</v>
      </c>
      <c r="H46" s="286"/>
      <c r="I46" s="391">
        <v>42</v>
      </c>
      <c r="J46" s="357"/>
      <c r="K46" s="391">
        <v>42</v>
      </c>
    </row>
    <row r="47" spans="1:11" s="17" customFormat="1" ht="24" hidden="1" customHeight="1">
      <c r="A47" s="43" t="s">
        <v>285</v>
      </c>
      <c r="B47" s="43"/>
      <c r="C47" s="447">
        <v>0</v>
      </c>
      <c r="D47" s="391"/>
      <c r="E47" s="447">
        <v>0</v>
      </c>
      <c r="F47" s="357"/>
      <c r="G47"/>
      <c r="H47" s="286"/>
      <c r="I47" s="391">
        <v>0</v>
      </c>
      <c r="J47" s="357"/>
      <c r="K47" s="391">
        <v>0</v>
      </c>
    </row>
    <row r="48" spans="1:11" s="17" customFormat="1" ht="48">
      <c r="A48" s="43" t="s">
        <v>1200</v>
      </c>
      <c r="B48" s="43"/>
      <c r="C48" s="447">
        <v>781.65774999999996</v>
      </c>
      <c r="D48" s="391"/>
      <c r="E48" s="447">
        <v>782</v>
      </c>
      <c r="F48" s="357"/>
      <c r="G48" s="390">
        <v>782</v>
      </c>
      <c r="H48" s="286"/>
      <c r="I48" s="391">
        <v>793</v>
      </c>
      <c r="J48" s="357"/>
      <c r="K48" s="391">
        <v>786</v>
      </c>
    </row>
    <row r="49" spans="1:11" s="17" customFormat="1" ht="36">
      <c r="A49" s="43" t="s">
        <v>1201</v>
      </c>
      <c r="B49" s="43"/>
      <c r="C49" s="447">
        <v>33</v>
      </c>
      <c r="D49" s="391"/>
      <c r="E49" s="447">
        <v>33</v>
      </c>
      <c r="F49" s="357"/>
      <c r="G49" s="390">
        <v>33</v>
      </c>
      <c r="H49" s="286"/>
      <c r="I49" s="391">
        <v>0</v>
      </c>
      <c r="J49" s="357"/>
      <c r="K49" s="391">
        <v>0</v>
      </c>
    </row>
    <row r="50" spans="1:11" s="17" customFormat="1">
      <c r="A50" s="43" t="s">
        <v>19</v>
      </c>
      <c r="B50" s="43"/>
      <c r="C50" s="447">
        <v>738029.49659000011</v>
      </c>
      <c r="D50" s="391"/>
      <c r="E50" s="447">
        <v>737092</v>
      </c>
      <c r="F50" s="357"/>
      <c r="G50" s="391">
        <v>747079</v>
      </c>
      <c r="H50" s="286"/>
      <c r="I50" s="391">
        <v>807841</v>
      </c>
      <c r="J50" s="357"/>
      <c r="K50" s="391">
        <v>801155</v>
      </c>
    </row>
    <row r="51" spans="1:11" s="17" customFormat="1">
      <c r="A51" s="43" t="s">
        <v>304</v>
      </c>
      <c r="B51" s="43"/>
      <c r="C51" s="447">
        <v>11165.768889000001</v>
      </c>
      <c r="D51" s="391"/>
      <c r="E51" s="447">
        <v>12783</v>
      </c>
      <c r="F51" s="357"/>
      <c r="G51" s="391">
        <v>12193</v>
      </c>
      <c r="H51" s="286"/>
      <c r="I51" s="391">
        <v>-2628</v>
      </c>
      <c r="J51" s="357"/>
      <c r="K51" s="391">
        <v>-2469</v>
      </c>
    </row>
    <row r="52" spans="1:11" s="17" customFormat="1">
      <c r="A52" s="43" t="s">
        <v>20</v>
      </c>
      <c r="B52" s="43"/>
      <c r="C52" s="447">
        <v>235295.88895971971</v>
      </c>
      <c r="D52" s="391"/>
      <c r="E52" s="447">
        <v>255269</v>
      </c>
      <c r="F52" s="357"/>
      <c r="G52" s="391">
        <v>240007</v>
      </c>
      <c r="H52" s="286"/>
      <c r="I52" s="391">
        <v>702371</v>
      </c>
      <c r="J52" s="357"/>
      <c r="K52" s="391">
        <v>734598</v>
      </c>
    </row>
    <row r="53" spans="1:11" s="17" customFormat="1">
      <c r="A53" s="43" t="s">
        <v>522</v>
      </c>
      <c r="B53" s="43"/>
      <c r="C53" s="450">
        <v>0</v>
      </c>
      <c r="D53" s="334"/>
      <c r="E53" s="450">
        <v>0</v>
      </c>
      <c r="F53" s="334"/>
      <c r="G53" s="393">
        <v>0</v>
      </c>
      <c r="H53" s="334"/>
      <c r="I53" s="393">
        <v>-42441</v>
      </c>
      <c r="J53" s="356"/>
      <c r="K53" s="393">
        <v>-31418</v>
      </c>
    </row>
    <row r="54" spans="1:11" s="17" customFormat="1">
      <c r="A54" s="43" t="s">
        <v>21</v>
      </c>
      <c r="B54" s="43"/>
      <c r="C54" s="452">
        <f>SUM(C46:C53)</f>
        <v>985305.81218871986</v>
      </c>
      <c r="D54" s="392"/>
      <c r="E54" s="452">
        <f>SUM(E46:E53)</f>
        <v>1005959</v>
      </c>
      <c r="F54" s="356"/>
      <c r="G54" s="452">
        <f>SUM(G46:G53)</f>
        <v>1000094</v>
      </c>
      <c r="H54" s="289"/>
      <c r="I54" s="452">
        <f>SUM(I46:I53)</f>
        <v>1465978</v>
      </c>
      <c r="J54" s="356"/>
      <c r="K54" s="452">
        <f>SUM(K46:K53)</f>
        <v>1502694</v>
      </c>
    </row>
    <row r="55" spans="1:11" s="17" customFormat="1" ht="13.5" thickBot="1">
      <c r="A55" s="43" t="s">
        <v>22</v>
      </c>
      <c r="B55" s="43"/>
      <c r="C55" s="458">
        <f>C54+C41</f>
        <v>2388517.8121887199</v>
      </c>
      <c r="D55" s="445"/>
      <c r="E55" s="458">
        <f>E54+E41</f>
        <v>2569021.1759982565</v>
      </c>
      <c r="F55" s="356"/>
      <c r="G55" s="458">
        <f>G54+G41</f>
        <v>2466410</v>
      </c>
      <c r="H55" s="289"/>
      <c r="I55" s="458">
        <f>I54+I41</f>
        <v>3558653.0537200002</v>
      </c>
      <c r="J55" s="356"/>
      <c r="K55" s="458">
        <f>K54+K41</f>
        <v>3656010</v>
      </c>
    </row>
    <row r="56" spans="1:11" s="312" customFormat="1" ht="13.5" thickTop="1">
      <c r="A56" s="43"/>
      <c r="B56" s="43"/>
      <c r="C56" s="356"/>
      <c r="D56" s="392"/>
      <c r="E56" s="449"/>
      <c r="F56" s="356"/>
      <c r="G56"/>
      <c r="H56" s="356"/>
      <c r="I56" s="356"/>
      <c r="J56" s="356"/>
      <c r="K56" s="356"/>
    </row>
    <row r="57" spans="1:11" s="312" customFormat="1">
      <c r="A57" s="43" t="s">
        <v>1045</v>
      </c>
      <c r="B57" s="43"/>
      <c r="C57" s="356"/>
      <c r="D57" s="392"/>
      <c r="E57" s="392"/>
      <c r="F57" s="356"/>
      <c r="G57" s="356"/>
      <c r="H57" s="356"/>
      <c r="I57" s="356"/>
      <c r="J57" s="356"/>
      <c r="K57" s="356"/>
    </row>
  </sheetData>
  <mergeCells count="4">
    <mergeCell ref="A5:A6"/>
    <mergeCell ref="A1:K1"/>
    <mergeCell ref="A2:K2"/>
    <mergeCell ref="A3:K3"/>
  </mergeCells>
  <pageMargins left="0.75" right="0.75" top="1" bottom="1" header="0.5" footer="0.5"/>
  <pageSetup scale="67" fitToHeight="2" orientation="portrait" r:id="rId1"/>
  <headerFooter alignWithMargins="0">
    <oddFooter>&amp;L&amp;Z&amp;F&amp;C&amp;P&amp;R&amp;D 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H78"/>
  <sheetViews>
    <sheetView view="pageBreakPreview" zoomScaleSheetLayoutView="100" workbookViewId="0">
      <pane xSplit="2" ySplit="7" topLeftCell="C14" activePane="bottomRight" state="frozen"/>
      <selection activeCell="N27" sqref="N27"/>
      <selection pane="topRight" activeCell="N27" sqref="N27"/>
      <selection pane="bottomLeft" activeCell="N27" sqref="N27"/>
      <selection pane="bottomRight" activeCell="E42" sqref="E42"/>
    </sheetView>
  </sheetViews>
  <sheetFormatPr defaultRowHeight="12.75"/>
  <cols>
    <col min="1" max="1" width="73.7109375" customWidth="1"/>
    <col min="2" max="2" width="2.5703125" style="11" customWidth="1"/>
    <col min="3" max="3" width="14.42578125" customWidth="1"/>
    <col min="4" max="4" width="1" customWidth="1"/>
    <col min="5" max="5" width="13.85546875" style="17" customWidth="1"/>
    <col min="6" max="6" width="1" customWidth="1"/>
    <col min="7" max="7" width="11.28515625" customWidth="1"/>
    <col min="8" max="8" width="12" bestFit="1" customWidth="1"/>
  </cols>
  <sheetData>
    <row r="1" spans="1:8" ht="15.75">
      <c r="A1" s="539" t="s">
        <v>252</v>
      </c>
      <c r="B1" s="540"/>
      <c r="C1" s="540"/>
      <c r="D1" s="540"/>
      <c r="E1" s="540"/>
      <c r="F1" s="2"/>
    </row>
    <row r="2" spans="1:8" ht="15.75">
      <c r="A2" s="539" t="s">
        <v>23</v>
      </c>
      <c r="B2" s="540"/>
      <c r="C2" s="540"/>
      <c r="D2" s="540"/>
      <c r="E2" s="540"/>
      <c r="G2" s="1"/>
    </row>
    <row r="3" spans="1:8" ht="15.75">
      <c r="A3" s="539" t="s">
        <v>24</v>
      </c>
      <c r="B3" s="540"/>
      <c r="C3" s="540"/>
      <c r="D3" s="540"/>
      <c r="E3" s="540"/>
    </row>
    <row r="4" spans="1:8">
      <c r="A4" s="11"/>
      <c r="E4"/>
    </row>
    <row r="5" spans="1:8" ht="15" customHeight="1">
      <c r="A5" s="3"/>
      <c r="E5" s="361"/>
    </row>
    <row r="6" spans="1:8" ht="24" customHeight="1">
      <c r="A6" s="5"/>
      <c r="B6" s="279"/>
      <c r="C6" s="541" t="s">
        <v>1112</v>
      </c>
      <c r="D6" s="541"/>
      <c r="E6" s="541"/>
      <c r="G6" s="78" t="s">
        <v>115</v>
      </c>
      <c r="H6" s="78"/>
    </row>
    <row r="7" spans="1:8" ht="15.75" thickBot="1">
      <c r="A7" s="5"/>
      <c r="B7" s="279"/>
      <c r="C7" s="6">
        <v>2011</v>
      </c>
      <c r="D7" s="10"/>
      <c r="E7" s="41" t="s">
        <v>1044</v>
      </c>
      <c r="G7" s="6" t="s">
        <v>41</v>
      </c>
      <c r="H7" s="6" t="s">
        <v>123</v>
      </c>
    </row>
    <row r="8" spans="1:8" ht="13.5" thickTop="1">
      <c r="A8" s="437" t="s">
        <v>25</v>
      </c>
      <c r="B8" s="279"/>
      <c r="C8" s="538" t="s">
        <v>26</v>
      </c>
      <c r="D8" s="538"/>
      <c r="E8" s="538"/>
      <c r="F8" s="310"/>
      <c r="G8" s="310"/>
      <c r="H8" s="310"/>
    </row>
    <row r="9" spans="1:8" s="310" customFormat="1">
      <c r="A9" s="437"/>
      <c r="B9" s="279"/>
      <c r="C9" s="466"/>
      <c r="D9" s="466"/>
      <c r="E9" s="466"/>
    </row>
    <row r="10" spans="1:8" ht="15">
      <c r="A10" s="437" t="s">
        <v>273</v>
      </c>
      <c r="B10" s="280"/>
      <c r="C10" s="434">
        <v>515017</v>
      </c>
      <c r="D10" s="12"/>
      <c r="E10" s="434">
        <v>863425</v>
      </c>
      <c r="F10" s="311"/>
      <c r="G10" s="435">
        <f>C10-E10</f>
        <v>-348408</v>
      </c>
      <c r="H10" s="26">
        <f>G10/E10</f>
        <v>-0.40351854532819875</v>
      </c>
    </row>
    <row r="11" spans="1:8" ht="15">
      <c r="A11" s="437" t="s">
        <v>27</v>
      </c>
      <c r="B11" s="280"/>
      <c r="C11" s="446">
        <v>10921</v>
      </c>
      <c r="D11" s="12"/>
      <c r="E11" s="446">
        <v>9803</v>
      </c>
      <c r="F11" s="311"/>
      <c r="G11" s="335">
        <f>C11-E11</f>
        <v>1118</v>
      </c>
      <c r="H11" s="26">
        <f>G11/E11</f>
        <v>0.11404672039171682</v>
      </c>
    </row>
    <row r="12" spans="1:8" ht="15">
      <c r="A12" s="437" t="s">
        <v>74</v>
      </c>
      <c r="B12" s="280"/>
      <c r="C12" s="446">
        <v>4700</v>
      </c>
      <c r="D12" s="12"/>
      <c r="E12" s="446">
        <v>2474</v>
      </c>
      <c r="F12" s="311"/>
      <c r="G12" s="335">
        <f>C12-E12</f>
        <v>2226</v>
      </c>
      <c r="H12" s="26">
        <f>G12/E12</f>
        <v>0.89975747776879544</v>
      </c>
    </row>
    <row r="13" spans="1:8" ht="15">
      <c r="A13" s="43" t="s">
        <v>305</v>
      </c>
      <c r="B13" s="281"/>
      <c r="C13" s="335"/>
      <c r="D13" s="114"/>
      <c r="E13" s="335"/>
      <c r="F13" s="313"/>
      <c r="G13" s="115"/>
      <c r="H13" s="112"/>
    </row>
    <row r="14" spans="1:8" ht="15">
      <c r="A14" s="118" t="s">
        <v>267</v>
      </c>
      <c r="B14" s="280"/>
      <c r="C14" s="446">
        <v>-373</v>
      </c>
      <c r="D14" s="114"/>
      <c r="E14" s="446">
        <v>0</v>
      </c>
      <c r="F14" s="313"/>
      <c r="G14" s="115">
        <f t="shared" ref="G14:G18" si="0">C14-E14</f>
        <v>-373</v>
      </c>
      <c r="H14" s="112" t="e">
        <f t="shared" ref="H14:H19" si="1">G14/E14</f>
        <v>#DIV/0!</v>
      </c>
    </row>
    <row r="15" spans="1:8" ht="15">
      <c r="A15" s="118" t="s">
        <v>268</v>
      </c>
      <c r="B15" s="280"/>
      <c r="C15" s="395">
        <v>76</v>
      </c>
      <c r="D15" s="114"/>
      <c r="E15" s="395">
        <v>0</v>
      </c>
      <c r="F15" s="313"/>
      <c r="G15" s="116">
        <f t="shared" si="0"/>
        <v>76</v>
      </c>
      <c r="H15" s="112" t="e">
        <f t="shared" si="1"/>
        <v>#DIV/0!</v>
      </c>
    </row>
    <row r="16" spans="1:8" ht="15">
      <c r="A16" s="433" t="s">
        <v>269</v>
      </c>
      <c r="B16" s="362"/>
      <c r="C16" s="115">
        <f>+C14+C15</f>
        <v>-297</v>
      </c>
      <c r="D16" s="114"/>
      <c r="E16" s="115">
        <f>+E14+E15</f>
        <v>0</v>
      </c>
      <c r="F16" s="313"/>
      <c r="G16" s="115">
        <f>+G14+G15</f>
        <v>-297</v>
      </c>
      <c r="H16" s="112" t="e">
        <f t="shared" si="1"/>
        <v>#DIV/0!</v>
      </c>
    </row>
    <row r="17" spans="1:8" ht="13.5" customHeight="1">
      <c r="A17" s="433" t="s">
        <v>1106</v>
      </c>
      <c r="B17" s="362"/>
      <c r="C17" s="116">
        <f>+C18-C16</f>
        <v>-1266</v>
      </c>
      <c r="D17" s="114"/>
      <c r="E17" s="116">
        <f>+E18-E16</f>
        <v>-331</v>
      </c>
      <c r="F17" s="313"/>
      <c r="G17" s="116">
        <f>+G18-G16</f>
        <v>-935</v>
      </c>
      <c r="H17" s="112">
        <f t="shared" si="1"/>
        <v>2.8247734138972809</v>
      </c>
    </row>
    <row r="18" spans="1:8" ht="15">
      <c r="A18" s="437" t="s">
        <v>1107</v>
      </c>
      <c r="B18" s="282"/>
      <c r="C18" s="446">
        <v>-1563</v>
      </c>
      <c r="D18" s="111"/>
      <c r="E18" s="446">
        <v>-331</v>
      </c>
      <c r="F18" s="313"/>
      <c r="G18" s="117">
        <f t="shared" si="0"/>
        <v>-1232</v>
      </c>
      <c r="H18" s="112">
        <f t="shared" si="1"/>
        <v>3.7220543806646527</v>
      </c>
    </row>
    <row r="19" spans="1:8" ht="15">
      <c r="A19" s="437" t="s">
        <v>28</v>
      </c>
      <c r="B19" s="284"/>
      <c r="C19" s="13">
        <f>C10+C11+C12+C18</f>
        <v>529075</v>
      </c>
      <c r="D19" s="12"/>
      <c r="E19" s="13">
        <f>E10+E11+E12+E18</f>
        <v>875371</v>
      </c>
      <c r="F19" s="311"/>
      <c r="G19" s="13">
        <f>G10+G11+G12+G18</f>
        <v>-346296</v>
      </c>
      <c r="H19" s="26">
        <f t="shared" si="1"/>
        <v>-0.3955991231146565</v>
      </c>
    </row>
    <row r="20" spans="1:8" ht="15">
      <c r="A20" s="5"/>
      <c r="B20" s="279"/>
      <c r="C20" s="342"/>
      <c r="D20" s="12"/>
      <c r="E20" s="8"/>
      <c r="F20" s="311"/>
      <c r="G20" s="8"/>
      <c r="H20" s="26"/>
    </row>
    <row r="21" spans="1:8" ht="15">
      <c r="A21" s="437" t="s">
        <v>29</v>
      </c>
      <c r="B21" s="279"/>
      <c r="C21" s="342"/>
      <c r="D21" s="12"/>
      <c r="E21" s="8"/>
      <c r="F21" s="311"/>
      <c r="G21" s="8"/>
      <c r="H21" s="26"/>
    </row>
    <row r="22" spans="1:8" ht="15">
      <c r="A22" s="437" t="s">
        <v>30</v>
      </c>
      <c r="B22" s="280"/>
      <c r="C22" s="446">
        <v>407664</v>
      </c>
      <c r="D22" s="12"/>
      <c r="E22" s="446">
        <v>725434</v>
      </c>
      <c r="F22" s="311"/>
      <c r="G22" s="340">
        <f t="shared" ref="G22:G30" si="2">C22-E22</f>
        <v>-317770</v>
      </c>
      <c r="H22" s="26">
        <f t="shared" ref="H22:H29" si="3">G22/E22</f>
        <v>-0.43804122773401855</v>
      </c>
    </row>
    <row r="23" spans="1:8" ht="15">
      <c r="A23" s="437" t="s">
        <v>274</v>
      </c>
      <c r="B23" s="280"/>
      <c r="C23" s="446">
        <v>1004</v>
      </c>
      <c r="D23" s="12"/>
      <c r="E23" s="446">
        <v>2121</v>
      </c>
      <c r="F23" s="311"/>
      <c r="G23" s="340">
        <f t="shared" si="2"/>
        <v>-1117</v>
      </c>
      <c r="H23" s="26">
        <f t="shared" si="3"/>
        <v>-0.52663837812352665</v>
      </c>
    </row>
    <row r="24" spans="1:8" ht="15">
      <c r="A24" s="437" t="s">
        <v>95</v>
      </c>
      <c r="B24" s="280"/>
      <c r="C24" s="446">
        <v>1089</v>
      </c>
      <c r="D24" s="12"/>
      <c r="E24" s="446">
        <v>1793</v>
      </c>
      <c r="F24" s="311"/>
      <c r="G24" s="340">
        <f t="shared" si="2"/>
        <v>-704</v>
      </c>
      <c r="H24" s="26">
        <f t="shared" si="3"/>
        <v>-0.39263803680981596</v>
      </c>
    </row>
    <row r="25" spans="1:8" ht="15">
      <c r="A25" s="437" t="s">
        <v>31</v>
      </c>
      <c r="B25" s="280"/>
      <c r="C25" s="446">
        <v>13059</v>
      </c>
      <c r="D25" s="12"/>
      <c r="E25" s="446">
        <v>28808</v>
      </c>
      <c r="F25" s="311"/>
      <c r="G25" s="340">
        <f t="shared" si="2"/>
        <v>-15749</v>
      </c>
      <c r="H25" s="26">
        <f t="shared" si="3"/>
        <v>-0.54668841988336569</v>
      </c>
    </row>
    <row r="26" spans="1:8" ht="18.75" customHeight="1">
      <c r="A26" s="437" t="s">
        <v>97</v>
      </c>
      <c r="B26" s="280"/>
      <c r="C26" s="446">
        <v>1608</v>
      </c>
      <c r="D26" s="12"/>
      <c r="E26" s="446">
        <v>-4129</v>
      </c>
      <c r="F26" s="311"/>
      <c r="G26" s="340">
        <f t="shared" si="2"/>
        <v>5737</v>
      </c>
      <c r="H26" s="26">
        <f t="shared" si="3"/>
        <v>-1.3894405425042382</v>
      </c>
    </row>
    <row r="27" spans="1:8" ht="15">
      <c r="A27" s="437" t="s">
        <v>32</v>
      </c>
      <c r="B27" s="280"/>
      <c r="C27" s="446">
        <v>844</v>
      </c>
      <c r="D27" s="12"/>
      <c r="E27" s="446">
        <v>0</v>
      </c>
      <c r="F27" s="311"/>
      <c r="G27" s="340">
        <f t="shared" si="2"/>
        <v>844</v>
      </c>
      <c r="H27" s="26" t="e">
        <f t="shared" si="3"/>
        <v>#DIV/0!</v>
      </c>
    </row>
    <row r="28" spans="1:8" s="310" customFormat="1" ht="15">
      <c r="A28" s="437" t="s">
        <v>1119</v>
      </c>
      <c r="B28" s="280"/>
      <c r="C28" s="446">
        <v>22042</v>
      </c>
      <c r="D28" s="12"/>
      <c r="E28" s="446">
        <v>0</v>
      </c>
      <c r="F28" s="311"/>
      <c r="G28" s="340">
        <f t="shared" si="2"/>
        <v>22042</v>
      </c>
      <c r="H28" s="26" t="e">
        <f t="shared" si="3"/>
        <v>#DIV/0!</v>
      </c>
    </row>
    <row r="29" spans="1:8" s="310" customFormat="1" ht="15">
      <c r="A29" s="467" t="s">
        <v>1120</v>
      </c>
      <c r="B29" s="280"/>
      <c r="C29" s="446">
        <v>15622</v>
      </c>
      <c r="D29" s="12"/>
      <c r="E29" s="446">
        <v>0</v>
      </c>
      <c r="F29" s="311"/>
      <c r="G29" s="340">
        <f t="shared" si="2"/>
        <v>15622</v>
      </c>
      <c r="H29" s="26" t="e">
        <f t="shared" si="3"/>
        <v>#DIV/0!</v>
      </c>
    </row>
    <row r="30" spans="1:8" ht="15">
      <c r="A30" s="11" t="s">
        <v>33</v>
      </c>
      <c r="B30" s="280"/>
      <c r="C30" s="446">
        <v>89118</v>
      </c>
      <c r="D30" s="12"/>
      <c r="E30" s="446">
        <v>131579</v>
      </c>
      <c r="F30" s="311"/>
      <c r="G30" s="340">
        <f t="shared" si="2"/>
        <v>-42461</v>
      </c>
      <c r="H30" s="26">
        <f>G30/E30</f>
        <v>-0.32270347091861162</v>
      </c>
    </row>
    <row r="31" spans="1:8" ht="15">
      <c r="A31" s="437" t="s">
        <v>306</v>
      </c>
      <c r="B31" s="280"/>
      <c r="C31" s="343">
        <f>SUM(C22:C30)</f>
        <v>552050</v>
      </c>
      <c r="D31" s="12"/>
      <c r="E31" s="343">
        <f>SUM(E22:E30)</f>
        <v>885606</v>
      </c>
      <c r="F31" s="311"/>
      <c r="G31" s="343">
        <f>SUM(G22:G30)</f>
        <v>-333556</v>
      </c>
      <c r="H31" s="26">
        <f>G31/E31</f>
        <v>-0.37664153133560524</v>
      </c>
    </row>
    <row r="32" spans="1:8" ht="15">
      <c r="A32" s="7"/>
      <c r="B32" s="279"/>
      <c r="C32" s="342"/>
      <c r="D32" s="12"/>
      <c r="E32" s="342"/>
      <c r="F32" s="311"/>
      <c r="G32" s="342"/>
      <c r="H32" s="26"/>
    </row>
    <row r="33" spans="1:8" ht="15">
      <c r="A33" s="437" t="s">
        <v>1108</v>
      </c>
      <c r="B33" s="284"/>
      <c r="C33" s="446">
        <f>SUM(C19-C31)</f>
        <v>-22975</v>
      </c>
      <c r="D33" s="12"/>
      <c r="E33" s="446">
        <f>SUM(E19-E31)</f>
        <v>-10235</v>
      </c>
      <c r="F33" s="311"/>
      <c r="G33" s="446">
        <f>SUM(G19-G31)</f>
        <v>-12740</v>
      </c>
      <c r="H33" s="26">
        <f>G33/E33</f>
        <v>1.2447484123106987</v>
      </c>
    </row>
    <row r="34" spans="1:8" ht="15">
      <c r="A34" s="437" t="s">
        <v>98</v>
      </c>
      <c r="B34" s="284"/>
      <c r="C34" s="446">
        <v>-4378</v>
      </c>
      <c r="D34" s="12"/>
      <c r="E34" s="446">
        <v>-307</v>
      </c>
      <c r="F34" s="311"/>
      <c r="G34" s="117">
        <f>C34-E34</f>
        <v>-4071</v>
      </c>
      <c r="H34" s="26">
        <f>G34/E34</f>
        <v>13.260586319218241</v>
      </c>
    </row>
    <row r="35" spans="1:8" s="36" customFormat="1" ht="15">
      <c r="A35" s="437" t="s">
        <v>1109</v>
      </c>
      <c r="B35" s="284"/>
      <c r="C35" s="343">
        <f>+C33-C34</f>
        <v>-18597</v>
      </c>
      <c r="D35" s="12"/>
      <c r="E35" s="343">
        <f>+E33-E34</f>
        <v>-9928</v>
      </c>
      <c r="F35" s="491"/>
      <c r="G35" s="343">
        <f>+G33-G34</f>
        <v>-8669</v>
      </c>
      <c r="H35" s="38">
        <f>G35/E35</f>
        <v>0.87318694601128122</v>
      </c>
    </row>
    <row r="36" spans="1:8" ht="15">
      <c r="A36" s="5"/>
      <c r="B36" s="284"/>
      <c r="C36" s="306"/>
      <c r="D36" s="337"/>
      <c r="E36" s="306"/>
      <c r="F36" s="310"/>
      <c r="G36" s="306"/>
      <c r="H36" s="26"/>
    </row>
    <row r="37" spans="1:8" s="310" customFormat="1" ht="15">
      <c r="A37" s="437" t="s">
        <v>486</v>
      </c>
      <c r="B37" s="284"/>
      <c r="C37" s="306"/>
      <c r="D37" s="337"/>
      <c r="E37" s="306"/>
      <c r="G37" s="306"/>
      <c r="H37" s="26"/>
    </row>
    <row r="38" spans="1:8" s="310" customFormat="1" ht="15" customHeight="1">
      <c r="A38" s="437" t="s">
        <v>488</v>
      </c>
      <c r="B38" s="284"/>
      <c r="C38" s="340">
        <v>-1257</v>
      </c>
      <c r="D38" s="337"/>
      <c r="E38" s="446">
        <v>117075</v>
      </c>
      <c r="G38" s="340">
        <f>C38-E38</f>
        <v>-118332</v>
      </c>
      <c r="H38" s="26">
        <f>G38/E38</f>
        <v>-1.0107367072389495</v>
      </c>
    </row>
    <row r="39" spans="1:8" s="310" customFormat="1" ht="15">
      <c r="A39" s="437" t="s">
        <v>489</v>
      </c>
      <c r="B39" s="284"/>
      <c r="C39" s="117">
        <v>-146.25</v>
      </c>
      <c r="D39" s="337"/>
      <c r="E39" s="446">
        <v>-2622.1542749999999</v>
      </c>
      <c r="G39" s="117">
        <f>C39-E39</f>
        <v>2475.9042749999999</v>
      </c>
      <c r="H39" s="26">
        <f>G39/E39</f>
        <v>-0.94422524967566979</v>
      </c>
    </row>
    <row r="40" spans="1:8" s="310" customFormat="1" ht="15">
      <c r="A40" s="437" t="s">
        <v>490</v>
      </c>
      <c r="B40" s="284"/>
      <c r="C40" s="343">
        <f>SUM(C38:C39)</f>
        <v>-1403.25</v>
      </c>
      <c r="D40" s="337"/>
      <c r="E40" s="343">
        <f>SUM(E38:E39)</f>
        <v>114452.84572500001</v>
      </c>
      <c r="F40" s="181"/>
      <c r="G40" s="343">
        <f>SUM(G38:G39)</f>
        <v>-115856.09572500001</v>
      </c>
      <c r="H40" s="26">
        <f>G40/E40</f>
        <v>-1.0122605077323428</v>
      </c>
    </row>
    <row r="41" spans="1:8" s="310" customFormat="1" ht="15">
      <c r="A41" s="5"/>
      <c r="B41" s="284"/>
      <c r="C41" s="306"/>
      <c r="D41" s="337"/>
      <c r="E41" s="306"/>
      <c r="G41" s="306"/>
      <c r="H41" s="26"/>
    </row>
    <row r="42" spans="1:8" s="35" customFormat="1" ht="15.75" thickBot="1">
      <c r="A42" s="350" t="s">
        <v>487</v>
      </c>
      <c r="B42" s="284"/>
      <c r="C42" s="436">
        <f>+C35+C40</f>
        <v>-20000.25</v>
      </c>
      <c r="D42" s="345"/>
      <c r="E42" s="436">
        <f>+E35+E40</f>
        <v>104524.84572500001</v>
      </c>
      <c r="G42" s="436">
        <f>+G35+G40</f>
        <v>-124525.09572500001</v>
      </c>
      <c r="H42" s="26">
        <f>G42/E42</f>
        <v>-1.1913444584517228</v>
      </c>
    </row>
    <row r="43" spans="1:8" s="310" customFormat="1" ht="15.75" thickTop="1">
      <c r="A43" s="5"/>
      <c r="B43" s="279"/>
      <c r="C43" s="306"/>
      <c r="D43" s="337"/>
      <c r="E43" s="337"/>
      <c r="G43" s="337"/>
      <c r="H43" s="26"/>
    </row>
    <row r="44" spans="1:8" ht="15">
      <c r="A44" s="352" t="s">
        <v>167</v>
      </c>
      <c r="B44" s="283"/>
      <c r="C44" s="307"/>
      <c r="D44" s="338"/>
      <c r="E44" s="310"/>
      <c r="F44" s="310"/>
      <c r="G44" s="310"/>
      <c r="H44" s="310"/>
    </row>
    <row r="45" spans="1:8" s="310" customFormat="1" ht="15">
      <c r="A45" s="352" t="s">
        <v>491</v>
      </c>
      <c r="B45" s="478"/>
      <c r="C45" s="307"/>
      <c r="D45" s="338"/>
    </row>
    <row r="46" spans="1:8" ht="15">
      <c r="A46" s="353" t="s">
        <v>103</v>
      </c>
      <c r="B46" s="363"/>
      <c r="C46" s="348">
        <v>-0.23</v>
      </c>
      <c r="D46" s="16"/>
      <c r="E46" s="348">
        <v>-0.12</v>
      </c>
      <c r="F46" s="310"/>
      <c r="G46" s="348">
        <f>C46-E46</f>
        <v>-0.11000000000000001</v>
      </c>
      <c r="H46" s="26">
        <f>G46/E46</f>
        <v>0.91666666666666685</v>
      </c>
    </row>
    <row r="47" spans="1:8" ht="15">
      <c r="A47" s="353" t="s">
        <v>492</v>
      </c>
      <c r="B47" s="363"/>
      <c r="C47" s="347">
        <v>-0.02</v>
      </c>
      <c r="D47" s="16"/>
      <c r="E47" s="347">
        <v>1.46</v>
      </c>
      <c r="F47" s="310"/>
      <c r="G47" s="347">
        <f>C47-E47</f>
        <v>-1.48</v>
      </c>
      <c r="H47" s="26">
        <f>G47/E47</f>
        <v>-1.0136986301369864</v>
      </c>
    </row>
    <row r="48" spans="1:8" ht="15.75" thickBot="1">
      <c r="A48" s="353" t="s">
        <v>45</v>
      </c>
      <c r="B48" s="363"/>
      <c r="C48" s="346">
        <f>SUM(C46:C47)</f>
        <v>-0.25</v>
      </c>
      <c r="D48" s="16"/>
      <c r="E48" s="346">
        <f>SUM(E46:E47)</f>
        <v>1.3399999999999999</v>
      </c>
      <c r="F48" s="310"/>
      <c r="G48" s="346">
        <f>SUM(G46:G47)</f>
        <v>-1.59</v>
      </c>
      <c r="H48" s="26">
        <f t="shared" ref="H48:H52" si="4">G48/E48</f>
        <v>-1.1865671641791047</v>
      </c>
    </row>
    <row r="49" spans="1:8" s="310" customFormat="1" ht="15.75" thickTop="1">
      <c r="A49" s="354" t="s">
        <v>493</v>
      </c>
      <c r="B49" s="363"/>
      <c r="C49" s="465"/>
      <c r="D49" s="16"/>
      <c r="E49" s="37"/>
      <c r="G49" s="37"/>
      <c r="H49" s="26"/>
    </row>
    <row r="50" spans="1:8" s="310" customFormat="1" ht="15">
      <c r="A50" s="355" t="s">
        <v>103</v>
      </c>
      <c r="B50" s="363"/>
      <c r="C50" s="348">
        <v>-0.23</v>
      </c>
      <c r="D50" s="16"/>
      <c r="E50" s="348">
        <v>-0.12</v>
      </c>
      <c r="G50" s="348">
        <f>C50-E50</f>
        <v>-0.11000000000000001</v>
      </c>
      <c r="H50" s="26">
        <f t="shared" si="4"/>
        <v>0.91666666666666685</v>
      </c>
    </row>
    <row r="51" spans="1:8" s="310" customFormat="1" ht="15">
      <c r="A51" s="355" t="s">
        <v>492</v>
      </c>
      <c r="B51" s="363"/>
      <c r="C51" s="347">
        <v>-0.02</v>
      </c>
      <c r="D51" s="337"/>
      <c r="E51" s="347">
        <v>1.46</v>
      </c>
      <c r="G51" s="348">
        <f>C51-E51</f>
        <v>-1.48</v>
      </c>
      <c r="H51" s="26">
        <f t="shared" si="4"/>
        <v>-1.0136986301369864</v>
      </c>
    </row>
    <row r="52" spans="1:8" s="310" customFormat="1" ht="15.75" thickBot="1">
      <c r="A52" s="355" t="s">
        <v>45</v>
      </c>
      <c r="B52" s="363"/>
      <c r="C52" s="346">
        <f>SUM(C50:C51)</f>
        <v>-0.25</v>
      </c>
      <c r="D52" s="16"/>
      <c r="E52" s="346">
        <f>SUM(E50:E51)</f>
        <v>1.3399999999999999</v>
      </c>
      <c r="G52" s="346">
        <f>SUM(G50:G51)</f>
        <v>-1.59</v>
      </c>
      <c r="H52" s="26">
        <f t="shared" si="4"/>
        <v>-1.1865671641791047</v>
      </c>
    </row>
    <row r="53" spans="1:8" s="310" customFormat="1" ht="15.75" thickTop="1">
      <c r="A53" s="353"/>
      <c r="B53" s="33"/>
      <c r="C53" s="465"/>
      <c r="D53" s="16"/>
      <c r="E53" s="37"/>
      <c r="G53" s="37"/>
      <c r="H53" s="26"/>
    </row>
    <row r="54" spans="1:8" s="310" customFormat="1" ht="15">
      <c r="A54" s="353"/>
      <c r="B54" s="33"/>
      <c r="C54" s="465"/>
      <c r="D54" s="16"/>
      <c r="E54" s="37"/>
      <c r="G54" s="37"/>
      <c r="H54" s="26"/>
    </row>
    <row r="55" spans="1:8" ht="15">
      <c r="A55" s="14" t="s">
        <v>37</v>
      </c>
      <c r="B55" s="478"/>
      <c r="C55" s="307"/>
      <c r="D55" s="338"/>
      <c r="E55" s="310"/>
      <c r="F55" s="310"/>
      <c r="G55" s="310"/>
      <c r="H55" s="310"/>
    </row>
    <row r="56" spans="1:8" ht="15">
      <c r="A56" s="437" t="s">
        <v>109</v>
      </c>
      <c r="B56" s="159"/>
      <c r="C56" s="340">
        <v>80490.686847826088</v>
      </c>
      <c r="D56" s="339"/>
      <c r="E56" s="335">
        <v>76857.543699275368</v>
      </c>
      <c r="F56" s="310"/>
      <c r="G56" s="335">
        <f t="shared" ref="G56:G60" si="5">C56-E56</f>
        <v>3633.1431485507201</v>
      </c>
      <c r="H56" s="26">
        <f>G56/E56</f>
        <v>4.7271132717515853E-2</v>
      </c>
    </row>
    <row r="57" spans="1:8" ht="15">
      <c r="A57" s="9" t="s">
        <v>99</v>
      </c>
      <c r="B57" s="159"/>
      <c r="C57" s="117">
        <v>0</v>
      </c>
      <c r="D57" s="339"/>
      <c r="E57" s="336">
        <v>-2844.0426317391298</v>
      </c>
      <c r="F57" s="310"/>
      <c r="G57" s="336">
        <f t="shared" si="5"/>
        <v>2844.0426317391298</v>
      </c>
      <c r="H57" s="26">
        <f>G57/E57</f>
        <v>-1</v>
      </c>
    </row>
    <row r="58" spans="1:8" ht="15">
      <c r="A58" s="437" t="s">
        <v>100</v>
      </c>
      <c r="B58" s="159"/>
      <c r="C58" s="340">
        <f>SUM(C56:C57)</f>
        <v>80490.686847826088</v>
      </c>
      <c r="D58" s="339"/>
      <c r="E58" s="340">
        <f>SUM(E56:E57)</f>
        <v>74013.501067536243</v>
      </c>
      <c r="F58" s="310"/>
      <c r="G58" s="340">
        <f>SUM(G56:G57)</f>
        <v>6477.1857802898503</v>
      </c>
      <c r="H58" s="26">
        <f>G58/E58</f>
        <v>8.7513570995371673E-2</v>
      </c>
    </row>
    <row r="59" spans="1:8" ht="15">
      <c r="A59" s="437" t="s">
        <v>110</v>
      </c>
      <c r="B59" s="159"/>
      <c r="C59" s="340">
        <v>0</v>
      </c>
      <c r="D59" s="339"/>
      <c r="E59" s="335">
        <v>4210.5</v>
      </c>
      <c r="F59" s="310"/>
      <c r="G59" s="335">
        <f t="shared" si="5"/>
        <v>-4210.5</v>
      </c>
      <c r="H59" s="26">
        <f t="shared" ref="H59:H61" si="6">G59/E59</f>
        <v>-1</v>
      </c>
    </row>
    <row r="60" spans="1:8" ht="15">
      <c r="A60" s="9" t="s">
        <v>1192</v>
      </c>
      <c r="B60" s="159"/>
      <c r="C60" s="340">
        <v>0</v>
      </c>
      <c r="D60" s="339"/>
      <c r="E60" s="336">
        <v>886.45898601718704</v>
      </c>
      <c r="F60" s="310"/>
      <c r="G60" s="336">
        <f t="shared" si="5"/>
        <v>-886.45898601718704</v>
      </c>
      <c r="H60" s="26">
        <f t="shared" si="6"/>
        <v>-1</v>
      </c>
    </row>
    <row r="61" spans="1:8" ht="15.75" thickBot="1">
      <c r="A61" s="437" t="s">
        <v>102</v>
      </c>
      <c r="B61" s="159"/>
      <c r="C61" s="309">
        <f>SUM(C58:C60)</f>
        <v>80490.686847826088</v>
      </c>
      <c r="D61" s="339"/>
      <c r="E61" s="309">
        <f>SUM(E58:E60)</f>
        <v>79110.460053553426</v>
      </c>
      <c r="F61" s="310"/>
      <c r="G61" s="309">
        <f>SUM(G58:G60)</f>
        <v>1380.2267942726633</v>
      </c>
      <c r="H61" s="26">
        <f t="shared" si="6"/>
        <v>1.744683058774182E-2</v>
      </c>
    </row>
    <row r="62" spans="1:8" ht="15.75" thickTop="1">
      <c r="A62" s="310"/>
      <c r="B62" s="158"/>
      <c r="C62" s="340"/>
      <c r="D62" s="339"/>
      <c r="E62" s="340"/>
      <c r="F62" s="310"/>
      <c r="G62" s="310"/>
      <c r="H62" s="310"/>
    </row>
    <row r="63" spans="1:8" ht="15">
      <c r="A63" s="310" t="s">
        <v>166</v>
      </c>
      <c r="B63" s="380"/>
      <c r="C63" s="112">
        <f>C34/C33</f>
        <v>0.19055495103373232</v>
      </c>
      <c r="D63" s="339"/>
      <c r="E63" s="112">
        <f>E34/E33</f>
        <v>2.9995114802149486E-2</v>
      </c>
      <c r="F63" s="310"/>
      <c r="G63" s="310"/>
      <c r="H63" s="310"/>
    </row>
    <row r="64" spans="1:8" ht="15">
      <c r="A64" s="310"/>
      <c r="B64" s="310"/>
      <c r="C64" s="339"/>
      <c r="D64" s="339"/>
      <c r="E64" s="223"/>
      <c r="F64" s="310"/>
      <c r="G64" s="310"/>
      <c r="H64" s="310"/>
    </row>
    <row r="65" spans="1:8" s="310" customFormat="1" ht="15">
      <c r="A65" s="43" t="s">
        <v>1045</v>
      </c>
      <c r="C65" s="339"/>
      <c r="D65" s="339"/>
      <c r="E65" s="223"/>
    </row>
    <row r="66" spans="1:8" ht="15">
      <c r="A66" s="43" t="s">
        <v>1193</v>
      </c>
      <c r="C66" s="138"/>
      <c r="D66" s="339"/>
      <c r="E66" s="223"/>
      <c r="F66" s="310"/>
      <c r="G66" s="310"/>
      <c r="H66" s="310"/>
    </row>
    <row r="67" spans="1:8" ht="15">
      <c r="B67" s="280"/>
      <c r="C67" s="364"/>
      <c r="D67" s="15"/>
      <c r="E67" s="223"/>
    </row>
    <row r="68" spans="1:8" ht="15">
      <c r="B68" s="280"/>
      <c r="C68" s="364"/>
      <c r="D68" s="15"/>
      <c r="E68" s="285"/>
    </row>
    <row r="69" spans="1:8" ht="15">
      <c r="B69" s="459"/>
      <c r="C69" s="339"/>
      <c r="D69" s="15"/>
      <c r="E69" s="223"/>
    </row>
    <row r="70" spans="1:8" ht="15">
      <c r="C70" s="15"/>
      <c r="D70" s="15"/>
      <c r="E70" s="223"/>
    </row>
    <row r="71" spans="1:8" ht="15">
      <c r="C71" s="15"/>
      <c r="D71" s="15"/>
      <c r="E71" s="223"/>
    </row>
    <row r="72" spans="1:8" ht="15">
      <c r="C72" s="15"/>
      <c r="D72" s="15"/>
      <c r="E72" s="223"/>
    </row>
    <row r="73" spans="1:8" ht="15">
      <c r="C73" s="15"/>
      <c r="D73" s="15"/>
      <c r="E73" s="223"/>
    </row>
    <row r="74" spans="1:8" ht="15">
      <c r="C74" s="15"/>
      <c r="D74" s="15"/>
      <c r="E74" s="223"/>
    </row>
    <row r="75" spans="1:8" ht="15">
      <c r="C75" s="15"/>
      <c r="D75" s="15"/>
      <c r="E75" s="223"/>
    </row>
    <row r="76" spans="1:8" ht="15">
      <c r="C76" s="15"/>
      <c r="D76" s="15"/>
      <c r="E76" s="223"/>
    </row>
    <row r="77" spans="1:8" ht="15">
      <c r="C77" s="15"/>
      <c r="D77" s="15"/>
      <c r="E77" s="223"/>
    </row>
    <row r="78" spans="1:8" ht="15">
      <c r="C78" s="15"/>
      <c r="D78" s="15"/>
      <c r="E78" s="223"/>
    </row>
  </sheetData>
  <mergeCells count="5">
    <mergeCell ref="C8:E8"/>
    <mergeCell ref="A1:E1"/>
    <mergeCell ref="A2:E2"/>
    <mergeCell ref="A3:E3"/>
    <mergeCell ref="C6:E6"/>
  </mergeCells>
  <pageMargins left="0.75" right="0.75" top="1" bottom="1" header="0.5" footer="0.5"/>
  <pageSetup scale="66" orientation="portrait" r:id="rId1"/>
  <headerFooter alignWithMargins="0">
    <oddFooter>&amp;L&amp;9&amp;Z&amp;F&amp;C&amp;9&amp;P&amp;R&amp;9&amp;D&amp;T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FFC000"/>
    <pageSetUpPr fitToPage="1"/>
  </sheetPr>
  <dimension ref="A1:I70"/>
  <sheetViews>
    <sheetView view="pageBreakPreview" zoomScaleNormal="100" zoomScaleSheetLayoutView="100" workbookViewId="0">
      <selection activeCell="G15" sqref="G15"/>
    </sheetView>
  </sheetViews>
  <sheetFormatPr defaultRowHeight="12.75" outlineLevelCol="1"/>
  <cols>
    <col min="1" max="1" width="50.5703125" style="310" customWidth="1"/>
    <col min="2" max="2" width="10.42578125" style="11" customWidth="1" outlineLevel="1"/>
    <col min="3" max="3" width="15.28515625" style="310" customWidth="1"/>
    <col min="4" max="4" width="1" style="310" customWidth="1"/>
    <col min="5" max="5" width="14.85546875" style="312" customWidth="1"/>
    <col min="6" max="6" width="1" style="310" customWidth="1"/>
    <col min="7" max="7" width="11.85546875" style="310" customWidth="1"/>
    <col min="8" max="8" width="12.42578125" style="310" customWidth="1"/>
    <col min="9" max="9" width="5.85546875" style="310" customWidth="1"/>
    <col min="10" max="16384" width="9.140625" style="310"/>
  </cols>
  <sheetData>
    <row r="1" spans="1:8" ht="15.75">
      <c r="A1" s="539" t="s">
        <v>252</v>
      </c>
      <c r="B1" s="540"/>
      <c r="C1" s="540"/>
      <c r="D1" s="540"/>
      <c r="E1" s="540"/>
      <c r="F1" s="2"/>
    </row>
    <row r="2" spans="1:8" ht="15.75">
      <c r="A2" s="539" t="s">
        <v>23</v>
      </c>
      <c r="B2" s="540"/>
      <c r="C2" s="540"/>
      <c r="D2" s="540"/>
      <c r="E2" s="540"/>
      <c r="G2" s="1"/>
    </row>
    <row r="3" spans="1:8" ht="15.75">
      <c r="A3" s="539" t="s">
        <v>24</v>
      </c>
      <c r="B3" s="540"/>
      <c r="C3" s="540"/>
      <c r="D3" s="540"/>
      <c r="E3" s="540"/>
    </row>
    <row r="4" spans="1:8">
      <c r="A4" s="11"/>
    </row>
    <row r="5" spans="1:8" ht="18" customHeight="1">
      <c r="A5" s="428" t="s">
        <v>1048</v>
      </c>
      <c r="B5" s="429"/>
      <c r="D5" s="312"/>
      <c r="E5" s="361"/>
    </row>
    <row r="6" spans="1:8" ht="24" customHeight="1">
      <c r="A6" s="5"/>
      <c r="B6" s="279"/>
      <c r="C6" s="541" t="s">
        <v>1046</v>
      </c>
      <c r="D6" s="541"/>
      <c r="E6" s="541"/>
      <c r="G6" s="78" t="s">
        <v>115</v>
      </c>
      <c r="H6" s="78"/>
    </row>
    <row r="7" spans="1:8" ht="15.75" thickBot="1">
      <c r="A7" s="5"/>
      <c r="B7" s="279"/>
      <c r="C7" s="41">
        <v>2011</v>
      </c>
      <c r="D7" s="305"/>
      <c r="E7" s="41" t="s">
        <v>1044</v>
      </c>
      <c r="G7" s="6" t="s">
        <v>41</v>
      </c>
      <c r="H7" s="6" t="s">
        <v>123</v>
      </c>
    </row>
    <row r="8" spans="1:8" ht="13.5" thickTop="1">
      <c r="A8" s="4" t="s">
        <v>25</v>
      </c>
      <c r="B8" s="279"/>
      <c r="C8" s="538" t="s">
        <v>26</v>
      </c>
      <c r="D8" s="538"/>
      <c r="E8" s="538"/>
    </row>
    <row r="9" spans="1:8" ht="15">
      <c r="A9" s="4" t="s">
        <v>273</v>
      </c>
      <c r="B9" s="280" t="s">
        <v>353</v>
      </c>
      <c r="C9" s="398">
        <v>2219812.9090800001</v>
      </c>
      <c r="D9" s="399"/>
      <c r="E9" s="398">
        <v>3445748.5078699999</v>
      </c>
      <c r="F9" s="426"/>
      <c r="G9" s="404">
        <f>C9-E9</f>
        <v>-1225935.5987899997</v>
      </c>
      <c r="H9" s="26">
        <f>G9/E9</f>
        <v>-0.35578208798175337</v>
      </c>
    </row>
    <row r="10" spans="1:8" ht="15">
      <c r="A10" s="4" t="s">
        <v>27</v>
      </c>
      <c r="B10" s="280" t="s">
        <v>354</v>
      </c>
      <c r="C10" s="421">
        <v>47425.153810000003</v>
      </c>
      <c r="D10" s="408"/>
      <c r="E10" s="421">
        <v>39885.959690000003</v>
      </c>
      <c r="F10" s="365"/>
      <c r="G10" s="366">
        <f>C10-E10</f>
        <v>7539.1941200000001</v>
      </c>
      <c r="H10" s="26">
        <f>G10/E10</f>
        <v>0.18901874691234236</v>
      </c>
    </row>
    <row r="11" spans="1:8" ht="15">
      <c r="A11" s="4" t="s">
        <v>74</v>
      </c>
      <c r="B11" s="280" t="s">
        <v>355</v>
      </c>
      <c r="C11" s="421">
        <v>14636.91425999999</v>
      </c>
      <c r="D11" s="408"/>
      <c r="E11" s="421">
        <v>9574.5019499999999</v>
      </c>
      <c r="F11" s="365"/>
      <c r="G11" s="366">
        <f>C11-E11</f>
        <v>5062.4123099999906</v>
      </c>
      <c r="H11" s="26">
        <f>G11/E11</f>
        <v>0.52873897111692481</v>
      </c>
    </row>
    <row r="12" spans="1:8" ht="15">
      <c r="A12" s="43" t="s">
        <v>494</v>
      </c>
      <c r="B12" s="281"/>
      <c r="C12" s="409"/>
      <c r="D12" s="411"/>
      <c r="E12" s="421"/>
      <c r="F12" s="368"/>
      <c r="G12" s="367"/>
      <c r="H12" s="112"/>
    </row>
    <row r="13" spans="1:8" ht="24">
      <c r="A13" s="118" t="s">
        <v>267</v>
      </c>
      <c r="B13" s="280" t="s">
        <v>500</v>
      </c>
      <c r="C13" s="422">
        <v>0</v>
      </c>
      <c r="D13" s="411"/>
      <c r="E13" s="421">
        <v>-1915</v>
      </c>
      <c r="F13" s="368"/>
      <c r="G13" s="367">
        <f t="shared" ref="G13:G18" si="0">C13-E13</f>
        <v>1915</v>
      </c>
      <c r="H13" s="112">
        <f t="shared" ref="H13:H18" si="1">G13/E13</f>
        <v>-1</v>
      </c>
    </row>
    <row r="14" spans="1:8" ht="24">
      <c r="A14" s="118" t="s">
        <v>268</v>
      </c>
      <c r="B14" s="280" t="s">
        <v>501</v>
      </c>
      <c r="C14" s="422">
        <v>0</v>
      </c>
      <c r="D14" s="411"/>
      <c r="E14" s="423">
        <v>1100</v>
      </c>
      <c r="F14" s="368"/>
      <c r="G14" s="369">
        <f t="shared" si="0"/>
        <v>-1100</v>
      </c>
      <c r="H14" s="112">
        <f t="shared" si="1"/>
        <v>-1</v>
      </c>
    </row>
    <row r="15" spans="1:8" ht="24">
      <c r="A15" s="119" t="s">
        <v>269</v>
      </c>
      <c r="B15" s="362" t="s">
        <v>504</v>
      </c>
      <c r="C15" s="412">
        <f>SUM(C12:C14)</f>
        <v>0</v>
      </c>
      <c r="D15" s="411"/>
      <c r="E15" s="412">
        <f>SUM(E12:E14)</f>
        <v>-815</v>
      </c>
      <c r="F15" s="368"/>
      <c r="G15" s="367">
        <f t="shared" si="0"/>
        <v>815</v>
      </c>
      <c r="H15" s="112">
        <f t="shared" si="1"/>
        <v>-1</v>
      </c>
    </row>
    <row r="16" spans="1:8" ht="13.5" customHeight="1">
      <c r="A16" s="119" t="s">
        <v>275</v>
      </c>
      <c r="B16" s="362" t="s">
        <v>505</v>
      </c>
      <c r="C16" s="413">
        <f>+C17-C15</f>
        <v>841.45757000000219</v>
      </c>
      <c r="D16" s="411"/>
      <c r="E16" s="413">
        <f>+E17-E15</f>
        <v>7390.2640000000001</v>
      </c>
      <c r="F16" s="368"/>
      <c r="G16" s="369">
        <f t="shared" si="0"/>
        <v>-6548.8064299999978</v>
      </c>
      <c r="H16" s="112">
        <f t="shared" si="1"/>
        <v>-0.88613971435932437</v>
      </c>
    </row>
    <row r="17" spans="1:8" ht="15">
      <c r="A17" s="4" t="s">
        <v>270</v>
      </c>
      <c r="B17" s="282" t="s">
        <v>356</v>
      </c>
      <c r="C17" s="421">
        <v>841.45757000000219</v>
      </c>
      <c r="D17" s="408"/>
      <c r="E17" s="421">
        <v>6575.2640000000001</v>
      </c>
      <c r="F17" s="368"/>
      <c r="G17" s="370">
        <f t="shared" si="0"/>
        <v>-5733.8064299999978</v>
      </c>
      <c r="H17" s="112">
        <f t="shared" si="1"/>
        <v>-0.87202680074898864</v>
      </c>
    </row>
    <row r="18" spans="1:8" ht="15">
      <c r="A18" s="4" t="s">
        <v>28</v>
      </c>
      <c r="B18" s="284" t="s">
        <v>503</v>
      </c>
      <c r="C18" s="400">
        <f>C9+C10+C11+C17</f>
        <v>2282716.4347200003</v>
      </c>
      <c r="D18" s="408"/>
      <c r="E18" s="400">
        <f>E9+E10+E11+E17</f>
        <v>3501784.2335099997</v>
      </c>
      <c r="F18" s="365"/>
      <c r="G18" s="371">
        <f t="shared" si="0"/>
        <v>-1219067.7987899994</v>
      </c>
      <c r="H18" s="26">
        <f t="shared" si="1"/>
        <v>-0.34812761652309787</v>
      </c>
    </row>
    <row r="19" spans="1:8" ht="15">
      <c r="A19" s="5"/>
      <c r="B19" s="279"/>
      <c r="C19" s="424"/>
      <c r="D19" s="408"/>
      <c r="E19" s="424"/>
      <c r="F19" s="365"/>
      <c r="G19" s="372"/>
      <c r="H19" s="26"/>
    </row>
    <row r="20" spans="1:8" ht="15">
      <c r="A20" s="4" t="s">
        <v>29</v>
      </c>
      <c r="B20" s="279"/>
      <c r="C20" s="424"/>
      <c r="D20" s="408"/>
      <c r="E20" s="424"/>
      <c r="F20" s="365"/>
      <c r="G20" s="372"/>
      <c r="H20" s="26"/>
    </row>
    <row r="21" spans="1:8" ht="15">
      <c r="A21" s="4" t="s">
        <v>30</v>
      </c>
      <c r="B21" s="280" t="s">
        <v>357</v>
      </c>
      <c r="C21" s="421">
        <v>1812814.776790001</v>
      </c>
      <c r="D21" s="408"/>
      <c r="E21" s="421">
        <v>2860640.5257700002</v>
      </c>
      <c r="F21" s="365"/>
      <c r="G21" s="366">
        <f t="shared" ref="G21:G28" si="2">C21-E21</f>
        <v>-1047825.7489799992</v>
      </c>
      <c r="H21" s="26">
        <f t="shared" ref="H21:H26" si="3">G21/E21</f>
        <v>-0.36629060503781941</v>
      </c>
    </row>
    <row r="22" spans="1:8" ht="15">
      <c r="A22" s="4" t="s">
        <v>274</v>
      </c>
      <c r="B22" s="280" t="s">
        <v>358</v>
      </c>
      <c r="C22" s="421">
        <v>3236.562669999998</v>
      </c>
      <c r="D22" s="408"/>
      <c r="E22" s="421">
        <v>5648</v>
      </c>
      <c r="F22" s="365"/>
      <c r="G22" s="366">
        <f t="shared" si="2"/>
        <v>-2411.437330000002</v>
      </c>
      <c r="H22" s="26">
        <f t="shared" si="3"/>
        <v>-0.42695420148725249</v>
      </c>
    </row>
    <row r="23" spans="1:8" ht="15">
      <c r="A23" s="4" t="s">
        <v>95</v>
      </c>
      <c r="B23" s="280" t="s">
        <v>359</v>
      </c>
      <c r="C23" s="421">
        <v>4411.3358333069009</v>
      </c>
      <c r="D23" s="408"/>
      <c r="E23" s="421">
        <v>7257.73344</v>
      </c>
      <c r="F23" s="365"/>
      <c r="G23" s="366">
        <f t="shared" si="2"/>
        <v>-2846.3976066930991</v>
      </c>
      <c r="H23" s="26">
        <f t="shared" si="3"/>
        <v>-0.39218822656196906</v>
      </c>
    </row>
    <row r="24" spans="1:8" ht="15">
      <c r="A24" s="4" t="s">
        <v>31</v>
      </c>
      <c r="B24" s="280" t="s">
        <v>360</v>
      </c>
      <c r="C24" s="421">
        <v>59888.170310000009</v>
      </c>
      <c r="D24" s="408"/>
      <c r="E24" s="421">
        <v>121354.14896000001</v>
      </c>
      <c r="F24" s="365"/>
      <c r="G24" s="366">
        <f t="shared" si="2"/>
        <v>-61465.978649999997</v>
      </c>
      <c r="H24" s="26">
        <f t="shared" si="3"/>
        <v>-0.50650084217771596</v>
      </c>
    </row>
    <row r="25" spans="1:8" ht="15">
      <c r="A25" s="4" t="s">
        <v>97</v>
      </c>
      <c r="B25" s="280" t="s">
        <v>361</v>
      </c>
      <c r="C25" s="421">
        <v>3328.8061200000002</v>
      </c>
      <c r="D25" s="408"/>
      <c r="E25" s="421">
        <v>-17897</v>
      </c>
      <c r="F25" s="365"/>
      <c r="G25" s="366">
        <f t="shared" si="2"/>
        <v>21225.806120000001</v>
      </c>
      <c r="H25" s="26">
        <f t="shared" si="3"/>
        <v>-1.1859979951947255</v>
      </c>
    </row>
    <row r="26" spans="1:8" ht="15">
      <c r="A26" s="4" t="s">
        <v>32</v>
      </c>
      <c r="B26" s="280" t="s">
        <v>362</v>
      </c>
      <c r="C26" s="421">
        <v>2266.7080400000009</v>
      </c>
      <c r="D26" s="408"/>
      <c r="E26" s="421">
        <v>24.975160000001779</v>
      </c>
      <c r="F26" s="365"/>
      <c r="G26" s="366">
        <f t="shared" si="2"/>
        <v>2241.7328799999991</v>
      </c>
      <c r="H26" s="26">
        <f t="shared" si="3"/>
        <v>89.75849924484325</v>
      </c>
    </row>
    <row r="27" spans="1:8" ht="15">
      <c r="A27" s="11" t="s">
        <v>33</v>
      </c>
      <c r="B27" s="280" t="s">
        <v>363</v>
      </c>
      <c r="C27" s="421">
        <v>355025.65793127147</v>
      </c>
      <c r="D27" s="408"/>
      <c r="E27" s="421">
        <v>405543.21841999993</v>
      </c>
      <c r="F27" s="365"/>
      <c r="G27" s="373">
        <f t="shared" si="2"/>
        <v>-50517.560488728457</v>
      </c>
      <c r="H27" s="26">
        <f>G27/E27</f>
        <v>-0.12456763716958535</v>
      </c>
    </row>
    <row r="28" spans="1:8" ht="15">
      <c r="A28" s="4" t="s">
        <v>306</v>
      </c>
      <c r="B28" s="280" t="s">
        <v>511</v>
      </c>
      <c r="C28" s="400">
        <f>SUM(C21:C27)</f>
        <v>2240972.0176945794</v>
      </c>
      <c r="D28" s="408"/>
      <c r="E28" s="400">
        <f>SUM(E21:E27)</f>
        <v>3382571.6017499999</v>
      </c>
      <c r="F28" s="365"/>
      <c r="G28" s="373">
        <f t="shared" si="2"/>
        <v>-1141599.5840554205</v>
      </c>
      <c r="H28" s="26">
        <f>G28/E28</f>
        <v>-0.33749458059211668</v>
      </c>
    </row>
    <row r="29" spans="1:8" ht="15">
      <c r="A29" s="7"/>
      <c r="B29" s="279"/>
      <c r="C29" s="424"/>
      <c r="D29" s="408"/>
      <c r="E29" s="424"/>
      <c r="F29" s="365"/>
      <c r="G29" s="372"/>
      <c r="H29" s="26"/>
    </row>
    <row r="30" spans="1:8" ht="24">
      <c r="A30" s="4" t="s">
        <v>484</v>
      </c>
      <c r="B30" s="284" t="s">
        <v>506</v>
      </c>
      <c r="C30" s="414">
        <f>SUM(C18-C28)</f>
        <v>41744.417025420815</v>
      </c>
      <c r="D30" s="408"/>
      <c r="E30" s="414">
        <f>SUM(E18-E28)</f>
        <v>119212.63175999979</v>
      </c>
      <c r="F30" s="416"/>
      <c r="G30" s="425">
        <f>C30-E30</f>
        <v>-77468.214734578971</v>
      </c>
      <c r="H30" s="26">
        <f>G30/E30</f>
        <v>-0.64983226685691209</v>
      </c>
    </row>
    <row r="31" spans="1:8" ht="15">
      <c r="A31" s="4" t="s">
        <v>98</v>
      </c>
      <c r="B31" s="284" t="s">
        <v>364</v>
      </c>
      <c r="C31" s="421">
        <v>3820.5739138346576</v>
      </c>
      <c r="D31" s="408"/>
      <c r="E31" s="421">
        <v>31240.913949119822</v>
      </c>
      <c r="F31" s="416"/>
      <c r="G31" s="417">
        <f>C31-E31</f>
        <v>-27420.340035285164</v>
      </c>
      <c r="H31" s="26">
        <f>G31/E31</f>
        <v>-0.87770607735557948</v>
      </c>
    </row>
    <row r="32" spans="1:8" s="181" customFormat="1" ht="15">
      <c r="A32" s="4" t="s">
        <v>485</v>
      </c>
      <c r="B32" s="284" t="s">
        <v>507</v>
      </c>
      <c r="C32" s="400">
        <f>C30-C31</f>
        <v>37923.84311158616</v>
      </c>
      <c r="D32" s="408"/>
      <c r="E32" s="400">
        <f>E30-E31</f>
        <v>87971.717810879956</v>
      </c>
      <c r="F32" s="418"/>
      <c r="G32" s="400">
        <f>C32-E32</f>
        <v>-50047.874699293796</v>
      </c>
      <c r="H32" s="341">
        <f>G32/E32</f>
        <v>-0.56890868957323115</v>
      </c>
    </row>
    <row r="33" spans="1:9" ht="15">
      <c r="A33" s="5"/>
      <c r="B33" s="284"/>
      <c r="C33" s="408"/>
      <c r="D33" s="408"/>
      <c r="E33" s="408"/>
      <c r="F33" s="416"/>
      <c r="G33" s="419"/>
      <c r="H33" s="26"/>
    </row>
    <row r="34" spans="1:9" ht="15">
      <c r="A34" s="4" t="s">
        <v>486</v>
      </c>
      <c r="B34" s="284"/>
      <c r="C34" s="408"/>
      <c r="D34" s="408"/>
      <c r="E34" s="408"/>
      <c r="F34" s="416"/>
      <c r="G34" s="419"/>
      <c r="H34" s="26"/>
    </row>
    <row r="35" spans="1:9" ht="24">
      <c r="A35" s="4" t="s">
        <v>488</v>
      </c>
      <c r="B35" s="284" t="s">
        <v>495</v>
      </c>
      <c r="C35" s="421">
        <v>-32605.024551673348</v>
      </c>
      <c r="D35" s="415"/>
      <c r="E35" s="414">
        <v>102329.43646412036</v>
      </c>
      <c r="F35" s="420"/>
      <c r="G35" s="425">
        <f t="shared" ref="G35" si="4">C35-E35</f>
        <v>-134934.4610157937</v>
      </c>
      <c r="H35" s="341">
        <f>G35/E35</f>
        <v>-1.3186280085017921</v>
      </c>
    </row>
    <row r="36" spans="1:9">
      <c r="A36" s="4" t="s">
        <v>489</v>
      </c>
      <c r="B36" s="284" t="s">
        <v>508</v>
      </c>
      <c r="C36" s="421">
        <v>-10670.255563500003</v>
      </c>
      <c r="D36" s="415"/>
      <c r="E36" s="414">
        <v>-2622.1542749999999</v>
      </c>
      <c r="F36" s="420"/>
      <c r="G36" s="410">
        <f>C36-E36</f>
        <v>-8048.1012885000027</v>
      </c>
      <c r="H36" s="341">
        <f>G36/E36</f>
        <v>3.0692707005197102</v>
      </c>
    </row>
    <row r="37" spans="1:9">
      <c r="A37" s="4" t="s">
        <v>490</v>
      </c>
      <c r="B37" s="284" t="s">
        <v>509</v>
      </c>
      <c r="C37" s="396">
        <f>SUM(C35:C36)</f>
        <v>-43275.280115173351</v>
      </c>
      <c r="D37" s="415"/>
      <c r="E37" s="396">
        <f>SUM(E35:E36)</f>
        <v>99707.282189120364</v>
      </c>
      <c r="F37" s="415"/>
      <c r="G37" s="396">
        <f>C37-E37</f>
        <v>-142982.56230429371</v>
      </c>
      <c r="H37" s="341">
        <f>G37/E37</f>
        <v>-1.4340232645504338</v>
      </c>
    </row>
    <row r="38" spans="1:9" ht="15">
      <c r="A38" s="5"/>
      <c r="B38" s="284"/>
      <c r="C38" s="344"/>
      <c r="D38" s="344"/>
      <c r="E38" s="344"/>
      <c r="F38" s="11"/>
      <c r="G38" s="351"/>
      <c r="H38" s="341"/>
    </row>
    <row r="39" spans="1:9" ht="13.5" thickBot="1">
      <c r="A39" s="350" t="s">
        <v>487</v>
      </c>
      <c r="B39" s="284" t="s">
        <v>510</v>
      </c>
      <c r="C39" s="403">
        <f>SUM(C32+C37)</f>
        <v>-5351.4370035871907</v>
      </c>
      <c r="D39" s="397"/>
      <c r="E39" s="403">
        <f>SUM(E32+E37)</f>
        <v>187679.00000000032</v>
      </c>
      <c r="F39" s="427"/>
      <c r="G39" s="403">
        <f>C39-E39</f>
        <v>-193030.43700358752</v>
      </c>
      <c r="H39" s="341">
        <f>G39/E39</f>
        <v>-1.0285137762007854</v>
      </c>
    </row>
    <row r="40" spans="1:9" ht="15.75" thickTop="1">
      <c r="A40" s="5"/>
      <c r="B40" s="279"/>
      <c r="C40" s="306"/>
      <c r="D40" s="306"/>
      <c r="E40" s="306"/>
      <c r="G40" s="337"/>
      <c r="H40" s="26"/>
    </row>
    <row r="41" spans="1:9" ht="15">
      <c r="A41" s="352" t="s">
        <v>167</v>
      </c>
      <c r="B41" s="283"/>
      <c r="C41" s="307"/>
      <c r="D41" s="307"/>
      <c r="E41" s="307"/>
    </row>
    <row r="42" spans="1:9" ht="15">
      <c r="A42" s="352" t="s">
        <v>491</v>
      </c>
      <c r="B42" s="394"/>
      <c r="C42" s="307"/>
      <c r="D42" s="338"/>
      <c r="E42" s="307"/>
    </row>
    <row r="43" spans="1:9" ht="15">
      <c r="A43" s="353" t="s">
        <v>103</v>
      </c>
      <c r="B43" s="363" t="s">
        <v>496</v>
      </c>
      <c r="C43" s="348">
        <f>SUM(C32/(C55+C56))</f>
        <v>0.47733019201833149</v>
      </c>
      <c r="D43" s="375"/>
      <c r="E43" s="348">
        <f>E32/(E55+E56)</f>
        <v>1.1265715322569403</v>
      </c>
      <c r="F43" s="374"/>
      <c r="G43" s="348">
        <f>C43-E43</f>
        <v>-0.6492413402386088</v>
      </c>
      <c r="H43" s="26">
        <f>G43/E43</f>
        <v>-0.57629837222847069</v>
      </c>
    </row>
    <row r="44" spans="1:9" ht="15">
      <c r="A44" s="353" t="s">
        <v>492</v>
      </c>
      <c r="B44" s="363" t="s">
        <v>497</v>
      </c>
      <c r="C44" s="385">
        <f>C37/(C55+C56)</f>
        <v>-0.54468629949352254</v>
      </c>
      <c r="D44" s="379"/>
      <c r="E44" s="385">
        <f>E37/(E55+E56)</f>
        <v>1.2768579319373061</v>
      </c>
      <c r="F44" s="378"/>
      <c r="G44" s="385">
        <f>C44-E44</f>
        <v>-1.8215442314308286</v>
      </c>
      <c r="H44" s="26">
        <f>G44/E44</f>
        <v>-1.4265833229129101</v>
      </c>
    </row>
    <row r="45" spans="1:9" ht="15.75" thickBot="1">
      <c r="A45" s="353" t="s">
        <v>45</v>
      </c>
      <c r="B45" s="363" t="s">
        <v>519</v>
      </c>
      <c r="C45" s="346">
        <f>SUM(C43:C44)</f>
        <v>-6.7356107475191052E-2</v>
      </c>
      <c r="D45" s="376"/>
      <c r="E45" s="346">
        <f>SUM(E43:E44)</f>
        <v>2.4034294641942466</v>
      </c>
      <c r="F45" s="377"/>
      <c r="G45" s="346">
        <f>SUM(G43:G44)</f>
        <v>-2.4707855716694374</v>
      </c>
      <c r="H45" s="26">
        <f>G45/E45</f>
        <v>-1.0280249986440821</v>
      </c>
    </row>
    <row r="46" spans="1:9" ht="15.75" thickTop="1">
      <c r="A46" s="354" t="s">
        <v>493</v>
      </c>
      <c r="B46" s="363"/>
      <c r="C46" s="37"/>
      <c r="D46" s="16"/>
      <c r="E46" s="37"/>
      <c r="G46" s="37"/>
      <c r="H46" s="26"/>
      <c r="I46" s="374"/>
    </row>
    <row r="47" spans="1:9" ht="15" customHeight="1">
      <c r="A47" s="355" t="s">
        <v>103</v>
      </c>
      <c r="B47" s="363" t="s">
        <v>498</v>
      </c>
      <c r="C47" s="308">
        <f>C32/C58</f>
        <v>0.47384195899007453</v>
      </c>
      <c r="D47" s="375"/>
      <c r="E47" s="308">
        <f>E32/E58</f>
        <v>1.1178108997570515</v>
      </c>
      <c r="F47" s="374"/>
      <c r="G47" s="308">
        <f>C47-E47</f>
        <v>-0.64396894076697697</v>
      </c>
      <c r="H47" s="26">
        <f>G47/E47</f>
        <v>-0.57609828362466242</v>
      </c>
    </row>
    <row r="48" spans="1:9" ht="15" customHeight="1">
      <c r="A48" s="355" t="s">
        <v>492</v>
      </c>
      <c r="B48" s="363" t="s">
        <v>499</v>
      </c>
      <c r="C48" s="347">
        <f>C37/C58</f>
        <v>-0.54070584158052415</v>
      </c>
      <c r="D48" s="379"/>
      <c r="E48" s="347">
        <f>E37/E58</f>
        <v>1.2669286173967009</v>
      </c>
      <c r="F48" s="378"/>
      <c r="G48" s="347">
        <f>C48-E48</f>
        <v>-1.8076344589772251</v>
      </c>
      <c r="H48" s="26">
        <f>G48/E48</f>
        <v>-1.426784772366712</v>
      </c>
    </row>
    <row r="49" spans="1:8" ht="15.75" thickBot="1">
      <c r="A49" s="355" t="s">
        <v>45</v>
      </c>
      <c r="B49" s="363" t="s">
        <v>520</v>
      </c>
      <c r="C49" s="360">
        <f>SUM(C47:C48)</f>
        <v>-6.6863882590449619E-2</v>
      </c>
      <c r="D49" s="375"/>
      <c r="E49" s="360">
        <f>SUM(E47:E48)</f>
        <v>2.3847395171537524</v>
      </c>
      <c r="F49" s="374"/>
      <c r="G49" s="360">
        <f>SUM(G47:G48)</f>
        <v>-2.4516033997442022</v>
      </c>
      <c r="H49" s="26">
        <f>G49/E49</f>
        <v>-1.0280382331527149</v>
      </c>
    </row>
    <row r="50" spans="1:8" ht="15.75" thickTop="1">
      <c r="A50" s="353"/>
      <c r="B50" s="33"/>
      <c r="C50" s="308"/>
      <c r="D50" s="16"/>
      <c r="E50" s="308"/>
      <c r="G50" s="37"/>
      <c r="H50" s="26"/>
    </row>
    <row r="51" spans="1:8" ht="15">
      <c r="A51" s="353"/>
      <c r="B51" s="363"/>
      <c r="C51" s="308"/>
      <c r="D51" s="16"/>
      <c r="E51" s="308"/>
      <c r="G51" s="37"/>
      <c r="H51" s="26"/>
    </row>
    <row r="52" spans="1:8" ht="15">
      <c r="A52" s="14" t="s">
        <v>37</v>
      </c>
      <c r="B52" s="158"/>
      <c r="C52" s="307"/>
      <c r="D52" s="338"/>
      <c r="E52" s="307"/>
    </row>
    <row r="53" spans="1:8" ht="15">
      <c r="A53" s="4" t="s">
        <v>109</v>
      </c>
      <c r="B53" s="159" t="s">
        <v>512</v>
      </c>
      <c r="C53" s="414">
        <v>78776.581900552483</v>
      </c>
      <c r="D53" s="405"/>
      <c r="E53" s="414">
        <v>78748</v>
      </c>
      <c r="F53" s="416"/>
      <c r="G53" s="425">
        <f t="shared" ref="G53:G60" si="5">C53-E53</f>
        <v>28.581900552482693</v>
      </c>
      <c r="H53" s="26">
        <f t="shared" ref="H53:H60" si="6">G53/E53</f>
        <v>3.6295398679944501E-4</v>
      </c>
    </row>
    <row r="54" spans="1:8" ht="15">
      <c r="A54" s="9" t="s">
        <v>99</v>
      </c>
      <c r="B54" s="159" t="s">
        <v>513</v>
      </c>
      <c r="C54" s="406">
        <v>-2094.8963314917128</v>
      </c>
      <c r="D54" s="405"/>
      <c r="E54" s="406">
        <v>-4871</v>
      </c>
      <c r="F54" s="416"/>
      <c r="G54" s="417">
        <f t="shared" si="5"/>
        <v>2776.1036685082872</v>
      </c>
      <c r="H54" s="26">
        <f t="shared" si="6"/>
        <v>-0.56992479337061941</v>
      </c>
    </row>
    <row r="55" spans="1:8" ht="15">
      <c r="A55" s="4" t="s">
        <v>100</v>
      </c>
      <c r="B55" s="159" t="s">
        <v>514</v>
      </c>
      <c r="C55" s="414">
        <f>SUM(C53:C54)</f>
        <v>76681.685569060763</v>
      </c>
      <c r="D55" s="405"/>
      <c r="E55" s="414">
        <f>SUM(E53:E54)</f>
        <v>73877</v>
      </c>
      <c r="F55" s="416"/>
      <c r="G55" s="425">
        <f t="shared" si="5"/>
        <v>2804.6855690607626</v>
      </c>
      <c r="H55" s="26">
        <f t="shared" si="6"/>
        <v>3.7964259093638923E-2</v>
      </c>
    </row>
    <row r="56" spans="1:8" ht="24">
      <c r="A56" s="4" t="s">
        <v>110</v>
      </c>
      <c r="B56" s="159" t="s">
        <v>515</v>
      </c>
      <c r="C56" s="414">
        <v>2768.2292817679559</v>
      </c>
      <c r="D56" s="405"/>
      <c r="E56" s="414">
        <v>4211</v>
      </c>
      <c r="F56" s="416"/>
      <c r="G56" s="425">
        <f t="shared" si="5"/>
        <v>-1442.7707182320441</v>
      </c>
      <c r="H56" s="26">
        <f t="shared" si="6"/>
        <v>-0.34261950088626075</v>
      </c>
    </row>
    <row r="57" spans="1:8" ht="15">
      <c r="A57" s="9" t="s">
        <v>101</v>
      </c>
      <c r="B57" s="159" t="s">
        <v>516</v>
      </c>
      <c r="C57" s="414">
        <v>584.87816837822982</v>
      </c>
      <c r="D57" s="405"/>
      <c r="E57" s="414">
        <v>612</v>
      </c>
      <c r="F57" s="416"/>
      <c r="G57" s="417">
        <f t="shared" si="5"/>
        <v>-27.121831621770184</v>
      </c>
      <c r="H57" s="26">
        <f t="shared" si="6"/>
        <v>-4.4316718336225788E-2</v>
      </c>
    </row>
    <row r="58" spans="1:8" ht="15.75" thickBot="1">
      <c r="A58" s="4" t="s">
        <v>102</v>
      </c>
      <c r="B58" s="159" t="s">
        <v>517</v>
      </c>
      <c r="C58" s="407">
        <f>SUM(C55:C57)</f>
        <v>80034.793019206947</v>
      </c>
      <c r="D58" s="405"/>
      <c r="E58" s="407">
        <f>SUM(E55:E57)</f>
        <v>78700</v>
      </c>
      <c r="F58" s="416"/>
      <c r="G58" s="402">
        <f t="shared" si="5"/>
        <v>1334.7930192069471</v>
      </c>
      <c r="H58" s="26">
        <f t="shared" si="6"/>
        <v>1.6960521209745196E-2</v>
      </c>
    </row>
    <row r="59" spans="1:8" ht="15.75" thickTop="1">
      <c r="B59" s="158"/>
      <c r="C59" s="340"/>
      <c r="D59" s="339"/>
      <c r="E59" s="340"/>
    </row>
    <row r="60" spans="1:8" ht="15.75" thickBot="1">
      <c r="A60" s="4" t="s">
        <v>1047</v>
      </c>
      <c r="B60" s="158"/>
      <c r="C60" s="401">
        <v>0</v>
      </c>
      <c r="D60" s="339"/>
      <c r="E60" s="401">
        <v>2</v>
      </c>
      <c r="G60" s="401">
        <f t="shared" si="5"/>
        <v>-2</v>
      </c>
      <c r="H60" s="26">
        <f t="shared" si="6"/>
        <v>-1</v>
      </c>
    </row>
    <row r="61" spans="1:8" ht="15.75" thickTop="1">
      <c r="B61" s="158"/>
      <c r="C61" s="340"/>
      <c r="D61" s="339"/>
      <c r="E61" s="340"/>
    </row>
    <row r="62" spans="1:8" ht="15">
      <c r="A62" s="310" t="s">
        <v>166</v>
      </c>
      <c r="B62" s="380" t="s">
        <v>518</v>
      </c>
      <c r="C62" s="112">
        <f>C31/C30</f>
        <v>9.1522991242351484E-2</v>
      </c>
      <c r="D62" s="339"/>
      <c r="E62" s="112">
        <f>E31/E30</f>
        <v>0.26206043342801444</v>
      </c>
    </row>
    <row r="63" spans="1:8" ht="15">
      <c r="B63" s="158"/>
      <c r="C63" s="339"/>
      <c r="D63" s="339"/>
      <c r="E63" s="223"/>
    </row>
    <row r="64" spans="1:8" ht="15">
      <c r="A64" s="542" t="s">
        <v>1045</v>
      </c>
      <c r="B64" s="542"/>
      <c r="C64" s="223"/>
      <c r="D64" s="223"/>
      <c r="E64" s="223"/>
    </row>
    <row r="65" spans="3:5" ht="15">
      <c r="C65" s="223"/>
      <c r="D65" s="223"/>
      <c r="E65" s="223"/>
    </row>
    <row r="66" spans="3:5" ht="15">
      <c r="C66" s="223"/>
      <c r="D66" s="223"/>
      <c r="E66" s="223"/>
    </row>
    <row r="67" spans="3:5" ht="15">
      <c r="C67" s="223"/>
      <c r="D67" s="223"/>
      <c r="E67" s="223"/>
    </row>
    <row r="68" spans="3:5" ht="15">
      <c r="C68" s="223"/>
      <c r="D68" s="223"/>
      <c r="E68" s="223"/>
    </row>
    <row r="69" spans="3:5" ht="15">
      <c r="C69" s="339"/>
      <c r="D69" s="339"/>
      <c r="E69" s="223"/>
    </row>
    <row r="70" spans="3:5" ht="15">
      <c r="C70" s="339"/>
      <c r="D70" s="339"/>
      <c r="E70" s="223"/>
    </row>
  </sheetData>
  <mergeCells count="6">
    <mergeCell ref="C8:E8"/>
    <mergeCell ref="A64:B64"/>
    <mergeCell ref="A1:E1"/>
    <mergeCell ref="A2:E2"/>
    <mergeCell ref="A3:E3"/>
    <mergeCell ref="C6:E6"/>
  </mergeCells>
  <pageMargins left="0.75" right="0.75" top="1" bottom="1" header="0.5" footer="0.5"/>
  <pageSetup scale="64" orientation="portrait" r:id="rId1"/>
  <headerFooter alignWithMargins="0">
    <oddFooter>&amp;L&amp;Z&amp;F&amp;C&amp;P&amp;R&amp;D  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H65"/>
  <sheetViews>
    <sheetView view="pageBreakPreview" zoomScaleNormal="100" zoomScaleSheetLayoutView="100" workbookViewId="0">
      <pane xSplit="2" ySplit="7" topLeftCell="C31" activePane="bottomRight" state="frozen"/>
      <selection activeCell="N27" sqref="N27"/>
      <selection pane="topRight" activeCell="N27" sqref="N27"/>
      <selection pane="bottomLeft" activeCell="N27" sqref="N27"/>
      <selection pane="bottomRight" activeCell="A43" sqref="A43"/>
    </sheetView>
  </sheetViews>
  <sheetFormatPr defaultRowHeight="12.75"/>
  <cols>
    <col min="1" max="1" width="71.7109375" customWidth="1"/>
    <col min="2" max="2" width="2.28515625" style="11" customWidth="1"/>
    <col min="3" max="3" width="15.42578125" customWidth="1"/>
    <col min="4" max="4" width="1" customWidth="1"/>
    <col min="5" max="5" width="14.85546875" style="312" customWidth="1"/>
    <col min="6" max="6" width="1" customWidth="1"/>
    <col min="7" max="7" width="12.140625" customWidth="1"/>
    <col min="8" max="8" width="12.42578125" customWidth="1"/>
  </cols>
  <sheetData>
    <row r="1" spans="1:8" ht="15.75">
      <c r="A1" s="539" t="s">
        <v>252</v>
      </c>
      <c r="B1" s="540"/>
      <c r="C1" s="540"/>
      <c r="D1" s="540"/>
      <c r="E1" s="540"/>
      <c r="F1" s="2"/>
    </row>
    <row r="2" spans="1:8" ht="15.75">
      <c r="A2" s="539" t="s">
        <v>23</v>
      </c>
      <c r="B2" s="540"/>
      <c r="C2" s="540"/>
      <c r="D2" s="540"/>
      <c r="E2" s="540"/>
      <c r="G2" s="1"/>
    </row>
    <row r="3" spans="1:8" ht="15.75">
      <c r="A3" s="539"/>
      <c r="B3" s="540"/>
      <c r="C3" s="540"/>
      <c r="D3" s="540"/>
      <c r="E3" s="540"/>
    </row>
    <row r="4" spans="1:8">
      <c r="A4" s="11"/>
      <c r="C4" s="460"/>
    </row>
    <row r="5" spans="1:8" ht="15" customHeight="1">
      <c r="A5" s="3"/>
      <c r="D5" s="17"/>
      <c r="E5" s="361"/>
    </row>
    <row r="6" spans="1:8" ht="24" customHeight="1">
      <c r="A6" s="5"/>
      <c r="B6" s="279"/>
      <c r="C6" s="541" t="s">
        <v>1046</v>
      </c>
      <c r="D6" s="541"/>
      <c r="E6" s="541"/>
      <c r="G6" s="78" t="s">
        <v>115</v>
      </c>
      <c r="H6" s="78"/>
    </row>
    <row r="7" spans="1:8" ht="15.75" thickBot="1">
      <c r="A7" s="5"/>
      <c r="B7" s="279"/>
      <c r="C7" s="41">
        <v>2011</v>
      </c>
      <c r="D7" s="305"/>
      <c r="E7" s="41" t="s">
        <v>1044</v>
      </c>
      <c r="G7" s="6" t="s">
        <v>41</v>
      </c>
      <c r="H7" s="6" t="s">
        <v>123</v>
      </c>
    </row>
    <row r="8" spans="1:8" ht="13.5" thickTop="1">
      <c r="A8" s="437" t="s">
        <v>25</v>
      </c>
      <c r="B8" s="279"/>
      <c r="C8" s="538" t="s">
        <v>26</v>
      </c>
      <c r="D8" s="538"/>
      <c r="E8" s="538"/>
      <c r="F8" s="310"/>
      <c r="G8" s="310"/>
      <c r="H8" s="310"/>
    </row>
    <row r="9" spans="1:8" s="310" customFormat="1">
      <c r="A9" s="437"/>
      <c r="B9" s="279"/>
      <c r="C9" s="477"/>
      <c r="D9" s="477"/>
      <c r="E9" s="477"/>
    </row>
    <row r="10" spans="1:8" ht="15">
      <c r="A10" s="437" t="s">
        <v>273</v>
      </c>
      <c r="B10" s="280"/>
      <c r="C10" s="434">
        <v>2219813</v>
      </c>
      <c r="D10" s="399"/>
      <c r="E10" s="434">
        <v>3445749</v>
      </c>
      <c r="F10" s="426"/>
      <c r="G10" s="434">
        <f>C10-E10</f>
        <v>-1225936</v>
      </c>
      <c r="H10" s="26">
        <f>G10/E10</f>
        <v>-0.35578215360433973</v>
      </c>
    </row>
    <row r="11" spans="1:8" ht="15">
      <c r="A11" s="437" t="s">
        <v>27</v>
      </c>
      <c r="B11" s="280"/>
      <c r="C11" s="446">
        <v>47425</v>
      </c>
      <c r="D11" s="408"/>
      <c r="E11" s="446">
        <v>39886</v>
      </c>
      <c r="F11" s="416"/>
      <c r="G11" s="446">
        <f>C11-E11</f>
        <v>7539</v>
      </c>
      <c r="H11" s="26">
        <f>G11/E11</f>
        <v>0.18901368901368901</v>
      </c>
    </row>
    <row r="12" spans="1:8" ht="15">
      <c r="A12" s="437" t="s">
        <v>74</v>
      </c>
      <c r="B12" s="280"/>
      <c r="C12" s="446">
        <v>14637</v>
      </c>
      <c r="D12" s="408"/>
      <c r="E12" s="446">
        <v>9575</v>
      </c>
      <c r="F12" s="416"/>
      <c r="G12" s="446">
        <f>C12-E12</f>
        <v>5062</v>
      </c>
      <c r="H12" s="26">
        <f>G12/E12</f>
        <v>0.52866840731070497</v>
      </c>
    </row>
    <row r="13" spans="1:8" ht="15">
      <c r="A13" s="43" t="s">
        <v>305</v>
      </c>
      <c r="B13" s="281"/>
      <c r="C13" s="335"/>
      <c r="D13" s="411"/>
      <c r="E13" s="335"/>
      <c r="F13" s="431"/>
      <c r="G13" s="335"/>
      <c r="H13" s="112"/>
    </row>
    <row r="14" spans="1:8" ht="15">
      <c r="A14" s="118" t="s">
        <v>267</v>
      </c>
      <c r="B14" s="280"/>
      <c r="C14" s="446">
        <v>-373</v>
      </c>
      <c r="D14" s="411"/>
      <c r="E14" s="446">
        <v>-1915</v>
      </c>
      <c r="F14" s="431"/>
      <c r="G14" s="446">
        <f t="shared" ref="G14:G18" si="0">C14-E14</f>
        <v>1542</v>
      </c>
      <c r="H14" s="112">
        <f t="shared" ref="H14:H19" si="1">G14/E14</f>
        <v>-0.80522193211488247</v>
      </c>
    </row>
    <row r="15" spans="1:8" ht="15">
      <c r="A15" s="118" t="s">
        <v>268</v>
      </c>
      <c r="B15" s="280"/>
      <c r="C15" s="395">
        <v>76</v>
      </c>
      <c r="D15" s="411"/>
      <c r="E15" s="395">
        <v>1100</v>
      </c>
      <c r="F15" s="431"/>
      <c r="G15" s="395">
        <f t="shared" si="0"/>
        <v>-1024</v>
      </c>
      <c r="H15" s="112">
        <f t="shared" si="1"/>
        <v>-0.93090909090909091</v>
      </c>
    </row>
    <row r="16" spans="1:8" ht="15">
      <c r="A16" s="433" t="s">
        <v>269</v>
      </c>
      <c r="B16" s="362"/>
      <c r="C16" s="115">
        <f>+C14+C15</f>
        <v>-297</v>
      </c>
      <c r="D16" s="114"/>
      <c r="E16" s="115">
        <f>+E14+E15</f>
        <v>-815</v>
      </c>
      <c r="F16" s="313"/>
      <c r="G16" s="115">
        <f>+G14+G15</f>
        <v>518</v>
      </c>
      <c r="H16" s="112">
        <f t="shared" si="1"/>
        <v>-0.63558282208588956</v>
      </c>
    </row>
    <row r="17" spans="1:8" ht="13.5" customHeight="1">
      <c r="A17" s="433" t="s">
        <v>1106</v>
      </c>
      <c r="B17" s="362"/>
      <c r="C17" s="116">
        <f>+C18-C16</f>
        <v>1138</v>
      </c>
      <c r="D17" s="114"/>
      <c r="E17" s="116">
        <f>+E18-E16</f>
        <v>7390</v>
      </c>
      <c r="F17" s="313"/>
      <c r="G17" s="116">
        <f>+G18-G16</f>
        <v>-6252</v>
      </c>
      <c r="H17" s="112">
        <f t="shared" si="1"/>
        <v>-0.84600811907983764</v>
      </c>
    </row>
    <row r="18" spans="1:8" ht="15">
      <c r="A18" s="437" t="s">
        <v>1107</v>
      </c>
      <c r="B18" s="282"/>
      <c r="C18" s="446">
        <v>841</v>
      </c>
      <c r="D18" s="408"/>
      <c r="E18" s="446">
        <v>6575</v>
      </c>
      <c r="F18" s="431"/>
      <c r="G18" s="446">
        <f t="shared" si="0"/>
        <v>-5734</v>
      </c>
      <c r="H18" s="112">
        <f t="shared" si="1"/>
        <v>-0.87209125475285176</v>
      </c>
    </row>
    <row r="19" spans="1:8" ht="15">
      <c r="A19" s="437" t="s">
        <v>28</v>
      </c>
      <c r="B19" s="284"/>
      <c r="C19" s="13">
        <v>2282716</v>
      </c>
      <c r="D19" s="12"/>
      <c r="E19" s="13">
        <f>E10+E11+E12+E18</f>
        <v>3501785</v>
      </c>
      <c r="F19" s="311"/>
      <c r="G19" s="13">
        <f>G10+G11+G12+G18</f>
        <v>-1219069</v>
      </c>
      <c r="H19" s="26">
        <f t="shared" si="1"/>
        <v>-0.3481278833509196</v>
      </c>
    </row>
    <row r="20" spans="1:8" ht="15">
      <c r="A20" s="5"/>
      <c r="B20" s="279"/>
      <c r="C20" s="424"/>
      <c r="D20" s="408"/>
      <c r="E20" s="424"/>
      <c r="F20" s="416"/>
      <c r="G20" s="461"/>
      <c r="H20" s="26"/>
    </row>
    <row r="21" spans="1:8" ht="15">
      <c r="A21" s="437" t="s">
        <v>29</v>
      </c>
      <c r="B21" s="279"/>
      <c r="C21" s="424"/>
      <c r="D21" s="408"/>
      <c r="E21" s="424"/>
      <c r="F21" s="416"/>
      <c r="G21" s="461"/>
      <c r="H21" s="26"/>
    </row>
    <row r="22" spans="1:8" ht="15">
      <c r="A22" s="437" t="s">
        <v>30</v>
      </c>
      <c r="B22" s="280"/>
      <c r="C22" s="421">
        <v>1812815</v>
      </c>
      <c r="D22" s="408"/>
      <c r="E22" s="421">
        <v>2860641</v>
      </c>
      <c r="F22" s="416"/>
      <c r="G22" s="425">
        <f t="shared" ref="G22:G30" si="2">C22-E22</f>
        <v>-1047826</v>
      </c>
      <c r="H22" s="26">
        <f t="shared" ref="H22:H29" si="3">G22/E22</f>
        <v>-0.36629063206463169</v>
      </c>
    </row>
    <row r="23" spans="1:8" ht="15">
      <c r="A23" s="437" t="s">
        <v>274</v>
      </c>
      <c r="B23" s="280"/>
      <c r="C23" s="421">
        <v>3237</v>
      </c>
      <c r="D23" s="408"/>
      <c r="E23" s="421">
        <v>5648</v>
      </c>
      <c r="F23" s="416"/>
      <c r="G23" s="425">
        <f t="shared" si="2"/>
        <v>-2411</v>
      </c>
      <c r="H23" s="26">
        <f t="shared" si="3"/>
        <v>-0.42687677053824363</v>
      </c>
    </row>
    <row r="24" spans="1:8" ht="15">
      <c r="A24" s="437" t="s">
        <v>95</v>
      </c>
      <c r="B24" s="280"/>
      <c r="C24" s="421">
        <v>4411</v>
      </c>
      <c r="D24" s="408"/>
      <c r="E24" s="421">
        <v>7258</v>
      </c>
      <c r="F24" s="416"/>
      <c r="G24" s="425">
        <f t="shared" si="2"/>
        <v>-2847</v>
      </c>
      <c r="H24" s="26">
        <f t="shared" si="3"/>
        <v>-0.39225682006062274</v>
      </c>
    </row>
    <row r="25" spans="1:8" ht="15">
      <c r="A25" s="437" t="s">
        <v>31</v>
      </c>
      <c r="B25" s="280"/>
      <c r="C25" s="421">
        <v>59888</v>
      </c>
      <c r="D25" s="408"/>
      <c r="E25" s="421">
        <v>121354</v>
      </c>
      <c r="F25" s="416"/>
      <c r="G25" s="425">
        <f t="shared" si="2"/>
        <v>-61466</v>
      </c>
      <c r="H25" s="26">
        <f t="shared" si="3"/>
        <v>-0.50650163983057828</v>
      </c>
    </row>
    <row r="26" spans="1:8" ht="15">
      <c r="A26" s="437" t="s">
        <v>97</v>
      </c>
      <c r="B26" s="280"/>
      <c r="C26" s="421">
        <v>3329</v>
      </c>
      <c r="D26" s="408"/>
      <c r="E26" s="421">
        <v>-17897</v>
      </c>
      <c r="F26" s="416"/>
      <c r="G26" s="425">
        <f t="shared" si="2"/>
        <v>21226</v>
      </c>
      <c r="H26" s="26">
        <f t="shared" si="3"/>
        <v>-1.186008828295245</v>
      </c>
    </row>
    <row r="27" spans="1:8" ht="15">
      <c r="A27" s="437" t="s">
        <v>32</v>
      </c>
      <c r="B27" s="280"/>
      <c r="C27" s="421">
        <v>2267</v>
      </c>
      <c r="D27" s="408"/>
      <c r="E27" s="421">
        <v>0</v>
      </c>
      <c r="F27" s="416"/>
      <c r="G27" s="425">
        <f t="shared" si="2"/>
        <v>2267</v>
      </c>
      <c r="H27" s="26" t="e">
        <f t="shared" si="3"/>
        <v>#DIV/0!</v>
      </c>
    </row>
    <row r="28" spans="1:8" s="310" customFormat="1" ht="15">
      <c r="A28" s="437" t="s">
        <v>1119</v>
      </c>
      <c r="B28" s="280"/>
      <c r="C28" s="421">
        <v>22042</v>
      </c>
      <c r="D28" s="408"/>
      <c r="E28" s="421">
        <v>0</v>
      </c>
      <c r="F28" s="416"/>
      <c r="G28" s="425">
        <f t="shared" si="2"/>
        <v>22042</v>
      </c>
      <c r="H28" s="26" t="e">
        <f t="shared" si="3"/>
        <v>#DIV/0!</v>
      </c>
    </row>
    <row r="29" spans="1:8" s="310" customFormat="1" ht="15">
      <c r="A29" s="467" t="s">
        <v>1120</v>
      </c>
      <c r="B29" s="280"/>
      <c r="C29" s="421">
        <v>15622</v>
      </c>
      <c r="D29" s="408"/>
      <c r="E29" s="421">
        <v>0</v>
      </c>
      <c r="F29" s="416"/>
      <c r="G29" s="425">
        <f t="shared" si="2"/>
        <v>15622</v>
      </c>
      <c r="H29" s="26" t="e">
        <f t="shared" si="3"/>
        <v>#DIV/0!</v>
      </c>
    </row>
    <row r="30" spans="1:8" ht="15">
      <c r="A30" s="11" t="s">
        <v>33</v>
      </c>
      <c r="B30" s="280"/>
      <c r="C30" s="421">
        <v>355025</v>
      </c>
      <c r="D30" s="408"/>
      <c r="E30" s="421">
        <v>405568</v>
      </c>
      <c r="F30" s="416"/>
      <c r="G30" s="417">
        <f t="shared" si="2"/>
        <v>-50543</v>
      </c>
      <c r="H30" s="26">
        <f>G30/E30</f>
        <v>-0.12462275130187786</v>
      </c>
    </row>
    <row r="31" spans="1:8" ht="15">
      <c r="A31" s="437" t="s">
        <v>306</v>
      </c>
      <c r="B31" s="280"/>
      <c r="C31" s="400">
        <f>SUM(C22:C30)</f>
        <v>2278636</v>
      </c>
      <c r="D31" s="408"/>
      <c r="E31" s="400">
        <f>SUM(E22:E30)</f>
        <v>3382572</v>
      </c>
      <c r="F31" s="416"/>
      <c r="G31" s="400">
        <f>SUM(G22:G30)</f>
        <v>-1103936</v>
      </c>
      <c r="H31" s="26">
        <f>G31/E31</f>
        <v>-0.32635994148831127</v>
      </c>
    </row>
    <row r="32" spans="1:8" ht="15">
      <c r="A32" s="7"/>
      <c r="B32" s="279"/>
      <c r="C32" s="424"/>
      <c r="D32" s="408"/>
      <c r="E32" s="424"/>
      <c r="F32" s="416"/>
      <c r="G32" s="461"/>
      <c r="H32" s="26"/>
    </row>
    <row r="33" spans="1:8" ht="24" customHeight="1">
      <c r="A33" s="437" t="s">
        <v>1108</v>
      </c>
      <c r="B33" s="284"/>
      <c r="C33" s="446">
        <f>SUM(C19-C31)</f>
        <v>4080</v>
      </c>
      <c r="D33" s="12"/>
      <c r="E33" s="446">
        <f>SUM(E19-E31)</f>
        <v>119213</v>
      </c>
      <c r="F33" s="311"/>
      <c r="G33" s="446">
        <f>SUM(G19-G31)</f>
        <v>-115133</v>
      </c>
      <c r="H33" s="26">
        <f>G33/E33</f>
        <v>-0.96577554461342308</v>
      </c>
    </row>
    <row r="34" spans="1:8" ht="15">
      <c r="A34" s="437" t="s">
        <v>98</v>
      </c>
      <c r="B34" s="284"/>
      <c r="C34" s="421">
        <v>3820.5739138346576</v>
      </c>
      <c r="D34" s="408"/>
      <c r="E34" s="421">
        <v>38182</v>
      </c>
      <c r="F34" s="416"/>
      <c r="G34" s="417">
        <f>C34-E34</f>
        <v>-34361.426086165346</v>
      </c>
      <c r="H34" s="26">
        <f>G34/E34</f>
        <v>-0.89993782636230013</v>
      </c>
    </row>
    <row r="35" spans="1:8" s="181" customFormat="1" ht="15">
      <c r="A35" s="437" t="s">
        <v>1109</v>
      </c>
      <c r="B35" s="284"/>
      <c r="C35" s="343">
        <f>+C33-C34</f>
        <v>259.42608616534244</v>
      </c>
      <c r="D35" s="12"/>
      <c r="E35" s="343">
        <f>+E33-E34</f>
        <v>81031</v>
      </c>
      <c r="F35" s="491"/>
      <c r="G35" s="343">
        <f>+G33-G34</f>
        <v>-80771.573913834654</v>
      </c>
      <c r="H35" s="341">
        <f>G35/E35</f>
        <v>-0.99679843410342528</v>
      </c>
    </row>
    <row r="36" spans="1:8" ht="15">
      <c r="A36" s="5"/>
      <c r="B36" s="284"/>
      <c r="C36" s="408"/>
      <c r="D36" s="408"/>
      <c r="E36" s="408"/>
      <c r="F36" s="416"/>
      <c r="G36" s="419"/>
      <c r="H36" s="26"/>
    </row>
    <row r="37" spans="1:8" s="310" customFormat="1" ht="15">
      <c r="A37" s="437" t="s">
        <v>486</v>
      </c>
      <c r="B37" s="284"/>
      <c r="C37" s="408"/>
      <c r="D37" s="408"/>
      <c r="E37" s="408"/>
      <c r="F37" s="416"/>
      <c r="G37" s="419"/>
      <c r="H37" s="26"/>
    </row>
    <row r="38" spans="1:8" s="310" customFormat="1">
      <c r="A38" s="437" t="s">
        <v>1110</v>
      </c>
      <c r="B38" s="284"/>
      <c r="C38" s="421">
        <v>-32605</v>
      </c>
      <c r="D38" s="415"/>
      <c r="E38" s="421">
        <v>109270</v>
      </c>
      <c r="F38" s="420"/>
      <c r="G38" s="425">
        <f t="shared" ref="G38" si="4">C38-E38</f>
        <v>-141875</v>
      </c>
      <c r="H38" s="341">
        <f>G38/E38</f>
        <v>-1.2983893108813032</v>
      </c>
    </row>
    <row r="39" spans="1:8" s="310" customFormat="1">
      <c r="A39" s="437" t="s">
        <v>489</v>
      </c>
      <c r="B39" s="284"/>
      <c r="C39" s="421">
        <v>-10670</v>
      </c>
      <c r="D39" s="415"/>
      <c r="E39" s="414">
        <v>-2622.1542749999999</v>
      </c>
      <c r="F39" s="420"/>
      <c r="G39" s="410">
        <f>C39-E39</f>
        <v>-8047.8457250000001</v>
      </c>
      <c r="H39" s="341">
        <f>G39/E39</f>
        <v>3.0691732373374561</v>
      </c>
    </row>
    <row r="40" spans="1:8" s="310" customFormat="1" ht="15">
      <c r="A40" s="437" t="s">
        <v>1111</v>
      </c>
      <c r="B40" s="284"/>
      <c r="C40" s="343">
        <f>SUM(C38:C39)</f>
        <v>-43275</v>
      </c>
      <c r="D40" s="337"/>
      <c r="E40" s="343">
        <f>SUM(E38:E39)</f>
        <v>106647.84572500001</v>
      </c>
      <c r="F40" s="181"/>
      <c r="G40" s="343">
        <f>SUM(G38:G39)</f>
        <v>-149922.84572499999</v>
      </c>
      <c r="H40" s="341">
        <f>G40/E40</f>
        <v>-1.4057747224598238</v>
      </c>
    </row>
    <row r="41" spans="1:8" s="310" customFormat="1" ht="15">
      <c r="A41" s="5"/>
      <c r="B41" s="284"/>
      <c r="C41" s="306"/>
      <c r="D41" s="337"/>
      <c r="E41" s="306"/>
      <c r="G41" s="306"/>
      <c r="H41" s="341"/>
    </row>
    <row r="42" spans="1:8" s="310" customFormat="1" ht="16.5" customHeight="1" thickBot="1">
      <c r="A42" s="350" t="s">
        <v>1113</v>
      </c>
      <c r="B42" s="284"/>
      <c r="C42" s="436">
        <f>+C35+C40</f>
        <v>-43015.573913834654</v>
      </c>
      <c r="D42" s="345"/>
      <c r="E42" s="436">
        <f>+E35+E40</f>
        <v>187678.84572500002</v>
      </c>
      <c r="F42" s="35"/>
      <c r="G42" s="436">
        <f>+G35+G40</f>
        <v>-230694.41963883466</v>
      </c>
      <c r="H42" s="341">
        <f>G42/E42</f>
        <v>-1.2291977753148804</v>
      </c>
    </row>
    <row r="43" spans="1:8" s="310" customFormat="1" ht="15.75" thickTop="1">
      <c r="A43" s="5"/>
      <c r="B43" s="279"/>
      <c r="C43" s="306"/>
      <c r="D43" s="306"/>
      <c r="E43" s="306"/>
      <c r="G43" s="337"/>
      <c r="H43" s="26"/>
    </row>
    <row r="44" spans="1:8" ht="15">
      <c r="A44" s="352" t="s">
        <v>1114</v>
      </c>
      <c r="B44" s="283"/>
      <c r="C44" s="307"/>
      <c r="D44" s="307"/>
      <c r="E44" s="307"/>
      <c r="F44" s="310"/>
      <c r="G44" s="310"/>
      <c r="H44" s="310"/>
    </row>
    <row r="45" spans="1:8" ht="15">
      <c r="A45" s="352" t="s">
        <v>491</v>
      </c>
      <c r="B45" s="478"/>
      <c r="C45" s="307"/>
      <c r="D45" s="338"/>
      <c r="E45" s="307"/>
      <c r="F45" s="310"/>
      <c r="G45" s="310"/>
      <c r="H45" s="310"/>
    </row>
    <row r="46" spans="1:8" ht="15">
      <c r="A46" s="353" t="s">
        <v>103</v>
      </c>
      <c r="B46" s="363"/>
      <c r="C46" s="348">
        <v>0.01</v>
      </c>
      <c r="D46" s="16"/>
      <c r="E46" s="348">
        <v>1.04</v>
      </c>
      <c r="F46" s="462"/>
      <c r="G46" s="348">
        <f>C46-E46</f>
        <v>-1.03</v>
      </c>
      <c r="H46" s="26">
        <f>G46/E46</f>
        <v>-0.99038461538461542</v>
      </c>
    </row>
    <row r="47" spans="1:8" ht="15">
      <c r="A47" s="353" t="s">
        <v>492</v>
      </c>
      <c r="B47" s="363"/>
      <c r="C47" s="347">
        <v>-0.53</v>
      </c>
      <c r="D47" s="464"/>
      <c r="E47" s="347">
        <v>1.36</v>
      </c>
      <c r="F47" s="320"/>
      <c r="G47" s="347">
        <f>C47-E47</f>
        <v>-1.8900000000000001</v>
      </c>
      <c r="H47" s="26">
        <f>G47/E47</f>
        <v>-1.3897058823529411</v>
      </c>
    </row>
    <row r="48" spans="1:8" ht="15.75" thickBot="1">
      <c r="A48" s="353" t="s">
        <v>1115</v>
      </c>
      <c r="B48" s="363"/>
      <c r="C48" s="346">
        <f>SUM(C46:C47)</f>
        <v>-0.52</v>
      </c>
      <c r="D48" s="490"/>
      <c r="E48" s="346">
        <f>SUM(E46:E47)</f>
        <v>2.4000000000000004</v>
      </c>
      <c r="F48" s="463"/>
      <c r="G48" s="346">
        <f>SUM(G46:G47)</f>
        <v>-2.92</v>
      </c>
      <c r="H48" s="26">
        <f>G48/E48</f>
        <v>-1.2166666666666666</v>
      </c>
    </row>
    <row r="49" spans="1:8" ht="15.75" thickTop="1">
      <c r="A49" s="354" t="s">
        <v>493</v>
      </c>
      <c r="B49" s="363"/>
      <c r="C49" s="465"/>
      <c r="D49" s="16"/>
      <c r="E49" s="37"/>
      <c r="F49" s="310"/>
      <c r="G49" s="37"/>
      <c r="H49" s="26"/>
    </row>
    <row r="50" spans="1:8" ht="15" customHeight="1">
      <c r="A50" s="355" t="s">
        <v>103</v>
      </c>
      <c r="B50" s="363"/>
      <c r="C50" s="465">
        <v>0.01</v>
      </c>
      <c r="D50" s="16"/>
      <c r="E50" s="465">
        <v>1.03</v>
      </c>
      <c r="F50" s="462"/>
      <c r="G50" s="465">
        <f>C50-E50</f>
        <v>-1.02</v>
      </c>
      <c r="H50" s="26">
        <f>G50/E50</f>
        <v>-0.99029126213592233</v>
      </c>
    </row>
    <row r="51" spans="1:8" ht="15" customHeight="1">
      <c r="A51" s="355" t="s">
        <v>492</v>
      </c>
      <c r="B51" s="363"/>
      <c r="C51" s="347">
        <v>-0.54</v>
      </c>
      <c r="D51" s="464"/>
      <c r="E51" s="347">
        <v>1.35</v>
      </c>
      <c r="F51" s="320"/>
      <c r="G51" s="347">
        <f>C51-E51</f>
        <v>-1.8900000000000001</v>
      </c>
      <c r="H51" s="26">
        <f>G51/E51</f>
        <v>-1.4</v>
      </c>
    </row>
    <row r="52" spans="1:8" ht="15.75" thickBot="1">
      <c r="A52" s="353" t="s">
        <v>1115</v>
      </c>
      <c r="B52" s="363"/>
      <c r="C52" s="360">
        <f>SUM(C50:C51)</f>
        <v>-0.53</v>
      </c>
      <c r="D52" s="16"/>
      <c r="E52" s="360">
        <f>SUM(E50:E51)</f>
        <v>2.38</v>
      </c>
      <c r="F52" s="462"/>
      <c r="G52" s="360">
        <f>SUM(G50:G51)</f>
        <v>-2.91</v>
      </c>
      <c r="H52" s="26">
        <f>G52/E52</f>
        <v>-1.2226890756302522</v>
      </c>
    </row>
    <row r="53" spans="1:8" ht="15.75" thickTop="1">
      <c r="A53" s="353"/>
      <c r="B53" s="33"/>
      <c r="C53" s="465"/>
      <c r="D53" s="16"/>
      <c r="E53" s="465"/>
      <c r="F53" s="310"/>
      <c r="G53" s="37"/>
      <c r="H53" s="26"/>
    </row>
    <row r="54" spans="1:8" ht="15">
      <c r="A54" s="353"/>
      <c r="B54" s="363"/>
      <c r="C54" s="465"/>
      <c r="D54" s="16"/>
      <c r="E54" s="465"/>
      <c r="F54" s="310"/>
      <c r="G54" s="37"/>
      <c r="H54" s="26"/>
    </row>
    <row r="55" spans="1:8" ht="15">
      <c r="A55" s="14" t="s">
        <v>37</v>
      </c>
      <c r="B55" s="158"/>
      <c r="C55" s="307"/>
      <c r="D55" s="338"/>
      <c r="E55" s="307"/>
      <c r="F55" s="310"/>
      <c r="G55" s="310"/>
      <c r="H55" s="310"/>
    </row>
    <row r="56" spans="1:8" ht="15">
      <c r="A56" s="437" t="s">
        <v>109</v>
      </c>
      <c r="B56" s="159"/>
      <c r="C56" s="340">
        <v>79667.538819178095</v>
      </c>
      <c r="D56" s="339"/>
      <c r="E56" s="340">
        <v>78748</v>
      </c>
      <c r="F56" s="310"/>
      <c r="G56" s="335">
        <f t="shared" ref="G56:G61" si="5">C56-E56</f>
        <v>919.53881917809485</v>
      </c>
      <c r="H56" s="26">
        <f t="shared" ref="H56:H61" si="6">G56/E56</f>
        <v>1.167697997635616E-2</v>
      </c>
    </row>
    <row r="57" spans="1:8" ht="15">
      <c r="A57" s="9" t="s">
        <v>99</v>
      </c>
      <c r="B57" s="159"/>
      <c r="C57" s="117">
        <v>-1038.8390027397261</v>
      </c>
      <c r="D57" s="339"/>
      <c r="E57" s="117">
        <v>-4871</v>
      </c>
      <c r="F57" s="310"/>
      <c r="G57" s="336">
        <f t="shared" si="5"/>
        <v>3832.1609972602737</v>
      </c>
      <c r="H57" s="26">
        <f t="shared" si="6"/>
        <v>-0.78672982904132083</v>
      </c>
    </row>
    <row r="58" spans="1:8" ht="15">
      <c r="A58" s="437" t="s">
        <v>100</v>
      </c>
      <c r="B58" s="159"/>
      <c r="C58" s="340">
        <v>78628.699816438369</v>
      </c>
      <c r="D58" s="339"/>
      <c r="E58" s="340">
        <v>73877</v>
      </c>
      <c r="F58" s="310"/>
      <c r="G58" s="335">
        <f t="shared" si="5"/>
        <v>4751.6998164383695</v>
      </c>
      <c r="H58" s="26">
        <f t="shared" si="6"/>
        <v>6.4319068403405247E-2</v>
      </c>
    </row>
    <row r="59" spans="1:8" ht="15">
      <c r="A59" s="437" t="s">
        <v>110</v>
      </c>
      <c r="B59" s="159"/>
      <c r="C59" s="474">
        <v>1372.7383561643837</v>
      </c>
      <c r="D59" s="475"/>
      <c r="E59" s="474">
        <v>4211</v>
      </c>
      <c r="F59" s="315"/>
      <c r="G59" s="474">
        <f t="shared" si="5"/>
        <v>-2838.2616438356163</v>
      </c>
      <c r="H59" s="26">
        <f t="shared" si="6"/>
        <v>-0.67401131413811832</v>
      </c>
    </row>
    <row r="60" spans="1:8" ht="15">
      <c r="A60" s="9" t="s">
        <v>101</v>
      </c>
      <c r="B60" s="159"/>
      <c r="C60" s="117">
        <v>577.37396883445138</v>
      </c>
      <c r="D60" s="339"/>
      <c r="E60" s="340">
        <v>612</v>
      </c>
      <c r="F60" s="310"/>
      <c r="G60" s="336">
        <f t="shared" si="5"/>
        <v>-34.626031165548625</v>
      </c>
      <c r="H60" s="26">
        <f t="shared" si="6"/>
        <v>-5.657848229664808E-2</v>
      </c>
    </row>
    <row r="61" spans="1:8" ht="15.75" thickBot="1">
      <c r="A61" s="437" t="s">
        <v>102</v>
      </c>
      <c r="B61" s="159"/>
      <c r="C61" s="309">
        <v>80578.8121414372</v>
      </c>
      <c r="D61" s="339"/>
      <c r="E61" s="309">
        <v>78700</v>
      </c>
      <c r="F61" s="310"/>
      <c r="G61" s="349">
        <f t="shared" si="5"/>
        <v>1878.8121414371999</v>
      </c>
      <c r="H61" s="26">
        <f t="shared" si="6"/>
        <v>2.3873089471883099E-2</v>
      </c>
    </row>
    <row r="62" spans="1:8" ht="15.75" thickTop="1">
      <c r="A62" s="310"/>
      <c r="B62" s="158"/>
      <c r="C62" s="340"/>
      <c r="D62" s="339"/>
      <c r="E62" s="340"/>
      <c r="F62" s="310"/>
      <c r="G62" s="310"/>
      <c r="H62" s="310"/>
    </row>
    <row r="63" spans="1:8" ht="15">
      <c r="A63" s="310" t="s">
        <v>166</v>
      </c>
      <c r="B63" s="380"/>
      <c r="C63" s="112">
        <v>0.93636891679094725</v>
      </c>
      <c r="D63" s="339"/>
      <c r="E63" s="112">
        <v>0.26206043342801444</v>
      </c>
      <c r="F63" s="310"/>
      <c r="G63" s="310"/>
      <c r="H63" s="310"/>
    </row>
    <row r="64" spans="1:8" ht="15">
      <c r="A64" s="310"/>
      <c r="B64" s="158"/>
      <c r="C64" s="339"/>
      <c r="D64" s="339"/>
      <c r="E64" s="223"/>
      <c r="F64" s="310"/>
      <c r="G64" s="310"/>
      <c r="H64" s="310"/>
    </row>
    <row r="65" spans="1:8" ht="15">
      <c r="A65" s="542" t="s">
        <v>1045</v>
      </c>
      <c r="B65" s="542"/>
      <c r="C65" s="223"/>
      <c r="D65" s="223"/>
      <c r="E65" s="223"/>
      <c r="F65" s="310"/>
      <c r="G65" s="310"/>
      <c r="H65" s="310"/>
    </row>
  </sheetData>
  <mergeCells count="6">
    <mergeCell ref="A65:B65"/>
    <mergeCell ref="A1:E1"/>
    <mergeCell ref="A2:E2"/>
    <mergeCell ref="A3:E3"/>
    <mergeCell ref="C8:E8"/>
    <mergeCell ref="C6:E6"/>
  </mergeCells>
  <pageMargins left="0.75" right="0.75" top="1" bottom="1" header="0.5" footer="0.5"/>
  <pageSetup scale="67" orientation="portrait" r:id="rId1"/>
  <headerFooter alignWithMargins="0">
    <oddFooter>&amp;L&amp;Z&amp;F&amp;C&amp;P&amp;R&amp;D  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AF154"/>
  <sheetViews>
    <sheetView view="pageBreakPreview" zoomScaleNormal="100" zoomScaleSheetLayoutView="100" workbookViewId="0">
      <pane xSplit="2" ySplit="9" topLeftCell="E10" activePane="bottomRight" state="frozen"/>
      <selection activeCell="L39" sqref="L39"/>
      <selection pane="topRight" activeCell="L39" sqref="L39"/>
      <selection pane="bottomLeft" activeCell="L39" sqref="L39"/>
      <selection pane="bottomRight" activeCell="H19" sqref="H19"/>
    </sheetView>
  </sheetViews>
  <sheetFormatPr defaultRowHeight="12.75" outlineLevelCol="1"/>
  <cols>
    <col min="1" max="1" width="4.42578125" style="438" customWidth="1"/>
    <col min="2" max="2" width="44.7109375" style="438" customWidth="1"/>
    <col min="3" max="3" width="25.42578125" style="438" hidden="1" customWidth="1"/>
    <col min="4" max="4" width="6.5703125" style="164" customWidth="1" outlineLevel="1"/>
    <col min="5" max="5" width="15.140625" style="438" customWidth="1" outlineLevel="1"/>
    <col min="6" max="6" width="1.7109375" style="314" customWidth="1"/>
    <col min="7" max="7" width="7.5703125" style="164" customWidth="1" outlineLevel="1"/>
    <col min="8" max="8" width="13.42578125" style="438" customWidth="1" outlineLevel="1"/>
    <col min="9" max="9" width="1.85546875" style="314" customWidth="1" outlineLevel="1"/>
    <col min="10" max="10" width="6.5703125" style="164" customWidth="1" outlineLevel="1"/>
    <col min="11" max="11" width="14.42578125" style="438" customWidth="1" outlineLevel="1"/>
    <col min="12" max="12" width="1.85546875" style="314" customWidth="1"/>
    <col min="13" max="13" width="6.5703125" style="164" customWidth="1" outlineLevel="1"/>
    <col min="14" max="14" width="14.140625" style="438" customWidth="1"/>
    <col min="15" max="15" width="1.85546875" style="314" customWidth="1"/>
    <col min="16" max="16" width="6.5703125" style="164" customWidth="1" outlineLevel="1"/>
    <col min="17" max="17" width="14.140625" style="438" customWidth="1"/>
    <col min="18" max="18" width="2" style="438" customWidth="1" outlineLevel="1"/>
    <col min="19" max="19" width="6.5703125" style="164" customWidth="1" outlineLevel="1"/>
    <col min="20" max="20" width="13.85546875" style="438" customWidth="1" outlineLevel="1"/>
    <col min="21" max="21" width="1.85546875" style="314" customWidth="1"/>
    <col min="22" max="22" width="6.28515625" style="164" customWidth="1"/>
    <col min="23" max="23" width="14" style="438" customWidth="1" outlineLevel="1"/>
    <col min="24" max="24" width="1.85546875" style="314" customWidth="1" outlineLevel="1"/>
    <col min="25" max="25" width="6.28515625" style="164" customWidth="1" outlineLevel="1"/>
    <col min="26" max="26" width="14.140625" style="438" customWidth="1" outlineLevel="1"/>
    <col min="27" max="27" width="1.85546875" style="314" customWidth="1" outlineLevel="1"/>
    <col min="28" max="28" width="6.28515625" style="164" customWidth="1" outlineLevel="1"/>
    <col min="29" max="29" width="14" style="438" customWidth="1" outlineLevel="1"/>
    <col min="30" max="30" width="1.85546875" style="314" customWidth="1" outlineLevel="1"/>
    <col min="31" max="31" width="6.28515625" style="164" customWidth="1" outlineLevel="1"/>
    <col min="32" max="32" width="14.42578125" style="438" customWidth="1" outlineLevel="1"/>
    <col min="33" max="16384" width="9.140625" style="310"/>
  </cols>
  <sheetData>
    <row r="1" spans="1:32">
      <c r="A1" s="504" t="s">
        <v>262</v>
      </c>
      <c r="D1" s="438"/>
      <c r="F1" s="438"/>
      <c r="G1" s="438"/>
      <c r="I1" s="438"/>
      <c r="J1" s="438"/>
      <c r="L1" s="438"/>
      <c r="M1" s="438"/>
      <c r="O1" s="438"/>
      <c r="P1" s="438"/>
      <c r="R1" s="505"/>
      <c r="U1" s="438"/>
      <c r="V1" s="438"/>
      <c r="X1" s="438"/>
      <c r="Y1" s="506"/>
      <c r="AA1" s="438"/>
      <c r="AB1" s="506"/>
      <c r="AD1" s="438"/>
      <c r="AE1" s="506"/>
      <c r="AF1" s="430"/>
    </row>
    <row r="2" spans="1:32">
      <c r="A2" s="504" t="s">
        <v>38</v>
      </c>
      <c r="D2" s="438"/>
      <c r="F2" s="438"/>
      <c r="G2" s="438"/>
      <c r="I2" s="438"/>
      <c r="J2" s="438"/>
      <c r="L2" s="438"/>
      <c r="M2" s="438"/>
      <c r="O2" s="438"/>
      <c r="P2" s="438"/>
      <c r="R2" s="314"/>
      <c r="U2" s="438"/>
      <c r="V2" s="438"/>
      <c r="X2" s="438"/>
      <c r="Z2" s="439"/>
      <c r="AA2" s="438"/>
      <c r="AD2" s="438"/>
      <c r="AF2" s="439"/>
    </row>
    <row r="3" spans="1:32" ht="12" customHeight="1">
      <c r="A3" s="543">
        <v>40908</v>
      </c>
      <c r="B3" s="544"/>
      <c r="C3" s="507"/>
      <c r="D3" s="438"/>
      <c r="F3" s="438"/>
      <c r="G3" s="438"/>
      <c r="I3" s="438"/>
      <c r="J3" s="438"/>
      <c r="L3" s="438"/>
      <c r="M3" s="438"/>
      <c r="O3" s="438"/>
      <c r="P3" s="438"/>
      <c r="R3" s="314"/>
      <c r="T3" s="439"/>
      <c r="U3" s="439"/>
      <c r="V3" s="439"/>
      <c r="W3" s="439"/>
      <c r="X3" s="439"/>
      <c r="Y3" s="479"/>
      <c r="Z3" s="439"/>
      <c r="AA3" s="439"/>
      <c r="AB3" s="479"/>
      <c r="AC3" s="439"/>
      <c r="AD3" s="439"/>
      <c r="AE3" s="479"/>
      <c r="AF3" s="160"/>
    </row>
    <row r="4" spans="1:32">
      <c r="D4" s="438"/>
      <c r="F4" s="438"/>
      <c r="G4" s="438"/>
      <c r="I4" s="438"/>
      <c r="J4" s="438"/>
      <c r="L4" s="438"/>
      <c r="M4" s="438"/>
      <c r="O4" s="438"/>
      <c r="P4" s="438"/>
      <c r="R4" s="160"/>
      <c r="T4" s="439"/>
      <c r="U4" s="439"/>
      <c r="V4" s="439"/>
      <c r="W4" s="439"/>
      <c r="X4" s="439"/>
      <c r="Y4" s="479"/>
      <c r="Z4" s="439"/>
      <c r="AA4" s="439"/>
      <c r="AB4" s="479"/>
      <c r="AC4" s="439"/>
      <c r="AD4" s="439"/>
      <c r="AE4" s="479"/>
      <c r="AF4" s="160"/>
    </row>
    <row r="5" spans="1:32">
      <c r="D5" s="438"/>
      <c r="F5" s="438"/>
      <c r="G5" s="438"/>
      <c r="I5" s="438"/>
      <c r="J5" s="438"/>
      <c r="L5" s="438"/>
      <c r="M5" s="438"/>
      <c r="O5" s="438"/>
      <c r="P5" s="438"/>
      <c r="R5" s="314"/>
      <c r="T5" s="439"/>
      <c r="U5" s="438"/>
      <c r="V5" s="438"/>
      <c r="W5" s="439"/>
      <c r="X5" s="438"/>
      <c r="Z5" s="439"/>
      <c r="AA5" s="438"/>
      <c r="AC5" s="313"/>
      <c r="AD5" s="438"/>
      <c r="AF5" s="439"/>
    </row>
    <row r="6" spans="1:32">
      <c r="D6" s="438"/>
      <c r="F6" s="438"/>
      <c r="G6" s="438"/>
      <c r="I6" s="438"/>
      <c r="J6" s="438"/>
      <c r="L6" s="438"/>
      <c r="M6" s="438"/>
      <c r="O6" s="438"/>
      <c r="P6" s="438"/>
      <c r="R6" s="314"/>
      <c r="T6" s="439"/>
      <c r="U6" s="438"/>
      <c r="V6" s="438"/>
      <c r="W6" s="313"/>
      <c r="X6" s="438"/>
      <c r="Z6" s="313"/>
      <c r="AA6" s="438"/>
      <c r="AC6" s="313"/>
      <c r="AD6" s="438"/>
      <c r="AF6" s="439"/>
    </row>
    <row r="7" spans="1:32" ht="15">
      <c r="A7" s="501" t="s">
        <v>94</v>
      </c>
      <c r="B7" s="502"/>
      <c r="C7" s="502"/>
      <c r="F7" s="438"/>
      <c r="G7" s="438"/>
      <c r="I7" s="438"/>
      <c r="J7" s="438"/>
      <c r="N7" s="313"/>
      <c r="Q7" s="439"/>
      <c r="U7" s="438"/>
      <c r="V7" s="438"/>
      <c r="X7" s="438"/>
      <c r="AA7" s="438"/>
      <c r="AB7" s="438"/>
      <c r="AD7" s="438"/>
      <c r="AE7" s="438"/>
    </row>
    <row r="8" spans="1:32">
      <c r="A8" s="502" t="s">
        <v>1194</v>
      </c>
      <c r="B8" s="502"/>
      <c r="C8" s="502"/>
      <c r="D8" s="161"/>
      <c r="E8" s="316" t="s">
        <v>39</v>
      </c>
      <c r="F8" s="72"/>
      <c r="G8" s="161"/>
      <c r="H8" s="316" t="s">
        <v>88</v>
      </c>
      <c r="I8" s="72"/>
      <c r="J8" s="161"/>
      <c r="K8" s="316" t="s">
        <v>89</v>
      </c>
      <c r="L8" s="72"/>
      <c r="M8" s="161"/>
      <c r="N8" s="316" t="s">
        <v>90</v>
      </c>
      <c r="O8" s="72"/>
      <c r="P8" s="161"/>
      <c r="Q8" s="316" t="s">
        <v>91</v>
      </c>
      <c r="S8" s="161"/>
      <c r="T8" s="316" t="s">
        <v>39</v>
      </c>
      <c r="U8" s="72"/>
      <c r="V8" s="161"/>
      <c r="W8" s="316" t="s">
        <v>88</v>
      </c>
      <c r="X8" s="72"/>
      <c r="Y8" s="161"/>
      <c r="Z8" s="316" t="s">
        <v>89</v>
      </c>
      <c r="AA8" s="72"/>
      <c r="AB8" s="161"/>
      <c r="AC8" s="316" t="s">
        <v>90</v>
      </c>
      <c r="AD8" s="72"/>
      <c r="AE8" s="161"/>
      <c r="AF8" s="316" t="s">
        <v>91</v>
      </c>
    </row>
    <row r="9" spans="1:32">
      <c r="A9" s="503" t="s">
        <v>40</v>
      </c>
      <c r="C9" s="438" t="s">
        <v>1195</v>
      </c>
      <c r="D9" s="326"/>
      <c r="E9" s="317">
        <v>2011</v>
      </c>
      <c r="F9" s="73"/>
      <c r="G9" s="326"/>
      <c r="H9" s="317">
        <v>2011</v>
      </c>
      <c r="I9" s="73"/>
      <c r="J9" s="326"/>
      <c r="K9" s="317">
        <v>2011</v>
      </c>
      <c r="L9" s="73"/>
      <c r="M9" s="326"/>
      <c r="N9" s="317">
        <v>2011</v>
      </c>
      <c r="O9" s="73"/>
      <c r="P9" s="326"/>
      <c r="Q9" s="317">
        <v>2011</v>
      </c>
      <c r="R9" s="74"/>
      <c r="S9" s="326"/>
      <c r="T9" s="317">
        <v>2010</v>
      </c>
      <c r="U9" s="73"/>
      <c r="V9" s="326"/>
      <c r="W9" s="317">
        <v>2010</v>
      </c>
      <c r="X9" s="73"/>
      <c r="Y9" s="326"/>
      <c r="Z9" s="317">
        <v>2010</v>
      </c>
      <c r="AA9" s="73"/>
      <c r="AB9" s="326"/>
      <c r="AC9" s="317">
        <v>2010</v>
      </c>
      <c r="AD9" s="73"/>
      <c r="AE9" s="326"/>
      <c r="AF9" s="317">
        <v>2010</v>
      </c>
    </row>
    <row r="10" spans="1:32" ht="18">
      <c r="A10" s="508" t="s">
        <v>1034</v>
      </c>
      <c r="D10" s="161"/>
      <c r="E10" s="316"/>
      <c r="F10" s="72"/>
      <c r="G10" s="161"/>
      <c r="H10" s="316"/>
      <c r="I10" s="72"/>
      <c r="J10" s="161"/>
      <c r="K10" s="316"/>
      <c r="L10" s="72"/>
      <c r="M10" s="161"/>
      <c r="N10" s="316"/>
      <c r="O10" s="72"/>
      <c r="P10" s="161"/>
      <c r="Q10" s="316"/>
      <c r="R10" s="316"/>
      <c r="S10" s="161"/>
      <c r="T10" s="316"/>
      <c r="U10" s="72"/>
      <c r="V10" s="161"/>
      <c r="W10" s="316"/>
      <c r="X10" s="72"/>
      <c r="Y10" s="161"/>
      <c r="Z10" s="316"/>
      <c r="AA10" s="72"/>
      <c r="AB10" s="161"/>
      <c r="AC10" s="316"/>
      <c r="AD10" s="72"/>
      <c r="AE10" s="161"/>
      <c r="AF10" s="316"/>
    </row>
    <row r="11" spans="1:32" ht="9.75" customHeight="1">
      <c r="A11" s="509"/>
      <c r="D11" s="161"/>
      <c r="E11" s="316"/>
      <c r="F11" s="72"/>
      <c r="G11" s="161"/>
      <c r="H11" s="316"/>
      <c r="I11" s="72"/>
      <c r="J11" s="161"/>
      <c r="K11" s="316"/>
      <c r="L11" s="72"/>
      <c r="M11" s="161"/>
      <c r="N11" s="316"/>
      <c r="O11" s="72"/>
      <c r="P11" s="161"/>
      <c r="Q11" s="316"/>
      <c r="R11" s="316"/>
      <c r="S11" s="161"/>
      <c r="T11" s="316"/>
      <c r="U11" s="72"/>
      <c r="V11" s="161"/>
      <c r="W11" s="316"/>
      <c r="X11" s="72"/>
      <c r="Y11" s="161"/>
      <c r="Z11" s="316"/>
      <c r="AA11" s="72"/>
      <c r="AB11" s="161"/>
      <c r="AC11" s="316"/>
      <c r="AD11" s="72"/>
      <c r="AE11" s="161"/>
      <c r="AF11" s="316"/>
    </row>
    <row r="12" spans="1:32">
      <c r="B12" s="438" t="s">
        <v>365</v>
      </c>
      <c r="D12" s="161"/>
      <c r="E12" s="440">
        <v>67964</v>
      </c>
      <c r="F12" s="162"/>
      <c r="G12" s="321"/>
      <c r="H12" s="440">
        <v>19803.556220000086</v>
      </c>
      <c r="I12" s="162"/>
      <c r="J12" s="161"/>
      <c r="K12" s="440">
        <v>21407.204169999772</v>
      </c>
      <c r="L12" s="162"/>
      <c r="M12" s="161"/>
      <c r="N12" s="440">
        <v>20346.867574615731</v>
      </c>
      <c r="O12" s="162"/>
      <c r="P12" s="161"/>
      <c r="Q12" s="440">
        <v>6406</v>
      </c>
      <c r="R12" s="440"/>
      <c r="S12" s="161"/>
      <c r="T12" s="440">
        <v>149071.13107000015</v>
      </c>
      <c r="U12" s="162"/>
      <c r="V12" s="321"/>
      <c r="W12" s="440">
        <v>12963.12854000034</v>
      </c>
      <c r="X12" s="162"/>
      <c r="Y12" s="161"/>
      <c r="Z12" s="440">
        <v>36883.941259999803</v>
      </c>
      <c r="AA12" s="162"/>
      <c r="AB12" s="161"/>
      <c r="AC12" s="440">
        <v>51620.726180000085</v>
      </c>
      <c r="AD12" s="162"/>
      <c r="AE12" s="161"/>
      <c r="AF12" s="440">
        <v>47603.33508999992</v>
      </c>
    </row>
    <row r="13" spans="1:32">
      <c r="B13" s="438" t="s">
        <v>287</v>
      </c>
      <c r="E13" s="440">
        <v>13168</v>
      </c>
      <c r="F13" s="162"/>
      <c r="G13" s="322"/>
      <c r="H13" s="440">
        <v>4588.3073985232677</v>
      </c>
      <c r="I13" s="162"/>
      <c r="K13" s="440">
        <v>6680.7972999999747</v>
      </c>
      <c r="L13" s="162"/>
      <c r="N13" s="440">
        <v>1976.8173699999979</v>
      </c>
      <c r="O13" s="162"/>
      <c r="Q13" s="440">
        <v>-78</v>
      </c>
      <c r="R13" s="440"/>
      <c r="T13" s="440">
        <v>1167.522840000016</v>
      </c>
      <c r="U13" s="162"/>
      <c r="V13" s="322"/>
      <c r="W13" s="440">
        <v>-501.59790000000976</v>
      </c>
      <c r="X13" s="162"/>
      <c r="Z13" s="440">
        <v>3510.7197400000209</v>
      </c>
      <c r="AA13" s="162"/>
      <c r="AC13" s="440">
        <v>3857.4955099999938</v>
      </c>
      <c r="AD13" s="162"/>
      <c r="AF13" s="440">
        <v>-5699.094509999989</v>
      </c>
    </row>
    <row r="14" spans="1:32">
      <c r="B14" s="438" t="s">
        <v>295</v>
      </c>
      <c r="D14" s="161"/>
      <c r="E14" s="440">
        <v>-77893</v>
      </c>
      <c r="F14" s="162"/>
      <c r="G14" s="321"/>
      <c r="H14" s="440">
        <v>-45803.486986693082</v>
      </c>
      <c r="I14" s="162"/>
      <c r="J14" s="161"/>
      <c r="K14" s="440">
        <v>-8081.057929999999</v>
      </c>
      <c r="L14" s="162"/>
      <c r="M14" s="161"/>
      <c r="N14" s="440">
        <v>-17164.583645887044</v>
      </c>
      <c r="O14" s="162"/>
      <c r="P14" s="161"/>
      <c r="Q14" s="440">
        <v>-6843.4614299999994</v>
      </c>
      <c r="R14" s="440"/>
      <c r="S14" s="161"/>
      <c r="T14" s="440">
        <v>-37600.002775592824</v>
      </c>
      <c r="U14" s="162"/>
      <c r="V14" s="321"/>
      <c r="W14" s="440">
        <v>-22365.595230873339</v>
      </c>
      <c r="X14" s="162"/>
      <c r="Y14" s="161"/>
      <c r="Z14" s="440">
        <v>-6272.4679447194949</v>
      </c>
      <c r="AA14" s="162"/>
      <c r="AB14" s="161"/>
      <c r="AC14" s="440">
        <v>-3922.3805999999927</v>
      </c>
      <c r="AD14" s="162"/>
      <c r="AE14" s="161"/>
      <c r="AF14" s="440">
        <v>-5039.5589999999993</v>
      </c>
    </row>
    <row r="15" spans="1:32">
      <c r="A15" s="438" t="s">
        <v>43</v>
      </c>
      <c r="D15" s="165"/>
      <c r="E15" s="441">
        <v>841</v>
      </c>
      <c r="F15" s="162"/>
      <c r="G15" s="323"/>
      <c r="H15" s="441">
        <v>-1562.8757700000006</v>
      </c>
      <c r="I15" s="162"/>
      <c r="J15" s="165"/>
      <c r="K15" s="441">
        <v>408.64456999999857</v>
      </c>
      <c r="L15" s="162"/>
      <c r="M15" s="165"/>
      <c r="N15" s="441">
        <v>1991.0747700000024</v>
      </c>
      <c r="O15" s="162"/>
      <c r="P15" s="165"/>
      <c r="Q15" s="441">
        <v>4.6140000000000043</v>
      </c>
      <c r="R15" s="440"/>
      <c r="S15" s="165"/>
      <c r="T15" s="441">
        <v>6574.8373199999978</v>
      </c>
      <c r="U15" s="162"/>
      <c r="V15" s="323"/>
      <c r="W15" s="441">
        <v>-330.3708600000021</v>
      </c>
      <c r="X15" s="162"/>
      <c r="Y15" s="165"/>
      <c r="Z15" s="441">
        <v>7084.3879399999996</v>
      </c>
      <c r="AA15" s="441"/>
      <c r="AB15" s="165"/>
      <c r="AC15" s="441">
        <v>104.54924</v>
      </c>
      <c r="AD15" s="162"/>
      <c r="AE15" s="165"/>
      <c r="AF15" s="441">
        <v>-283.72899999999998</v>
      </c>
    </row>
    <row r="16" spans="1:32">
      <c r="B16" s="500"/>
      <c r="C16" s="500"/>
      <c r="D16" s="166"/>
      <c r="E16" s="440"/>
      <c r="F16" s="162"/>
      <c r="G16" s="324"/>
      <c r="H16" s="440"/>
      <c r="I16" s="162"/>
      <c r="J16" s="166"/>
      <c r="K16" s="440"/>
      <c r="L16" s="162"/>
      <c r="M16" s="166"/>
      <c r="N16" s="440"/>
      <c r="O16" s="162"/>
      <c r="P16" s="166"/>
      <c r="Q16" s="440"/>
      <c r="R16" s="440"/>
      <c r="S16" s="166"/>
      <c r="T16" s="440"/>
      <c r="U16" s="162"/>
      <c r="V16" s="324"/>
      <c r="W16" s="440"/>
      <c r="X16" s="162"/>
      <c r="Y16" s="166"/>
      <c r="Z16" s="440"/>
      <c r="AA16" s="162"/>
      <c r="AB16" s="166"/>
      <c r="AC16" s="440"/>
      <c r="AD16" s="162"/>
      <c r="AE16" s="166"/>
      <c r="AF16" s="440"/>
    </row>
    <row r="17" spans="1:32">
      <c r="B17" s="438" t="s">
        <v>288</v>
      </c>
      <c r="D17" s="165"/>
      <c r="E17" s="441">
        <f>SUM(E12:E15)</f>
        <v>4080</v>
      </c>
      <c r="F17" s="162"/>
      <c r="G17" s="323"/>
      <c r="H17" s="441">
        <v>-22974.499138169725</v>
      </c>
      <c r="I17" s="162"/>
      <c r="J17" s="165"/>
      <c r="K17" s="441">
        <v>20415.588109999742</v>
      </c>
      <c r="L17" s="162"/>
      <c r="M17" s="165"/>
      <c r="N17" s="441">
        <v>7150.1760687286878</v>
      </c>
      <c r="O17" s="162"/>
      <c r="P17" s="165"/>
      <c r="Q17" s="441">
        <v>-510.84742999999935</v>
      </c>
      <c r="R17" s="440"/>
      <c r="S17" s="165"/>
      <c r="T17" s="441">
        <v>119213.48845440733</v>
      </c>
      <c r="U17" s="162"/>
      <c r="V17" s="323"/>
      <c r="W17" s="441">
        <v>-10234.43545087301</v>
      </c>
      <c r="X17" s="162"/>
      <c r="Y17" s="165"/>
      <c r="Z17" s="441">
        <v>41206.580995280332</v>
      </c>
      <c r="AA17" s="162"/>
      <c r="AB17" s="165"/>
      <c r="AC17" s="441">
        <v>51660.390330000089</v>
      </c>
      <c r="AD17" s="162"/>
      <c r="AE17" s="165"/>
      <c r="AF17" s="441">
        <v>36580.952579999932</v>
      </c>
    </row>
    <row r="18" spans="1:32">
      <c r="D18" s="161"/>
      <c r="E18" s="440"/>
      <c r="F18" s="162"/>
      <c r="G18" s="161"/>
      <c r="H18" s="440"/>
      <c r="I18" s="162"/>
      <c r="J18" s="161"/>
      <c r="K18" s="440"/>
      <c r="L18" s="162"/>
      <c r="M18" s="161"/>
      <c r="N18" s="440"/>
      <c r="O18" s="162"/>
      <c r="P18" s="161"/>
      <c r="Q18" s="440"/>
      <c r="R18" s="440"/>
      <c r="S18" s="161"/>
      <c r="T18" s="440"/>
      <c r="U18" s="162"/>
      <c r="V18" s="161"/>
      <c r="W18" s="440"/>
      <c r="X18" s="162"/>
      <c r="Y18" s="161"/>
      <c r="Z18" s="440"/>
      <c r="AA18" s="162"/>
      <c r="AB18" s="161"/>
      <c r="AC18" s="440"/>
      <c r="AD18" s="162"/>
      <c r="AE18" s="161"/>
      <c r="AF18" s="440"/>
    </row>
    <row r="19" spans="1:32">
      <c r="B19" s="438" t="s">
        <v>104</v>
      </c>
      <c r="D19" s="165"/>
      <c r="E19" s="441">
        <v>3821</v>
      </c>
      <c r="F19" s="162"/>
      <c r="G19" s="165"/>
      <c r="H19" s="441">
        <v>-4378.5051620434442</v>
      </c>
      <c r="I19" s="162"/>
      <c r="J19" s="165"/>
      <c r="K19" s="441">
        <v>6311.5523613974638</v>
      </c>
      <c r="L19" s="162"/>
      <c r="M19" s="165"/>
      <c r="N19" s="441">
        <v>3194.8416019854922</v>
      </c>
      <c r="O19" s="162"/>
      <c r="P19" s="165"/>
      <c r="Q19" s="441">
        <v>-1307.4042460048195</v>
      </c>
      <c r="R19" s="440"/>
      <c r="S19" s="165"/>
      <c r="T19" s="441">
        <v>38182.147083926619</v>
      </c>
      <c r="U19" s="162"/>
      <c r="V19" s="165"/>
      <c r="W19" s="441">
        <v>-306.55576529291579</v>
      </c>
      <c r="X19" s="162"/>
      <c r="Y19" s="165"/>
      <c r="Z19" s="441">
        <v>7511.2349552593214</v>
      </c>
      <c r="AA19" s="162"/>
      <c r="AB19" s="165"/>
      <c r="AC19" s="441">
        <v>18284.55646454015</v>
      </c>
      <c r="AD19" s="162"/>
      <c r="AE19" s="165"/>
      <c r="AF19" s="441">
        <v>12692.911429420061</v>
      </c>
    </row>
    <row r="20" spans="1:32">
      <c r="D20" s="161"/>
      <c r="E20" s="440"/>
      <c r="F20" s="162"/>
      <c r="G20" s="161"/>
      <c r="H20" s="440"/>
      <c r="I20" s="162"/>
      <c r="J20" s="161"/>
      <c r="K20" s="440"/>
      <c r="L20" s="162"/>
      <c r="M20" s="161"/>
      <c r="N20" s="440"/>
      <c r="O20" s="162"/>
      <c r="P20" s="161"/>
      <c r="Q20" s="440"/>
      <c r="R20" s="440"/>
      <c r="S20" s="161"/>
      <c r="T20" s="440"/>
      <c r="U20" s="162"/>
      <c r="V20" s="161"/>
      <c r="W20" s="440"/>
      <c r="X20" s="162"/>
      <c r="Y20" s="161"/>
      <c r="Z20" s="440"/>
      <c r="AA20" s="162"/>
      <c r="AB20" s="161"/>
      <c r="AC20" s="440"/>
      <c r="AD20" s="162"/>
      <c r="AE20" s="161"/>
      <c r="AF20" s="440"/>
    </row>
    <row r="21" spans="1:32">
      <c r="A21" s="438" t="s">
        <v>289</v>
      </c>
      <c r="D21" s="165"/>
      <c r="E21" s="441">
        <f>SUM(E17-E19)</f>
        <v>259</v>
      </c>
      <c r="F21" s="162"/>
      <c r="G21" s="165"/>
      <c r="H21" s="441">
        <v>-18595.993976126279</v>
      </c>
      <c r="I21" s="162"/>
      <c r="J21" s="165"/>
      <c r="K21" s="441">
        <v>14104.035748602279</v>
      </c>
      <c r="L21" s="162"/>
      <c r="M21" s="165"/>
      <c r="N21" s="441">
        <v>3955.3344667431957</v>
      </c>
      <c r="O21" s="162"/>
      <c r="P21" s="165"/>
      <c r="Q21" s="441">
        <v>796.55681600482012</v>
      </c>
      <c r="R21" s="440"/>
      <c r="S21" s="165"/>
      <c r="T21" s="441">
        <v>81031.341370480717</v>
      </c>
      <c r="U21" s="162"/>
      <c r="V21" s="165"/>
      <c r="W21" s="441">
        <v>-9927.8796855800938</v>
      </c>
      <c r="X21" s="441">
        <v>0</v>
      </c>
      <c r="Y21" s="165"/>
      <c r="Z21" s="441">
        <v>33695.34604002101</v>
      </c>
      <c r="AA21" s="162"/>
      <c r="AB21" s="165"/>
      <c r="AC21" s="441">
        <v>33375.833865459936</v>
      </c>
      <c r="AD21" s="162"/>
      <c r="AE21" s="165"/>
      <c r="AF21" s="441">
        <v>23888.041150579869</v>
      </c>
    </row>
    <row r="22" spans="1:32">
      <c r="D22" s="167"/>
      <c r="E22" s="162"/>
      <c r="F22" s="162"/>
      <c r="G22" s="167"/>
      <c r="H22" s="162"/>
      <c r="I22" s="162"/>
      <c r="J22" s="167"/>
      <c r="K22" s="162"/>
      <c r="L22" s="162"/>
      <c r="M22" s="167"/>
      <c r="N22" s="162"/>
      <c r="O22" s="162"/>
      <c r="P22" s="167"/>
      <c r="Q22" s="162"/>
      <c r="R22" s="440"/>
      <c r="S22" s="167"/>
      <c r="T22" s="162"/>
      <c r="U22" s="162"/>
      <c r="V22" s="167"/>
      <c r="W22" s="162"/>
      <c r="X22" s="162"/>
      <c r="Y22" s="167"/>
      <c r="Z22" s="162"/>
      <c r="AA22" s="162"/>
      <c r="AB22" s="167"/>
      <c r="AC22" s="162"/>
      <c r="AD22" s="162"/>
      <c r="AE22" s="167"/>
      <c r="AF22" s="162"/>
    </row>
    <row r="23" spans="1:32" ht="18">
      <c r="A23" s="508" t="s">
        <v>290</v>
      </c>
      <c r="D23" s="167"/>
      <c r="E23" s="162"/>
      <c r="F23" s="162"/>
      <c r="G23" s="167"/>
      <c r="H23" s="162"/>
      <c r="I23" s="162"/>
      <c r="J23" s="167"/>
      <c r="K23" s="162"/>
      <c r="L23" s="162"/>
      <c r="M23" s="167"/>
      <c r="N23" s="162"/>
      <c r="O23" s="162"/>
      <c r="P23" s="167"/>
      <c r="Q23" s="162"/>
      <c r="R23" s="440"/>
      <c r="S23" s="167"/>
      <c r="T23" s="162"/>
      <c r="U23" s="162"/>
      <c r="V23" s="167"/>
      <c r="W23" s="162"/>
      <c r="X23" s="162"/>
      <c r="Y23" s="167"/>
      <c r="Z23" s="162"/>
      <c r="AA23" s="162"/>
      <c r="AB23" s="167"/>
      <c r="AC23" s="162"/>
      <c r="AD23" s="162"/>
      <c r="AE23" s="167"/>
      <c r="AF23" s="162"/>
    </row>
    <row r="24" spans="1:32">
      <c r="A24" s="509"/>
      <c r="D24" s="167"/>
      <c r="E24" s="162"/>
      <c r="F24" s="162"/>
      <c r="G24" s="167"/>
      <c r="H24" s="162"/>
      <c r="I24" s="162"/>
      <c r="J24" s="167"/>
      <c r="K24" s="162"/>
      <c r="L24" s="162"/>
      <c r="M24" s="167"/>
      <c r="N24" s="162"/>
      <c r="O24" s="162"/>
      <c r="P24" s="167"/>
      <c r="Q24" s="162"/>
      <c r="R24" s="440"/>
      <c r="S24" s="167"/>
      <c r="T24" s="162"/>
      <c r="U24" s="162"/>
      <c r="V24" s="167"/>
      <c r="W24" s="162"/>
      <c r="X24" s="162"/>
      <c r="Y24" s="167"/>
      <c r="Z24" s="162"/>
      <c r="AA24" s="162"/>
      <c r="AB24" s="167"/>
      <c r="AC24" s="162"/>
      <c r="AD24" s="162"/>
      <c r="AE24" s="167"/>
      <c r="AF24" s="162"/>
    </row>
    <row r="25" spans="1:32">
      <c r="B25" s="438" t="s">
        <v>286</v>
      </c>
      <c r="D25" s="161"/>
      <c r="E25" s="440">
        <v>-43224.429239999976</v>
      </c>
      <c r="F25" s="162"/>
      <c r="G25" s="321"/>
      <c r="H25" s="440">
        <v>0</v>
      </c>
      <c r="I25" s="162"/>
      <c r="J25" s="161"/>
      <c r="K25" s="440">
        <v>1.4063061826163903E-10</v>
      </c>
      <c r="L25" s="162"/>
      <c r="M25" s="161"/>
      <c r="N25" s="440">
        <v>175.00647999983136</v>
      </c>
      <c r="O25" s="162"/>
      <c r="P25" s="161"/>
      <c r="Q25" s="440">
        <v>-43399.43571999995</v>
      </c>
      <c r="R25" s="440"/>
      <c r="S25" s="161"/>
      <c r="T25" s="440">
        <v>184776.19447999989</v>
      </c>
      <c r="U25" s="162"/>
      <c r="V25" s="321"/>
      <c r="W25" s="440">
        <v>180725.40133000014</v>
      </c>
      <c r="X25" s="162"/>
      <c r="Y25" s="161"/>
      <c r="Z25" s="440">
        <v>50483.701609999596</v>
      </c>
      <c r="AA25" s="162"/>
      <c r="AB25" s="161"/>
      <c r="AC25" s="440">
        <v>-14446.239389999915</v>
      </c>
      <c r="AD25" s="162"/>
      <c r="AE25" s="161"/>
      <c r="AF25" s="440">
        <v>-31986.669069999945</v>
      </c>
    </row>
    <row r="26" spans="1:32">
      <c r="B26" s="489" t="s">
        <v>42</v>
      </c>
      <c r="E26" s="319">
        <v>-24093.961494112951</v>
      </c>
      <c r="F26" s="162"/>
      <c r="G26" s="322"/>
      <c r="H26" s="163">
        <v>-225</v>
      </c>
      <c r="I26" s="162"/>
      <c r="K26" s="163">
        <v>0</v>
      </c>
      <c r="L26" s="162"/>
      <c r="N26" s="163">
        <v>-16301.430834112949</v>
      </c>
      <c r="O26" s="162"/>
      <c r="Q26" s="163">
        <v>-7567.5306600000004</v>
      </c>
      <c r="R26" s="440"/>
      <c r="T26" s="319">
        <v>-28096.031254407178</v>
      </c>
      <c r="U26" s="162"/>
      <c r="V26" s="322"/>
      <c r="W26" s="163">
        <v>-9903.9382491266642</v>
      </c>
      <c r="X26" s="162"/>
      <c r="Z26" s="163">
        <v>-6080.5390352805134</v>
      </c>
      <c r="AA26" s="162"/>
      <c r="AC26" s="163">
        <v>-6091.5539700000008</v>
      </c>
      <c r="AD26" s="162"/>
      <c r="AF26" s="163">
        <v>-6020</v>
      </c>
    </row>
    <row r="27" spans="1:32">
      <c r="A27" s="438" t="s">
        <v>43</v>
      </c>
      <c r="D27" s="165"/>
      <c r="E27" s="441">
        <v>-11925.493</v>
      </c>
      <c r="F27" s="162"/>
      <c r="G27" s="323"/>
      <c r="H27" s="441">
        <v>0</v>
      </c>
      <c r="I27" s="162"/>
      <c r="J27" s="165"/>
      <c r="K27" s="441">
        <v>0</v>
      </c>
      <c r="L27" s="162"/>
      <c r="M27" s="165"/>
      <c r="N27" s="441">
        <v>-11684.879000000001</v>
      </c>
      <c r="O27" s="162"/>
      <c r="P27" s="165"/>
      <c r="Q27" s="441">
        <v>-240.614</v>
      </c>
      <c r="R27" s="440"/>
      <c r="S27" s="165"/>
      <c r="T27" s="494">
        <v>-1580.2639999999999</v>
      </c>
      <c r="U27" s="162"/>
      <c r="V27" s="323"/>
      <c r="W27" s="441">
        <v>29.736000000000104</v>
      </c>
      <c r="X27" s="162"/>
      <c r="Y27" s="165"/>
      <c r="Z27" s="441">
        <v>-1610</v>
      </c>
      <c r="AA27" s="162"/>
      <c r="AB27" s="165"/>
      <c r="AC27" s="441">
        <v>0</v>
      </c>
      <c r="AD27" s="162"/>
      <c r="AE27" s="165"/>
      <c r="AF27" s="441">
        <v>0</v>
      </c>
    </row>
    <row r="28" spans="1:32">
      <c r="B28" s="500"/>
      <c r="C28" s="500"/>
      <c r="D28" s="166"/>
      <c r="E28" s="440"/>
      <c r="F28" s="162"/>
      <c r="G28" s="324"/>
      <c r="H28" s="440"/>
      <c r="I28" s="162"/>
      <c r="J28" s="166"/>
      <c r="K28" s="440"/>
      <c r="L28" s="162"/>
      <c r="M28" s="166"/>
      <c r="N28" s="440"/>
      <c r="O28" s="162"/>
      <c r="P28" s="166"/>
      <c r="Q28" s="440"/>
      <c r="R28" s="440"/>
      <c r="S28" s="166"/>
      <c r="T28" s="440"/>
      <c r="U28" s="162"/>
      <c r="V28" s="324"/>
      <c r="W28" s="440"/>
      <c r="X28" s="162"/>
      <c r="Y28" s="166"/>
      <c r="Z28" s="440"/>
      <c r="AA28" s="162"/>
      <c r="AB28" s="166"/>
      <c r="AC28" s="440"/>
      <c r="AD28" s="162"/>
      <c r="AE28" s="166"/>
      <c r="AF28" s="440"/>
    </row>
    <row r="29" spans="1:32">
      <c r="B29" s="489" t="s">
        <v>1035</v>
      </c>
      <c r="D29" s="165"/>
      <c r="E29" s="441">
        <v>-79243.883734112926</v>
      </c>
      <c r="F29" s="162"/>
      <c r="G29" s="323"/>
      <c r="H29" s="441">
        <v>-225</v>
      </c>
      <c r="I29" s="162"/>
      <c r="J29" s="165"/>
      <c r="K29" s="441">
        <v>1.4063061826163903E-10</v>
      </c>
      <c r="L29" s="162"/>
      <c r="M29" s="165"/>
      <c r="N29" s="441">
        <v>-27811.303354113119</v>
      </c>
      <c r="O29" s="162"/>
      <c r="P29" s="165"/>
      <c r="Q29" s="441">
        <v>-51207.580379999956</v>
      </c>
      <c r="R29" s="440"/>
      <c r="S29" s="165"/>
      <c r="T29" s="441">
        <v>155099.8992255927</v>
      </c>
      <c r="U29" s="162"/>
      <c r="V29" s="323"/>
      <c r="W29" s="441">
        <v>170851.19908087348</v>
      </c>
      <c r="X29" s="162"/>
      <c r="Y29" s="165"/>
      <c r="Z29" s="441">
        <v>42793.162574719085</v>
      </c>
      <c r="AA29" s="162"/>
      <c r="AB29" s="165"/>
      <c r="AC29" s="441">
        <v>-20537.793359999916</v>
      </c>
      <c r="AD29" s="162"/>
      <c r="AE29" s="165"/>
      <c r="AF29" s="441">
        <v>-38006.669069999945</v>
      </c>
    </row>
    <row r="30" spans="1:32">
      <c r="D30" s="161"/>
      <c r="E30" s="440"/>
      <c r="F30" s="162"/>
      <c r="G30" s="161"/>
      <c r="H30" s="440"/>
      <c r="I30" s="162"/>
      <c r="J30" s="161"/>
      <c r="K30" s="440"/>
      <c r="L30" s="162"/>
      <c r="M30" s="161"/>
      <c r="N30" s="440"/>
      <c r="O30" s="162"/>
      <c r="P30" s="161"/>
      <c r="Q30" s="440"/>
      <c r="R30" s="440"/>
      <c r="S30" s="161"/>
      <c r="T30" s="440"/>
      <c r="U30" s="162"/>
      <c r="V30" s="161"/>
      <c r="W30" s="440"/>
      <c r="X30" s="162"/>
      <c r="Y30" s="161"/>
      <c r="Z30" s="440"/>
      <c r="AA30" s="162"/>
      <c r="AB30" s="161"/>
      <c r="AC30" s="440"/>
      <c r="AD30" s="162"/>
      <c r="AE30" s="161"/>
      <c r="AF30" s="440"/>
    </row>
    <row r="31" spans="1:32">
      <c r="B31" s="438" t="s">
        <v>104</v>
      </c>
      <c r="D31" s="165"/>
      <c r="E31" s="441">
        <v>-35968.513780439527</v>
      </c>
      <c r="F31" s="162"/>
      <c r="G31" s="165"/>
      <c r="H31" s="441">
        <v>1178.519</v>
      </c>
      <c r="I31" s="162"/>
      <c r="J31" s="165"/>
      <c r="K31" s="441">
        <v>0</v>
      </c>
      <c r="L31" s="162"/>
      <c r="M31" s="165"/>
      <c r="N31" s="441">
        <v>-18964.074094359548</v>
      </c>
      <c r="O31" s="162"/>
      <c r="P31" s="165"/>
      <c r="Q31" s="441">
        <v>-18182.958686079979</v>
      </c>
      <c r="R31" s="440"/>
      <c r="S31" s="165"/>
      <c r="T31" s="441">
        <v>48452.086050880178</v>
      </c>
      <c r="U31" s="162"/>
      <c r="V31" s="165"/>
      <c r="W31" s="441">
        <v>56396.794373780314</v>
      </c>
      <c r="X31" s="162"/>
      <c r="Y31" s="165"/>
      <c r="Z31" s="441">
        <v>15745.986828359879</v>
      </c>
      <c r="AA31" s="162"/>
      <c r="AB31" s="165"/>
      <c r="AC31" s="441">
        <v>-8170.8995718399519</v>
      </c>
      <c r="AD31" s="162"/>
      <c r="AE31" s="165"/>
      <c r="AF31" s="441">
        <v>-15519.795579420061</v>
      </c>
    </row>
    <row r="32" spans="1:32" ht="10.5" customHeight="1">
      <c r="D32" s="161"/>
      <c r="E32" s="440"/>
      <c r="F32" s="162"/>
      <c r="G32" s="161"/>
      <c r="H32" s="440"/>
      <c r="I32" s="162"/>
      <c r="J32" s="161"/>
      <c r="K32" s="440"/>
      <c r="L32" s="162"/>
      <c r="M32" s="161"/>
      <c r="N32" s="440"/>
      <c r="O32" s="162"/>
      <c r="P32" s="161"/>
      <c r="Q32" s="440"/>
      <c r="R32" s="440"/>
      <c r="S32" s="161"/>
      <c r="T32" s="440"/>
      <c r="U32" s="162"/>
      <c r="V32" s="161"/>
      <c r="W32" s="440"/>
      <c r="X32" s="162"/>
      <c r="Y32" s="161"/>
      <c r="Z32" s="440"/>
      <c r="AA32" s="162"/>
      <c r="AB32" s="161"/>
      <c r="AC32" s="440"/>
      <c r="AD32" s="162"/>
      <c r="AE32" s="161"/>
      <c r="AF32" s="440"/>
    </row>
    <row r="33" spans="1:32">
      <c r="A33" s="489" t="s">
        <v>1036</v>
      </c>
      <c r="D33" s="165"/>
      <c r="E33" s="441">
        <v>-43275.369953673398</v>
      </c>
      <c r="F33" s="162"/>
      <c r="G33" s="165"/>
      <c r="H33" s="441">
        <v>-1403.519</v>
      </c>
      <c r="I33" s="162"/>
      <c r="J33" s="165"/>
      <c r="K33" s="441">
        <v>1.4063061826163903E-10</v>
      </c>
      <c r="L33" s="162"/>
      <c r="M33" s="165"/>
      <c r="N33" s="441">
        <v>-8847.2292597535707</v>
      </c>
      <c r="O33" s="162"/>
      <c r="P33" s="165"/>
      <c r="Q33" s="441">
        <v>-33024.62169391998</v>
      </c>
      <c r="R33" s="440"/>
      <c r="S33" s="165"/>
      <c r="T33" s="441">
        <v>106647.81317471253</v>
      </c>
      <c r="U33" s="162"/>
      <c r="V33" s="165"/>
      <c r="W33" s="441">
        <v>114454.40470709317</v>
      </c>
      <c r="X33" s="162"/>
      <c r="Y33" s="165"/>
      <c r="Z33" s="441">
        <v>27047.175746359208</v>
      </c>
      <c r="AA33" s="162"/>
      <c r="AB33" s="165"/>
      <c r="AC33" s="441">
        <v>-12366.893788159963</v>
      </c>
      <c r="AD33" s="162"/>
      <c r="AE33" s="165"/>
      <c r="AF33" s="441">
        <v>-22486.873490579885</v>
      </c>
    </row>
    <row r="34" spans="1:32">
      <c r="D34" s="167"/>
      <c r="E34" s="162"/>
      <c r="F34" s="162"/>
      <c r="G34" s="167"/>
      <c r="H34" s="162"/>
      <c r="I34" s="162"/>
      <c r="J34" s="167"/>
      <c r="K34" s="162"/>
      <c r="L34" s="162"/>
      <c r="M34" s="167"/>
      <c r="N34" s="162"/>
      <c r="O34" s="162"/>
      <c r="P34" s="167"/>
      <c r="Q34" s="162"/>
      <c r="R34" s="440"/>
      <c r="S34" s="167"/>
      <c r="T34" s="162"/>
      <c r="U34" s="162"/>
      <c r="V34" s="167"/>
      <c r="W34" s="162"/>
      <c r="X34" s="162"/>
      <c r="Y34" s="167"/>
      <c r="Z34" s="162"/>
      <c r="AA34" s="162"/>
      <c r="AB34" s="167"/>
      <c r="AC34" s="162"/>
      <c r="AD34" s="162"/>
      <c r="AE34" s="167"/>
      <c r="AF34" s="162"/>
    </row>
    <row r="35" spans="1:32" s="438" customFormat="1" ht="13.5" thickBot="1">
      <c r="B35" s="438" t="s">
        <v>0</v>
      </c>
      <c r="D35" s="325" t="s">
        <v>41</v>
      </c>
      <c r="E35" s="442">
        <v>-43015.436898449378</v>
      </c>
      <c r="F35" s="162"/>
      <c r="G35" s="168" t="s">
        <v>41</v>
      </c>
      <c r="H35" s="442">
        <v>-19999.51297612628</v>
      </c>
      <c r="I35" s="162"/>
      <c r="J35" s="325" t="s">
        <v>41</v>
      </c>
      <c r="K35" s="442">
        <v>14104.035748602419</v>
      </c>
      <c r="L35" s="162"/>
      <c r="M35" s="325" t="s">
        <v>41</v>
      </c>
      <c r="N35" s="442">
        <v>-4891.894793010375</v>
      </c>
      <c r="O35" s="162"/>
      <c r="P35" s="325" t="s">
        <v>41</v>
      </c>
      <c r="Q35" s="442">
        <v>-32228.06487791516</v>
      </c>
      <c r="R35" s="440"/>
      <c r="S35" s="325" t="s">
        <v>41</v>
      </c>
      <c r="T35" s="442">
        <v>187679.15454519325</v>
      </c>
      <c r="U35" s="162"/>
      <c r="V35" s="325" t="s">
        <v>41</v>
      </c>
      <c r="W35" s="442">
        <v>104526.52502151308</v>
      </c>
      <c r="X35" s="162"/>
      <c r="Y35" s="325" t="s">
        <v>41</v>
      </c>
      <c r="Z35" s="442">
        <v>60742.521786380217</v>
      </c>
      <c r="AA35" s="162"/>
      <c r="AB35" s="325" t="s">
        <v>41</v>
      </c>
      <c r="AC35" s="442">
        <v>21008.940077299972</v>
      </c>
      <c r="AD35" s="162"/>
      <c r="AE35" s="325" t="s">
        <v>41</v>
      </c>
      <c r="AF35" s="442">
        <v>1401.1676599999846</v>
      </c>
    </row>
    <row r="36" spans="1:32" ht="13.5" thickTop="1">
      <c r="D36" s="167"/>
      <c r="E36" s="313"/>
      <c r="F36" s="162"/>
      <c r="G36" s="167"/>
      <c r="H36" s="290"/>
      <c r="I36" s="162"/>
      <c r="J36" s="167"/>
      <c r="K36" s="290"/>
      <c r="L36" s="162"/>
      <c r="M36" s="167"/>
      <c r="N36" s="290"/>
      <c r="O36" s="162"/>
      <c r="P36" s="167"/>
      <c r="Q36" s="313"/>
      <c r="R36" s="440"/>
      <c r="S36" s="167"/>
      <c r="T36" s="313"/>
      <c r="U36" s="162"/>
      <c r="V36" s="167"/>
      <c r="W36" s="313"/>
      <c r="X36" s="162"/>
      <c r="Y36" s="167"/>
      <c r="Z36" s="313"/>
      <c r="AA36" s="162"/>
      <c r="AB36" s="167"/>
      <c r="AC36" s="290"/>
      <c r="AD36" s="162"/>
      <c r="AE36" s="167"/>
      <c r="AF36" s="313"/>
    </row>
    <row r="37" spans="1:32">
      <c r="A37" s="438" t="s">
        <v>44</v>
      </c>
      <c r="D37" s="167"/>
      <c r="E37" s="162"/>
      <c r="F37" s="162"/>
      <c r="G37" s="167"/>
      <c r="H37" s="162"/>
      <c r="I37" s="162"/>
      <c r="J37" s="167"/>
      <c r="K37" s="162"/>
      <c r="L37" s="162"/>
      <c r="M37" s="167"/>
      <c r="N37" s="162"/>
      <c r="O37" s="162"/>
      <c r="P37" s="167"/>
      <c r="Q37" s="162"/>
      <c r="R37" s="440"/>
      <c r="S37" s="167"/>
      <c r="T37" s="162"/>
      <c r="U37" s="162"/>
      <c r="V37" s="167"/>
      <c r="W37" s="162"/>
      <c r="X37" s="162"/>
      <c r="Y37" s="167"/>
      <c r="Z37" s="162"/>
      <c r="AA37" s="162"/>
      <c r="AB37" s="167"/>
      <c r="AC37" s="162"/>
      <c r="AD37" s="162"/>
      <c r="AE37" s="167"/>
      <c r="AF37" s="162"/>
    </row>
    <row r="38" spans="1:32" s="483" customFormat="1">
      <c r="A38" s="295"/>
      <c r="B38" s="295" t="s">
        <v>289</v>
      </c>
      <c r="C38" s="295"/>
      <c r="D38" s="480" t="s">
        <v>41</v>
      </c>
      <c r="E38" s="481">
        <v>3.2258238650598008E-3</v>
      </c>
      <c r="F38" s="481"/>
      <c r="G38" s="480" t="s">
        <v>41</v>
      </c>
      <c r="H38" s="481">
        <v>-0.23103286484911545</v>
      </c>
      <c r="I38" s="481"/>
      <c r="J38" s="480" t="s">
        <v>41</v>
      </c>
      <c r="K38" s="481">
        <v>0.17465825374434554</v>
      </c>
      <c r="L38" s="481"/>
      <c r="M38" s="480" t="s">
        <v>41</v>
      </c>
      <c r="N38" s="481">
        <v>4.9309591563853533E-2</v>
      </c>
      <c r="O38" s="481"/>
      <c r="P38" s="480" t="s">
        <v>41</v>
      </c>
      <c r="Q38" s="481">
        <v>9.9613306771213859E-3</v>
      </c>
      <c r="R38" s="482"/>
      <c r="S38" s="480" t="s">
        <v>41</v>
      </c>
      <c r="T38" s="481">
        <v>1.0360557676286348</v>
      </c>
      <c r="U38" s="481"/>
      <c r="V38" s="480" t="s">
        <v>41</v>
      </c>
      <c r="W38" s="481">
        <v>-0.12549389396622729</v>
      </c>
      <c r="X38" s="481"/>
      <c r="Y38" s="480" t="s">
        <v>41</v>
      </c>
      <c r="Z38" s="481">
        <v>0.4275333916886907</v>
      </c>
      <c r="AA38" s="481"/>
      <c r="AB38" s="480" t="s">
        <v>41</v>
      </c>
      <c r="AC38" s="481">
        <v>0.42647440199110859</v>
      </c>
      <c r="AD38" s="481"/>
      <c r="AE38" s="480" t="s">
        <v>41</v>
      </c>
      <c r="AF38" s="481">
        <v>0.30571741200681668</v>
      </c>
    </row>
    <row r="39" spans="1:32" s="483" customFormat="1">
      <c r="A39" s="295"/>
      <c r="B39" s="295" t="s">
        <v>291</v>
      </c>
      <c r="C39" s="295"/>
      <c r="D39" s="484"/>
      <c r="E39" s="485">
        <v>-0.53705643957264659</v>
      </c>
      <c r="F39" s="481"/>
      <c r="G39" s="484"/>
      <c r="H39" s="485">
        <v>-1.7437035947443981E-2</v>
      </c>
      <c r="I39" s="481"/>
      <c r="J39" s="484"/>
      <c r="K39" s="485">
        <v>1.7415085048263359E-15</v>
      </c>
      <c r="L39" s="481"/>
      <c r="M39" s="484"/>
      <c r="N39" s="485">
        <v>-0.11029491056654729</v>
      </c>
      <c r="O39" s="481"/>
      <c r="P39" s="484"/>
      <c r="Q39" s="485">
        <v>-0.41298896772980831</v>
      </c>
      <c r="R39" s="482"/>
      <c r="S39" s="484"/>
      <c r="T39" s="485">
        <v>1.3635845103373059</v>
      </c>
      <c r="U39" s="481"/>
      <c r="V39" s="484"/>
      <c r="W39" s="485">
        <v>1.4467670220804409</v>
      </c>
      <c r="X39" s="481"/>
      <c r="Y39" s="484"/>
      <c r="Z39" s="485">
        <v>0.34318005723124595</v>
      </c>
      <c r="AA39" s="481"/>
      <c r="AB39" s="484"/>
      <c r="AC39" s="485">
        <v>-0.15802342659223312</v>
      </c>
      <c r="AD39" s="481"/>
      <c r="AE39" s="484"/>
      <c r="AF39" s="485">
        <v>-0.28778537027502976</v>
      </c>
    </row>
    <row r="40" spans="1:32" s="483" customFormat="1" ht="13.5" thickBot="1">
      <c r="A40" s="510"/>
      <c r="B40" s="510" t="s">
        <v>45</v>
      </c>
      <c r="C40" s="510"/>
      <c r="D40" s="486" t="s">
        <v>41</v>
      </c>
      <c r="E40" s="487">
        <v>-0.53383061570758672</v>
      </c>
      <c r="F40" s="481"/>
      <c r="G40" s="486" t="s">
        <v>41</v>
      </c>
      <c r="H40" s="487">
        <v>-0.24846990079655945</v>
      </c>
      <c r="I40" s="481"/>
      <c r="J40" s="486" t="s">
        <v>41</v>
      </c>
      <c r="K40" s="487">
        <v>0.17465825374434729</v>
      </c>
      <c r="L40" s="481"/>
      <c r="M40" s="486" t="s">
        <v>41</v>
      </c>
      <c r="N40" s="487">
        <v>-6.0985319002693758E-2</v>
      </c>
      <c r="O40" s="481"/>
      <c r="P40" s="486" t="s">
        <v>41</v>
      </c>
      <c r="Q40" s="487">
        <v>-0.40302763705268696</v>
      </c>
      <c r="R40" s="482"/>
      <c r="S40" s="486" t="s">
        <v>41</v>
      </c>
      <c r="T40" s="487">
        <v>2.3996402779659407</v>
      </c>
      <c r="U40" s="481"/>
      <c r="V40" s="486" t="s">
        <v>41</v>
      </c>
      <c r="W40" s="487">
        <v>1.3212731281142136</v>
      </c>
      <c r="X40" s="481"/>
      <c r="Y40" s="486" t="s">
        <v>41</v>
      </c>
      <c r="Z40" s="487">
        <v>0.77071344891993676</v>
      </c>
      <c r="AA40" s="481"/>
      <c r="AB40" s="486" t="s">
        <v>41</v>
      </c>
      <c r="AC40" s="487">
        <v>0.26845097539887547</v>
      </c>
      <c r="AD40" s="481"/>
      <c r="AE40" s="486" t="s">
        <v>41</v>
      </c>
      <c r="AF40" s="487">
        <v>1.7932041731786964E-2</v>
      </c>
    </row>
    <row r="41" spans="1:32" ht="13.5" thickTop="1">
      <c r="D41" s="167"/>
      <c r="E41" s="162"/>
      <c r="F41" s="162"/>
      <c r="G41" s="167"/>
      <c r="H41" s="162"/>
      <c r="I41" s="162"/>
      <c r="J41" s="167"/>
      <c r="K41" s="162"/>
      <c r="L41" s="162"/>
      <c r="M41" s="167"/>
      <c r="N41" s="162"/>
      <c r="O41" s="162"/>
      <c r="P41" s="167"/>
      <c r="Q41" s="162"/>
      <c r="R41" s="440"/>
      <c r="S41" s="167"/>
      <c r="T41" s="162"/>
      <c r="U41" s="162"/>
      <c r="V41" s="167"/>
      <c r="W41" s="162"/>
      <c r="X41" s="162"/>
      <c r="Y41" s="167"/>
      <c r="Z41" s="162"/>
      <c r="AA41" s="162"/>
      <c r="AB41" s="167"/>
      <c r="AC41" s="162"/>
      <c r="AD41" s="162"/>
      <c r="AE41" s="167"/>
      <c r="AF41" s="162"/>
    </row>
    <row r="42" spans="1:32">
      <c r="B42" s="438" t="s">
        <v>105</v>
      </c>
      <c r="E42" s="163">
        <v>80578812.141437188</v>
      </c>
      <c r="F42" s="162"/>
      <c r="G42" s="322"/>
      <c r="H42" s="163">
        <v>80490686.847826093</v>
      </c>
      <c r="I42" s="162"/>
      <c r="K42" s="163">
        <v>80752185.746955499</v>
      </c>
      <c r="L42" s="162"/>
      <c r="N42" s="163">
        <v>80214301.950184062</v>
      </c>
      <c r="O42" s="162"/>
      <c r="Q42" s="163">
        <v>79964900.455950752</v>
      </c>
      <c r="T42" s="163">
        <v>78211370.374346197</v>
      </c>
      <c r="U42" s="162"/>
      <c r="V42" s="438"/>
      <c r="W42" s="163">
        <v>79110460.053553432</v>
      </c>
      <c r="X42" s="162"/>
      <c r="Z42" s="163">
        <v>78813366.850550801</v>
      </c>
      <c r="AA42" s="162"/>
      <c r="AC42" s="163">
        <v>78259876.113633141</v>
      </c>
      <c r="AD42" s="162"/>
      <c r="AF42" s="163">
        <v>78137653.311180159</v>
      </c>
    </row>
    <row r="43" spans="1:32">
      <c r="E43" s="440"/>
      <c r="F43" s="162"/>
      <c r="H43" s="440"/>
      <c r="I43" s="162"/>
      <c r="K43" s="440"/>
      <c r="L43" s="162"/>
      <c r="N43" s="440"/>
      <c r="O43" s="162"/>
      <c r="Q43" s="440"/>
      <c r="T43" s="440"/>
      <c r="U43" s="162"/>
      <c r="V43" s="438"/>
      <c r="W43" s="440"/>
      <c r="X43" s="162"/>
      <c r="Z43" s="440"/>
      <c r="AA43" s="162"/>
      <c r="AC43" s="440"/>
      <c r="AD43" s="162"/>
      <c r="AF43" s="440"/>
    </row>
    <row r="44" spans="1:32">
      <c r="A44" s="504" t="s">
        <v>191</v>
      </c>
      <c r="E44" s="444">
        <v>0.93629743814667366</v>
      </c>
      <c r="F44" s="172"/>
      <c r="H44" s="444">
        <v>0.19058109322474917</v>
      </c>
      <c r="I44" s="172"/>
      <c r="K44" s="444">
        <v>0.30915359025616351</v>
      </c>
      <c r="L44" s="172"/>
      <c r="N44" s="444">
        <v>0.44681999034375386</v>
      </c>
      <c r="O44" s="172"/>
      <c r="Q44" s="444">
        <v>2.5592851587896237</v>
      </c>
      <c r="T44" s="444">
        <v>0.32028378314362649</v>
      </c>
      <c r="U44" s="172"/>
      <c r="V44" s="438"/>
      <c r="W44" s="444">
        <v>2.9953363501527209E-2</v>
      </c>
      <c r="X44" s="172"/>
      <c r="Z44" s="444">
        <v>0.18228241154294345</v>
      </c>
      <c r="AA44" s="172"/>
      <c r="AC44" s="444">
        <v>0.35393763670271744</v>
      </c>
      <c r="AD44" s="172"/>
      <c r="AF44" s="444">
        <v>0.34698143526092085</v>
      </c>
    </row>
    <row r="45" spans="1:32">
      <c r="A45" s="504" t="s">
        <v>1037</v>
      </c>
      <c r="E45" s="444">
        <v>0.45389640292145089</v>
      </c>
      <c r="F45" s="172"/>
      <c r="H45" s="444">
        <v>-5.2378622222222226</v>
      </c>
      <c r="I45" s="172"/>
      <c r="K45" s="444">
        <v>0</v>
      </c>
      <c r="L45" s="172"/>
      <c r="N45" s="444">
        <v>0.68188368782633413</v>
      </c>
      <c r="O45" s="172"/>
      <c r="Q45" s="444">
        <v>0.35508334022323113</v>
      </c>
      <c r="T45" s="444">
        <v>0.31239276294052681</v>
      </c>
      <c r="U45" s="172"/>
      <c r="V45" s="438"/>
      <c r="W45" s="444">
        <v>0.3300930556951171</v>
      </c>
      <c r="X45" s="172"/>
      <c r="Z45" s="444">
        <v>0.36795567050849698</v>
      </c>
      <c r="AA45" s="172"/>
      <c r="AC45" s="444">
        <v>0.39784700472027662</v>
      </c>
      <c r="AD45" s="172"/>
      <c r="AF45" s="444">
        <v>0.40834400801701415</v>
      </c>
    </row>
    <row r="46" spans="1:32">
      <c r="A46" s="504" t="s">
        <v>1038</v>
      </c>
      <c r="E46" s="444">
        <v>0.42770817902755687</v>
      </c>
      <c r="F46" s="173"/>
      <c r="H46" s="444">
        <v>0.13793341584597243</v>
      </c>
      <c r="I46" s="173"/>
      <c r="K46" s="444">
        <v>0.30915359025616135</v>
      </c>
      <c r="L46" s="173"/>
      <c r="N46" s="444">
        <v>0.76323195121735321</v>
      </c>
      <c r="O46" s="173"/>
      <c r="Q46" s="444">
        <v>0.37685528654674727</v>
      </c>
      <c r="T46" s="444">
        <v>0.31582211086201106</v>
      </c>
      <c r="U46" s="173"/>
      <c r="V46" s="438"/>
      <c r="W46" s="444">
        <v>0.34921783592712552</v>
      </c>
      <c r="X46" s="173"/>
      <c r="Z46" s="444">
        <v>0.27687253311955989</v>
      </c>
      <c r="AA46" s="173"/>
      <c r="AC46" s="444">
        <v>0.32496185657157711</v>
      </c>
      <c r="AD46" s="173"/>
      <c r="AF46" s="444">
        <v>1.9827814083850381</v>
      </c>
    </row>
    <row r="47" spans="1:32" ht="28.5" customHeight="1">
      <c r="H47" s="291"/>
      <c r="K47" s="291"/>
      <c r="N47" s="291"/>
      <c r="U47" s="438"/>
      <c r="V47" s="438"/>
      <c r="X47" s="438"/>
      <c r="AA47" s="438"/>
      <c r="AC47" s="291"/>
      <c r="AD47" s="438"/>
    </row>
    <row r="48" spans="1:32" ht="15">
      <c r="A48" s="501" t="s">
        <v>46</v>
      </c>
      <c r="B48" s="502"/>
      <c r="C48" s="502"/>
      <c r="H48" s="291"/>
      <c r="K48" s="291"/>
      <c r="N48" s="291"/>
      <c r="U48" s="438"/>
      <c r="V48" s="438"/>
      <c r="X48" s="438"/>
      <c r="AA48" s="438"/>
      <c r="AC48" s="291"/>
      <c r="AD48" s="438"/>
    </row>
    <row r="49" spans="1:32">
      <c r="A49" s="502" t="s">
        <v>1194</v>
      </c>
      <c r="B49" s="502"/>
      <c r="C49" s="502"/>
      <c r="D49" s="161"/>
      <c r="E49" s="316" t="s">
        <v>39</v>
      </c>
      <c r="F49" s="72"/>
      <c r="G49" s="161"/>
      <c r="H49" s="316" t="s">
        <v>88</v>
      </c>
      <c r="I49" s="72"/>
      <c r="J49" s="161"/>
      <c r="K49" s="316" t="s">
        <v>89</v>
      </c>
      <c r="L49" s="72"/>
      <c r="M49" s="161"/>
      <c r="N49" s="316" t="s">
        <v>90</v>
      </c>
      <c r="O49" s="72"/>
      <c r="P49" s="161"/>
      <c r="Q49" s="316" t="s">
        <v>91</v>
      </c>
      <c r="S49" s="161"/>
      <c r="T49" s="316" t="s">
        <v>39</v>
      </c>
      <c r="U49" s="72"/>
      <c r="V49" s="161"/>
      <c r="W49" s="316" t="s">
        <v>88</v>
      </c>
      <c r="X49" s="72"/>
      <c r="Y49" s="161"/>
      <c r="Z49" s="316" t="s">
        <v>89</v>
      </c>
      <c r="AA49" s="72"/>
      <c r="AB49" s="161"/>
      <c r="AC49" s="292" t="s">
        <v>90</v>
      </c>
      <c r="AD49" s="72"/>
      <c r="AE49" s="161"/>
      <c r="AF49" s="316" t="s">
        <v>91</v>
      </c>
    </row>
    <row r="50" spans="1:32">
      <c r="A50" s="503" t="s">
        <v>40</v>
      </c>
      <c r="D50" s="326"/>
      <c r="E50" s="317">
        <v>2011</v>
      </c>
      <c r="F50" s="73"/>
      <c r="G50" s="326"/>
      <c r="H50" s="317">
        <v>2011</v>
      </c>
      <c r="I50" s="73"/>
      <c r="J50" s="326"/>
      <c r="K50" s="317">
        <v>2011</v>
      </c>
      <c r="L50" s="73"/>
      <c r="M50" s="326"/>
      <c r="N50" s="317">
        <v>2011</v>
      </c>
      <c r="O50" s="73"/>
      <c r="P50" s="326"/>
      <c r="Q50" s="317">
        <v>2011</v>
      </c>
      <c r="R50" s="74"/>
      <c r="S50" s="326"/>
      <c r="T50" s="317">
        <v>2010</v>
      </c>
      <c r="U50" s="73"/>
      <c r="V50" s="326"/>
      <c r="W50" s="317">
        <v>2010</v>
      </c>
      <c r="X50" s="73"/>
      <c r="Y50" s="326"/>
      <c r="Z50" s="317">
        <v>2010</v>
      </c>
      <c r="AA50" s="73"/>
      <c r="AB50" s="326"/>
      <c r="AC50" s="293">
        <v>2010</v>
      </c>
      <c r="AD50" s="73"/>
      <c r="AE50" s="326"/>
      <c r="AF50" s="317">
        <v>2010</v>
      </c>
    </row>
    <row r="51" spans="1:32">
      <c r="D51" s="161"/>
      <c r="E51" s="316"/>
      <c r="F51" s="72"/>
      <c r="G51" s="161"/>
      <c r="H51" s="316"/>
      <c r="I51" s="72"/>
      <c r="J51" s="161"/>
      <c r="K51" s="316"/>
      <c r="L51" s="72"/>
      <c r="M51" s="161"/>
      <c r="N51" s="316"/>
      <c r="O51" s="72"/>
      <c r="P51" s="161"/>
      <c r="Q51" s="316"/>
      <c r="R51" s="316"/>
      <c r="S51" s="161"/>
      <c r="T51" s="316"/>
      <c r="U51" s="72"/>
      <c r="V51" s="161"/>
      <c r="W51" s="316"/>
      <c r="X51" s="72"/>
      <c r="Y51" s="161"/>
      <c r="Z51" s="316"/>
      <c r="AA51" s="72"/>
      <c r="AB51" s="161"/>
      <c r="AC51" s="292"/>
      <c r="AD51" s="72"/>
      <c r="AE51" s="161"/>
      <c r="AF51" s="316"/>
    </row>
    <row r="52" spans="1:32">
      <c r="A52" s="504" t="s">
        <v>1034</v>
      </c>
      <c r="D52" s="161"/>
      <c r="E52" s="316"/>
      <c r="F52" s="72"/>
      <c r="G52" s="161"/>
      <c r="H52" s="316"/>
      <c r="I52" s="72"/>
      <c r="J52" s="161"/>
      <c r="K52" s="316"/>
      <c r="L52" s="72"/>
      <c r="M52" s="161"/>
      <c r="N52" s="316"/>
      <c r="O52" s="72"/>
      <c r="P52" s="161"/>
      <c r="Q52" s="316"/>
      <c r="R52" s="316"/>
      <c r="S52" s="161"/>
      <c r="T52" s="316"/>
      <c r="U52" s="72"/>
      <c r="V52" s="161"/>
      <c r="W52" s="316"/>
      <c r="X52" s="72"/>
      <c r="Y52" s="161"/>
      <c r="Z52" s="316"/>
      <c r="AA52" s="72"/>
      <c r="AB52" s="161"/>
      <c r="AC52" s="292"/>
      <c r="AD52" s="72"/>
      <c r="AE52" s="161"/>
      <c r="AF52" s="316"/>
    </row>
    <row r="53" spans="1:32">
      <c r="A53" s="438" t="s">
        <v>47</v>
      </c>
      <c r="D53" s="161"/>
      <c r="E53" s="440">
        <v>2350073.1979499999</v>
      </c>
      <c r="F53" s="162"/>
      <c r="G53" s="161"/>
      <c r="H53" s="440">
        <v>545653.17936000007</v>
      </c>
      <c r="I53" s="162"/>
      <c r="J53" s="161"/>
      <c r="K53" s="440">
        <v>593962.77579999983</v>
      </c>
      <c r="L53" s="162"/>
      <c r="M53" s="161"/>
      <c r="N53" s="440">
        <v>596797.24279000005</v>
      </c>
      <c r="O53" s="162"/>
      <c r="P53" s="161"/>
      <c r="Q53" s="440">
        <v>613660</v>
      </c>
      <c r="R53" s="316"/>
      <c r="S53" s="161"/>
      <c r="T53" s="440">
        <v>3621280.8037299998</v>
      </c>
      <c r="U53" s="162"/>
      <c r="V53" s="161"/>
      <c r="W53" s="440">
        <v>904860.03849000041</v>
      </c>
      <c r="X53" s="162"/>
      <c r="Y53" s="161"/>
      <c r="Z53" s="440">
        <v>908242.94550999976</v>
      </c>
      <c r="AA53" s="162"/>
      <c r="AB53" s="161"/>
      <c r="AC53" s="440">
        <v>909432.04848999996</v>
      </c>
      <c r="AD53" s="162"/>
      <c r="AE53" s="161"/>
      <c r="AF53" s="440">
        <v>898745.77124000003</v>
      </c>
    </row>
    <row r="54" spans="1:32">
      <c r="A54" s="438" t="s">
        <v>48</v>
      </c>
      <c r="D54" s="165"/>
      <c r="E54" s="441">
        <v>-130552.7794781699</v>
      </c>
      <c r="F54" s="162"/>
      <c r="G54" s="165"/>
      <c r="H54" s="441">
        <v>-30726.952738169904</v>
      </c>
      <c r="I54" s="162"/>
      <c r="J54" s="165"/>
      <c r="K54" s="441">
        <v>-28535.195339999998</v>
      </c>
      <c r="L54" s="162"/>
      <c r="M54" s="165"/>
      <c r="N54" s="441">
        <v>-37744.631399999998</v>
      </c>
      <c r="O54" s="162"/>
      <c r="P54" s="165"/>
      <c r="Q54" s="441">
        <v>-33546</v>
      </c>
      <c r="R54" s="440"/>
      <c r="S54" s="165"/>
      <c r="T54" s="441">
        <v>-175622.87179000003</v>
      </c>
      <c r="U54" s="162"/>
      <c r="V54" s="165"/>
      <c r="W54" s="441">
        <v>-41476.909870000003</v>
      </c>
      <c r="X54" s="162"/>
      <c r="Y54" s="165"/>
      <c r="Z54" s="441">
        <v>-43129.238140000016</v>
      </c>
      <c r="AA54" s="162"/>
      <c r="AB54" s="165"/>
      <c r="AC54" s="441">
        <v>-46607.60817</v>
      </c>
      <c r="AD54" s="162"/>
      <c r="AE54" s="165"/>
      <c r="AF54" s="441">
        <v>-44409.115610000001</v>
      </c>
    </row>
    <row r="55" spans="1:32">
      <c r="B55" s="500" t="s">
        <v>49</v>
      </c>
      <c r="C55" s="500"/>
      <c r="D55" s="166"/>
      <c r="E55" s="440">
        <v>2219520.41847183</v>
      </c>
      <c r="F55" s="162"/>
      <c r="G55" s="166"/>
      <c r="H55" s="440">
        <v>514926.22662183014</v>
      </c>
      <c r="I55" s="162"/>
      <c r="J55" s="166"/>
      <c r="K55" s="440">
        <v>565427.58045999985</v>
      </c>
      <c r="L55" s="162"/>
      <c r="M55" s="166"/>
      <c r="N55" s="440">
        <v>559052.61139000009</v>
      </c>
      <c r="O55" s="162"/>
      <c r="P55" s="166"/>
      <c r="Q55" s="440">
        <v>580114</v>
      </c>
      <c r="R55" s="440"/>
      <c r="S55" s="166"/>
      <c r="T55" s="440">
        <v>3445657.9319399996</v>
      </c>
      <c r="U55" s="162"/>
      <c r="V55" s="166"/>
      <c r="W55" s="440">
        <v>863383.12862000044</v>
      </c>
      <c r="X55" s="162"/>
      <c r="Y55" s="166"/>
      <c r="Z55" s="440">
        <v>865113.70736999973</v>
      </c>
      <c r="AA55" s="162"/>
      <c r="AB55" s="166"/>
      <c r="AC55" s="440">
        <v>862824.44031999994</v>
      </c>
      <c r="AD55" s="162"/>
      <c r="AE55" s="166"/>
      <c r="AF55" s="440">
        <v>854336.65563000005</v>
      </c>
    </row>
    <row r="56" spans="1:32">
      <c r="A56" s="438" t="s">
        <v>50</v>
      </c>
      <c r="B56" s="500"/>
      <c r="C56" s="500"/>
      <c r="D56" s="166"/>
      <c r="E56" s="440">
        <v>47424.377250000005</v>
      </c>
      <c r="F56" s="162"/>
      <c r="G56" s="166"/>
      <c r="H56" s="440">
        <v>11007.585169999998</v>
      </c>
      <c r="I56" s="162"/>
      <c r="J56" s="166"/>
      <c r="K56" s="440">
        <v>11498.096550000002</v>
      </c>
      <c r="L56" s="162"/>
      <c r="M56" s="166"/>
      <c r="N56" s="440">
        <v>11850.687620000002</v>
      </c>
      <c r="O56" s="162"/>
      <c r="P56" s="166"/>
      <c r="Q56" s="440">
        <v>13068.00791</v>
      </c>
      <c r="R56" s="440"/>
      <c r="S56" s="166"/>
      <c r="T56" s="162">
        <v>39759.970860000001</v>
      </c>
      <c r="U56" s="162"/>
      <c r="V56" s="166"/>
      <c r="W56" s="440">
        <v>9807.017530000001</v>
      </c>
      <c r="X56" s="162"/>
      <c r="Y56" s="166"/>
      <c r="Z56" s="440">
        <v>9856.4116199999989</v>
      </c>
      <c r="AA56" s="162"/>
      <c r="AB56" s="166"/>
      <c r="AC56" s="440">
        <v>10396.296259999999</v>
      </c>
      <c r="AD56" s="162"/>
      <c r="AE56" s="166"/>
      <c r="AF56" s="440">
        <v>9700.2454500000022</v>
      </c>
    </row>
    <row r="57" spans="1:32">
      <c r="A57" s="438" t="s">
        <v>51</v>
      </c>
      <c r="B57" s="500"/>
      <c r="C57" s="500"/>
      <c r="D57" s="165"/>
      <c r="E57" s="441">
        <v>14939.39407</v>
      </c>
      <c r="F57" s="162"/>
      <c r="G57" s="165"/>
      <c r="H57" s="441">
        <v>4706.5822299999991</v>
      </c>
      <c r="I57" s="162"/>
      <c r="J57" s="165"/>
      <c r="K57" s="441">
        <v>4576.0670100000016</v>
      </c>
      <c r="L57" s="162"/>
      <c r="M57" s="165"/>
      <c r="N57" s="441">
        <v>4455.7448299999996</v>
      </c>
      <c r="O57" s="162"/>
      <c r="P57" s="165"/>
      <c r="Q57" s="441">
        <v>1201</v>
      </c>
      <c r="R57" s="440"/>
      <c r="S57" s="165"/>
      <c r="T57" s="441">
        <v>9805.1991699999999</v>
      </c>
      <c r="U57" s="162"/>
      <c r="V57" s="165"/>
      <c r="W57" s="441">
        <v>2506.2136900000014</v>
      </c>
      <c r="X57" s="162"/>
      <c r="Y57" s="165"/>
      <c r="Z57" s="441">
        <v>1558.7138399999997</v>
      </c>
      <c r="AA57" s="162"/>
      <c r="AB57" s="165"/>
      <c r="AC57" s="441">
        <v>930.9342999999991</v>
      </c>
      <c r="AD57" s="162"/>
      <c r="AE57" s="165"/>
      <c r="AF57" s="441">
        <v>4809.3373400000009</v>
      </c>
    </row>
    <row r="58" spans="1:32">
      <c r="B58" s="500" t="s">
        <v>52</v>
      </c>
      <c r="C58" s="500"/>
      <c r="D58" s="174"/>
      <c r="E58" s="443">
        <v>2281884.1897918298</v>
      </c>
      <c r="F58" s="162"/>
      <c r="G58" s="174"/>
      <c r="H58" s="443">
        <v>530640.39402183006</v>
      </c>
      <c r="I58" s="162"/>
      <c r="J58" s="174"/>
      <c r="K58" s="443">
        <v>581501.74401999987</v>
      </c>
      <c r="L58" s="162"/>
      <c r="M58" s="174"/>
      <c r="N58" s="443">
        <v>575359.04384000006</v>
      </c>
      <c r="O58" s="162"/>
      <c r="P58" s="174"/>
      <c r="Q58" s="443">
        <v>594383.00791000004</v>
      </c>
      <c r="R58" s="440"/>
      <c r="S58" s="174"/>
      <c r="T58" s="443">
        <v>3495223.1019699993</v>
      </c>
      <c r="U58" s="162"/>
      <c r="V58" s="174"/>
      <c r="W58" s="443">
        <v>875696.3598400004</v>
      </c>
      <c r="X58" s="162"/>
      <c r="Y58" s="174"/>
      <c r="Z58" s="443">
        <v>876528.83282999974</v>
      </c>
      <c r="AA58" s="162"/>
      <c r="AB58" s="174"/>
      <c r="AC58" s="443">
        <v>874151.67087999987</v>
      </c>
      <c r="AD58" s="162"/>
      <c r="AE58" s="174"/>
      <c r="AF58" s="443">
        <v>868846.23842000007</v>
      </c>
    </row>
    <row r="59" spans="1:32">
      <c r="B59" s="500"/>
      <c r="C59" s="500"/>
      <c r="D59" s="161"/>
      <c r="E59" s="440"/>
      <c r="F59" s="162"/>
      <c r="G59" s="161"/>
      <c r="H59" s="440"/>
      <c r="I59" s="162"/>
      <c r="J59" s="161"/>
      <c r="K59" s="440"/>
      <c r="L59" s="162"/>
      <c r="M59" s="161"/>
      <c r="N59" s="440"/>
      <c r="O59" s="162"/>
      <c r="P59" s="161"/>
      <c r="Q59" s="440"/>
      <c r="R59" s="440"/>
      <c r="S59" s="161"/>
      <c r="T59" s="440"/>
      <c r="U59" s="162"/>
      <c r="V59" s="161"/>
      <c r="W59" s="440"/>
      <c r="X59" s="162"/>
      <c r="Y59" s="161"/>
      <c r="Z59" s="440"/>
      <c r="AA59" s="162"/>
      <c r="AB59" s="161"/>
      <c r="AC59" s="440"/>
      <c r="AD59" s="162"/>
      <c r="AE59" s="161"/>
      <c r="AF59" s="440"/>
    </row>
    <row r="60" spans="1:32">
      <c r="A60" s="438" t="s">
        <v>53</v>
      </c>
      <c r="D60" s="161">
        <v>0.81676338159040374</v>
      </c>
      <c r="E60" s="440">
        <v>1812823.0024999999</v>
      </c>
      <c r="F60" s="162"/>
      <c r="G60" s="161">
        <v>0.79170273665124091</v>
      </c>
      <c r="H60" s="440">
        <v>407668.50279</v>
      </c>
      <c r="I60" s="162"/>
      <c r="J60" s="161">
        <v>0.80694537942207456</v>
      </c>
      <c r="K60" s="440">
        <v>456269.17345000018</v>
      </c>
      <c r="L60" s="162"/>
      <c r="M60" s="161">
        <v>0.82219690400362511</v>
      </c>
      <c r="N60" s="440">
        <v>459651.32625999983</v>
      </c>
      <c r="O60" s="162"/>
      <c r="P60" s="161">
        <v>0.84334113639732877</v>
      </c>
      <c r="Q60" s="440">
        <v>489234</v>
      </c>
      <c r="R60" s="440"/>
      <c r="S60" s="161">
        <v>0.83022179447725086</v>
      </c>
      <c r="T60" s="440">
        <v>2860660.3114099996</v>
      </c>
      <c r="U60" s="162"/>
      <c r="V60" s="161">
        <v>0.84025414019793321</v>
      </c>
      <c r="W60" s="440">
        <v>725461.24840000004</v>
      </c>
      <c r="X60" s="162"/>
      <c r="Y60" s="161">
        <v>0.83665206516076962</v>
      </c>
      <c r="Z60" s="440">
        <v>723799.16986999998</v>
      </c>
      <c r="AA60" s="162"/>
      <c r="AB60" s="161">
        <v>0.81780978217109934</v>
      </c>
      <c r="AC60" s="440">
        <v>705626.26758999983</v>
      </c>
      <c r="AD60" s="162"/>
      <c r="AE60" s="161">
        <v>0.82610715682046043</v>
      </c>
      <c r="AF60" s="440">
        <v>705773.62555000011</v>
      </c>
    </row>
    <row r="61" spans="1:32">
      <c r="A61" s="438" t="s">
        <v>54</v>
      </c>
      <c r="D61" s="161"/>
      <c r="E61" s="440">
        <v>3237.1631399999987</v>
      </c>
      <c r="F61" s="162"/>
      <c r="G61" s="161"/>
      <c r="H61" s="440">
        <v>1003.5339799999981</v>
      </c>
      <c r="I61" s="162"/>
      <c r="J61" s="161"/>
      <c r="K61" s="440">
        <v>87.368140000001631</v>
      </c>
      <c r="L61" s="162"/>
      <c r="M61" s="161"/>
      <c r="N61" s="440">
        <v>-152.73898000000099</v>
      </c>
      <c r="O61" s="162"/>
      <c r="P61" s="161"/>
      <c r="Q61" s="440">
        <v>2299</v>
      </c>
      <c r="R61" s="440"/>
      <c r="S61" s="161"/>
      <c r="T61" s="440">
        <v>5647.868449999999</v>
      </c>
      <c r="U61" s="162"/>
      <c r="V61" s="161"/>
      <c r="W61" s="440">
        <v>2120.8890000000001</v>
      </c>
      <c r="X61" s="162"/>
      <c r="Y61" s="161"/>
      <c r="Z61" s="440">
        <v>411.75299999999993</v>
      </c>
      <c r="AA61" s="162"/>
      <c r="AB61" s="161"/>
      <c r="AC61" s="440">
        <v>130.83599999999933</v>
      </c>
      <c r="AD61" s="162"/>
      <c r="AE61" s="161"/>
      <c r="AF61" s="440">
        <v>2984.3904499999999</v>
      </c>
    </row>
    <row r="62" spans="1:32">
      <c r="A62" s="113" t="s">
        <v>55</v>
      </c>
      <c r="B62" s="500"/>
      <c r="C62" s="500"/>
      <c r="D62" s="161">
        <v>0.19091751384428621</v>
      </c>
      <c r="E62" s="440">
        <v>4411.691563306902</v>
      </c>
      <c r="F62" s="162"/>
      <c r="G62" s="161">
        <v>0.20513647501116</v>
      </c>
      <c r="H62" s="440">
        <v>1089.1481133069015</v>
      </c>
      <c r="I62" s="162"/>
      <c r="J62" s="161">
        <v>0.1844357498712029</v>
      </c>
      <c r="K62" s="440">
        <v>940.56723000000034</v>
      </c>
      <c r="L62" s="162"/>
      <c r="M62" s="161">
        <v>0.19558023311869524</v>
      </c>
      <c r="N62" s="440">
        <v>1208.9762199999998</v>
      </c>
      <c r="O62" s="162"/>
      <c r="P62" s="161">
        <v>0.18012057861041106</v>
      </c>
      <c r="Q62" s="440">
        <v>1173</v>
      </c>
      <c r="R62" s="440"/>
      <c r="S62" s="161">
        <v>0.14943491227688094</v>
      </c>
      <c r="T62" s="440">
        <v>7022.5486300000002</v>
      </c>
      <c r="U62" s="162"/>
      <c r="V62" s="161">
        <v>0.1834368167629313</v>
      </c>
      <c r="W62" s="440">
        <v>1762.92327</v>
      </c>
      <c r="X62" s="162"/>
      <c r="Y62" s="161">
        <v>0.1351118890140624</v>
      </c>
      <c r="Z62" s="440">
        <v>1720.32269</v>
      </c>
      <c r="AA62" s="162"/>
      <c r="AB62" s="161">
        <v>0.13361467818093248</v>
      </c>
      <c r="AC62" s="440">
        <v>1683.5522799999999</v>
      </c>
      <c r="AD62" s="162"/>
      <c r="AE62" s="161">
        <v>0.14555407412350924</v>
      </c>
      <c r="AF62" s="440">
        <v>1855.7503900000002</v>
      </c>
    </row>
    <row r="63" spans="1:32">
      <c r="A63" s="511" t="s">
        <v>1196</v>
      </c>
      <c r="B63" s="500"/>
      <c r="C63" s="500"/>
      <c r="D63" s="161"/>
      <c r="E63" s="440">
        <v>15622.0464666931</v>
      </c>
      <c r="F63" s="162"/>
      <c r="G63" s="161"/>
      <c r="H63" s="440">
        <v>15622.0464666931</v>
      </c>
      <c r="I63" s="162"/>
      <c r="J63" s="161"/>
      <c r="K63" s="440"/>
      <c r="L63" s="162"/>
      <c r="M63" s="161"/>
      <c r="N63" s="440"/>
      <c r="O63" s="162"/>
      <c r="P63" s="161"/>
      <c r="Q63" s="440"/>
      <c r="R63" s="440"/>
      <c r="S63" s="161"/>
      <c r="T63" s="440"/>
      <c r="U63" s="162"/>
      <c r="V63" s="161"/>
      <c r="W63" s="440"/>
      <c r="X63" s="162"/>
      <c r="Y63" s="161"/>
      <c r="Z63" s="440"/>
      <c r="AA63" s="162"/>
      <c r="AB63" s="161"/>
      <c r="AC63" s="440"/>
      <c r="AD63" s="162"/>
      <c r="AE63" s="161"/>
      <c r="AF63" s="440"/>
    </row>
    <row r="64" spans="1:32">
      <c r="A64" s="113" t="s">
        <v>272</v>
      </c>
      <c r="B64" s="500"/>
      <c r="C64" s="500"/>
      <c r="D64" s="161"/>
      <c r="E64" s="440">
        <v>22042.169000000002</v>
      </c>
      <c r="F64" s="162"/>
      <c r="G64" s="161"/>
      <c r="H64" s="440">
        <v>22042.169000000002</v>
      </c>
      <c r="I64" s="162"/>
      <c r="J64" s="161"/>
      <c r="K64" s="440">
        <v>0</v>
      </c>
      <c r="L64" s="162"/>
      <c r="M64" s="161"/>
      <c r="N64" s="440">
        <v>0</v>
      </c>
      <c r="O64" s="162"/>
      <c r="P64" s="161"/>
      <c r="Q64" s="440">
        <v>0</v>
      </c>
      <c r="R64" s="440"/>
      <c r="S64" s="161"/>
      <c r="T64" s="440">
        <v>0</v>
      </c>
      <c r="U64" s="162"/>
      <c r="V64" s="161"/>
      <c r="W64" s="440">
        <v>0</v>
      </c>
      <c r="X64" s="162"/>
      <c r="Y64" s="161"/>
      <c r="Z64" s="440">
        <v>0</v>
      </c>
      <c r="AA64" s="162"/>
      <c r="AB64" s="161"/>
      <c r="AC64" s="440">
        <v>0</v>
      </c>
      <c r="AD64" s="162"/>
      <c r="AE64" s="161"/>
      <c r="AF64" s="440">
        <v>0</v>
      </c>
    </row>
    <row r="65" spans="1:32">
      <c r="A65" s="113" t="s">
        <v>56</v>
      </c>
      <c r="B65" s="500"/>
      <c r="C65" s="500"/>
      <c r="D65" s="175">
        <v>0.18945901717398803</v>
      </c>
      <c r="E65" s="441">
        <v>420508.15708127152</v>
      </c>
      <c r="F65" s="162"/>
      <c r="G65" s="175">
        <v>0.20318758616433691</v>
      </c>
      <c r="H65" s="441">
        <v>104626.61703999998</v>
      </c>
      <c r="I65" s="162"/>
      <c r="J65" s="175">
        <v>0.18428123293036155</v>
      </c>
      <c r="K65" s="441">
        <v>104197.69165999998</v>
      </c>
      <c r="L65" s="162"/>
      <c r="M65" s="175">
        <v>0.19585344350513853</v>
      </c>
      <c r="N65" s="441">
        <v>109492.37904127155</v>
      </c>
      <c r="O65" s="162"/>
      <c r="P65" s="175">
        <v>0.17615756444422992</v>
      </c>
      <c r="Q65" s="441">
        <v>102191.46934</v>
      </c>
      <c r="R65" s="440"/>
      <c r="S65" s="175">
        <v>0.1477957860021436</v>
      </c>
      <c r="T65" s="440">
        <v>509253.72234559286</v>
      </c>
      <c r="U65" s="162"/>
      <c r="V65" s="175">
        <v>0.18098033026267973</v>
      </c>
      <c r="W65" s="441">
        <v>156255.36376087338</v>
      </c>
      <c r="X65" s="162"/>
      <c r="Y65" s="175">
        <v>0.1346359365508287</v>
      </c>
      <c r="Z65" s="441">
        <v>116475.39421471948</v>
      </c>
      <c r="AA65" s="162"/>
      <c r="AB65" s="175">
        <v>0.133463041308023</v>
      </c>
      <c r="AC65" s="441">
        <v>115155.17391999999</v>
      </c>
      <c r="AD65" s="162"/>
      <c r="AE65" s="175">
        <v>0.14206084878858635</v>
      </c>
      <c r="AF65" s="441">
        <v>121367.79045</v>
      </c>
    </row>
    <row r="66" spans="1:32">
      <c r="A66" s="500"/>
      <c r="B66" s="500" t="s">
        <v>57</v>
      </c>
      <c r="C66" s="500"/>
      <c r="D66" s="174"/>
      <c r="E66" s="443">
        <v>2278644.2297512712</v>
      </c>
      <c r="F66" s="162"/>
      <c r="G66" s="174"/>
      <c r="H66" s="443">
        <v>552052.01738999994</v>
      </c>
      <c r="I66" s="162"/>
      <c r="J66" s="174"/>
      <c r="K66" s="443">
        <v>561494.80048000009</v>
      </c>
      <c r="L66" s="162"/>
      <c r="M66" s="174"/>
      <c r="N66" s="443">
        <v>570199.94254127133</v>
      </c>
      <c r="O66" s="162"/>
      <c r="P66" s="174"/>
      <c r="Q66" s="443">
        <v>594897.46933999995</v>
      </c>
      <c r="R66" s="440"/>
      <c r="S66" s="174"/>
      <c r="T66" s="443">
        <v>3382584.4508355926</v>
      </c>
      <c r="U66" s="162"/>
      <c r="V66" s="174"/>
      <c r="W66" s="443">
        <v>885600.42443087348</v>
      </c>
      <c r="X66" s="162"/>
      <c r="Y66" s="174"/>
      <c r="Z66" s="443">
        <v>842406.63977471949</v>
      </c>
      <c r="AA66" s="162"/>
      <c r="AB66" s="174"/>
      <c r="AC66" s="443">
        <v>822595.82978999976</v>
      </c>
      <c r="AD66" s="162"/>
      <c r="AE66" s="174"/>
      <c r="AF66" s="443">
        <v>831981.55683999998</v>
      </c>
    </row>
    <row r="67" spans="1:32">
      <c r="A67" s="500"/>
      <c r="B67" s="500"/>
      <c r="C67" s="500"/>
      <c r="D67" s="176"/>
      <c r="E67" s="162"/>
      <c r="F67" s="162"/>
      <c r="G67" s="176"/>
      <c r="H67" s="162"/>
      <c r="I67" s="162"/>
      <c r="J67" s="176"/>
      <c r="K67" s="162"/>
      <c r="L67" s="162"/>
      <c r="M67" s="176"/>
      <c r="N67" s="162"/>
      <c r="O67" s="162"/>
      <c r="P67" s="176"/>
      <c r="Q67" s="162"/>
      <c r="R67" s="440"/>
      <c r="S67" s="176"/>
      <c r="T67" s="162"/>
      <c r="U67" s="162"/>
      <c r="V67" s="176"/>
      <c r="W67" s="162"/>
      <c r="X67" s="162"/>
      <c r="Y67" s="176"/>
      <c r="Z67" s="162"/>
      <c r="AA67" s="162"/>
      <c r="AB67" s="176"/>
      <c r="AC67" s="162"/>
      <c r="AD67" s="162"/>
      <c r="AE67" s="176"/>
      <c r="AF67" s="162"/>
    </row>
    <row r="68" spans="1:32" s="315" customFormat="1">
      <c r="A68" s="314"/>
      <c r="B68" s="314" t="s">
        <v>86</v>
      </c>
      <c r="C68" s="314"/>
      <c r="D68" s="167" t="s">
        <v>41</v>
      </c>
      <c r="E68" s="162">
        <v>3239.9600405585952</v>
      </c>
      <c r="F68" s="162"/>
      <c r="G68" s="167" t="s">
        <v>41</v>
      </c>
      <c r="H68" s="162">
        <v>-21411.62336816988</v>
      </c>
      <c r="I68" s="162"/>
      <c r="J68" s="167" t="s">
        <v>41</v>
      </c>
      <c r="K68" s="162">
        <v>20006.943539999775</v>
      </c>
      <c r="L68" s="162"/>
      <c r="M68" s="167" t="s">
        <v>41</v>
      </c>
      <c r="N68" s="162">
        <v>5159.1012987287249</v>
      </c>
      <c r="O68" s="162"/>
      <c r="P68" s="167" t="s">
        <v>41</v>
      </c>
      <c r="Q68" s="162">
        <v>-514.46142999990843</v>
      </c>
      <c r="R68" s="162"/>
      <c r="S68" s="167" t="s">
        <v>41</v>
      </c>
      <c r="T68" s="440">
        <v>112638.65113440738</v>
      </c>
      <c r="U68" s="162"/>
      <c r="V68" s="167" t="s">
        <v>41</v>
      </c>
      <c r="W68" s="162">
        <v>-9904.0645908730803</v>
      </c>
      <c r="X68" s="162"/>
      <c r="Y68" s="167" t="s">
        <v>41</v>
      </c>
      <c r="Z68" s="162">
        <v>34122.193055280251</v>
      </c>
      <c r="AA68" s="162"/>
      <c r="AB68" s="167" t="s">
        <v>41</v>
      </c>
      <c r="AC68" s="162">
        <v>51555.841090000118</v>
      </c>
      <c r="AD68" s="162"/>
      <c r="AE68" s="167" t="s">
        <v>41</v>
      </c>
      <c r="AF68" s="162">
        <v>36864.681580000091</v>
      </c>
    </row>
    <row r="69" spans="1:32" ht="4.5" customHeight="1">
      <c r="D69" s="167"/>
      <c r="E69" s="162"/>
      <c r="F69" s="162"/>
      <c r="G69" s="167"/>
      <c r="H69" s="162"/>
      <c r="I69" s="162"/>
      <c r="J69" s="167"/>
      <c r="K69" s="162"/>
      <c r="L69" s="162"/>
      <c r="M69" s="167"/>
      <c r="N69" s="162"/>
      <c r="O69" s="162"/>
      <c r="P69" s="167"/>
      <c r="Q69" s="162"/>
      <c r="R69" s="440"/>
      <c r="S69" s="167"/>
      <c r="T69" s="440">
        <v>0</v>
      </c>
      <c r="U69" s="162"/>
      <c r="V69" s="167"/>
      <c r="W69" s="162"/>
      <c r="X69" s="162"/>
      <c r="Y69" s="167"/>
      <c r="Z69" s="162"/>
      <c r="AA69" s="162"/>
      <c r="AB69" s="167"/>
      <c r="AC69" s="162"/>
      <c r="AD69" s="162"/>
      <c r="AE69" s="167"/>
      <c r="AF69" s="162"/>
    </row>
    <row r="70" spans="1:32">
      <c r="B70" s="438" t="s">
        <v>43</v>
      </c>
      <c r="D70" s="165"/>
      <c r="E70" s="441">
        <v>841.45757000000049</v>
      </c>
      <c r="F70" s="162"/>
      <c r="G70" s="165"/>
      <c r="H70" s="441">
        <v>-1562.8757700000006</v>
      </c>
      <c r="I70" s="162"/>
      <c r="J70" s="165"/>
      <c r="K70" s="441">
        <v>408.64456999999857</v>
      </c>
      <c r="L70" s="162"/>
      <c r="M70" s="165"/>
      <c r="N70" s="441">
        <v>1991.0747700000024</v>
      </c>
      <c r="O70" s="162"/>
      <c r="P70" s="165"/>
      <c r="Q70" s="441">
        <v>4.6140000000000043</v>
      </c>
      <c r="R70" s="440"/>
      <c r="S70" s="165"/>
      <c r="T70" s="441">
        <v>6574.8373199999978</v>
      </c>
      <c r="U70" s="162"/>
      <c r="V70" s="165"/>
      <c r="W70" s="441">
        <v>-330.3708600000021</v>
      </c>
      <c r="X70" s="162"/>
      <c r="Y70" s="165"/>
      <c r="Z70" s="441">
        <v>7084.3879399999996</v>
      </c>
      <c r="AA70" s="162"/>
      <c r="AB70" s="165"/>
      <c r="AC70" s="441">
        <v>104.54924</v>
      </c>
      <c r="AD70" s="162"/>
      <c r="AE70" s="165"/>
      <c r="AF70" s="441">
        <v>-283.72899999999998</v>
      </c>
    </row>
    <row r="71" spans="1:32" ht="5.25" customHeight="1">
      <c r="D71" s="167"/>
      <c r="E71" s="162"/>
      <c r="F71" s="162"/>
      <c r="G71" s="167"/>
      <c r="H71" s="162"/>
      <c r="I71" s="162"/>
      <c r="J71" s="167"/>
      <c r="K71" s="162"/>
      <c r="L71" s="162"/>
      <c r="M71" s="167"/>
      <c r="N71" s="162"/>
      <c r="O71" s="162"/>
      <c r="P71" s="167"/>
      <c r="Q71" s="162"/>
      <c r="R71" s="440"/>
      <c r="S71" s="167"/>
      <c r="T71" s="162"/>
      <c r="U71" s="162"/>
      <c r="V71" s="167"/>
      <c r="W71" s="162"/>
      <c r="X71" s="162"/>
      <c r="Y71" s="167"/>
      <c r="Z71" s="162"/>
      <c r="AA71" s="162"/>
      <c r="AB71" s="167"/>
      <c r="AC71" s="162"/>
      <c r="AD71" s="162"/>
      <c r="AE71" s="167"/>
      <c r="AF71" s="162"/>
    </row>
    <row r="72" spans="1:32">
      <c r="B72" s="489" t="s">
        <v>1039</v>
      </c>
      <c r="D72" s="161"/>
      <c r="E72" s="440">
        <v>4081.4176105585957</v>
      </c>
      <c r="G72" s="161"/>
      <c r="H72" s="440">
        <v>-22974.499138169878</v>
      </c>
      <c r="J72" s="161"/>
      <c r="K72" s="440">
        <v>20415.588109999771</v>
      </c>
      <c r="M72" s="161"/>
      <c r="N72" s="440">
        <v>7150.1760687287278</v>
      </c>
      <c r="P72" s="161"/>
      <c r="Q72" s="440">
        <v>-509.8474299999084</v>
      </c>
      <c r="S72" s="161"/>
      <c r="T72" s="440">
        <v>119213.48845440737</v>
      </c>
      <c r="U72" s="438"/>
      <c r="V72" s="161"/>
      <c r="W72" s="440">
        <v>-10234.435450873083</v>
      </c>
      <c r="X72" s="438"/>
      <c r="Y72" s="161"/>
      <c r="Z72" s="440">
        <v>41206.580995280252</v>
      </c>
      <c r="AA72" s="438"/>
      <c r="AB72" s="161"/>
      <c r="AC72" s="440">
        <v>51660.390330000118</v>
      </c>
      <c r="AD72" s="438"/>
      <c r="AE72" s="161"/>
      <c r="AF72" s="440">
        <v>36580.952580000092</v>
      </c>
    </row>
    <row r="73" spans="1:32">
      <c r="D73" s="161"/>
      <c r="E73" s="440"/>
      <c r="G73" s="161"/>
      <c r="H73" s="440"/>
      <c r="J73" s="161"/>
      <c r="K73" s="440"/>
      <c r="M73" s="161"/>
      <c r="N73" s="440"/>
      <c r="P73" s="161"/>
      <c r="Q73" s="440"/>
      <c r="S73" s="161"/>
      <c r="T73" s="440"/>
      <c r="U73" s="438"/>
      <c r="V73" s="161"/>
      <c r="W73" s="440"/>
      <c r="X73" s="438"/>
      <c r="Y73" s="161"/>
      <c r="Z73" s="440"/>
      <c r="AA73" s="438"/>
      <c r="AB73" s="161"/>
      <c r="AC73" s="440"/>
      <c r="AD73" s="438"/>
      <c r="AE73" s="161"/>
      <c r="AF73" s="440"/>
    </row>
    <row r="74" spans="1:32">
      <c r="A74" s="512" t="s">
        <v>290</v>
      </c>
      <c r="D74" s="161"/>
      <c r="E74" s="440"/>
      <c r="G74" s="161"/>
      <c r="H74" s="440"/>
      <c r="J74" s="161"/>
      <c r="K74" s="440"/>
      <c r="M74" s="161"/>
      <c r="N74" s="440"/>
      <c r="P74" s="161"/>
      <c r="Q74" s="440"/>
      <c r="S74" s="161"/>
      <c r="T74" s="440"/>
      <c r="U74" s="438"/>
      <c r="V74" s="161"/>
      <c r="W74" s="440"/>
      <c r="X74" s="438"/>
      <c r="Y74" s="161"/>
      <c r="Z74" s="440"/>
      <c r="AA74" s="438"/>
      <c r="AB74" s="161"/>
      <c r="AC74" s="440"/>
      <c r="AD74" s="438"/>
      <c r="AE74" s="161"/>
      <c r="AF74" s="440"/>
    </row>
    <row r="75" spans="1:32">
      <c r="A75" s="513" t="s">
        <v>1040</v>
      </c>
      <c r="D75" s="161"/>
      <c r="E75" s="440">
        <v>-63052.670224112982</v>
      </c>
      <c r="G75" s="161"/>
      <c r="H75" s="440">
        <v>-225</v>
      </c>
      <c r="J75" s="161"/>
      <c r="K75" s="440">
        <v>1.4063061826163903E-10</v>
      </c>
      <c r="M75" s="161"/>
      <c r="N75" s="440">
        <v>-13354.330234113113</v>
      </c>
      <c r="P75" s="161"/>
      <c r="Q75" s="440">
        <v>-49473.339990000008</v>
      </c>
      <c r="S75" s="161"/>
      <c r="T75" s="440">
        <v>155099.89922559256</v>
      </c>
      <c r="U75" s="438"/>
      <c r="V75" s="161"/>
      <c r="W75" s="440">
        <v>170851.19908087354</v>
      </c>
      <c r="X75" s="438"/>
      <c r="Y75" s="161"/>
      <c r="Z75" s="440">
        <v>42793.16257471907</v>
      </c>
      <c r="AA75" s="438"/>
      <c r="AB75" s="161"/>
      <c r="AC75" s="440">
        <v>-20537.79336000012</v>
      </c>
      <c r="AD75" s="438"/>
      <c r="AE75" s="161"/>
      <c r="AF75" s="440">
        <v>-38006.669069999945</v>
      </c>
    </row>
    <row r="76" spans="1:32">
      <c r="A76" s="513" t="s">
        <v>1041</v>
      </c>
      <c r="D76" s="161"/>
      <c r="E76" s="441">
        <v>-16190.777790000002</v>
      </c>
      <c r="G76" s="161"/>
      <c r="H76" s="441">
        <v>0</v>
      </c>
      <c r="J76" s="161"/>
      <c r="K76" s="441">
        <v>0</v>
      </c>
      <c r="M76" s="161"/>
      <c r="N76" s="441">
        <v>-14456.973120000002</v>
      </c>
      <c r="P76" s="161"/>
      <c r="Q76" s="441">
        <v>-1733.80467</v>
      </c>
      <c r="S76" s="161"/>
      <c r="T76" s="441">
        <v>0</v>
      </c>
      <c r="U76" s="438"/>
      <c r="V76" s="161"/>
      <c r="W76" s="441">
        <v>0</v>
      </c>
      <c r="X76" s="438"/>
      <c r="Y76" s="161"/>
      <c r="Z76" s="441">
        <v>0</v>
      </c>
      <c r="AA76" s="438"/>
      <c r="AB76" s="161"/>
      <c r="AC76" s="441">
        <v>0</v>
      </c>
      <c r="AD76" s="438"/>
      <c r="AE76" s="161"/>
      <c r="AF76" s="441">
        <v>0</v>
      </c>
    </row>
    <row r="77" spans="1:32">
      <c r="A77" s="513" t="s">
        <v>1042</v>
      </c>
      <c r="D77" s="161"/>
      <c r="E77" s="440">
        <v>-79243.44801411299</v>
      </c>
      <c r="G77" s="161"/>
      <c r="H77" s="440">
        <v>-225</v>
      </c>
      <c r="J77" s="161"/>
      <c r="K77" s="440">
        <v>1.4063061826163903E-10</v>
      </c>
      <c r="M77" s="161"/>
      <c r="N77" s="440">
        <v>-27811.303354113115</v>
      </c>
      <c r="P77" s="161"/>
      <c r="Q77" s="440">
        <v>-51207.144660000005</v>
      </c>
      <c r="S77" s="161"/>
      <c r="T77" s="440">
        <v>155099.89922559256</v>
      </c>
      <c r="U77" s="438"/>
      <c r="V77" s="161"/>
      <c r="W77" s="440">
        <v>170851.19908087354</v>
      </c>
      <c r="X77" s="438"/>
      <c r="Y77" s="161"/>
      <c r="Z77" s="440">
        <v>42793.16257471907</v>
      </c>
      <c r="AA77" s="438"/>
      <c r="AB77" s="161"/>
      <c r="AC77" s="440">
        <v>-20537.79336000012</v>
      </c>
      <c r="AD77" s="438"/>
      <c r="AE77" s="161"/>
      <c r="AF77" s="440">
        <v>-38006.669069999945</v>
      </c>
    </row>
    <row r="78" spans="1:32">
      <c r="D78" s="161"/>
      <c r="E78" s="440"/>
      <c r="G78" s="161"/>
      <c r="H78" s="440"/>
      <c r="J78" s="161"/>
      <c r="K78" s="440"/>
      <c r="M78" s="161"/>
      <c r="N78" s="440"/>
      <c r="P78" s="161"/>
      <c r="Q78" s="440"/>
      <c r="S78" s="161"/>
      <c r="T78" s="440"/>
      <c r="U78" s="438"/>
      <c r="V78" s="161"/>
      <c r="W78" s="440"/>
      <c r="X78" s="438"/>
      <c r="Y78" s="161"/>
      <c r="Z78" s="440"/>
      <c r="AA78" s="438"/>
      <c r="AB78" s="161"/>
      <c r="AC78" s="440"/>
      <c r="AD78" s="438"/>
      <c r="AE78" s="161"/>
      <c r="AF78" s="440"/>
    </row>
    <row r="79" spans="1:32" ht="13.5" thickBot="1">
      <c r="B79" s="493" t="s">
        <v>116</v>
      </c>
      <c r="C79" s="493"/>
      <c r="D79" s="168" t="s">
        <v>41</v>
      </c>
      <c r="E79" s="442">
        <v>-75162.030403554396</v>
      </c>
      <c r="G79" s="168" t="s">
        <v>41</v>
      </c>
      <c r="H79" s="442">
        <v>-23199.499138169878</v>
      </c>
      <c r="J79" s="168" t="s">
        <v>41</v>
      </c>
      <c r="K79" s="442">
        <v>20415.588109999913</v>
      </c>
      <c r="M79" s="168" t="s">
        <v>41</v>
      </c>
      <c r="N79" s="442">
        <v>-20661.127285384388</v>
      </c>
      <c r="P79" s="168" t="s">
        <v>41</v>
      </c>
      <c r="Q79" s="442">
        <v>-51716.992089999912</v>
      </c>
      <c r="S79" s="168" t="s">
        <v>41</v>
      </c>
      <c r="T79" s="442">
        <v>274313.38767999993</v>
      </c>
      <c r="U79" s="438"/>
      <c r="V79" s="168" t="s">
        <v>41</v>
      </c>
      <c r="W79" s="442">
        <v>160616.76363000047</v>
      </c>
      <c r="X79" s="438"/>
      <c r="Y79" s="168" t="s">
        <v>41</v>
      </c>
      <c r="Z79" s="442">
        <v>83999.743569999322</v>
      </c>
      <c r="AA79" s="438"/>
      <c r="AB79" s="168" t="s">
        <v>41</v>
      </c>
      <c r="AC79" s="442">
        <v>31122.596969999999</v>
      </c>
      <c r="AD79" s="438"/>
      <c r="AE79" s="168" t="s">
        <v>41</v>
      </c>
      <c r="AF79" s="442">
        <v>-1425.7164899998534</v>
      </c>
    </row>
    <row r="80" spans="1:32" ht="13.5" thickTop="1">
      <c r="D80" s="161"/>
      <c r="E80" s="313"/>
      <c r="G80" s="161"/>
      <c r="H80" s="313"/>
      <c r="J80" s="161"/>
      <c r="K80" s="313"/>
      <c r="M80" s="161"/>
      <c r="N80" s="313"/>
      <c r="P80" s="161"/>
      <c r="Q80" s="313"/>
      <c r="S80" s="161"/>
      <c r="T80" s="313"/>
      <c r="U80" s="438"/>
      <c r="V80" s="161"/>
      <c r="W80" s="313"/>
      <c r="X80" s="438"/>
      <c r="Y80" s="161"/>
      <c r="Z80" s="313"/>
      <c r="AA80" s="438"/>
      <c r="AB80" s="161"/>
      <c r="AC80" s="313"/>
      <c r="AD80" s="438"/>
      <c r="AE80" s="161"/>
      <c r="AF80" s="313"/>
    </row>
    <row r="81" spans="1:32" ht="13.5" customHeight="1">
      <c r="A81" s="501" t="s">
        <v>117</v>
      </c>
      <c r="B81" s="502"/>
      <c r="C81" s="502"/>
      <c r="D81" s="161"/>
      <c r="E81" s="313"/>
      <c r="F81" s="44"/>
      <c r="G81" s="161"/>
      <c r="H81" s="291"/>
      <c r="I81" s="44"/>
      <c r="J81" s="161"/>
      <c r="K81" s="291"/>
      <c r="L81" s="44"/>
      <c r="M81" s="161"/>
      <c r="N81" s="291"/>
      <c r="O81" s="44"/>
      <c r="P81" s="161"/>
      <c r="S81" s="161"/>
      <c r="U81" s="438"/>
      <c r="V81" s="438"/>
      <c r="X81" s="438"/>
      <c r="Y81" s="161"/>
      <c r="AA81" s="438"/>
      <c r="AB81" s="161"/>
      <c r="AD81" s="438"/>
      <c r="AE81" s="161"/>
    </row>
    <row r="82" spans="1:32" ht="11.25" customHeight="1">
      <c r="A82" s="502" t="s">
        <v>1194</v>
      </c>
      <c r="B82" s="502"/>
      <c r="C82" s="502"/>
      <c r="D82" s="161"/>
      <c r="E82" s="316" t="s">
        <v>39</v>
      </c>
      <c r="F82" s="72"/>
      <c r="G82" s="161"/>
      <c r="H82" s="316" t="s">
        <v>88</v>
      </c>
      <c r="I82" s="72"/>
      <c r="J82" s="161"/>
      <c r="K82" s="316" t="s">
        <v>89</v>
      </c>
      <c r="L82" s="72"/>
      <c r="M82" s="161"/>
      <c r="N82" s="316" t="s">
        <v>90</v>
      </c>
      <c r="O82" s="72"/>
      <c r="P82" s="161"/>
      <c r="Q82" s="316" t="s">
        <v>91</v>
      </c>
      <c r="S82" s="161"/>
      <c r="T82" s="316" t="s">
        <v>39</v>
      </c>
      <c r="U82" s="72"/>
      <c r="V82" s="161"/>
      <c r="W82" s="316" t="s">
        <v>88</v>
      </c>
      <c r="X82" s="72"/>
      <c r="Y82" s="161"/>
      <c r="Z82" s="316" t="s">
        <v>89</v>
      </c>
      <c r="AA82" s="72"/>
      <c r="AB82" s="161"/>
      <c r="AC82" s="292" t="s">
        <v>90</v>
      </c>
      <c r="AD82" s="72"/>
      <c r="AE82" s="161"/>
      <c r="AF82" s="316" t="s">
        <v>91</v>
      </c>
    </row>
    <row r="83" spans="1:32" ht="11.25" customHeight="1">
      <c r="A83" s="503" t="s">
        <v>40</v>
      </c>
      <c r="D83" s="326"/>
      <c r="E83" s="317">
        <v>2011</v>
      </c>
      <c r="F83" s="73"/>
      <c r="G83" s="326"/>
      <c r="H83" s="317">
        <v>2011</v>
      </c>
      <c r="I83" s="73"/>
      <c r="J83" s="326"/>
      <c r="K83" s="317">
        <v>2011</v>
      </c>
      <c r="L83" s="73"/>
      <c r="M83" s="326"/>
      <c r="N83" s="317">
        <v>2011</v>
      </c>
      <c r="O83" s="73"/>
      <c r="P83" s="326"/>
      <c r="Q83" s="317">
        <v>2011</v>
      </c>
      <c r="R83" s="74"/>
      <c r="S83" s="326"/>
      <c r="T83" s="317">
        <v>2010</v>
      </c>
      <c r="U83" s="73"/>
      <c r="V83" s="326"/>
      <c r="W83" s="317">
        <v>2010</v>
      </c>
      <c r="X83" s="73"/>
      <c r="Y83" s="326"/>
      <c r="Z83" s="317">
        <v>2010</v>
      </c>
      <c r="AA83" s="73"/>
      <c r="AB83" s="326"/>
      <c r="AC83" s="293">
        <v>2010</v>
      </c>
      <c r="AD83" s="73"/>
      <c r="AE83" s="326"/>
      <c r="AF83" s="317">
        <v>2010</v>
      </c>
    </row>
    <row r="84" spans="1:32">
      <c r="D84" s="161"/>
      <c r="E84" s="316"/>
      <c r="F84" s="72"/>
      <c r="G84" s="161"/>
      <c r="H84" s="292"/>
      <c r="I84" s="72"/>
      <c r="J84" s="161"/>
      <c r="K84" s="292"/>
      <c r="L84" s="72"/>
      <c r="M84" s="161"/>
      <c r="N84" s="292"/>
      <c r="O84" s="72"/>
      <c r="P84" s="161"/>
      <c r="Q84" s="316"/>
      <c r="R84" s="316"/>
      <c r="S84" s="161"/>
      <c r="T84" s="316"/>
      <c r="U84" s="72"/>
      <c r="V84" s="161"/>
      <c r="W84" s="316"/>
      <c r="X84" s="72"/>
      <c r="Y84" s="161"/>
      <c r="Z84" s="316"/>
      <c r="AA84" s="72"/>
      <c r="AB84" s="161"/>
      <c r="AC84" s="292"/>
      <c r="AD84" s="72"/>
      <c r="AE84" s="161"/>
      <c r="AF84" s="316"/>
    </row>
    <row r="85" spans="1:32">
      <c r="A85" s="438" t="s">
        <v>47</v>
      </c>
      <c r="D85" s="166"/>
      <c r="E85" s="440">
        <v>1965070.9485300002</v>
      </c>
      <c r="F85" s="162"/>
      <c r="G85" s="166"/>
      <c r="H85" s="440">
        <v>453956.12529000011</v>
      </c>
      <c r="I85" s="162"/>
      <c r="J85" s="166"/>
      <c r="K85" s="440">
        <v>502156.96182999987</v>
      </c>
      <c r="L85" s="162"/>
      <c r="M85" s="166"/>
      <c r="N85" s="440">
        <v>496619.86141000001</v>
      </c>
      <c r="O85" s="162"/>
      <c r="P85" s="166"/>
      <c r="Q85" s="440">
        <v>512338</v>
      </c>
      <c r="R85" s="440"/>
      <c r="S85" s="166"/>
      <c r="T85" s="440">
        <v>3193558.6608700003</v>
      </c>
      <c r="U85" s="162"/>
      <c r="V85" s="166"/>
      <c r="W85" s="440">
        <v>803157.44409000035</v>
      </c>
      <c r="X85" s="162"/>
      <c r="Y85" s="166"/>
      <c r="Z85" s="440">
        <v>803444.13993999979</v>
      </c>
      <c r="AA85" s="162"/>
      <c r="AB85" s="166"/>
      <c r="AC85" s="440">
        <v>800174.89847999997</v>
      </c>
      <c r="AD85" s="162"/>
      <c r="AE85" s="166"/>
      <c r="AF85" s="327">
        <v>786782.17836000002</v>
      </c>
    </row>
    <row r="86" spans="1:32">
      <c r="A86" s="438" t="s">
        <v>48</v>
      </c>
      <c r="D86" s="165"/>
      <c r="E86" s="441">
        <v>-4870.38393</v>
      </c>
      <c r="F86" s="162"/>
      <c r="G86" s="165"/>
      <c r="H86" s="441">
        <v>-1677.46803</v>
      </c>
      <c r="I86" s="162"/>
      <c r="J86" s="165"/>
      <c r="K86" s="441">
        <v>-1033.2410799999998</v>
      </c>
      <c r="L86" s="162"/>
      <c r="M86" s="165"/>
      <c r="N86" s="441">
        <v>-1073.6748200000002</v>
      </c>
      <c r="O86" s="162"/>
      <c r="P86" s="165"/>
      <c r="Q86" s="441">
        <v>-1086</v>
      </c>
      <c r="R86" s="440"/>
      <c r="S86" s="165"/>
      <c r="T86" s="441">
        <v>-37752.964830000004</v>
      </c>
      <c r="U86" s="162"/>
      <c r="V86" s="165"/>
      <c r="W86" s="441">
        <v>-8957.6172099999985</v>
      </c>
      <c r="X86" s="162"/>
      <c r="Y86" s="165"/>
      <c r="Z86" s="441">
        <v>-9478.164130000001</v>
      </c>
      <c r="AA86" s="162"/>
      <c r="AB86" s="165"/>
      <c r="AC86" s="441">
        <v>-10366.340690000003</v>
      </c>
      <c r="AD86" s="162"/>
      <c r="AE86" s="165"/>
      <c r="AF86" s="328">
        <v>-8950.8428000000004</v>
      </c>
    </row>
    <row r="87" spans="1:32">
      <c r="B87" s="500" t="s">
        <v>49</v>
      </c>
      <c r="C87" s="500"/>
      <c r="D87" s="166"/>
      <c r="E87" s="440">
        <v>1960200.5646000002</v>
      </c>
      <c r="F87" s="162"/>
      <c r="G87" s="166"/>
      <c r="H87" s="440">
        <v>452278.65726000012</v>
      </c>
      <c r="I87" s="162"/>
      <c r="J87" s="166"/>
      <c r="K87" s="440">
        <v>501123.72074999986</v>
      </c>
      <c r="L87" s="162"/>
      <c r="M87" s="166"/>
      <c r="N87" s="440">
        <v>495546.18659</v>
      </c>
      <c r="O87" s="162"/>
      <c r="P87" s="166"/>
      <c r="Q87" s="440">
        <v>511252</v>
      </c>
      <c r="R87" s="440"/>
      <c r="S87" s="166"/>
      <c r="T87" s="440">
        <v>3155805.6960400003</v>
      </c>
      <c r="U87" s="162"/>
      <c r="V87" s="166"/>
      <c r="W87" s="440">
        <v>794199.8268800003</v>
      </c>
      <c r="X87" s="162"/>
      <c r="Y87" s="166"/>
      <c r="Z87" s="440">
        <v>793965.97580999974</v>
      </c>
      <c r="AA87" s="162"/>
      <c r="AB87" s="166"/>
      <c r="AC87" s="440">
        <v>789808.55778999999</v>
      </c>
      <c r="AD87" s="162"/>
      <c r="AE87" s="166"/>
      <c r="AF87" s="327">
        <v>777831.33556000004</v>
      </c>
    </row>
    <row r="88" spans="1:32">
      <c r="A88" s="438" t="s">
        <v>50</v>
      </c>
      <c r="B88" s="500"/>
      <c r="C88" s="500"/>
      <c r="D88" s="166"/>
      <c r="E88" s="440">
        <v>26322.50619</v>
      </c>
      <c r="F88" s="162"/>
      <c r="G88" s="166"/>
      <c r="H88" s="440">
        <v>6066.6356499999983</v>
      </c>
      <c r="I88" s="162"/>
      <c r="J88" s="166"/>
      <c r="K88" s="440">
        <v>6143.0156200000001</v>
      </c>
      <c r="L88" s="162"/>
      <c r="M88" s="166"/>
      <c r="N88" s="440">
        <v>6835.8549200000016</v>
      </c>
      <c r="O88" s="162"/>
      <c r="P88" s="166"/>
      <c r="Q88" s="440">
        <v>7277</v>
      </c>
      <c r="R88" s="440"/>
      <c r="S88" s="166"/>
      <c r="T88" s="440">
        <v>24517.300509999997</v>
      </c>
      <c r="U88" s="162"/>
      <c r="V88" s="166"/>
      <c r="W88" s="440">
        <v>5778.9837699999989</v>
      </c>
      <c r="X88" s="162"/>
      <c r="Y88" s="166"/>
      <c r="Z88" s="440">
        <v>6080.3568699999987</v>
      </c>
      <c r="AA88" s="162"/>
      <c r="AB88" s="166"/>
      <c r="AC88" s="440">
        <v>6271.8762899999992</v>
      </c>
      <c r="AD88" s="162"/>
      <c r="AE88" s="166"/>
      <c r="AF88" s="327">
        <v>6386.0835800000013</v>
      </c>
    </row>
    <row r="89" spans="1:32">
      <c r="A89" s="438" t="s">
        <v>51</v>
      </c>
      <c r="B89" s="500"/>
      <c r="C89" s="500"/>
      <c r="D89" s="165"/>
      <c r="E89" s="441">
        <v>1845.4211599999999</v>
      </c>
      <c r="F89" s="162"/>
      <c r="G89" s="165"/>
      <c r="H89" s="440">
        <v>394.60703000000012</v>
      </c>
      <c r="I89" s="162"/>
      <c r="J89" s="165"/>
      <c r="K89" s="440">
        <v>294.04012999999986</v>
      </c>
      <c r="L89" s="162"/>
      <c r="M89" s="165"/>
      <c r="N89" s="440">
        <v>628.774</v>
      </c>
      <c r="O89" s="162"/>
      <c r="P89" s="165"/>
      <c r="Q89" s="440">
        <v>528</v>
      </c>
      <c r="R89" s="440"/>
      <c r="S89" s="165"/>
      <c r="T89" s="440">
        <v>2112.3924400000001</v>
      </c>
      <c r="U89" s="162"/>
      <c r="V89" s="165"/>
      <c r="W89" s="440">
        <v>509.39292</v>
      </c>
      <c r="X89" s="162"/>
      <c r="Y89" s="165"/>
      <c r="Z89" s="440">
        <v>511.81117999999992</v>
      </c>
      <c r="AA89" s="162"/>
      <c r="AB89" s="165"/>
      <c r="AC89" s="441">
        <v>261.67844000000014</v>
      </c>
      <c r="AD89" s="162"/>
      <c r="AE89" s="165"/>
      <c r="AF89" s="328">
        <v>829.50990000000002</v>
      </c>
    </row>
    <row r="90" spans="1:32">
      <c r="B90" s="500" t="s">
        <v>52</v>
      </c>
      <c r="C90" s="500"/>
      <c r="D90" s="174"/>
      <c r="E90" s="443">
        <v>1988368.4919500002</v>
      </c>
      <c r="F90" s="162"/>
      <c r="G90" s="174"/>
      <c r="H90" s="443">
        <v>458739.89994000015</v>
      </c>
      <c r="I90" s="162"/>
      <c r="J90" s="174"/>
      <c r="K90" s="443">
        <v>507560.77649999986</v>
      </c>
      <c r="L90" s="162"/>
      <c r="M90" s="174"/>
      <c r="N90" s="443">
        <v>503010.81550999999</v>
      </c>
      <c r="O90" s="162"/>
      <c r="P90" s="174"/>
      <c r="Q90" s="443">
        <v>519057</v>
      </c>
      <c r="R90" s="440"/>
      <c r="S90" s="174"/>
      <c r="T90" s="443">
        <v>3182435.3889900004</v>
      </c>
      <c r="U90" s="162"/>
      <c r="V90" s="174"/>
      <c r="W90" s="443">
        <v>800488.20357000036</v>
      </c>
      <c r="X90" s="162"/>
      <c r="Y90" s="174"/>
      <c r="Z90" s="443">
        <v>800558.14385999972</v>
      </c>
      <c r="AA90" s="162"/>
      <c r="AB90" s="174"/>
      <c r="AC90" s="443">
        <v>796342.11252000008</v>
      </c>
      <c r="AD90" s="162"/>
      <c r="AE90" s="174"/>
      <c r="AF90" s="329">
        <v>785046.92903999996</v>
      </c>
    </row>
    <row r="91" spans="1:32">
      <c r="B91" s="500"/>
      <c r="C91" s="500"/>
      <c r="D91" s="161"/>
      <c r="E91" s="440"/>
      <c r="F91" s="162"/>
      <c r="G91" s="161"/>
      <c r="H91" s="440"/>
      <c r="I91" s="162"/>
      <c r="J91" s="161"/>
      <c r="K91" s="440"/>
      <c r="L91" s="162"/>
      <c r="M91" s="161"/>
      <c r="N91" s="440"/>
      <c r="O91" s="162"/>
      <c r="P91" s="161"/>
      <c r="Q91" s="440"/>
      <c r="R91" s="440"/>
      <c r="S91" s="161"/>
      <c r="T91" s="440"/>
      <c r="U91" s="162"/>
      <c r="V91" s="161"/>
      <c r="W91" s="440"/>
      <c r="X91" s="162"/>
      <c r="Y91" s="161"/>
      <c r="Z91" s="440"/>
      <c r="AA91" s="162"/>
      <c r="AB91" s="161"/>
      <c r="AC91" s="440"/>
      <c r="AD91" s="162"/>
      <c r="AE91" s="161"/>
      <c r="AF91" s="327"/>
    </row>
    <row r="92" spans="1:32">
      <c r="A92" s="438" t="s">
        <v>53</v>
      </c>
      <c r="D92" s="161">
        <v>0.82288538356744834</v>
      </c>
      <c r="E92" s="440">
        <v>1613020.39347</v>
      </c>
      <c r="F92" s="162"/>
      <c r="G92" s="161">
        <v>0.79581831095135491</v>
      </c>
      <c r="H92" s="440">
        <v>359931.63710000005</v>
      </c>
      <c r="I92" s="162"/>
      <c r="J92" s="161">
        <v>0.81578258288824024</v>
      </c>
      <c r="K92" s="440">
        <v>408808.00326000014</v>
      </c>
      <c r="L92" s="162"/>
      <c r="M92" s="161">
        <v>0.82781739464661641</v>
      </c>
      <c r="N92" s="440">
        <v>410221.75310999982</v>
      </c>
      <c r="O92" s="162"/>
      <c r="P92" s="161">
        <v>0.84901183760650323</v>
      </c>
      <c r="Q92" s="440">
        <v>434059</v>
      </c>
      <c r="R92" s="440"/>
      <c r="S92" s="161">
        <v>0.83610545840986894</v>
      </c>
      <c r="T92" s="440">
        <v>2638586.3681399999</v>
      </c>
      <c r="U92" s="162"/>
      <c r="V92" s="161">
        <v>0.84438525407954546</v>
      </c>
      <c r="W92" s="440">
        <v>670610.62261000008</v>
      </c>
      <c r="X92" s="162"/>
      <c r="Y92" s="161">
        <v>0.84714701214219046</v>
      </c>
      <c r="Z92" s="440">
        <v>672605.90414999996</v>
      </c>
      <c r="AA92" s="162"/>
      <c r="AB92" s="161">
        <v>0.82551744596740428</v>
      </c>
      <c r="AC92" s="440">
        <v>652000.7434299998</v>
      </c>
      <c r="AD92" s="162"/>
      <c r="AE92" s="161">
        <v>0.82713188391517578</v>
      </c>
      <c r="AF92" s="327">
        <v>643369.09795000008</v>
      </c>
    </row>
    <row r="93" spans="1:32">
      <c r="A93" s="113" t="s">
        <v>55</v>
      </c>
      <c r="B93" s="500"/>
      <c r="C93" s="500"/>
      <c r="D93" s="161"/>
      <c r="E93" s="440">
        <v>3993.9151600000005</v>
      </c>
      <c r="F93" s="162"/>
      <c r="G93" s="161"/>
      <c r="H93" s="440">
        <v>998.46060000000034</v>
      </c>
      <c r="I93" s="162"/>
      <c r="J93" s="161"/>
      <c r="K93" s="440">
        <v>918.46060000000034</v>
      </c>
      <c r="L93" s="162"/>
      <c r="M93" s="161"/>
      <c r="N93" s="440">
        <v>1077.9939599999998</v>
      </c>
      <c r="O93" s="162"/>
      <c r="P93" s="161"/>
      <c r="Q93" s="440">
        <v>999</v>
      </c>
      <c r="R93" s="440"/>
      <c r="S93" s="161"/>
      <c r="T93" s="440">
        <v>4293.5751899999996</v>
      </c>
      <c r="U93" s="162"/>
      <c r="V93" s="161"/>
      <c r="W93" s="440">
        <v>1037.3063400000001</v>
      </c>
      <c r="X93" s="162"/>
      <c r="Y93" s="161"/>
      <c r="Z93" s="440">
        <v>1016.4093400000002</v>
      </c>
      <c r="AA93" s="162"/>
      <c r="AB93" s="161"/>
      <c r="AC93" s="440">
        <v>1099.9983899999997</v>
      </c>
      <c r="AD93" s="162"/>
      <c r="AE93" s="161"/>
      <c r="AF93" s="327">
        <v>1139.86112</v>
      </c>
    </row>
    <row r="94" spans="1:32">
      <c r="A94" s="500"/>
      <c r="B94" s="500" t="s">
        <v>60</v>
      </c>
      <c r="C94" s="500"/>
      <c r="D94" s="161">
        <v>1.6885964160643852E-2</v>
      </c>
      <c r="E94" s="440">
        <v>33182.117610000001</v>
      </c>
      <c r="F94" s="162"/>
      <c r="G94" s="161">
        <v>1.7205821741055505E-2</v>
      </c>
      <c r="H94" s="440">
        <v>7810.6881700000004</v>
      </c>
      <c r="I94" s="162"/>
      <c r="J94" s="161">
        <v>1.3100250360019989E-2</v>
      </c>
      <c r="K94" s="440">
        <v>6578.3819199999998</v>
      </c>
      <c r="L94" s="162"/>
      <c r="M94" s="161">
        <v>1.799776491947614E-2</v>
      </c>
      <c r="N94" s="440">
        <v>8938.0475200000001</v>
      </c>
      <c r="O94" s="162"/>
      <c r="P94" s="161">
        <v>1.9235348539440759E-2</v>
      </c>
      <c r="Q94" s="440">
        <v>9855</v>
      </c>
      <c r="R94" s="440"/>
      <c r="S94" s="161">
        <v>2.4904345877377186E-2</v>
      </c>
      <c r="T94" s="440">
        <v>79533.48947</v>
      </c>
      <c r="U94" s="162"/>
      <c r="V94" s="161">
        <v>2.3712218370307358E-2</v>
      </c>
      <c r="W94" s="440">
        <v>19044.644700000012</v>
      </c>
      <c r="X94" s="162"/>
      <c r="Y94" s="161">
        <v>2.411553995707397E-2</v>
      </c>
      <c r="Z94" s="440">
        <v>19375.489259999995</v>
      </c>
      <c r="AA94" s="162"/>
      <c r="AB94" s="161">
        <v>2.7406424235073813E-2</v>
      </c>
      <c r="AC94" s="440">
        <v>21929.93273</v>
      </c>
      <c r="AD94" s="162"/>
      <c r="AE94" s="161">
        <v>2.4382126727866011E-2</v>
      </c>
      <c r="AF94" s="327">
        <v>19183.422780000001</v>
      </c>
    </row>
    <row r="95" spans="1:32">
      <c r="A95" s="500"/>
      <c r="B95" s="500" t="s">
        <v>58</v>
      </c>
      <c r="C95" s="500"/>
      <c r="D95" s="161">
        <v>-0.43560821703023317</v>
      </c>
      <c r="E95" s="440">
        <v>2121.57926</v>
      </c>
      <c r="F95" s="162"/>
      <c r="G95" s="161">
        <v>-0.2176598382026986</v>
      </c>
      <c r="H95" s="440">
        <v>365.11741999999958</v>
      </c>
      <c r="I95" s="162"/>
      <c r="J95" s="161">
        <v>-1.6789951479668235</v>
      </c>
      <c r="K95" s="440">
        <v>1734.8067600000002</v>
      </c>
      <c r="L95" s="162"/>
      <c r="M95" s="161">
        <v>-8.0611744252324022E-3</v>
      </c>
      <c r="N95" s="440">
        <v>8.6550800000000034</v>
      </c>
      <c r="O95" s="162"/>
      <c r="P95" s="161">
        <v>-1.1970534069981584E-2</v>
      </c>
      <c r="Q95" s="440">
        <v>13</v>
      </c>
      <c r="R95" s="440"/>
      <c r="S95" s="161">
        <v>6.4636717168790367E-2</v>
      </c>
      <c r="T95" s="440">
        <v>-2440.2277100000001</v>
      </c>
      <c r="U95" s="162"/>
      <c r="V95" s="161">
        <v>6.3368330739375298E-2</v>
      </c>
      <c r="W95" s="440">
        <v>-567.62925000000007</v>
      </c>
      <c r="X95" s="162"/>
      <c r="Y95" s="161">
        <v>6.4877958596819552E-2</v>
      </c>
      <c r="Z95" s="440">
        <v>-614.92394000000024</v>
      </c>
      <c r="AA95" s="162"/>
      <c r="AB95" s="161">
        <v>6.4859209252942251E-2</v>
      </c>
      <c r="AC95" s="440">
        <v>-672.3526599999999</v>
      </c>
      <c r="AD95" s="162"/>
      <c r="AE95" s="161">
        <v>6.5392932607418838E-2</v>
      </c>
      <c r="AF95" s="327">
        <v>-585.32186000000013</v>
      </c>
    </row>
    <row r="96" spans="1:32">
      <c r="A96" s="500"/>
      <c r="B96" s="500" t="s">
        <v>59</v>
      </c>
      <c r="C96" s="500"/>
      <c r="D96" s="175">
        <v>0.13642553653644415</v>
      </c>
      <c r="E96" s="441">
        <v>268085.85848538449</v>
      </c>
      <c r="F96" s="162"/>
      <c r="G96" s="175">
        <v>0.15382640863231076</v>
      </c>
      <c r="H96" s="440">
        <v>69830.440430000017</v>
      </c>
      <c r="I96" s="162"/>
      <c r="J96" s="175">
        <v>0.13564268738159854</v>
      </c>
      <c r="K96" s="440">
        <v>68113.919789999985</v>
      </c>
      <c r="L96" s="162"/>
      <c r="M96" s="175">
        <v>0.12568465966739453</v>
      </c>
      <c r="N96" s="440">
        <v>62417.498265384493</v>
      </c>
      <c r="O96" s="162"/>
      <c r="P96" s="175">
        <v>0.13218617397108939</v>
      </c>
      <c r="Q96" s="440">
        <v>67724</v>
      </c>
      <c r="R96" s="440"/>
      <c r="S96" s="175">
        <v>9.8132236200923581E-2</v>
      </c>
      <c r="T96" s="440">
        <v>313391.05283000006</v>
      </c>
      <c r="U96" s="162"/>
      <c r="V96" s="175">
        <v>0.12127152819999953</v>
      </c>
      <c r="W96" s="440">
        <v>97400.130630000029</v>
      </c>
      <c r="X96" s="162"/>
      <c r="Y96" s="175">
        <v>8.8732147321808758E-2</v>
      </c>
      <c r="Z96" s="440">
        <v>71291.323789999995</v>
      </c>
      <c r="AA96" s="162"/>
      <c r="AB96" s="175">
        <v>8.7934606026333254E-2</v>
      </c>
      <c r="AC96" s="440">
        <v>70363.064450000005</v>
      </c>
      <c r="AD96" s="162"/>
      <c r="AE96" s="175">
        <v>9.4481720614147641E-2</v>
      </c>
      <c r="AF96" s="327">
        <v>74336.533960000001</v>
      </c>
    </row>
    <row r="97" spans="1:32">
      <c r="A97" s="113" t="s">
        <v>56</v>
      </c>
      <c r="B97" s="500"/>
      <c r="C97" s="500"/>
      <c r="D97" s="175">
        <v>0.15477475154043452</v>
      </c>
      <c r="E97" s="441">
        <v>303389.55535538448</v>
      </c>
      <c r="F97" s="162"/>
      <c r="G97" s="175">
        <v>0.17247386045713139</v>
      </c>
      <c r="H97" s="443">
        <v>78006.246020000021</v>
      </c>
      <c r="I97" s="162"/>
      <c r="J97" s="175">
        <v>0.15251145636374269</v>
      </c>
      <c r="K97" s="443">
        <v>76427.108469999977</v>
      </c>
      <c r="L97" s="162"/>
      <c r="M97" s="175">
        <v>0.14401119975609677</v>
      </c>
      <c r="N97" s="443">
        <v>71364.200865384497</v>
      </c>
      <c r="O97" s="162"/>
      <c r="P97" s="175">
        <v>0.15176859943824181</v>
      </c>
      <c r="Q97" s="443">
        <v>77592</v>
      </c>
      <c r="R97" s="440"/>
      <c r="S97" s="175">
        <v>0.12373522079638538</v>
      </c>
      <c r="T97" s="443">
        <v>390484.31459000008</v>
      </c>
      <c r="U97" s="162"/>
      <c r="V97" s="175">
        <v>0.14590427013214208</v>
      </c>
      <c r="W97" s="443">
        <v>115877.14608000003</v>
      </c>
      <c r="X97" s="162"/>
      <c r="Y97" s="175">
        <v>0.11342033771425727</v>
      </c>
      <c r="Z97" s="443">
        <v>90051.889109999989</v>
      </c>
      <c r="AA97" s="162"/>
      <c r="AB97" s="175">
        <v>0.11600361076913117</v>
      </c>
      <c r="AC97" s="443">
        <v>91620.644520000002</v>
      </c>
      <c r="AD97" s="162"/>
      <c r="AE97" s="175">
        <v>0.11947916036719151</v>
      </c>
      <c r="AF97" s="329">
        <v>92934.634879999998</v>
      </c>
    </row>
    <row r="98" spans="1:32">
      <c r="A98" s="500"/>
      <c r="B98" s="500" t="s">
        <v>57</v>
      </c>
      <c r="C98" s="500"/>
      <c r="D98" s="174"/>
      <c r="E98" s="443">
        <v>1920403.8639853848</v>
      </c>
      <c r="F98" s="162"/>
      <c r="G98" s="174"/>
      <c r="H98" s="443">
        <v>438936.34372000006</v>
      </c>
      <c r="I98" s="162"/>
      <c r="J98" s="174"/>
      <c r="K98" s="443">
        <v>486153.57233000011</v>
      </c>
      <c r="L98" s="162"/>
      <c r="M98" s="174"/>
      <c r="N98" s="443">
        <v>482663.94793538441</v>
      </c>
      <c r="O98" s="162"/>
      <c r="P98" s="174"/>
      <c r="Q98" s="443">
        <v>512650</v>
      </c>
      <c r="R98" s="440"/>
      <c r="S98" s="174"/>
      <c r="T98" s="443">
        <v>3033364.2579199998</v>
      </c>
      <c r="U98" s="162"/>
      <c r="V98" s="174"/>
      <c r="W98" s="443">
        <v>787525.07503000018</v>
      </c>
      <c r="X98" s="162"/>
      <c r="Y98" s="174"/>
      <c r="Z98" s="443">
        <v>763674.20259999996</v>
      </c>
      <c r="AA98" s="162"/>
      <c r="AB98" s="174"/>
      <c r="AC98" s="443">
        <v>744721.38633999974</v>
      </c>
      <c r="AD98" s="162"/>
      <c r="AE98" s="174"/>
      <c r="AF98" s="329">
        <v>737443.59395000013</v>
      </c>
    </row>
    <row r="99" spans="1:32">
      <c r="A99" s="500"/>
      <c r="B99" s="500"/>
      <c r="C99" s="500"/>
      <c r="D99" s="176"/>
      <c r="E99" s="162"/>
      <c r="F99" s="162"/>
      <c r="G99" s="176"/>
      <c r="H99" s="162"/>
      <c r="I99" s="162"/>
      <c r="J99" s="176"/>
      <c r="K99" s="162"/>
      <c r="L99" s="162"/>
      <c r="M99" s="176"/>
      <c r="N99" s="162"/>
      <c r="O99" s="162"/>
      <c r="P99" s="176"/>
      <c r="Q99" s="162"/>
      <c r="R99" s="440"/>
      <c r="S99" s="176"/>
      <c r="T99" s="162"/>
      <c r="U99" s="162"/>
      <c r="V99" s="176"/>
      <c r="W99" s="162"/>
      <c r="X99" s="162"/>
      <c r="Y99" s="176"/>
      <c r="Z99" s="162"/>
      <c r="AA99" s="162"/>
      <c r="AB99" s="176"/>
      <c r="AC99" s="162"/>
      <c r="AD99" s="162"/>
      <c r="AE99" s="176"/>
      <c r="AF99" s="514"/>
    </row>
    <row r="100" spans="1:32" ht="13.5" thickBot="1">
      <c r="B100" s="438" t="s">
        <v>86</v>
      </c>
      <c r="D100" s="168" t="s">
        <v>41</v>
      </c>
      <c r="E100" s="442">
        <v>67964.627964615356</v>
      </c>
      <c r="F100" s="162"/>
      <c r="G100" s="168" t="s">
        <v>41</v>
      </c>
      <c r="H100" s="442">
        <v>19803.556220000086</v>
      </c>
      <c r="I100" s="162"/>
      <c r="J100" s="168" t="s">
        <v>41</v>
      </c>
      <c r="K100" s="442">
        <v>21407.20416999975</v>
      </c>
      <c r="L100" s="162"/>
      <c r="M100" s="168" t="s">
        <v>41</v>
      </c>
      <c r="N100" s="442">
        <v>20346.867574615579</v>
      </c>
      <c r="O100" s="162"/>
      <c r="P100" s="168" t="s">
        <v>41</v>
      </c>
      <c r="Q100" s="442">
        <v>6407</v>
      </c>
      <c r="R100" s="440"/>
      <c r="S100" s="168" t="s">
        <v>41</v>
      </c>
      <c r="T100" s="442">
        <v>149071.13107000059</v>
      </c>
      <c r="U100" s="162"/>
      <c r="V100" s="168" t="s">
        <v>41</v>
      </c>
      <c r="W100" s="442">
        <v>12963.12854000018</v>
      </c>
      <c r="X100" s="162"/>
      <c r="Y100" s="168" t="s">
        <v>41</v>
      </c>
      <c r="Z100" s="442">
        <v>36883.941259999759</v>
      </c>
      <c r="AA100" s="162"/>
      <c r="AB100" s="168" t="s">
        <v>41</v>
      </c>
      <c r="AC100" s="442">
        <v>51620.726180000347</v>
      </c>
      <c r="AD100" s="162"/>
      <c r="AE100" s="168" t="s">
        <v>41</v>
      </c>
      <c r="AF100" s="515">
        <v>47603.335089999833</v>
      </c>
    </row>
    <row r="101" spans="1:32" customFormat="1" ht="13.5" thickTop="1">
      <c r="A101" s="438"/>
      <c r="B101" s="438"/>
      <c r="C101" s="438"/>
      <c r="D101" s="438"/>
      <c r="E101" s="438"/>
      <c r="F101" s="438"/>
      <c r="G101" s="438"/>
      <c r="H101" s="438"/>
      <c r="I101" s="438"/>
      <c r="J101" s="438"/>
      <c r="K101" s="438"/>
      <c r="L101" s="438"/>
      <c r="M101" s="438"/>
      <c r="N101" s="438"/>
      <c r="O101" s="438"/>
      <c r="P101" s="438"/>
      <c r="Q101" s="438"/>
      <c r="R101" s="438"/>
      <c r="S101" s="438"/>
      <c r="T101" s="438"/>
      <c r="U101" s="438"/>
      <c r="V101" s="438"/>
      <c r="W101" s="438"/>
      <c r="X101" s="438"/>
      <c r="Y101" s="438"/>
      <c r="Z101" s="438"/>
      <c r="AA101" s="438"/>
      <c r="AB101" s="438"/>
      <c r="AC101" s="438"/>
      <c r="AD101" s="438"/>
      <c r="AE101" s="438"/>
      <c r="AF101" s="438"/>
    </row>
    <row r="102" spans="1:32" ht="15">
      <c r="A102" s="501" t="s">
        <v>162</v>
      </c>
      <c r="B102" s="502"/>
      <c r="C102" s="502"/>
      <c r="D102" s="161"/>
      <c r="E102" s="313"/>
      <c r="F102" s="44"/>
      <c r="G102" s="161"/>
      <c r="I102" s="44"/>
      <c r="J102" s="161"/>
      <c r="L102" s="44"/>
      <c r="M102" s="161"/>
      <c r="O102" s="44"/>
      <c r="P102" s="161"/>
      <c r="S102" s="161"/>
      <c r="U102" s="44"/>
      <c r="V102" s="161"/>
      <c r="X102" s="44"/>
      <c r="Y102" s="161"/>
      <c r="AA102" s="44"/>
      <c r="AB102" s="161"/>
      <c r="AC102" s="291"/>
      <c r="AD102" s="44"/>
      <c r="AE102" s="161"/>
    </row>
    <row r="103" spans="1:32">
      <c r="A103" s="502" t="s">
        <v>1194</v>
      </c>
      <c r="B103" s="502"/>
      <c r="C103" s="502"/>
      <c r="D103" s="161"/>
      <c r="E103" s="316" t="s">
        <v>39</v>
      </c>
      <c r="F103" s="72"/>
      <c r="G103" s="161"/>
      <c r="H103" s="316" t="s">
        <v>88</v>
      </c>
      <c r="I103" s="72"/>
      <c r="J103" s="161"/>
      <c r="K103" s="316" t="s">
        <v>89</v>
      </c>
      <c r="L103" s="72"/>
      <c r="M103" s="161"/>
      <c r="N103" s="316" t="s">
        <v>90</v>
      </c>
      <c r="O103" s="72"/>
      <c r="P103" s="161"/>
      <c r="Q103" s="316" t="s">
        <v>91</v>
      </c>
      <c r="S103" s="161"/>
      <c r="T103" s="316" t="s">
        <v>39</v>
      </c>
      <c r="U103" s="72"/>
      <c r="V103" s="161"/>
      <c r="W103" s="316" t="s">
        <v>88</v>
      </c>
      <c r="X103" s="72"/>
      <c r="Y103" s="161"/>
      <c r="Z103" s="316" t="s">
        <v>89</v>
      </c>
      <c r="AA103" s="72"/>
      <c r="AB103" s="161"/>
      <c r="AC103" s="292" t="s">
        <v>90</v>
      </c>
      <c r="AD103" s="72"/>
      <c r="AE103" s="161"/>
      <c r="AF103" s="316" t="s">
        <v>91</v>
      </c>
    </row>
    <row r="104" spans="1:32">
      <c r="A104" s="503" t="s">
        <v>40</v>
      </c>
      <c r="D104" s="326"/>
      <c r="E104" s="317">
        <v>2011</v>
      </c>
      <c r="F104" s="73"/>
      <c r="G104" s="326"/>
      <c r="H104" s="317">
        <v>2011</v>
      </c>
      <c r="I104" s="73"/>
      <c r="J104" s="326"/>
      <c r="K104" s="317">
        <v>2011</v>
      </c>
      <c r="L104" s="73"/>
      <c r="M104" s="326"/>
      <c r="N104" s="317">
        <v>2011</v>
      </c>
      <c r="O104" s="73"/>
      <c r="P104" s="326"/>
      <c r="Q104" s="317">
        <v>2011</v>
      </c>
      <c r="R104" s="74"/>
      <c r="S104" s="326"/>
      <c r="T104" s="317">
        <v>2010</v>
      </c>
      <c r="U104" s="73"/>
      <c r="V104" s="326"/>
      <c r="W104" s="317">
        <v>2010</v>
      </c>
      <c r="X104" s="73"/>
      <c r="Y104" s="326"/>
      <c r="Z104" s="317">
        <v>2010</v>
      </c>
      <c r="AA104" s="73"/>
      <c r="AB104" s="326"/>
      <c r="AC104" s="293">
        <v>2010</v>
      </c>
      <c r="AD104" s="73"/>
      <c r="AE104" s="326"/>
      <c r="AF104" s="317">
        <v>2010</v>
      </c>
    </row>
    <row r="105" spans="1:32">
      <c r="D105" s="161"/>
      <c r="E105" s="316"/>
      <c r="F105" s="72"/>
      <c r="G105" s="161"/>
      <c r="H105" s="316"/>
      <c r="I105" s="72"/>
      <c r="J105" s="161"/>
      <c r="K105" s="316"/>
      <c r="L105" s="72"/>
      <c r="M105" s="161"/>
      <c r="N105" s="316"/>
      <c r="O105" s="72"/>
      <c r="P105" s="161"/>
      <c r="Q105" s="316"/>
      <c r="R105" s="316"/>
      <c r="S105" s="161"/>
      <c r="T105" s="316"/>
      <c r="U105" s="72"/>
      <c r="V105" s="161"/>
      <c r="W105" s="316"/>
      <c r="X105" s="72"/>
      <c r="Y105" s="161"/>
      <c r="Z105" s="316"/>
      <c r="AA105" s="72"/>
      <c r="AB105" s="161"/>
      <c r="AC105" s="292"/>
      <c r="AD105" s="72"/>
      <c r="AE105" s="161"/>
      <c r="AF105" s="316"/>
    </row>
    <row r="106" spans="1:32">
      <c r="A106" s="438" t="s">
        <v>160</v>
      </c>
      <c r="D106" s="166"/>
      <c r="E106" s="440">
        <v>376653.86803999997</v>
      </c>
      <c r="F106" s="162"/>
      <c r="G106" s="166"/>
      <c r="H106" s="440">
        <v>91697.054069999998</v>
      </c>
      <c r="I106" s="162"/>
      <c r="J106" s="166"/>
      <c r="K106" s="440">
        <v>91805.813969999988</v>
      </c>
      <c r="L106" s="162"/>
      <c r="M106" s="166"/>
      <c r="N106" s="440">
        <v>91829</v>
      </c>
      <c r="O106" s="162"/>
      <c r="P106" s="166"/>
      <c r="Q106" s="440">
        <v>101322</v>
      </c>
      <c r="R106" s="440"/>
      <c r="S106" s="166"/>
      <c r="T106" s="440">
        <v>427722.14286000002</v>
      </c>
      <c r="U106" s="162"/>
      <c r="V106" s="166"/>
      <c r="W106" s="440">
        <v>101702.5944</v>
      </c>
      <c r="X106" s="162"/>
      <c r="Y106" s="166"/>
      <c r="Z106" s="440">
        <v>104798.80557000003</v>
      </c>
      <c r="AA106" s="162"/>
      <c r="AB106" s="166"/>
      <c r="AC106" s="440">
        <v>109257.15000999998</v>
      </c>
      <c r="AD106" s="162"/>
      <c r="AE106" s="166"/>
      <c r="AF106" s="495">
        <v>111963.59288000001</v>
      </c>
    </row>
    <row r="107" spans="1:32">
      <c r="A107" s="438" t="s">
        <v>161</v>
      </c>
      <c r="D107" s="165">
        <v>0.31151794505322644</v>
      </c>
      <c r="E107" s="441">
        <v>-117334.43896816991</v>
      </c>
      <c r="F107" s="162"/>
      <c r="G107" s="165">
        <v>0.31679845119118016</v>
      </c>
      <c r="H107" s="441">
        <v>-29049.484708169904</v>
      </c>
      <c r="I107" s="162"/>
      <c r="J107" s="165">
        <v>0.29956658593525459</v>
      </c>
      <c r="K107" s="441">
        <v>-27501.954259999999</v>
      </c>
      <c r="L107" s="162"/>
      <c r="M107" s="165">
        <v>0.3084319768264927</v>
      </c>
      <c r="N107" s="441">
        <v>-28323</v>
      </c>
      <c r="O107" s="162"/>
      <c r="P107" s="165">
        <v>0.32036477763960441</v>
      </c>
      <c r="Q107" s="441">
        <v>-32460</v>
      </c>
      <c r="R107" s="440"/>
      <c r="S107" s="165">
        <v>0.32233521051335173</v>
      </c>
      <c r="T107" s="441">
        <v>-137869.90696000002</v>
      </c>
      <c r="U107" s="162"/>
      <c r="V107" s="165">
        <v>0.31974889973898252</v>
      </c>
      <c r="W107" s="441">
        <v>-32519.292660000006</v>
      </c>
      <c r="X107" s="162"/>
      <c r="Y107" s="165">
        <v>0.32110169411733308</v>
      </c>
      <c r="Z107" s="441">
        <v>-33651.074010000011</v>
      </c>
      <c r="AA107" s="162"/>
      <c r="AB107" s="165">
        <v>0.33170613984240793</v>
      </c>
      <c r="AC107" s="441">
        <v>-36241.267479999995</v>
      </c>
      <c r="AD107" s="162"/>
      <c r="AE107" s="165">
        <v>0.31669466741750024</v>
      </c>
      <c r="AF107" s="496">
        <v>-35458.272810000002</v>
      </c>
    </row>
    <row r="108" spans="1:32">
      <c r="B108" s="500" t="s">
        <v>49</v>
      </c>
      <c r="C108" s="500"/>
      <c r="D108" s="166">
        <v>0.68848205494677361</v>
      </c>
      <c r="E108" s="440">
        <v>259319.42907183006</v>
      </c>
      <c r="F108" s="162"/>
      <c r="G108" s="166">
        <v>0.68320154880881978</v>
      </c>
      <c r="H108" s="440">
        <v>62647.569361830094</v>
      </c>
      <c r="I108" s="162"/>
      <c r="J108" s="166">
        <v>0.70043341406474535</v>
      </c>
      <c r="K108" s="440">
        <v>64303.85970999999</v>
      </c>
      <c r="L108" s="162"/>
      <c r="M108" s="166">
        <v>0.6915680231735073</v>
      </c>
      <c r="N108" s="440">
        <v>63506</v>
      </c>
      <c r="O108" s="162"/>
      <c r="P108" s="166">
        <v>0.67963522236039553</v>
      </c>
      <c r="Q108" s="440">
        <v>68862</v>
      </c>
      <c r="R108" s="440"/>
      <c r="S108" s="166">
        <v>0.67766478948664832</v>
      </c>
      <c r="T108" s="440">
        <v>289852.23590000003</v>
      </c>
      <c r="U108" s="162"/>
      <c r="V108" s="166">
        <v>0.68025110026101743</v>
      </c>
      <c r="W108" s="440">
        <v>69183.301739999995</v>
      </c>
      <c r="X108" s="162"/>
      <c r="Y108" s="166">
        <v>0.67889830588266686</v>
      </c>
      <c r="Z108" s="440">
        <v>71147.731560000015</v>
      </c>
      <c r="AA108" s="162"/>
      <c r="AB108" s="166">
        <v>0.66829386015759207</v>
      </c>
      <c r="AC108" s="440">
        <v>73015.882529999988</v>
      </c>
      <c r="AD108" s="162"/>
      <c r="AE108" s="166">
        <v>0.68330533258249981</v>
      </c>
      <c r="AF108" s="440">
        <v>76505.320070000016</v>
      </c>
    </row>
    <row r="109" spans="1:32">
      <c r="A109" s="438" t="s">
        <v>50</v>
      </c>
      <c r="B109" s="500"/>
      <c r="C109" s="500"/>
      <c r="D109" s="166"/>
      <c r="E109" s="440">
        <v>21029.826080000003</v>
      </c>
      <c r="F109" s="162"/>
      <c r="G109" s="166"/>
      <c r="H109" s="440">
        <v>4947.4686899999997</v>
      </c>
      <c r="I109" s="162"/>
      <c r="J109" s="166"/>
      <c r="K109" s="440">
        <v>5349.3884200000002</v>
      </c>
      <c r="L109" s="162"/>
      <c r="M109" s="166"/>
      <c r="N109" s="440">
        <v>4994.9689700000008</v>
      </c>
      <c r="O109" s="162"/>
      <c r="P109" s="166"/>
      <c r="Q109" s="440">
        <v>5738</v>
      </c>
      <c r="R109" s="440"/>
      <c r="S109" s="166"/>
      <c r="T109" s="440">
        <v>14891.38006</v>
      </c>
      <c r="U109" s="162"/>
      <c r="V109" s="166"/>
      <c r="W109" s="440">
        <v>3938.3534700000009</v>
      </c>
      <c r="X109" s="162"/>
      <c r="Y109" s="166"/>
      <c r="Z109" s="440">
        <v>3676.4321100000002</v>
      </c>
      <c r="AA109" s="162"/>
      <c r="AB109" s="166"/>
      <c r="AC109" s="440">
        <v>4033.4326099999998</v>
      </c>
      <c r="AD109" s="162"/>
      <c r="AE109" s="166"/>
      <c r="AF109" s="495">
        <v>3243.1618700000004</v>
      </c>
    </row>
    <row r="110" spans="1:32">
      <c r="A110" s="438" t="s">
        <v>51</v>
      </c>
      <c r="B110" s="500"/>
      <c r="C110" s="500"/>
      <c r="D110" s="165"/>
      <c r="E110" s="441">
        <v>734.62778000000003</v>
      </c>
      <c r="F110" s="162"/>
      <c r="G110" s="165"/>
      <c r="H110" s="441">
        <v>281.27746999999994</v>
      </c>
      <c r="I110" s="162"/>
      <c r="J110" s="165"/>
      <c r="K110" s="441">
        <v>222.68202000000002</v>
      </c>
      <c r="L110" s="162"/>
      <c r="M110" s="165"/>
      <c r="N110" s="441">
        <v>218.66829000000001</v>
      </c>
      <c r="O110" s="162"/>
      <c r="P110" s="165"/>
      <c r="Q110" s="441">
        <v>12</v>
      </c>
      <c r="R110" s="440"/>
      <c r="S110" s="165"/>
      <c r="T110" s="441">
        <v>2706.9279099999994</v>
      </c>
      <c r="U110" s="162"/>
      <c r="V110" s="165"/>
      <c r="W110" s="441">
        <v>1392.4865699999993</v>
      </c>
      <c r="X110" s="162"/>
      <c r="Y110" s="165"/>
      <c r="Z110" s="441">
        <v>454.44858999999997</v>
      </c>
      <c r="AA110" s="162"/>
      <c r="AB110" s="165"/>
      <c r="AC110" s="441">
        <v>319.27531000000005</v>
      </c>
      <c r="AD110" s="162"/>
      <c r="AE110" s="165"/>
      <c r="AF110" s="496">
        <v>540.71744000000012</v>
      </c>
    </row>
    <row r="111" spans="1:32">
      <c r="B111" s="500" t="s">
        <v>52</v>
      </c>
      <c r="C111" s="500"/>
      <c r="D111" s="174"/>
      <c r="E111" s="443">
        <v>281083.88293183007</v>
      </c>
      <c r="F111" s="162"/>
      <c r="G111" s="174"/>
      <c r="H111" s="443">
        <v>67876.315521830096</v>
      </c>
      <c r="I111" s="162"/>
      <c r="J111" s="174"/>
      <c r="K111" s="443">
        <v>69875.930149999986</v>
      </c>
      <c r="L111" s="162"/>
      <c r="M111" s="174"/>
      <c r="N111" s="443">
        <v>68719.637260000003</v>
      </c>
      <c r="O111" s="162"/>
      <c r="P111" s="174"/>
      <c r="Q111" s="443">
        <v>74611</v>
      </c>
      <c r="R111" s="440"/>
      <c r="S111" s="174"/>
      <c r="T111" s="443">
        <v>307450.54386999999</v>
      </c>
      <c r="U111" s="162"/>
      <c r="V111" s="174"/>
      <c r="W111" s="443">
        <v>74514.141779999991</v>
      </c>
      <c r="X111" s="162"/>
      <c r="Y111" s="174"/>
      <c r="Z111" s="443">
        <v>75278.612260000009</v>
      </c>
      <c r="AA111" s="162"/>
      <c r="AB111" s="174"/>
      <c r="AC111" s="443">
        <v>77368.590449999989</v>
      </c>
      <c r="AD111" s="162"/>
      <c r="AE111" s="174"/>
      <c r="AF111" s="497">
        <v>80289.199380000005</v>
      </c>
    </row>
    <row r="112" spans="1:32">
      <c r="B112" s="500"/>
      <c r="C112" s="500"/>
      <c r="D112" s="161"/>
      <c r="E112" s="440"/>
      <c r="F112" s="162"/>
      <c r="G112" s="161"/>
      <c r="H112" s="440"/>
      <c r="I112" s="162"/>
      <c r="J112" s="161"/>
      <c r="K112" s="440"/>
      <c r="L112" s="162"/>
      <c r="M112" s="161"/>
      <c r="N112" s="440"/>
      <c r="O112" s="162"/>
      <c r="P112" s="161"/>
      <c r="Q112" s="440"/>
      <c r="R112" s="440"/>
      <c r="S112" s="161"/>
      <c r="T112" s="440"/>
      <c r="U112" s="162"/>
      <c r="V112" s="161"/>
      <c r="W112" s="440"/>
      <c r="X112" s="162"/>
      <c r="Y112" s="161"/>
      <c r="Z112" s="440"/>
      <c r="AA112" s="162"/>
      <c r="AB112" s="161"/>
      <c r="AC112" s="440"/>
      <c r="AD112" s="162"/>
      <c r="AE112" s="161"/>
      <c r="AF112" s="495"/>
    </row>
    <row r="113" spans="1:32">
      <c r="A113" s="438" t="s">
        <v>53</v>
      </c>
      <c r="D113" s="161">
        <v>0.77048838856827695</v>
      </c>
      <c r="E113" s="440">
        <v>199802.60902999993</v>
      </c>
      <c r="F113" s="162"/>
      <c r="G113" s="161">
        <v>0.76199070732160024</v>
      </c>
      <c r="H113" s="440">
        <v>47736.865689999926</v>
      </c>
      <c r="I113" s="162"/>
      <c r="J113" s="161">
        <v>0.73807653854748712</v>
      </c>
      <c r="K113" s="440">
        <v>47461.170190000012</v>
      </c>
      <c r="L113" s="162"/>
      <c r="M113" s="161">
        <v>0.77834493040027708</v>
      </c>
      <c r="N113" s="440">
        <v>49429.573149999997</v>
      </c>
      <c r="O113" s="162"/>
      <c r="P113" s="161">
        <v>0.80124016148238508</v>
      </c>
      <c r="Q113" s="440">
        <v>55175</v>
      </c>
      <c r="R113" s="440"/>
      <c r="S113" s="161">
        <v>0.76616260205981723</v>
      </c>
      <c r="T113" s="440">
        <v>222073.94326999999</v>
      </c>
      <c r="U113" s="162"/>
      <c r="V113" s="161">
        <v>0.7928304144276882</v>
      </c>
      <c r="W113" s="440">
        <v>54850.625789999998</v>
      </c>
      <c r="X113" s="162"/>
      <c r="Y113" s="161">
        <v>0.71953475673118128</v>
      </c>
      <c r="Z113" s="440">
        <v>51193.265719999996</v>
      </c>
      <c r="AA113" s="162"/>
      <c r="AB113" s="161">
        <v>0.73443643084046706</v>
      </c>
      <c r="AC113" s="440">
        <v>53625.524160000001</v>
      </c>
      <c r="AD113" s="162"/>
      <c r="AE113" s="161">
        <v>0.81568873305675715</v>
      </c>
      <c r="AF113" s="495">
        <v>62404.527600000009</v>
      </c>
    </row>
    <row r="114" spans="1:32">
      <c r="A114" s="438" t="s">
        <v>54</v>
      </c>
      <c r="D114" s="161">
        <v>-1.2483303513302593E-2</v>
      </c>
      <c r="E114" s="440">
        <v>3237.1631399999987</v>
      </c>
      <c r="F114" s="162"/>
      <c r="G114" s="161">
        <v>-1.6018721719336666E-2</v>
      </c>
      <c r="H114" s="440">
        <v>1003.5339799999981</v>
      </c>
      <c r="I114" s="162"/>
      <c r="J114" s="161">
        <v>-1.3586764526113645E-3</v>
      </c>
      <c r="K114" s="440">
        <v>87.368140000001631</v>
      </c>
      <c r="L114" s="162"/>
      <c r="M114" s="161">
        <v>2.4051110131326331E-3</v>
      </c>
      <c r="N114" s="440">
        <v>-152.73898000000099</v>
      </c>
      <c r="O114" s="162"/>
      <c r="P114" s="161">
        <v>-3.3385611803316777E-2</v>
      </c>
      <c r="Q114" s="440">
        <v>2299</v>
      </c>
      <c r="R114" s="440"/>
      <c r="S114" s="161">
        <v>-1.9485336838831673E-2</v>
      </c>
      <c r="T114" s="440">
        <v>5647.868449999999</v>
      </c>
      <c r="U114" s="162"/>
      <c r="V114" s="161">
        <v>-3.0656082416687509E-2</v>
      </c>
      <c r="W114" s="440">
        <v>2120.8890000000001</v>
      </c>
      <c r="X114" s="162"/>
      <c r="Y114" s="161">
        <v>-5.7872962492523331E-3</v>
      </c>
      <c r="Z114" s="440">
        <v>411.75299999999993</v>
      </c>
      <c r="AA114" s="162"/>
      <c r="AB114" s="161">
        <v>-1.7918841143396826E-3</v>
      </c>
      <c r="AC114" s="440">
        <v>130.83599999999933</v>
      </c>
      <c r="AD114" s="162"/>
      <c r="AE114" s="161">
        <v>-3.900892705591421E-2</v>
      </c>
      <c r="AF114" s="495">
        <v>2984.3904499999999</v>
      </c>
    </row>
    <row r="115" spans="1:32">
      <c r="A115" s="113" t="s">
        <v>55</v>
      </c>
      <c r="B115" s="500"/>
      <c r="C115" s="500"/>
      <c r="D115" s="161"/>
      <c r="E115" s="440">
        <v>417.77640330690099</v>
      </c>
      <c r="F115" s="162"/>
      <c r="G115" s="161"/>
      <c r="H115" s="440">
        <v>90.687513306901039</v>
      </c>
      <c r="I115" s="162"/>
      <c r="J115" s="161"/>
      <c r="K115" s="440">
        <v>22.106629999999946</v>
      </c>
      <c r="L115" s="162"/>
      <c r="M115" s="161"/>
      <c r="N115" s="440">
        <v>130.98226000000003</v>
      </c>
      <c r="O115" s="162"/>
      <c r="P115" s="161"/>
      <c r="Q115" s="440">
        <v>174</v>
      </c>
      <c r="R115" s="440"/>
      <c r="S115" s="161"/>
      <c r="T115" s="440">
        <v>2728.9734399999998</v>
      </c>
      <c r="U115" s="162"/>
      <c r="V115" s="161"/>
      <c r="W115" s="440">
        <v>725.61692999999991</v>
      </c>
      <c r="X115" s="162"/>
      <c r="Y115" s="161"/>
      <c r="Z115" s="440">
        <v>703.91334999999981</v>
      </c>
      <c r="AA115" s="162"/>
      <c r="AB115" s="161"/>
      <c r="AC115" s="440">
        <v>583.55389000000014</v>
      </c>
      <c r="AD115" s="162"/>
      <c r="AE115" s="161"/>
      <c r="AF115" s="495">
        <v>715.88927000000001</v>
      </c>
    </row>
    <row r="116" spans="1:32">
      <c r="A116" s="500"/>
      <c r="B116" s="500" t="s">
        <v>60</v>
      </c>
      <c r="C116" s="500"/>
      <c r="D116" s="161">
        <v>7.2625803851017315E-2</v>
      </c>
      <c r="E116" s="440">
        <v>27354.789939999999</v>
      </c>
      <c r="F116" s="162"/>
      <c r="G116" s="161">
        <v>6.0856420051837737E-2</v>
      </c>
      <c r="H116" s="440">
        <v>5580.3544399999973</v>
      </c>
      <c r="I116" s="162"/>
      <c r="J116" s="161">
        <v>6.0644421406898449E-2</v>
      </c>
      <c r="K116" s="440">
        <v>5567.5104700000038</v>
      </c>
      <c r="L116" s="162"/>
      <c r="M116" s="161">
        <v>7.0793812738895109E-2</v>
      </c>
      <c r="N116" s="440">
        <v>6500.9250299999994</v>
      </c>
      <c r="O116" s="162"/>
      <c r="P116" s="161">
        <v>9.5793608495687022E-2</v>
      </c>
      <c r="Q116" s="440">
        <v>9706</v>
      </c>
      <c r="R116" s="440"/>
      <c r="S116" s="161">
        <v>0.10706264979362728</v>
      </c>
      <c r="T116" s="440">
        <v>45793.065990000003</v>
      </c>
      <c r="U116" s="162"/>
      <c r="V116" s="161">
        <v>0.10529651650656414</v>
      </c>
      <c r="W116" s="440">
        <v>10708.928909999999</v>
      </c>
      <c r="X116" s="162"/>
      <c r="Y116" s="161">
        <v>0.11223448689158565</v>
      </c>
      <c r="Z116" s="440">
        <v>11762.04017</v>
      </c>
      <c r="AA116" s="162"/>
      <c r="AB116" s="161">
        <v>0.10805837026610542</v>
      </c>
      <c r="AC116" s="440">
        <v>11806.149570000001</v>
      </c>
      <c r="AD116" s="162"/>
      <c r="AE116" s="161">
        <v>0.10285439260905574</v>
      </c>
      <c r="AF116" s="495">
        <v>11515.947339999999</v>
      </c>
    </row>
    <row r="117" spans="1:32">
      <c r="A117" s="500"/>
      <c r="B117" s="500" t="s">
        <v>58</v>
      </c>
      <c r="C117" s="500"/>
      <c r="D117" s="161">
        <v>-1.0288627197744447E-2</v>
      </c>
      <c r="E117" s="440">
        <v>1207.2102999999988</v>
      </c>
      <c r="F117" s="162"/>
      <c r="G117" s="161">
        <v>-4.2777716454657437E-2</v>
      </c>
      <c r="H117" s="440">
        <v>1242.6706199999994</v>
      </c>
      <c r="I117" s="162"/>
      <c r="J117" s="161">
        <v>-0.12106699285885583</v>
      </c>
      <c r="K117" s="440">
        <v>3329.5788999999995</v>
      </c>
      <c r="L117" s="162"/>
      <c r="M117" s="161">
        <v>-2.7573377820146166E-2</v>
      </c>
      <c r="N117" s="440">
        <v>780.96077999999989</v>
      </c>
      <c r="O117" s="162"/>
      <c r="P117" s="161">
        <v>0.1277264325323475</v>
      </c>
      <c r="Q117" s="440">
        <v>-4146</v>
      </c>
      <c r="R117" s="440"/>
      <c r="S117" s="161">
        <v>0.14454391824447779</v>
      </c>
      <c r="T117" s="440">
        <v>-19928.256560000002</v>
      </c>
      <c r="U117" s="162"/>
      <c r="V117" s="161">
        <v>0.14246317465873187</v>
      </c>
      <c r="W117" s="440">
        <v>-4632.801669999998</v>
      </c>
      <c r="X117" s="162"/>
      <c r="Y117" s="161">
        <v>0.1417427476039122</v>
      </c>
      <c r="Z117" s="440">
        <v>-4769.7956900000008</v>
      </c>
      <c r="AA117" s="162"/>
      <c r="AB117" s="161">
        <v>0.1381906864257387</v>
      </c>
      <c r="AC117" s="440">
        <v>-5008.2056300000004</v>
      </c>
      <c r="AD117" s="162"/>
      <c r="AE117" s="161">
        <v>0.15560412656208</v>
      </c>
      <c r="AF117" s="495">
        <v>-5517.4535700000006</v>
      </c>
    </row>
    <row r="118" spans="1:32">
      <c r="A118" s="500"/>
      <c r="B118" s="500" t="s">
        <v>59</v>
      </c>
      <c r="C118" s="500"/>
      <c r="D118" s="175">
        <v>9.5304575091175806E-2</v>
      </c>
      <c r="E118" s="441">
        <v>35896.83685</v>
      </c>
      <c r="F118" s="162"/>
      <c r="G118" s="175">
        <v>8.3251266438422455E-2</v>
      </c>
      <c r="H118" s="441">
        <v>7633.89588</v>
      </c>
      <c r="I118" s="162"/>
      <c r="J118" s="175">
        <v>7.3278567326883634E-2</v>
      </c>
      <c r="K118" s="441">
        <v>6727.3985199999979</v>
      </c>
      <c r="L118" s="162"/>
      <c r="M118" s="175">
        <v>0.10948112742162061</v>
      </c>
      <c r="N118" s="441">
        <v>10053.542449999999</v>
      </c>
      <c r="O118" s="162"/>
      <c r="P118" s="175">
        <v>0.11332188468447128</v>
      </c>
      <c r="Q118" s="441">
        <v>11482</v>
      </c>
      <c r="R118" s="440"/>
      <c r="S118" s="175">
        <v>0.11682216428143889</v>
      </c>
      <c r="T118" s="441">
        <v>49967.426439999996</v>
      </c>
      <c r="U118" s="162"/>
      <c r="V118" s="175">
        <v>0.1105427131561946</v>
      </c>
      <c r="W118" s="441">
        <v>11242.480720000003</v>
      </c>
      <c r="X118" s="162"/>
      <c r="Y118" s="175">
        <v>0.11895856925270867</v>
      </c>
      <c r="Z118" s="441">
        <v>12466.715969999999</v>
      </c>
      <c r="AA118" s="162"/>
      <c r="AB118" s="175">
        <v>0.11324876174115388</v>
      </c>
      <c r="AC118" s="441">
        <v>12373.236949999997</v>
      </c>
      <c r="AD118" s="162"/>
      <c r="AE118" s="175">
        <v>0.12401346225894712</v>
      </c>
      <c r="AF118" s="496">
        <v>13884.992800000002</v>
      </c>
    </row>
    <row r="119" spans="1:32">
      <c r="A119" s="113" t="s">
        <v>56</v>
      </c>
      <c r="B119" s="500"/>
      <c r="C119" s="500"/>
      <c r="D119" s="175">
        <v>0.24856925422331258</v>
      </c>
      <c r="E119" s="441">
        <v>64458.837090000001</v>
      </c>
      <c r="F119" s="162"/>
      <c r="G119" s="175">
        <v>0.23076587148181216</v>
      </c>
      <c r="H119" s="441">
        <v>14456.920939999996</v>
      </c>
      <c r="I119" s="162"/>
      <c r="J119" s="175">
        <v>0.24297900562211841</v>
      </c>
      <c r="K119" s="441">
        <v>15624.48789</v>
      </c>
      <c r="L119" s="162"/>
      <c r="M119" s="175">
        <v>0.27297307750448779</v>
      </c>
      <c r="N119" s="441">
        <v>17335.428260000001</v>
      </c>
      <c r="O119" s="162"/>
      <c r="P119" s="175">
        <v>0.2474804681827423</v>
      </c>
      <c r="Q119" s="441">
        <v>17042</v>
      </c>
      <c r="R119" s="440"/>
      <c r="S119" s="175">
        <v>0.26162377403968817</v>
      </c>
      <c r="T119" s="441">
        <v>75832.235870000004</v>
      </c>
      <c r="U119" s="162"/>
      <c r="V119" s="175">
        <v>0.25032930670301956</v>
      </c>
      <c r="W119" s="441">
        <v>17318.607960000005</v>
      </c>
      <c r="X119" s="162"/>
      <c r="Y119" s="175">
        <v>0.27350078524415</v>
      </c>
      <c r="Z119" s="441">
        <v>19458.960449999999</v>
      </c>
      <c r="AA119" s="162"/>
      <c r="AB119" s="175">
        <v>0.26256179102023652</v>
      </c>
      <c r="AC119" s="441">
        <v>19171.180889999996</v>
      </c>
      <c r="AD119" s="162"/>
      <c r="AE119" s="175">
        <v>0.25989678301858254</v>
      </c>
      <c r="AF119" s="496">
        <v>19883.486570000001</v>
      </c>
    </row>
    <row r="120" spans="1:32">
      <c r="A120" s="500"/>
      <c r="B120" s="500" t="s">
        <v>57</v>
      </c>
      <c r="C120" s="500"/>
      <c r="D120" s="174"/>
      <c r="E120" s="443">
        <v>267916.38566330681</v>
      </c>
      <c r="F120" s="162"/>
      <c r="G120" s="174"/>
      <c r="H120" s="443">
        <v>63288.008123306819</v>
      </c>
      <c r="I120" s="162"/>
      <c r="J120" s="174"/>
      <c r="K120" s="443">
        <v>63195.132850000009</v>
      </c>
      <c r="L120" s="162"/>
      <c r="M120" s="174"/>
      <c r="N120" s="443">
        <v>66743.244689999992</v>
      </c>
      <c r="O120" s="162"/>
      <c r="P120" s="174"/>
      <c r="Q120" s="443">
        <v>74689</v>
      </c>
      <c r="R120" s="440"/>
      <c r="S120" s="174"/>
      <c r="T120" s="443">
        <v>306283.02103</v>
      </c>
      <c r="U120" s="162"/>
      <c r="V120" s="174"/>
      <c r="W120" s="443">
        <v>75015.739679999999</v>
      </c>
      <c r="X120" s="162"/>
      <c r="Y120" s="174"/>
      <c r="Z120" s="443">
        <v>71767.892519999994</v>
      </c>
      <c r="AA120" s="162"/>
      <c r="AB120" s="174"/>
      <c r="AC120" s="443">
        <v>73511.09494000001</v>
      </c>
      <c r="AD120" s="162"/>
      <c r="AE120" s="174"/>
      <c r="AF120" s="497">
        <v>85988.293890000001</v>
      </c>
    </row>
    <row r="121" spans="1:32">
      <c r="A121" s="500"/>
      <c r="B121" s="500"/>
      <c r="C121" s="500"/>
      <c r="D121" s="176"/>
      <c r="E121" s="162"/>
      <c r="F121" s="162"/>
      <c r="G121" s="176"/>
      <c r="H121" s="162"/>
      <c r="I121" s="162"/>
      <c r="J121" s="176"/>
      <c r="K121" s="162"/>
      <c r="L121" s="162"/>
      <c r="M121" s="176"/>
      <c r="N121" s="162"/>
      <c r="O121" s="162"/>
      <c r="P121" s="176"/>
      <c r="Q121" s="162"/>
      <c r="R121" s="440"/>
      <c r="S121" s="176"/>
      <c r="T121" s="162"/>
      <c r="U121" s="162"/>
      <c r="V121" s="176"/>
      <c r="W121" s="162"/>
      <c r="X121" s="162"/>
      <c r="Y121" s="176"/>
      <c r="Z121" s="162"/>
      <c r="AA121" s="162"/>
      <c r="AB121" s="176"/>
      <c r="AC121" s="162"/>
      <c r="AD121" s="162"/>
      <c r="AE121" s="176"/>
      <c r="AF121" s="498"/>
    </row>
    <row r="122" spans="1:32" ht="13.5" thickBot="1">
      <c r="B122" s="438" t="s">
        <v>86</v>
      </c>
      <c r="D122" s="168" t="s">
        <v>41</v>
      </c>
      <c r="E122" s="442">
        <v>13167.497268523264</v>
      </c>
      <c r="F122" s="162"/>
      <c r="G122" s="168" t="s">
        <v>41</v>
      </c>
      <c r="H122" s="442">
        <v>4588.3073985232768</v>
      </c>
      <c r="I122" s="162"/>
      <c r="J122" s="168" t="s">
        <v>41</v>
      </c>
      <c r="K122" s="442">
        <v>6680.7972999999765</v>
      </c>
      <c r="L122" s="162"/>
      <c r="M122" s="168" t="s">
        <v>41</v>
      </c>
      <c r="N122" s="442">
        <v>1976.3925700000109</v>
      </c>
      <c r="O122" s="162"/>
      <c r="P122" s="168" t="s">
        <v>41</v>
      </c>
      <c r="Q122" s="442">
        <v>-78</v>
      </c>
      <c r="R122" s="440"/>
      <c r="S122" s="168" t="s">
        <v>41</v>
      </c>
      <c r="T122" s="442">
        <v>1167.5228399999905</v>
      </c>
      <c r="U122" s="162"/>
      <c r="V122" s="168" t="s">
        <v>41</v>
      </c>
      <c r="W122" s="442">
        <v>-501.59790000000794</v>
      </c>
      <c r="X122" s="162"/>
      <c r="Y122" s="168" t="s">
        <v>41</v>
      </c>
      <c r="Z122" s="442">
        <v>3510.719740000015</v>
      </c>
      <c r="AA122" s="162"/>
      <c r="AB122" s="168" t="s">
        <v>41</v>
      </c>
      <c r="AC122" s="442">
        <v>3857.4955099999788</v>
      </c>
      <c r="AD122" s="162"/>
      <c r="AE122" s="168" t="s">
        <v>41</v>
      </c>
      <c r="AF122" s="499">
        <v>-5699.0945099999954</v>
      </c>
    </row>
    <row r="123" spans="1:32" customFormat="1" ht="13.5" thickTop="1">
      <c r="A123" s="438"/>
      <c r="B123" s="438"/>
      <c r="C123" s="438"/>
      <c r="D123" s="438"/>
      <c r="E123" s="438"/>
      <c r="F123" s="438"/>
      <c r="G123" s="438"/>
      <c r="H123" s="438"/>
      <c r="I123" s="438"/>
      <c r="J123" s="438"/>
      <c r="K123" s="438"/>
      <c r="L123" s="438"/>
      <c r="M123" s="438"/>
      <c r="N123" s="438"/>
      <c r="O123" s="438"/>
      <c r="P123" s="438"/>
      <c r="Q123" s="438"/>
      <c r="R123" s="438"/>
      <c r="S123" s="438"/>
      <c r="T123" s="438"/>
      <c r="U123" s="438"/>
      <c r="V123" s="438"/>
      <c r="W123" s="438"/>
      <c r="X123" s="438"/>
      <c r="Y123" s="438"/>
      <c r="Z123" s="438"/>
      <c r="AA123" s="438"/>
      <c r="AB123" s="438"/>
      <c r="AC123" s="438"/>
      <c r="AD123" s="438"/>
      <c r="AE123" s="438"/>
      <c r="AF123" s="438"/>
    </row>
    <row r="124" spans="1:32" ht="15">
      <c r="A124" s="501" t="s">
        <v>294</v>
      </c>
      <c r="B124" s="502"/>
      <c r="C124" s="502"/>
      <c r="D124" s="161"/>
      <c r="G124" s="161"/>
      <c r="H124" s="318"/>
      <c r="J124" s="161"/>
      <c r="K124" s="318"/>
      <c r="M124" s="161"/>
      <c r="N124" s="318"/>
      <c r="P124" s="161"/>
      <c r="Q124" s="318"/>
      <c r="S124" s="161"/>
      <c r="T124" s="318"/>
      <c r="V124" s="161"/>
      <c r="W124" s="318"/>
      <c r="Y124" s="161"/>
      <c r="Z124" s="318"/>
      <c r="AB124" s="161"/>
      <c r="AC124" s="294"/>
      <c r="AE124" s="161"/>
      <c r="AF124" s="318"/>
    </row>
    <row r="125" spans="1:32">
      <c r="A125" s="502" t="s">
        <v>1194</v>
      </c>
      <c r="B125" s="502"/>
      <c r="C125" s="502"/>
      <c r="D125" s="161"/>
      <c r="E125" s="316" t="s">
        <v>39</v>
      </c>
      <c r="F125" s="72"/>
      <c r="G125" s="161"/>
      <c r="H125" s="316" t="s">
        <v>88</v>
      </c>
      <c r="I125" s="72"/>
      <c r="J125" s="161"/>
      <c r="K125" s="316" t="s">
        <v>89</v>
      </c>
      <c r="L125" s="72"/>
      <c r="M125" s="161"/>
      <c r="N125" s="316" t="s">
        <v>90</v>
      </c>
      <c r="O125" s="72"/>
      <c r="P125" s="161"/>
      <c r="Q125" s="316" t="s">
        <v>91</v>
      </c>
      <c r="S125" s="161"/>
      <c r="T125" s="316" t="s">
        <v>39</v>
      </c>
      <c r="U125" s="72"/>
      <c r="V125" s="161"/>
      <c r="W125" s="316" t="s">
        <v>88</v>
      </c>
      <c r="X125" s="72"/>
      <c r="Y125" s="161"/>
      <c r="Z125" s="316" t="s">
        <v>89</v>
      </c>
      <c r="AA125" s="72"/>
      <c r="AB125" s="161"/>
      <c r="AC125" s="292" t="s">
        <v>90</v>
      </c>
      <c r="AD125" s="72"/>
      <c r="AE125" s="161"/>
      <c r="AF125" s="316" t="s">
        <v>91</v>
      </c>
    </row>
    <row r="126" spans="1:32">
      <c r="A126" s="503" t="s">
        <v>40</v>
      </c>
      <c r="D126" s="326"/>
      <c r="E126" s="317">
        <v>2011</v>
      </c>
      <c r="F126" s="73"/>
      <c r="G126" s="326"/>
      <c r="H126" s="317">
        <v>2011</v>
      </c>
      <c r="I126" s="73"/>
      <c r="J126" s="326"/>
      <c r="K126" s="317">
        <v>2011</v>
      </c>
      <c r="L126" s="73"/>
      <c r="M126" s="326"/>
      <c r="N126" s="317">
        <v>2011</v>
      </c>
      <c r="O126" s="73"/>
      <c r="P126" s="326"/>
      <c r="Q126" s="317">
        <v>2011</v>
      </c>
      <c r="R126" s="74"/>
      <c r="S126" s="326"/>
      <c r="T126" s="317">
        <v>2010</v>
      </c>
      <c r="U126" s="73"/>
      <c r="V126" s="326"/>
      <c r="W126" s="317">
        <v>2010</v>
      </c>
      <c r="X126" s="73"/>
      <c r="Y126" s="326"/>
      <c r="Z126" s="317">
        <v>2010</v>
      </c>
      <c r="AA126" s="73"/>
      <c r="AB126" s="326"/>
      <c r="AC126" s="293">
        <v>2010</v>
      </c>
      <c r="AD126" s="73"/>
      <c r="AE126" s="326"/>
      <c r="AF126" s="317">
        <v>2010</v>
      </c>
    </row>
    <row r="127" spans="1:32" ht="14.25" customHeight="1">
      <c r="D127" s="161"/>
      <c r="E127" s="316"/>
      <c r="F127" s="72"/>
      <c r="G127" s="161"/>
      <c r="H127" s="316"/>
      <c r="I127" s="72"/>
      <c r="J127" s="161"/>
      <c r="K127" s="316"/>
      <c r="L127" s="72"/>
      <c r="M127" s="161"/>
      <c r="N127" s="316"/>
      <c r="O127" s="72"/>
      <c r="P127" s="161"/>
      <c r="Q127" s="316"/>
      <c r="R127" s="316"/>
      <c r="S127" s="161"/>
      <c r="T127" s="316"/>
      <c r="U127" s="72"/>
      <c r="V127" s="161"/>
      <c r="W127" s="316"/>
      <c r="X127" s="72"/>
      <c r="Y127" s="161"/>
      <c r="Z127" s="316"/>
      <c r="AA127" s="72"/>
      <c r="AB127" s="161"/>
      <c r="AC127" s="292"/>
      <c r="AD127" s="72"/>
      <c r="AE127" s="161"/>
      <c r="AF127" s="316"/>
    </row>
    <row r="128" spans="1:32">
      <c r="A128" s="438" t="s">
        <v>296</v>
      </c>
      <c r="D128" s="161" t="s">
        <v>41</v>
      </c>
      <c r="E128" s="440">
        <v>2285.2345555555557</v>
      </c>
      <c r="F128" s="162"/>
      <c r="G128" s="161" t="s">
        <v>41</v>
      </c>
      <c r="H128" s="440">
        <v>849.99997999999994</v>
      </c>
      <c r="I128" s="162"/>
      <c r="J128" s="161" t="s">
        <v>41</v>
      </c>
      <c r="K128" s="440">
        <v>850.00027</v>
      </c>
      <c r="L128" s="162"/>
      <c r="M128" s="161" t="s">
        <v>41</v>
      </c>
      <c r="N128" s="440">
        <v>585.55555555555566</v>
      </c>
      <c r="O128" s="162"/>
      <c r="P128" s="161" t="s">
        <v>41</v>
      </c>
      <c r="Q128" s="430">
        <v>-0.32124999999996362</v>
      </c>
      <c r="R128" s="440"/>
      <c r="S128" s="161" t="s">
        <v>41</v>
      </c>
      <c r="T128" s="440">
        <v>0</v>
      </c>
      <c r="U128" s="162"/>
      <c r="V128" s="161" t="s">
        <v>41</v>
      </c>
      <c r="W128" s="440">
        <v>0</v>
      </c>
      <c r="X128" s="162"/>
      <c r="Y128" s="161" t="s">
        <v>41</v>
      </c>
      <c r="Z128" s="440">
        <v>0</v>
      </c>
      <c r="AA128" s="162"/>
      <c r="AB128" s="161" t="s">
        <v>41</v>
      </c>
      <c r="AC128" s="440">
        <v>0</v>
      </c>
      <c r="AD128" s="162"/>
      <c r="AE128" s="161" t="s">
        <v>41</v>
      </c>
      <c r="AF128" s="440">
        <v>0</v>
      </c>
    </row>
    <row r="129" spans="1:32">
      <c r="A129" s="438" t="s">
        <v>297</v>
      </c>
      <c r="D129" s="161"/>
      <c r="E129" s="440">
        <v>122.5</v>
      </c>
      <c r="F129" s="162"/>
      <c r="G129" s="161"/>
      <c r="H129" s="440">
        <v>45.9375</v>
      </c>
      <c r="I129" s="162"/>
      <c r="J129" s="161"/>
      <c r="K129" s="440">
        <v>45.9375</v>
      </c>
      <c r="L129" s="162"/>
      <c r="M129" s="161"/>
      <c r="N129" s="440">
        <v>30.625</v>
      </c>
      <c r="O129" s="162"/>
      <c r="P129" s="161"/>
      <c r="Q129" s="440">
        <v>0</v>
      </c>
      <c r="R129" s="440"/>
      <c r="S129" s="161"/>
      <c r="T129" s="440">
        <v>0</v>
      </c>
      <c r="U129" s="162"/>
      <c r="V129" s="161"/>
      <c r="W129" s="440">
        <v>0</v>
      </c>
      <c r="X129" s="162"/>
      <c r="Y129" s="161"/>
      <c r="Z129" s="440">
        <v>0</v>
      </c>
      <c r="AA129" s="162"/>
      <c r="AB129" s="161"/>
      <c r="AC129" s="440">
        <v>0</v>
      </c>
      <c r="AD129" s="162"/>
      <c r="AE129" s="161"/>
      <c r="AF129" s="440">
        <v>0</v>
      </c>
    </row>
    <row r="130" spans="1:32">
      <c r="A130" s="438" t="s">
        <v>298</v>
      </c>
      <c r="D130" s="161"/>
      <c r="E130" s="440">
        <v>17013.389881537842</v>
      </c>
      <c r="F130" s="162"/>
      <c r="G130" s="161"/>
      <c r="H130" s="440">
        <v>1918.531167061564</v>
      </c>
      <c r="I130" s="162"/>
      <c r="J130" s="161"/>
      <c r="K130" s="440">
        <v>2124.1276764351792</v>
      </c>
      <c r="L130" s="162"/>
      <c r="M130" s="161"/>
      <c r="N130" s="440">
        <v>10188.135778041098</v>
      </c>
      <c r="O130" s="162"/>
      <c r="P130" s="161"/>
      <c r="Q130" s="440">
        <v>2782.5952600000001</v>
      </c>
      <c r="R130" s="440"/>
      <c r="S130" s="161"/>
      <c r="T130" s="440">
        <v>9995.2230412456265</v>
      </c>
      <c r="U130" s="162"/>
      <c r="V130" s="161"/>
      <c r="W130" s="440">
        <v>2947.6019488192233</v>
      </c>
      <c r="X130" s="162"/>
      <c r="Y130" s="161"/>
      <c r="Z130" s="440">
        <v>2938.4562238650883</v>
      </c>
      <c r="AA130" s="162"/>
      <c r="AB130" s="161"/>
      <c r="AC130" s="440">
        <v>1297.6292417131858</v>
      </c>
      <c r="AD130" s="162"/>
      <c r="AE130" s="161"/>
      <c r="AF130" s="440">
        <v>2811.5356268481296</v>
      </c>
    </row>
    <row r="131" spans="1:32">
      <c r="A131" s="438" t="s">
        <v>299</v>
      </c>
      <c r="D131" s="161"/>
      <c r="E131" s="440">
        <v>0</v>
      </c>
      <c r="F131" s="162"/>
      <c r="G131" s="161"/>
      <c r="H131" s="439">
        <v>0</v>
      </c>
      <c r="I131" s="162"/>
      <c r="J131" s="161"/>
      <c r="K131" s="439">
        <v>0</v>
      </c>
      <c r="L131" s="162"/>
      <c r="M131" s="161"/>
      <c r="N131" s="439">
        <v>0</v>
      </c>
      <c r="O131" s="162"/>
      <c r="P131" s="161"/>
      <c r="Q131" s="439">
        <v>0</v>
      </c>
      <c r="R131" s="440"/>
      <c r="S131" s="161"/>
      <c r="T131" s="440">
        <v>15000</v>
      </c>
      <c r="U131" s="162"/>
      <c r="V131" s="161"/>
      <c r="W131" s="440">
        <v>15000</v>
      </c>
      <c r="X131" s="162"/>
      <c r="Y131" s="161"/>
      <c r="Z131" s="440">
        <v>0</v>
      </c>
      <c r="AA131" s="162"/>
      <c r="AB131" s="161"/>
      <c r="AC131" s="440">
        <v>0</v>
      </c>
      <c r="AD131" s="162"/>
      <c r="AE131" s="161"/>
      <c r="AF131" s="440">
        <v>0</v>
      </c>
    </row>
    <row r="132" spans="1:32">
      <c r="A132" s="438" t="s">
        <v>300</v>
      </c>
      <c r="D132" s="167"/>
      <c r="E132" s="440">
        <v>58292.858865486734</v>
      </c>
      <c r="F132" s="162"/>
      <c r="G132" s="167"/>
      <c r="H132" s="162">
        <v>43070.910899631519</v>
      </c>
      <c r="I132" s="162"/>
      <c r="J132" s="167"/>
      <c r="K132" s="162">
        <v>5140.4816735648201</v>
      </c>
      <c r="L132" s="162"/>
      <c r="M132" s="167"/>
      <c r="N132" s="162">
        <v>6220.2709622903894</v>
      </c>
      <c r="O132" s="162"/>
      <c r="P132" s="167"/>
      <c r="Q132" s="162">
        <v>3861.19533</v>
      </c>
      <c r="R132" s="162"/>
      <c r="S132" s="167"/>
      <c r="T132" s="440">
        <v>13318.595624347199</v>
      </c>
      <c r="U132" s="162"/>
      <c r="V132" s="167"/>
      <c r="W132" s="440">
        <v>4241.8438320541172</v>
      </c>
      <c r="X132" s="162"/>
      <c r="Y132" s="167"/>
      <c r="Z132" s="440">
        <v>3145.6438808544053</v>
      </c>
      <c r="AA132" s="162"/>
      <c r="AB132" s="167"/>
      <c r="AC132" s="440">
        <v>2365.6435382868062</v>
      </c>
      <c r="AD132" s="162"/>
      <c r="AE132" s="167"/>
      <c r="AF132" s="440">
        <v>3565.4643731518704</v>
      </c>
    </row>
    <row r="133" spans="1:32">
      <c r="A133" s="438" t="s">
        <v>301</v>
      </c>
      <c r="D133" s="165"/>
      <c r="E133" s="441">
        <v>178.61460000000073</v>
      </c>
      <c r="F133" s="162"/>
      <c r="G133" s="165"/>
      <c r="H133" s="441">
        <v>-81.892559999999207</v>
      </c>
      <c r="I133" s="162"/>
      <c r="J133" s="165"/>
      <c r="K133" s="441">
        <v>-79.489190000000292</v>
      </c>
      <c r="L133" s="162"/>
      <c r="M133" s="165"/>
      <c r="N133" s="441">
        <v>139.99635000000023</v>
      </c>
      <c r="O133" s="162"/>
      <c r="P133" s="165"/>
      <c r="Q133" s="441">
        <v>200</v>
      </c>
      <c r="R133" s="440"/>
      <c r="S133" s="165"/>
      <c r="T133" s="441">
        <v>-713.61489000000188</v>
      </c>
      <c r="U133" s="162"/>
      <c r="V133" s="165"/>
      <c r="W133" s="441">
        <v>176.14944999999744</v>
      </c>
      <c r="X133" s="162"/>
      <c r="Y133" s="165"/>
      <c r="Z133" s="441">
        <v>188.36784000000046</v>
      </c>
      <c r="AA133" s="162"/>
      <c r="AB133" s="165"/>
      <c r="AC133" s="441">
        <v>259.30882000000082</v>
      </c>
      <c r="AD133" s="162"/>
      <c r="AE133" s="165"/>
      <c r="AF133" s="441">
        <v>-1337.4410000000007</v>
      </c>
    </row>
    <row r="134" spans="1:32">
      <c r="U134" s="438"/>
      <c r="V134" s="438"/>
      <c r="X134" s="438"/>
      <c r="AA134" s="438"/>
      <c r="AC134" s="291"/>
      <c r="AD134" s="438"/>
      <c r="AF134" s="439"/>
    </row>
    <row r="135" spans="1:32" ht="13.5" thickBot="1">
      <c r="B135" s="438" t="s">
        <v>302</v>
      </c>
      <c r="D135" s="168" t="s">
        <v>41</v>
      </c>
      <c r="E135" s="442">
        <v>77892.597902580135</v>
      </c>
      <c r="F135" s="162"/>
      <c r="G135" s="168" t="s">
        <v>41</v>
      </c>
      <c r="H135" s="442">
        <v>45803.486986693082</v>
      </c>
      <c r="I135" s="162"/>
      <c r="J135" s="168" t="s">
        <v>41</v>
      </c>
      <c r="K135" s="442">
        <v>8081.057929999999</v>
      </c>
      <c r="L135" s="162"/>
      <c r="M135" s="168" t="s">
        <v>41</v>
      </c>
      <c r="N135" s="442">
        <v>17164.583645887044</v>
      </c>
      <c r="O135" s="162"/>
      <c r="P135" s="168" t="s">
        <v>41</v>
      </c>
      <c r="Q135" s="442">
        <v>6843.4693399999996</v>
      </c>
      <c r="R135" s="440"/>
      <c r="S135" s="168" t="s">
        <v>41</v>
      </c>
      <c r="T135" s="442">
        <v>37600.203775592825</v>
      </c>
      <c r="U135" s="162"/>
      <c r="V135" s="168" t="s">
        <v>41</v>
      </c>
      <c r="W135" s="442">
        <v>22365.595230873339</v>
      </c>
      <c r="X135" s="162"/>
      <c r="Y135" s="168" t="s">
        <v>41</v>
      </c>
      <c r="Z135" s="442">
        <v>6272.467944719494</v>
      </c>
      <c r="AA135" s="162"/>
      <c r="AB135" s="168" t="s">
        <v>41</v>
      </c>
      <c r="AC135" s="442">
        <v>3922.5815999999927</v>
      </c>
      <c r="AD135" s="162"/>
      <c r="AE135" s="168" t="s">
        <v>41</v>
      </c>
      <c r="AF135" s="442">
        <v>5039.5589999999993</v>
      </c>
    </row>
    <row r="136" spans="1:32" customFormat="1" ht="13.5" thickTop="1"/>
    <row r="137" spans="1:32">
      <c r="E137" s="295"/>
      <c r="F137" s="330"/>
      <c r="G137" s="331"/>
      <c r="H137" s="295"/>
      <c r="I137" s="330"/>
      <c r="K137" s="295"/>
      <c r="L137" s="330"/>
      <c r="N137" s="295"/>
      <c r="O137" s="330"/>
      <c r="Q137" s="295"/>
      <c r="T137" s="295"/>
      <c r="U137" s="330"/>
      <c r="V137" s="331"/>
      <c r="W137" s="295"/>
      <c r="X137" s="330"/>
      <c r="Z137" s="295"/>
      <c r="AA137" s="330"/>
      <c r="AC137" s="295"/>
      <c r="AD137" s="330"/>
      <c r="AF137" s="295"/>
    </row>
    <row r="138" spans="1:32" ht="15">
      <c r="A138" s="501" t="s">
        <v>366</v>
      </c>
      <c r="U138" s="438"/>
      <c r="V138" s="438"/>
      <c r="X138" s="438"/>
      <c r="AA138" s="438"/>
      <c r="AD138" s="438"/>
    </row>
    <row r="139" spans="1:32">
      <c r="A139" s="502" t="s">
        <v>1194</v>
      </c>
      <c r="U139" s="438"/>
      <c r="V139" s="438"/>
      <c r="X139" s="438"/>
      <c r="AA139" s="438"/>
      <c r="AD139" s="438"/>
    </row>
    <row r="140" spans="1:32">
      <c r="U140" s="438"/>
      <c r="V140" s="438"/>
      <c r="X140" s="438"/>
      <c r="AA140" s="438"/>
      <c r="AD140" s="438"/>
    </row>
    <row r="141" spans="1:32">
      <c r="U141" s="438"/>
      <c r="V141" s="438"/>
      <c r="X141" s="438"/>
      <c r="AA141" s="438"/>
      <c r="AD141" s="438"/>
    </row>
    <row r="142" spans="1:32">
      <c r="A142" s="438" t="s">
        <v>50</v>
      </c>
      <c r="B142" s="500"/>
      <c r="E142" s="313">
        <v>72.044979999999981</v>
      </c>
      <c r="H142" s="313">
        <v>-6.5191700000000212</v>
      </c>
      <c r="K142" s="313">
        <v>5.6925100000000173</v>
      </c>
      <c r="N142" s="313">
        <v>19.86372999999999</v>
      </c>
      <c r="Q142" s="313">
        <v>53.007910000000003</v>
      </c>
      <c r="T142" s="313">
        <v>351.29028999999997</v>
      </c>
      <c r="U142" s="438"/>
      <c r="V142" s="438"/>
      <c r="W142" s="313">
        <v>89.680289999999957</v>
      </c>
      <c r="X142" s="438"/>
      <c r="Z142" s="313">
        <v>99.62263999999999</v>
      </c>
      <c r="AA142" s="438"/>
      <c r="AC142" s="313">
        <v>90.98736000000001</v>
      </c>
      <c r="AD142" s="438"/>
      <c r="AF142" s="313">
        <v>71</v>
      </c>
    </row>
    <row r="143" spans="1:32">
      <c r="A143" s="438" t="s">
        <v>51</v>
      </c>
      <c r="B143" s="500"/>
      <c r="E143" s="313">
        <v>12359.34513</v>
      </c>
      <c r="H143" s="313">
        <v>4030.697729999999</v>
      </c>
      <c r="K143" s="313">
        <v>4059.3448600000015</v>
      </c>
      <c r="N143" s="313">
        <v>3608.3025399999997</v>
      </c>
      <c r="Q143" s="313">
        <v>661</v>
      </c>
      <c r="T143" s="313">
        <v>4985.8788200000008</v>
      </c>
      <c r="U143" s="438"/>
      <c r="V143" s="438"/>
      <c r="W143" s="313">
        <v>604.33420000000206</v>
      </c>
      <c r="X143" s="438"/>
      <c r="Z143" s="313">
        <v>592.45406999999977</v>
      </c>
      <c r="AA143" s="438"/>
      <c r="AC143" s="313">
        <v>349.98054999999897</v>
      </c>
      <c r="AD143" s="438"/>
      <c r="AF143" s="313">
        <v>3439.1100000000006</v>
      </c>
    </row>
    <row r="144" spans="1:32">
      <c r="B144" s="500" t="s">
        <v>52</v>
      </c>
      <c r="E144" s="296">
        <v>12431.39011</v>
      </c>
      <c r="H144" s="296">
        <v>4024.1785599999989</v>
      </c>
      <c r="K144" s="296">
        <v>4065.0373700000014</v>
      </c>
      <c r="N144" s="296">
        <v>3628.1662699999997</v>
      </c>
      <c r="Q144" s="296">
        <v>714.00791000000004</v>
      </c>
      <c r="T144" s="296">
        <v>5337.1691100000016</v>
      </c>
      <c r="U144" s="438"/>
      <c r="V144" s="438"/>
      <c r="W144" s="296">
        <v>694.01449000000207</v>
      </c>
      <c r="X144" s="438"/>
      <c r="Z144" s="296">
        <v>692.07670999999982</v>
      </c>
      <c r="AA144" s="438"/>
      <c r="AC144" s="296">
        <v>440.96790999999899</v>
      </c>
      <c r="AD144" s="296">
        <v>0</v>
      </c>
      <c r="AF144" s="296">
        <v>3510.1100000000006</v>
      </c>
    </row>
    <row r="145" spans="1:32">
      <c r="U145" s="438"/>
      <c r="V145" s="438"/>
      <c r="X145" s="438"/>
      <c r="AA145" s="438"/>
      <c r="AD145" s="438"/>
    </row>
    <row r="146" spans="1:32">
      <c r="A146" s="438" t="s">
        <v>367</v>
      </c>
      <c r="E146" s="313">
        <v>2407.7345555555557</v>
      </c>
      <c r="H146" s="313">
        <v>895.93747999999994</v>
      </c>
      <c r="K146" s="313">
        <v>895.93777</v>
      </c>
      <c r="N146" s="313">
        <v>616.18055555555566</v>
      </c>
      <c r="Q146" s="313">
        <v>-0.32124999999996362</v>
      </c>
      <c r="T146" s="313">
        <v>0</v>
      </c>
      <c r="U146" s="438"/>
      <c r="V146" s="438"/>
      <c r="W146" s="313">
        <v>0</v>
      </c>
      <c r="X146" s="438"/>
      <c r="Z146" s="313">
        <v>0</v>
      </c>
      <c r="AA146" s="438"/>
      <c r="AC146" s="313">
        <v>0</v>
      </c>
      <c r="AD146" s="438"/>
      <c r="AF146" s="313">
        <v>0</v>
      </c>
    </row>
    <row r="147" spans="1:32">
      <c r="A147" s="488" t="s">
        <v>1196</v>
      </c>
      <c r="E147" s="313">
        <v>15622.0464666931</v>
      </c>
      <c r="H147" s="313">
        <v>15622.0464666931</v>
      </c>
      <c r="K147" s="313"/>
      <c r="N147" s="313"/>
      <c r="Q147" s="313"/>
      <c r="T147" s="313"/>
      <c r="U147" s="438"/>
      <c r="V147" s="438"/>
      <c r="W147" s="313"/>
      <c r="X147" s="438"/>
      <c r="Z147" s="313"/>
      <c r="AA147" s="438"/>
      <c r="AC147" s="313"/>
      <c r="AD147" s="438"/>
      <c r="AF147" s="313"/>
    </row>
    <row r="148" spans="1:32">
      <c r="A148" s="489" t="s">
        <v>1197</v>
      </c>
      <c r="E148" s="313">
        <v>22042.169000000002</v>
      </c>
      <c r="H148" s="313">
        <v>22042.169000000002</v>
      </c>
      <c r="K148" s="313"/>
      <c r="N148" s="313"/>
      <c r="Q148" s="313"/>
      <c r="T148" s="313"/>
      <c r="U148" s="438"/>
      <c r="V148" s="438"/>
      <c r="W148" s="313"/>
      <c r="X148" s="438"/>
      <c r="Z148" s="313"/>
      <c r="AA148" s="438"/>
      <c r="AC148" s="313"/>
      <c r="AD148" s="438"/>
      <c r="AF148" s="313"/>
    </row>
    <row r="149" spans="1:32">
      <c r="A149" s="438" t="s">
        <v>298</v>
      </c>
      <c r="E149" s="313">
        <v>17013.389881537842</v>
      </c>
      <c r="H149" s="313">
        <v>1918.531167061564</v>
      </c>
      <c r="K149" s="313">
        <v>2124.1276764351792</v>
      </c>
      <c r="N149" s="313">
        <v>10188.135778041098</v>
      </c>
      <c r="Q149" s="313">
        <v>2782.5952600000001</v>
      </c>
      <c r="T149" s="313">
        <v>9995.2230412456265</v>
      </c>
      <c r="U149" s="438"/>
      <c r="V149" s="438"/>
      <c r="W149" s="313">
        <v>2947.6019488192233</v>
      </c>
      <c r="X149" s="438"/>
      <c r="Z149" s="313">
        <v>2938.4562238650883</v>
      </c>
      <c r="AA149" s="438"/>
      <c r="AC149" s="313">
        <v>1297.6292417131858</v>
      </c>
      <c r="AD149" s="438"/>
      <c r="AF149" s="313">
        <v>2811.5356268481296</v>
      </c>
    </row>
    <row r="150" spans="1:32">
      <c r="A150" s="438" t="s">
        <v>368</v>
      </c>
      <c r="E150" s="313">
        <v>33238.640198793626</v>
      </c>
      <c r="H150" s="313">
        <v>9348.9814329384153</v>
      </c>
      <c r="K150" s="313">
        <v>9126.0298535648199</v>
      </c>
      <c r="N150" s="313">
        <v>9988.4335822903922</v>
      </c>
      <c r="Q150" s="313">
        <v>4775.1953299999996</v>
      </c>
      <c r="T150" s="313">
        <v>32941.9488443472</v>
      </c>
      <c r="U150" s="438"/>
      <c r="V150" s="438"/>
      <c r="W150" s="313">
        <v>20112.007772054116</v>
      </c>
      <c r="X150" s="438"/>
      <c r="Z150" s="313">
        <v>4026.0884308544059</v>
      </c>
      <c r="AA150" s="438"/>
      <c r="AC150" s="313">
        <v>3065.7192682868058</v>
      </c>
      <c r="AD150" s="438"/>
      <c r="AF150" s="313">
        <v>5738.1333731518698</v>
      </c>
    </row>
    <row r="151" spans="1:32">
      <c r="B151" s="500" t="s">
        <v>57</v>
      </c>
      <c r="E151" s="296">
        <v>90323.980102580128</v>
      </c>
      <c r="H151" s="296">
        <v>49827.665546693082</v>
      </c>
      <c r="K151" s="296">
        <v>12146.095299999999</v>
      </c>
      <c r="N151" s="296">
        <v>20792.749915887045</v>
      </c>
      <c r="Q151" s="296">
        <v>7557.4693399999996</v>
      </c>
      <c r="T151" s="296">
        <v>42937.171885592827</v>
      </c>
      <c r="U151" s="438"/>
      <c r="V151" s="438"/>
      <c r="W151" s="296">
        <v>23059.609720873341</v>
      </c>
      <c r="X151" s="438"/>
      <c r="Z151" s="296">
        <v>6964.5446547194942</v>
      </c>
      <c r="AA151" s="438"/>
      <c r="AC151" s="296">
        <v>4363.3485099999916</v>
      </c>
      <c r="AD151" s="438"/>
      <c r="AF151" s="296">
        <v>8549.6689999999999</v>
      </c>
    </row>
    <row r="152" spans="1:32">
      <c r="B152" s="500"/>
      <c r="U152" s="438"/>
      <c r="V152" s="438"/>
      <c r="X152" s="438"/>
      <c r="AA152" s="438"/>
      <c r="AD152" s="438"/>
    </row>
    <row r="153" spans="1:32" ht="13.5" thickBot="1">
      <c r="B153" s="438" t="s">
        <v>369</v>
      </c>
      <c r="E153" s="297">
        <v>-77892.58999258012</v>
      </c>
      <c r="H153" s="297">
        <v>-45803.486986693082</v>
      </c>
      <c r="I153" s="44"/>
      <c r="K153" s="297">
        <v>-8081.0579299999972</v>
      </c>
      <c r="L153" s="44"/>
      <c r="N153" s="297">
        <v>-17164.583645887047</v>
      </c>
      <c r="O153" s="44"/>
      <c r="Q153" s="297">
        <v>-6843.4614299999994</v>
      </c>
      <c r="T153" s="297">
        <v>-37600.002775592824</v>
      </c>
      <c r="U153" s="438"/>
      <c r="V153" s="438"/>
      <c r="W153" s="297">
        <v>-22365.595230873339</v>
      </c>
      <c r="X153" s="44"/>
      <c r="Z153" s="297">
        <v>-6272.467944719494</v>
      </c>
      <c r="AA153" s="44"/>
      <c r="AC153" s="297">
        <v>-3922.3805999999927</v>
      </c>
      <c r="AD153" s="44"/>
      <c r="AF153" s="297">
        <v>-5039.5589999999993</v>
      </c>
    </row>
    <row r="154" spans="1:32" customFormat="1" ht="13.5" thickTop="1"/>
  </sheetData>
  <mergeCells count="1">
    <mergeCell ref="A3:B3"/>
  </mergeCells>
  <pageMargins left="1.25" right="1.25" top="0.4" bottom="0.5" header="0.3" footer="0.24"/>
  <pageSetup paperSize="3" scale="40" fitToHeight="0" orientation="landscape" r:id="rId1"/>
  <headerFooter alignWithMargins="0">
    <oddFooter>&amp;L&amp;9&amp;Z
&amp;F&amp;C&amp;P&amp;R&amp;9&amp;D
&amp;T</oddFooter>
  </headerFooter>
  <rowBreaks count="3" manualBreakCount="3">
    <brk id="47" max="31" man="1"/>
    <brk id="80" max="31" man="1"/>
    <brk id="123" max="31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51"/>
  <sheetViews>
    <sheetView view="pageBreakPreview" zoomScale="85" zoomScaleSheetLayoutView="85" workbookViewId="0">
      <pane xSplit="3" ySplit="8" topLeftCell="D9" activePane="bottomRight" state="frozen"/>
      <selection activeCell="B11" sqref="B11"/>
      <selection pane="topRight" activeCell="B11" sqref="B11"/>
      <selection pane="bottomLeft" activeCell="B11" sqref="B11"/>
      <selection pane="bottomRight" activeCell="B11" sqref="B11"/>
    </sheetView>
  </sheetViews>
  <sheetFormatPr defaultRowHeight="12.75"/>
  <cols>
    <col min="1" max="1" width="4.42578125" style="310" customWidth="1"/>
    <col min="2" max="2" width="46.42578125" style="310" customWidth="1"/>
    <col min="3" max="3" width="2" style="310" customWidth="1"/>
    <col min="4" max="4" width="8.7109375" style="444" customWidth="1"/>
    <col min="5" max="5" width="11.5703125" style="438" bestFit="1" customWidth="1"/>
    <col min="6" max="6" width="2" style="438" customWidth="1"/>
    <col min="7" max="7" width="6.85546875" style="444" bestFit="1" customWidth="1"/>
    <col min="8" max="8" width="11.5703125" style="438" bestFit="1" customWidth="1"/>
    <col min="9" max="9" width="2.28515625" style="438" customWidth="1"/>
    <col min="10" max="10" width="11.5703125" style="438" bestFit="1" customWidth="1"/>
    <col min="11" max="11" width="8.85546875" style="438" bestFit="1" customWidth="1"/>
    <col min="12" max="12" width="2" style="438" customWidth="1"/>
    <col min="13" max="13" width="6.28515625" style="444" bestFit="1" customWidth="1"/>
    <col min="14" max="14" width="11.5703125" style="438" bestFit="1" customWidth="1"/>
    <col min="15" max="15" width="2" style="438" customWidth="1"/>
    <col min="16" max="16" width="6.85546875" style="444" bestFit="1" customWidth="1"/>
    <col min="17" max="17" width="11.5703125" style="438" bestFit="1" customWidth="1"/>
    <col min="18" max="18" width="2.28515625" style="438" customWidth="1"/>
    <col min="19" max="19" width="11.5703125" style="438" bestFit="1" customWidth="1"/>
    <col min="20" max="20" width="8.28515625" style="438" bestFit="1" customWidth="1"/>
    <col min="21" max="21" width="2" style="438" customWidth="1"/>
    <col min="22" max="22" width="7.85546875" style="444" bestFit="1" customWidth="1"/>
    <col min="23" max="23" width="11.5703125" style="438" bestFit="1" customWidth="1"/>
    <col min="24" max="24" width="2" style="310" customWidth="1"/>
    <col min="25" max="25" width="6.85546875" style="444" bestFit="1" customWidth="1"/>
    <col min="26" max="26" width="11.5703125" style="438" bestFit="1" customWidth="1"/>
    <col min="27" max="27" width="2.28515625" style="310" customWidth="1"/>
    <col min="28" max="28" width="11.5703125" style="438" bestFit="1" customWidth="1"/>
    <col min="29" max="29" width="21.140625" style="438" bestFit="1" customWidth="1"/>
    <col min="30" max="47" width="9.140625" style="438"/>
    <col min="48" max="16384" width="9.140625" style="310"/>
  </cols>
  <sheetData>
    <row r="1" spans="1:29">
      <c r="A1" s="35" t="s">
        <v>262</v>
      </c>
      <c r="E1" s="310"/>
      <c r="H1" s="310"/>
      <c r="J1" s="310"/>
      <c r="N1" s="310"/>
      <c r="Q1" s="310"/>
      <c r="S1" s="310"/>
      <c r="W1" s="310"/>
      <c r="Z1" s="310"/>
      <c r="AB1" s="310"/>
    </row>
    <row r="2" spans="1:29">
      <c r="A2" s="35" t="s">
        <v>1043</v>
      </c>
      <c r="E2" s="310"/>
      <c r="H2" s="310"/>
      <c r="J2" s="310"/>
      <c r="N2" s="310"/>
      <c r="Q2" s="310"/>
      <c r="S2" s="310"/>
      <c r="W2" s="310"/>
      <c r="Z2" s="310"/>
      <c r="AB2" s="310"/>
    </row>
    <row r="3" spans="1:29">
      <c r="A3" s="545">
        <v>40908</v>
      </c>
      <c r="B3" s="545"/>
      <c r="E3" s="310"/>
      <c r="H3" s="310"/>
      <c r="J3" s="310"/>
      <c r="N3" s="310"/>
      <c r="Q3" s="310"/>
      <c r="S3" s="310"/>
      <c r="W3" s="310"/>
      <c r="Z3" s="310"/>
      <c r="AB3" s="310"/>
    </row>
    <row r="4" spans="1:29" ht="10.5" customHeight="1">
      <c r="B4" s="384"/>
      <c r="C4" s="384"/>
      <c r="D4" s="384"/>
      <c r="E4" s="384"/>
      <c r="F4" s="384"/>
      <c r="G4" s="384"/>
      <c r="H4" s="384"/>
      <c r="J4" s="384"/>
      <c r="M4" s="384"/>
      <c r="N4" s="384"/>
      <c r="P4" s="384"/>
      <c r="Q4" s="384"/>
      <c r="S4" s="384"/>
      <c r="V4" s="384"/>
      <c r="W4" s="384"/>
      <c r="Y4" s="384"/>
      <c r="Z4" s="384"/>
      <c r="AB4" s="384"/>
    </row>
    <row r="5" spans="1:29" ht="8.25" customHeight="1">
      <c r="E5" s="313"/>
      <c r="H5" s="313"/>
      <c r="J5" s="313"/>
      <c r="N5" s="313"/>
      <c r="Q5" s="313"/>
      <c r="S5" s="313"/>
      <c r="W5" s="313"/>
      <c r="Z5" s="313"/>
      <c r="AB5" s="313"/>
    </row>
    <row r="6" spans="1:29" ht="11.25" customHeight="1">
      <c r="E6" s="310"/>
      <c r="H6" s="310"/>
      <c r="J6" s="310"/>
      <c r="N6" s="310"/>
      <c r="Q6" s="310"/>
      <c r="S6" s="310"/>
      <c r="W6" s="310"/>
      <c r="Z6" s="310"/>
      <c r="AB6" s="310"/>
    </row>
    <row r="7" spans="1:29" ht="15">
      <c r="A7" s="1" t="s">
        <v>94</v>
      </c>
      <c r="B7" s="516"/>
      <c r="D7" s="178"/>
      <c r="E7" s="316" t="s">
        <v>1198</v>
      </c>
      <c r="G7" s="178"/>
      <c r="H7" s="316" t="s">
        <v>1198</v>
      </c>
      <c r="J7" s="316" t="s">
        <v>92</v>
      </c>
      <c r="K7" s="75"/>
      <c r="M7" s="178"/>
      <c r="N7" s="316" t="s">
        <v>1199</v>
      </c>
      <c r="P7" s="178"/>
      <c r="Q7" s="316" t="s">
        <v>1199</v>
      </c>
      <c r="S7" s="316" t="s">
        <v>92</v>
      </c>
      <c r="T7" s="75"/>
      <c r="V7" s="178"/>
      <c r="W7" s="316" t="s">
        <v>1105</v>
      </c>
      <c r="Y7" s="178"/>
      <c r="Z7" s="316" t="s">
        <v>1198</v>
      </c>
      <c r="AB7" s="316" t="s">
        <v>92</v>
      </c>
      <c r="AC7" s="75"/>
    </row>
    <row r="8" spans="1:29">
      <c r="A8" s="516" t="s">
        <v>1194</v>
      </c>
      <c r="B8" s="516"/>
      <c r="C8" s="517"/>
      <c r="D8" s="179"/>
      <c r="E8" s="317">
        <v>2010</v>
      </c>
      <c r="F8" s="74"/>
      <c r="G8" s="179"/>
      <c r="H8" s="317">
        <v>2011</v>
      </c>
      <c r="J8" s="317" t="s">
        <v>93</v>
      </c>
      <c r="K8" s="75"/>
      <c r="L8" s="74"/>
      <c r="M8" s="179"/>
      <c r="N8" s="317">
        <v>2010</v>
      </c>
      <c r="O8" s="74"/>
      <c r="P8" s="179"/>
      <c r="Q8" s="317">
        <v>2011</v>
      </c>
      <c r="S8" s="317" t="s">
        <v>93</v>
      </c>
      <c r="T8" s="75"/>
      <c r="U8" s="74"/>
      <c r="V8" s="179"/>
      <c r="W8" s="317">
        <v>2011</v>
      </c>
      <c r="Y8" s="179"/>
      <c r="Z8" s="317">
        <v>2011</v>
      </c>
      <c r="AB8" s="317" t="s">
        <v>93</v>
      </c>
      <c r="AC8" s="75"/>
    </row>
    <row r="9" spans="1:29" ht="12.75" customHeight="1">
      <c r="A9" s="518" t="s">
        <v>40</v>
      </c>
      <c r="C9" s="519"/>
      <c r="D9" s="178"/>
      <c r="E9" s="316"/>
      <c r="F9" s="316"/>
      <c r="G9" s="178"/>
      <c r="H9" s="316"/>
      <c r="J9" s="316"/>
      <c r="L9" s="316"/>
      <c r="M9" s="178"/>
      <c r="N9" s="316"/>
      <c r="O9" s="316"/>
      <c r="P9" s="178"/>
      <c r="Q9" s="316"/>
      <c r="S9" s="316"/>
      <c r="U9" s="316"/>
      <c r="V9" s="178"/>
      <c r="W9" s="316"/>
      <c r="Y9" s="178"/>
      <c r="Z9" s="316"/>
      <c r="AB9" s="316"/>
    </row>
    <row r="10" spans="1:29" ht="16.5" customHeight="1">
      <c r="A10" s="520" t="s">
        <v>1034</v>
      </c>
      <c r="C10" s="519"/>
      <c r="D10" s="178"/>
      <c r="E10" s="316"/>
      <c r="F10" s="316"/>
      <c r="G10" s="178"/>
      <c r="H10" s="316"/>
      <c r="J10" s="316"/>
      <c r="L10" s="316"/>
      <c r="M10" s="178"/>
      <c r="N10" s="316"/>
      <c r="O10" s="316"/>
      <c r="P10" s="178"/>
      <c r="Q10" s="316"/>
      <c r="S10" s="316"/>
      <c r="U10" s="316"/>
      <c r="V10" s="178"/>
      <c r="W10" s="316"/>
      <c r="Y10" s="178"/>
      <c r="Z10" s="316"/>
      <c r="AB10" s="316"/>
    </row>
    <row r="11" spans="1:29">
      <c r="A11" s="521"/>
      <c r="C11" s="519"/>
      <c r="D11" s="178"/>
      <c r="E11" s="316"/>
      <c r="F11" s="316"/>
      <c r="G11" s="178"/>
      <c r="H11" s="316"/>
      <c r="J11" s="316"/>
      <c r="L11" s="316"/>
      <c r="M11" s="178"/>
      <c r="N11" s="316"/>
      <c r="O11" s="316"/>
      <c r="P11" s="178"/>
      <c r="Q11" s="316"/>
      <c r="S11" s="316"/>
      <c r="U11" s="316"/>
      <c r="V11" s="178"/>
      <c r="W11" s="316"/>
      <c r="Y11" s="178"/>
      <c r="Z11" s="316"/>
      <c r="AB11" s="316"/>
    </row>
    <row r="12" spans="1:29">
      <c r="B12" s="310" t="s">
        <v>365</v>
      </c>
      <c r="E12" s="522">
        <v>12963.12854000034</v>
      </c>
      <c r="H12" s="522">
        <v>19803.556220000086</v>
      </c>
      <c r="J12" s="522">
        <f t="shared" ref="J12:J15" si="0">H12-E12</f>
        <v>6840.427679999746</v>
      </c>
      <c r="K12" s="444">
        <f>J12/E12</f>
        <v>0.52768339516901575</v>
      </c>
      <c r="N12" s="522">
        <v>149071.13107000015</v>
      </c>
      <c r="Q12" s="522">
        <v>67963.627964615589</v>
      </c>
      <c r="S12" s="522">
        <f t="shared" ref="S12:S15" si="1">Q12-N12</f>
        <v>-81107.50310538456</v>
      </c>
      <c r="T12" s="444">
        <f>S12/N12</f>
        <v>-0.54408591739535717</v>
      </c>
      <c r="W12" s="522">
        <v>21407.204169999772</v>
      </c>
      <c r="Z12" s="522">
        <v>19803.556220000086</v>
      </c>
      <c r="AB12" s="522">
        <f t="shared" ref="AB12:AB15" si="2">Z12-W12</f>
        <v>-1603.6479499996858</v>
      </c>
      <c r="AC12" s="444">
        <f>AB12/W12</f>
        <v>-7.4911601592843727E-2</v>
      </c>
    </row>
    <row r="13" spans="1:29">
      <c r="B13" s="310" t="s">
        <v>287</v>
      </c>
      <c r="E13" s="440">
        <v>-501.59790000000976</v>
      </c>
      <c r="H13" s="440">
        <v>4588.3073985232677</v>
      </c>
      <c r="J13" s="440">
        <f t="shared" si="0"/>
        <v>5089.9052985232775</v>
      </c>
      <c r="K13" s="444">
        <f t="shared" ref="K13:K15" si="3">J13/E13</f>
        <v>-10.14738159494523</v>
      </c>
      <c r="N13" s="440">
        <v>1167.522840000016</v>
      </c>
      <c r="Q13" s="440">
        <v>13167.922068523239</v>
      </c>
      <c r="S13" s="440">
        <f t="shared" si="1"/>
        <v>12000.399228523223</v>
      </c>
      <c r="T13" s="444">
        <f t="shared" ref="T13:T15" si="4">S13/N13</f>
        <v>10.278513462334542</v>
      </c>
      <c r="W13" s="440">
        <v>6680.7972999999747</v>
      </c>
      <c r="Z13" s="440">
        <v>4588.3073985232677</v>
      </c>
      <c r="AB13" s="440">
        <f t="shared" si="2"/>
        <v>-2092.489901476707</v>
      </c>
      <c r="AC13" s="444">
        <f t="shared" ref="AC13:AC15" si="5">AB13/W13</f>
        <v>-0.31320960770306788</v>
      </c>
    </row>
    <row r="14" spans="1:29">
      <c r="B14" s="438" t="s">
        <v>295</v>
      </c>
      <c r="E14" s="440">
        <v>-22365.595230873339</v>
      </c>
      <c r="H14" s="440">
        <v>-45803.486986693082</v>
      </c>
      <c r="J14" s="440">
        <f t="shared" si="0"/>
        <v>-23437.891755819743</v>
      </c>
      <c r="K14" s="444">
        <f t="shared" si="3"/>
        <v>1.0479440191006502</v>
      </c>
      <c r="N14" s="440">
        <v>-37600.002775592824</v>
      </c>
      <c r="Q14" s="440">
        <v>-77892.58999258012</v>
      </c>
      <c r="S14" s="440">
        <f t="shared" si="1"/>
        <v>-40292.587216987296</v>
      </c>
      <c r="T14" s="444">
        <f t="shared" si="4"/>
        <v>1.071611283048689</v>
      </c>
      <c r="W14" s="440">
        <v>-8081.057929999999</v>
      </c>
      <c r="Z14" s="440">
        <v>-45803.486986693082</v>
      </c>
      <c r="AB14" s="440">
        <f t="shared" si="2"/>
        <v>-37722.429056693087</v>
      </c>
      <c r="AC14" s="444">
        <f t="shared" si="5"/>
        <v>4.6680062664385691</v>
      </c>
    </row>
    <row r="15" spans="1:29">
      <c r="B15" s="310" t="s">
        <v>43</v>
      </c>
      <c r="E15" s="523">
        <v>-330.3708600000021</v>
      </c>
      <c r="H15" s="523">
        <v>-1562.8757700000006</v>
      </c>
      <c r="J15" s="523">
        <f t="shared" si="0"/>
        <v>-1232.5049099999985</v>
      </c>
      <c r="K15" s="444">
        <f t="shared" si="3"/>
        <v>3.7306707679968829</v>
      </c>
      <c r="N15" s="523">
        <v>6574.8373199999978</v>
      </c>
      <c r="Q15" s="523">
        <v>841.45757000000049</v>
      </c>
      <c r="S15" s="523">
        <f t="shared" si="1"/>
        <v>-5733.3797499999973</v>
      </c>
      <c r="T15" s="444">
        <f t="shared" si="4"/>
        <v>-0.87201849581276014</v>
      </c>
      <c r="W15" s="523">
        <v>408.64456999999857</v>
      </c>
      <c r="Z15" s="523">
        <v>-1562.8757700000006</v>
      </c>
      <c r="AB15" s="523">
        <f t="shared" si="2"/>
        <v>-1971.5203399999991</v>
      </c>
      <c r="AC15" s="444">
        <f t="shared" si="5"/>
        <v>-4.8245357573208576</v>
      </c>
    </row>
    <row r="16" spans="1:29">
      <c r="B16" s="524"/>
      <c r="E16" s="522"/>
      <c r="H16" s="522"/>
      <c r="J16" s="522"/>
      <c r="N16" s="522"/>
      <c r="Q16" s="522"/>
      <c r="S16" s="522"/>
      <c r="W16" s="522"/>
      <c r="Z16" s="522"/>
      <c r="AB16" s="522"/>
    </row>
    <row r="17" spans="1:29">
      <c r="B17" s="310" t="s">
        <v>288</v>
      </c>
      <c r="E17" s="441">
        <f>SUM(E12:E15)</f>
        <v>-10234.435450873012</v>
      </c>
      <c r="H17" s="441">
        <f>SUM(H12:H15)</f>
        <v>-22974.499138169725</v>
      </c>
      <c r="J17" s="441">
        <f t="shared" ref="J17" si="6">H17-E17</f>
        <v>-12740.063687296713</v>
      </c>
      <c r="K17" s="444">
        <f>J17/E17</f>
        <v>1.244823297626052</v>
      </c>
      <c r="N17" s="441">
        <f>SUM(N12:N15)</f>
        <v>119213.48845440734</v>
      </c>
      <c r="Q17" s="441">
        <f>SUM(Q12:Q15)</f>
        <v>4080.4176105587121</v>
      </c>
      <c r="S17" s="441">
        <f t="shared" ref="S17" si="7">Q17-N17</f>
        <v>-115133.07084384863</v>
      </c>
      <c r="T17" s="444">
        <f>S17/N17</f>
        <v>-0.96577218179367974</v>
      </c>
      <c r="W17" s="441">
        <f>SUM(W12:W15)</f>
        <v>20415.58810999975</v>
      </c>
      <c r="Z17" s="441">
        <f>SUM(Z12:Z15)</f>
        <v>-22974.499138169725</v>
      </c>
      <c r="AB17" s="441">
        <f t="shared" ref="AB17" si="8">Z17-W17</f>
        <v>-43390.087248169475</v>
      </c>
      <c r="AC17" s="444">
        <f>AB17/W17</f>
        <v>-2.125341039130614</v>
      </c>
    </row>
    <row r="18" spans="1:29">
      <c r="E18" s="522"/>
      <c r="H18" s="522"/>
      <c r="J18" s="522"/>
      <c r="N18" s="522"/>
      <c r="Q18" s="522"/>
      <c r="S18" s="522"/>
      <c r="W18" s="522"/>
      <c r="Z18" s="522"/>
      <c r="AB18" s="522"/>
    </row>
    <row r="19" spans="1:29">
      <c r="B19" s="310" t="s">
        <v>104</v>
      </c>
      <c r="E19" s="441">
        <v>-306.55576529291579</v>
      </c>
      <c r="H19" s="441">
        <v>-4378.5051620434442</v>
      </c>
      <c r="J19" s="441">
        <f t="shared" ref="J19" si="9">H19-E19</f>
        <v>-4071.9493967505286</v>
      </c>
      <c r="K19" s="444">
        <f>J19/E19</f>
        <v>13.282899419163614</v>
      </c>
      <c r="N19" s="441">
        <v>38182.147083926619</v>
      </c>
      <c r="Q19" s="441">
        <v>3820.4845553346936</v>
      </c>
      <c r="S19" s="441">
        <f t="shared" ref="S19" si="10">Q19-N19</f>
        <v>-34361.662528591922</v>
      </c>
      <c r="T19" s="444">
        <f>S19/N19</f>
        <v>-0.89994055213979862</v>
      </c>
      <c r="W19" s="441">
        <v>6311.5523613974638</v>
      </c>
      <c r="Z19" s="441">
        <v>-4378.5051620434442</v>
      </c>
      <c r="AB19" s="441">
        <f t="shared" ref="AB19" si="11">Z19-W19</f>
        <v>-10690.057523440908</v>
      </c>
      <c r="AC19" s="444">
        <f>AB19/W19</f>
        <v>-1.693728723352298</v>
      </c>
    </row>
    <row r="20" spans="1:29">
      <c r="E20" s="522"/>
      <c r="H20" s="522"/>
      <c r="J20" s="522"/>
      <c r="N20" s="522"/>
      <c r="Q20" s="522"/>
      <c r="S20" s="522"/>
      <c r="W20" s="522"/>
      <c r="Z20" s="522"/>
      <c r="AB20" s="522"/>
    </row>
    <row r="21" spans="1:29">
      <c r="A21" s="310" t="s">
        <v>289</v>
      </c>
      <c r="E21" s="441">
        <f>E17-E19</f>
        <v>-9927.8796855800956</v>
      </c>
      <c r="H21" s="441">
        <f>H17-H19</f>
        <v>-18595.993976126279</v>
      </c>
      <c r="J21" s="441">
        <f t="shared" ref="J21" si="12">H21-E21</f>
        <v>-8668.1142905461838</v>
      </c>
      <c r="K21" s="444">
        <f>J21/E21</f>
        <v>0.87310831366503383</v>
      </c>
      <c r="N21" s="441">
        <f>N17-N19</f>
        <v>81031.341370480717</v>
      </c>
      <c r="Q21" s="441">
        <f>Q17-Q19</f>
        <v>259.93305522401852</v>
      </c>
      <c r="S21" s="441">
        <f t="shared" ref="S21" si="13">Q21-N21</f>
        <v>-80771.408315256704</v>
      </c>
      <c r="T21" s="444">
        <f>S21/N21</f>
        <v>-0.99679219113459339</v>
      </c>
      <c r="W21" s="441">
        <f>W17-W19</f>
        <v>14104.035748602286</v>
      </c>
      <c r="Z21" s="441">
        <f>Z17-Z19</f>
        <v>-18595.993976126279</v>
      </c>
      <c r="AB21" s="441">
        <f t="shared" ref="AB21" si="14">Z21-W21</f>
        <v>-32700.029724728563</v>
      </c>
      <c r="AC21" s="444">
        <f>AB21/W21</f>
        <v>-2.3184874391692567</v>
      </c>
    </row>
    <row r="22" spans="1:29">
      <c r="E22" s="525"/>
      <c r="H22" s="525"/>
      <c r="J22" s="525"/>
      <c r="N22" s="525"/>
      <c r="Q22" s="525"/>
      <c r="S22" s="525"/>
      <c r="W22" s="525"/>
      <c r="Z22" s="525"/>
      <c r="AB22" s="525"/>
    </row>
    <row r="23" spans="1:29" ht="18">
      <c r="A23" s="520" t="s">
        <v>290</v>
      </c>
      <c r="E23" s="525"/>
      <c r="H23" s="525"/>
      <c r="J23" s="525"/>
      <c r="N23" s="525"/>
      <c r="Q23" s="525"/>
      <c r="S23" s="525"/>
      <c r="W23" s="525"/>
      <c r="Z23" s="525"/>
      <c r="AB23" s="525"/>
    </row>
    <row r="24" spans="1:29">
      <c r="A24" s="521"/>
      <c r="E24" s="525"/>
      <c r="H24" s="525"/>
      <c r="J24" s="525"/>
      <c r="N24" s="525"/>
      <c r="Q24" s="525"/>
      <c r="S24" s="525"/>
      <c r="W24" s="525"/>
      <c r="Z24" s="525"/>
      <c r="AB24" s="525"/>
    </row>
    <row r="25" spans="1:29">
      <c r="B25" s="310" t="s">
        <v>286</v>
      </c>
      <c r="E25" s="522">
        <v>180725.40133000014</v>
      </c>
      <c r="H25" s="522">
        <v>0</v>
      </c>
      <c r="J25" s="522">
        <f t="shared" ref="J25:J27" si="15">H25-E25</f>
        <v>-180725.40133000014</v>
      </c>
      <c r="K25" s="444">
        <f t="shared" ref="K25:K27" si="16">J25/E25</f>
        <v>-1</v>
      </c>
      <c r="N25" s="522">
        <v>184776.19447999989</v>
      </c>
      <c r="Q25" s="522">
        <v>-43224.429239999976</v>
      </c>
      <c r="S25" s="522">
        <f t="shared" ref="S25:S27" si="17">Q25-N25</f>
        <v>-228000.62371999986</v>
      </c>
      <c r="T25" s="444">
        <f t="shared" ref="T25:T27" si="18">S25/N25</f>
        <v>-1.2339285607739832</v>
      </c>
      <c r="W25" s="522">
        <v>1.4063061826163903E-10</v>
      </c>
      <c r="Z25" s="522">
        <v>0</v>
      </c>
      <c r="AB25" s="522">
        <f t="shared" ref="AB25:AB27" si="19">Z25-W25</f>
        <v>-1.4063061826163903E-10</v>
      </c>
      <c r="AC25" s="444">
        <f t="shared" ref="AC25:AC27" si="20">AB25/W25</f>
        <v>-1</v>
      </c>
    </row>
    <row r="26" spans="1:29">
      <c r="B26" s="181" t="s">
        <v>42</v>
      </c>
      <c r="E26" s="526">
        <v>-9903.9382491266642</v>
      </c>
      <c r="H26" s="526">
        <v>-225</v>
      </c>
      <c r="J26" s="526">
        <f t="shared" si="15"/>
        <v>9678.9382491266642</v>
      </c>
      <c r="K26" s="444">
        <f t="shared" si="16"/>
        <v>-0.97728176465358707</v>
      </c>
      <c r="N26" s="526">
        <v>-28096.031254407178</v>
      </c>
      <c r="Q26" s="526">
        <v>-24093.961494112951</v>
      </c>
      <c r="S26" s="526">
        <f t="shared" si="17"/>
        <v>4002.0697602942273</v>
      </c>
      <c r="T26" s="444">
        <f t="shared" si="18"/>
        <v>-0.14244252948239647</v>
      </c>
      <c r="W26" s="526">
        <v>0</v>
      </c>
      <c r="Z26" s="526">
        <v>-225</v>
      </c>
      <c r="AB26" s="526">
        <f t="shared" si="19"/>
        <v>-225</v>
      </c>
      <c r="AC26" s="444" t="e">
        <f t="shared" si="20"/>
        <v>#DIV/0!</v>
      </c>
    </row>
    <row r="27" spans="1:29">
      <c r="B27" s="310" t="s">
        <v>43</v>
      </c>
      <c r="E27" s="523">
        <v>29.736000000000104</v>
      </c>
      <c r="H27" s="523">
        <v>0</v>
      </c>
      <c r="J27" s="523">
        <f t="shared" si="15"/>
        <v>-29.736000000000104</v>
      </c>
      <c r="K27" s="444">
        <f t="shared" si="16"/>
        <v>-1</v>
      </c>
      <c r="N27" s="523">
        <v>-1580.2639999999999</v>
      </c>
      <c r="Q27" s="523">
        <v>-11925.493</v>
      </c>
      <c r="S27" s="523">
        <f t="shared" si="17"/>
        <v>-10345.229000000001</v>
      </c>
      <c r="T27" s="444">
        <f t="shared" si="18"/>
        <v>6.5465194423210313</v>
      </c>
      <c r="W27" s="523">
        <v>0</v>
      </c>
      <c r="Z27" s="523">
        <v>0</v>
      </c>
      <c r="AB27" s="523">
        <f t="shared" si="19"/>
        <v>0</v>
      </c>
      <c r="AC27" s="444" t="e">
        <f t="shared" si="20"/>
        <v>#DIV/0!</v>
      </c>
    </row>
    <row r="28" spans="1:29">
      <c r="B28" s="524"/>
      <c r="E28" s="522"/>
      <c r="H28" s="522"/>
      <c r="J28" s="522"/>
      <c r="N28" s="522"/>
      <c r="Q28" s="522"/>
      <c r="S28" s="522"/>
      <c r="W28" s="522"/>
      <c r="Z28" s="522"/>
      <c r="AB28" s="522"/>
    </row>
    <row r="29" spans="1:29">
      <c r="B29" s="181" t="s">
        <v>1035</v>
      </c>
      <c r="E29" s="441">
        <f>SUM(E25:E27)</f>
        <v>170851.19908087348</v>
      </c>
      <c r="H29" s="441">
        <f>SUM(H25:H27)</f>
        <v>-225</v>
      </c>
      <c r="J29" s="441">
        <f t="shared" ref="J29" si="21">H29-E29</f>
        <v>-171076.19908087348</v>
      </c>
      <c r="K29" s="444">
        <f>J29/E29</f>
        <v>-1.0013169354456417</v>
      </c>
      <c r="N29" s="441">
        <f>SUM(N25:N27)</f>
        <v>155099.8992255927</v>
      </c>
      <c r="Q29" s="441">
        <f>SUM(Q25:Q27)</f>
        <v>-79243.883734112926</v>
      </c>
      <c r="S29" s="441">
        <f t="shared" ref="S29" si="22">Q29-N29</f>
        <v>-234343.78295970563</v>
      </c>
      <c r="T29" s="444">
        <f>S29/N29</f>
        <v>-1.5109215681620318</v>
      </c>
      <c r="W29" s="441">
        <f>SUM(W25:W27)</f>
        <v>1.4063061826163903E-10</v>
      </c>
      <c r="Z29" s="441">
        <f>SUM(Z25:Z27)</f>
        <v>-225</v>
      </c>
      <c r="AB29" s="441">
        <f t="shared" ref="AB29" si="23">Z29-W29</f>
        <v>-225.00000000014063</v>
      </c>
      <c r="AC29" s="444">
        <f>AB29/W29</f>
        <v>-1599936079222.342</v>
      </c>
    </row>
    <row r="30" spans="1:29">
      <c r="E30" s="522"/>
      <c r="H30" s="522"/>
      <c r="J30" s="522"/>
      <c r="N30" s="522"/>
      <c r="Q30" s="522"/>
      <c r="S30" s="522"/>
      <c r="W30" s="522"/>
      <c r="Z30" s="522"/>
      <c r="AB30" s="522"/>
    </row>
    <row r="31" spans="1:29">
      <c r="B31" s="310" t="s">
        <v>104</v>
      </c>
      <c r="E31" s="441">
        <v>56396.794373780314</v>
      </c>
      <c r="H31" s="441">
        <v>1178.519</v>
      </c>
      <c r="J31" s="441">
        <f t="shared" ref="J31" si="24">H31-E31</f>
        <v>-55218.275373780314</v>
      </c>
      <c r="K31" s="444">
        <f>J31/E31</f>
        <v>-0.97910308532451074</v>
      </c>
      <c r="N31" s="441">
        <v>48452.086050880178</v>
      </c>
      <c r="Q31" s="441">
        <v>-35968.513780439527</v>
      </c>
      <c r="S31" s="441">
        <f t="shared" ref="S31" si="25">Q31-N31</f>
        <v>-84420.599831319705</v>
      </c>
      <c r="T31" s="444">
        <f>S31/N31</f>
        <v>-1.7423522228262476</v>
      </c>
      <c r="W31" s="441">
        <v>0</v>
      </c>
      <c r="Z31" s="441">
        <v>1178.519</v>
      </c>
      <c r="AB31" s="441">
        <f t="shared" ref="AB31" si="26">Z31-W31</f>
        <v>1178.519</v>
      </c>
      <c r="AC31" s="444" t="e">
        <f>AB31/W31</f>
        <v>#DIV/0!</v>
      </c>
    </row>
    <row r="32" spans="1:29">
      <c r="E32" s="522"/>
      <c r="H32" s="522"/>
      <c r="J32" s="522"/>
      <c r="N32" s="522"/>
      <c r="Q32" s="522"/>
      <c r="S32" s="522"/>
      <c r="W32" s="522"/>
      <c r="Z32" s="522"/>
      <c r="AB32" s="522"/>
    </row>
    <row r="33" spans="1:29">
      <c r="A33" s="181" t="s">
        <v>1036</v>
      </c>
      <c r="E33" s="441">
        <f>E29-E31</f>
        <v>114454.40470709317</v>
      </c>
      <c r="H33" s="441">
        <f>H29-H31</f>
        <v>-1403.519</v>
      </c>
      <c r="J33" s="441">
        <f t="shared" ref="J33" si="27">H33-E33</f>
        <v>-115857.92370709317</v>
      </c>
      <c r="K33" s="444">
        <f>J33/E33</f>
        <v>-1.0122626910130006</v>
      </c>
      <c r="N33" s="441">
        <f>N29-N31</f>
        <v>106647.81317471253</v>
      </c>
      <c r="Q33" s="441">
        <f>Q29-Q31</f>
        <v>-43275.369953673398</v>
      </c>
      <c r="S33" s="441">
        <f t="shared" ref="S33" si="28">Q33-N33</f>
        <v>-149923.18312838592</v>
      </c>
      <c r="T33" s="444">
        <f>S33/N33</f>
        <v>-1.4057783152363268</v>
      </c>
      <c r="W33" s="441">
        <f>W29-W31</f>
        <v>1.4063061826163903E-10</v>
      </c>
      <c r="Z33" s="441">
        <f>Z29-Z31</f>
        <v>-1403.519</v>
      </c>
      <c r="AB33" s="441">
        <f t="shared" ref="AB33" si="29">Z33-W33</f>
        <v>-1403.5190000001407</v>
      </c>
      <c r="AC33" s="444">
        <f>AB33/W33</f>
        <v>-9980180826546.1504</v>
      </c>
    </row>
    <row r="34" spans="1:29">
      <c r="E34" s="525"/>
      <c r="H34" s="525"/>
      <c r="J34" s="525"/>
      <c r="N34" s="525"/>
      <c r="Q34" s="525"/>
      <c r="S34" s="525"/>
      <c r="W34" s="525"/>
      <c r="Z34" s="525"/>
      <c r="AB34" s="525"/>
    </row>
    <row r="35" spans="1:29" s="438" customFormat="1" ht="13.5" thickBot="1">
      <c r="B35" s="438" t="s">
        <v>0</v>
      </c>
      <c r="D35" s="444"/>
      <c r="E35" s="442">
        <f>E33+E21</f>
        <v>104526.52502151308</v>
      </c>
      <c r="G35" s="444"/>
      <c r="H35" s="442">
        <f>H33+H21</f>
        <v>-19999.51297612628</v>
      </c>
      <c r="J35" s="442">
        <f t="shared" ref="J35" si="30">H35-E35</f>
        <v>-124526.03799763936</v>
      </c>
      <c r="K35" s="444">
        <f>J35/E35</f>
        <v>-1.1913343332901394</v>
      </c>
      <c r="M35" s="444"/>
      <c r="N35" s="442">
        <f>N33+N21</f>
        <v>187679.15454519325</v>
      </c>
      <c r="P35" s="444"/>
      <c r="Q35" s="442">
        <f>Q33+Q21</f>
        <v>-43015.436898449378</v>
      </c>
      <c r="S35" s="442">
        <f t="shared" ref="S35" si="31">Q35-N35</f>
        <v>-230694.59144364262</v>
      </c>
      <c r="T35" s="444">
        <f>S35/N35</f>
        <v>-1.2291966681259279</v>
      </c>
      <c r="V35" s="444"/>
      <c r="W35" s="442">
        <f>W33+W21</f>
        <v>14104.035748602426</v>
      </c>
      <c r="Y35" s="444"/>
      <c r="Z35" s="442">
        <f>Z33+Z21</f>
        <v>-19999.51297612628</v>
      </c>
      <c r="AB35" s="442">
        <f t="shared" ref="AB35" si="32">Z35-W35</f>
        <v>-34103.548724728709</v>
      </c>
      <c r="AC35" s="444">
        <f>AB35/W35</f>
        <v>-2.4179993111622711</v>
      </c>
    </row>
    <row r="36" spans="1:29" ht="13.5" thickTop="1">
      <c r="E36" s="290"/>
      <c r="H36" s="290"/>
      <c r="J36" s="290"/>
      <c r="N36" s="290"/>
      <c r="Q36" s="290"/>
      <c r="S36" s="290"/>
      <c r="W36" s="290"/>
      <c r="Z36" s="290"/>
      <c r="AB36" s="290"/>
    </row>
    <row r="37" spans="1:29">
      <c r="A37" s="310" t="s">
        <v>44</v>
      </c>
      <c r="E37" s="162"/>
      <c r="H37" s="162"/>
      <c r="J37" s="162"/>
      <c r="N37" s="162"/>
      <c r="Q37" s="162"/>
      <c r="S37" s="162"/>
      <c r="W37" s="162"/>
      <c r="Z37" s="162"/>
      <c r="AB37" s="162"/>
    </row>
    <row r="38" spans="1:29">
      <c r="A38" s="527"/>
      <c r="B38" s="527" t="s">
        <v>289</v>
      </c>
      <c r="E38" s="169">
        <v>-0.12549389396622729</v>
      </c>
      <c r="H38" s="169">
        <v>-0.23103286484911545</v>
      </c>
      <c r="J38" s="169">
        <f t="shared" ref="J38:J40" si="33">H38-E38</f>
        <v>-0.10553897088288816</v>
      </c>
      <c r="K38" s="444">
        <f t="shared" ref="K38:K40" si="34">J38/E38</f>
        <v>0.84098889234635299</v>
      </c>
      <c r="N38" s="169">
        <v>1.0360557676286348</v>
      </c>
      <c r="Q38" s="169">
        <v>3.2258238650598008E-3</v>
      </c>
      <c r="S38" s="169">
        <f t="shared" ref="S38:S40" si="35">Q38-N38</f>
        <v>-1.0328299437635751</v>
      </c>
      <c r="T38" s="444">
        <f t="shared" ref="T38:T40" si="36">S38/N38</f>
        <v>-0.99688643800280829</v>
      </c>
      <c r="W38" s="169">
        <v>0.17465825374434554</v>
      </c>
      <c r="Z38" s="169">
        <v>-0.23103286484911545</v>
      </c>
      <c r="AB38" s="169">
        <f t="shared" ref="AB38:AB40" si="37">Z38-W38</f>
        <v>-0.40569111859346096</v>
      </c>
      <c r="AC38" s="444">
        <f t="shared" ref="AC38:AC40" si="38">AB38/W38</f>
        <v>-2.3227709535404362</v>
      </c>
    </row>
    <row r="39" spans="1:29">
      <c r="A39" s="527"/>
      <c r="B39" s="527" t="s">
        <v>291</v>
      </c>
      <c r="E39" s="170">
        <v>1.4467670220804409</v>
      </c>
      <c r="H39" s="170">
        <v>-1.7437035947443981E-2</v>
      </c>
      <c r="J39" s="170">
        <f t="shared" si="33"/>
        <v>-1.464204058027885</v>
      </c>
      <c r="K39" s="444">
        <f t="shared" si="34"/>
        <v>-1.0120524145776904</v>
      </c>
      <c r="N39" s="170">
        <v>1.3635845103373059</v>
      </c>
      <c r="Q39" s="170">
        <v>-0.53705643957264659</v>
      </c>
      <c r="S39" s="170">
        <f t="shared" si="35"/>
        <v>-1.9006409499099526</v>
      </c>
      <c r="T39" s="444">
        <f t="shared" si="36"/>
        <v>-1.3938563657046799</v>
      </c>
      <c r="W39" s="170">
        <v>1.7415085048263359E-15</v>
      </c>
      <c r="Z39" s="170">
        <v>-1.7437035947443981E-2</v>
      </c>
      <c r="AB39" s="170">
        <f t="shared" si="37"/>
        <v>-1.7437035947445723E-2</v>
      </c>
      <c r="AC39" s="444">
        <f t="shared" si="38"/>
        <v>-10012604531715.768</v>
      </c>
    </row>
    <row r="40" spans="1:29" ht="13.5" thickBot="1">
      <c r="A40" s="528"/>
      <c r="B40" s="528" t="s">
        <v>45</v>
      </c>
      <c r="E40" s="171">
        <f>SUM(E38:E39)</f>
        <v>1.3212731281142136</v>
      </c>
      <c r="H40" s="171">
        <f>SUM(H38:H39)</f>
        <v>-0.24846990079655942</v>
      </c>
      <c r="J40" s="171">
        <f t="shared" si="33"/>
        <v>-1.569743028910773</v>
      </c>
      <c r="K40" s="444">
        <f t="shared" si="34"/>
        <v>-1.1880533975221217</v>
      </c>
      <c r="N40" s="171">
        <f>SUM(N38:N39)</f>
        <v>2.3996402779659407</v>
      </c>
      <c r="Q40" s="171">
        <f>SUM(Q38:Q39)</f>
        <v>-0.53383061570758683</v>
      </c>
      <c r="S40" s="171">
        <f t="shared" si="35"/>
        <v>-2.9334708936735274</v>
      </c>
      <c r="T40" s="444">
        <f t="shared" si="36"/>
        <v>-1.2224627668610768</v>
      </c>
      <c r="W40" s="171">
        <f>SUM(W38:W39)</f>
        <v>0.17465825374434729</v>
      </c>
      <c r="Z40" s="171">
        <f>SUM(Z38:Z39)</f>
        <v>-0.24846990079655942</v>
      </c>
      <c r="AB40" s="171">
        <f t="shared" si="37"/>
        <v>-0.42312815454090669</v>
      </c>
      <c r="AC40" s="444">
        <f t="shared" si="38"/>
        <v>-2.4226061206374623</v>
      </c>
    </row>
    <row r="41" spans="1:29" ht="13.5" thickTop="1">
      <c r="E41" s="162"/>
      <c r="H41" s="162"/>
      <c r="J41" s="162"/>
      <c r="N41" s="162"/>
      <c r="Q41" s="162"/>
      <c r="S41" s="162"/>
      <c r="W41" s="162"/>
      <c r="Z41" s="162"/>
      <c r="AB41" s="162"/>
    </row>
    <row r="42" spans="1:29">
      <c r="B42" s="310" t="s">
        <v>105</v>
      </c>
      <c r="E42" s="163">
        <v>79110460.053553432</v>
      </c>
      <c r="H42" s="163">
        <v>80490686.847826093</v>
      </c>
      <c r="J42" s="163">
        <f>H42-E42</f>
        <v>1380226.7942726612</v>
      </c>
      <c r="K42" s="444">
        <f>J42/E42</f>
        <v>1.7446830587741793E-2</v>
      </c>
      <c r="N42" s="163">
        <v>78211370.374346197</v>
      </c>
      <c r="Q42" s="163">
        <v>80578812.141437188</v>
      </c>
      <c r="S42" s="163">
        <f>Q42-N42</f>
        <v>2367441.7670909911</v>
      </c>
      <c r="T42" s="444">
        <f>S42/N42</f>
        <v>3.0269790131020723E-2</v>
      </c>
      <c r="W42" s="163">
        <v>80752185.746955499</v>
      </c>
      <c r="Z42" s="163">
        <v>80490686.847826093</v>
      </c>
      <c r="AB42" s="163">
        <f>Z42-W42</f>
        <v>-261498.89912940562</v>
      </c>
      <c r="AC42" s="444">
        <f>AB42/W42</f>
        <v>-3.2382888055666604E-3</v>
      </c>
    </row>
    <row r="43" spans="1:29">
      <c r="E43" s="440"/>
      <c r="H43" s="440"/>
      <c r="J43" s="440"/>
      <c r="N43" s="440"/>
      <c r="Q43" s="440"/>
      <c r="S43" s="440"/>
      <c r="W43" s="440"/>
      <c r="Z43" s="440"/>
      <c r="AB43" s="440"/>
    </row>
    <row r="44" spans="1:29" ht="15">
      <c r="A44" s="1" t="s">
        <v>46</v>
      </c>
      <c r="B44" s="516"/>
      <c r="E44" s="291"/>
      <c r="H44" s="291"/>
      <c r="J44" s="291"/>
      <c r="N44" s="291"/>
      <c r="Q44" s="291"/>
      <c r="S44" s="291"/>
      <c r="W44" s="291"/>
      <c r="Z44" s="291"/>
      <c r="AB44" s="291"/>
    </row>
    <row r="45" spans="1:29">
      <c r="A45" s="516" t="s">
        <v>1194</v>
      </c>
      <c r="B45" s="516"/>
      <c r="E45" s="529" t="s">
        <v>88</v>
      </c>
      <c r="H45" s="529" t="s">
        <v>88</v>
      </c>
      <c r="J45" s="529" t="s">
        <v>92</v>
      </c>
      <c r="N45" s="529" t="s">
        <v>39</v>
      </c>
      <c r="Q45" s="529" t="s">
        <v>39</v>
      </c>
      <c r="S45" s="529" t="s">
        <v>92</v>
      </c>
      <c r="W45" s="529" t="s">
        <v>89</v>
      </c>
      <c r="Z45" s="529" t="s">
        <v>88</v>
      </c>
      <c r="AB45" s="529" t="s">
        <v>92</v>
      </c>
    </row>
    <row r="46" spans="1:29">
      <c r="A46" s="518" t="s">
        <v>40</v>
      </c>
      <c r="E46" s="530">
        <v>2010</v>
      </c>
      <c r="H46" s="530">
        <v>2011</v>
      </c>
      <c r="J46" s="530" t="s">
        <v>93</v>
      </c>
      <c r="N46" s="530">
        <v>2010</v>
      </c>
      <c r="Q46" s="530">
        <v>2011</v>
      </c>
      <c r="S46" s="530" t="s">
        <v>93</v>
      </c>
      <c r="W46" s="530">
        <v>2011</v>
      </c>
      <c r="Z46" s="530">
        <v>2011</v>
      </c>
      <c r="AB46" s="530" t="s">
        <v>93</v>
      </c>
    </row>
    <row r="47" spans="1:29">
      <c r="E47" s="292"/>
      <c r="H47" s="292"/>
      <c r="J47" s="292"/>
      <c r="N47" s="292"/>
      <c r="Q47" s="292"/>
      <c r="S47" s="292"/>
      <c r="W47" s="292"/>
      <c r="Z47" s="292"/>
      <c r="AB47" s="292"/>
    </row>
    <row r="48" spans="1:29">
      <c r="A48" s="35" t="s">
        <v>1034</v>
      </c>
      <c r="E48" s="292"/>
      <c r="H48" s="292"/>
      <c r="J48" s="292"/>
      <c r="N48" s="292"/>
      <c r="Q48" s="292"/>
      <c r="S48" s="292"/>
      <c r="W48" s="292"/>
      <c r="Z48" s="292"/>
      <c r="AB48" s="292"/>
    </row>
    <row r="49" spans="1:29">
      <c r="A49" s="310" t="s">
        <v>47</v>
      </c>
      <c r="E49" s="522">
        <v>904860.03849000041</v>
      </c>
      <c r="H49" s="522">
        <v>545653.17936000007</v>
      </c>
      <c r="J49" s="522">
        <f t="shared" ref="J49:J54" si="39">H49-E49</f>
        <v>-359206.85913000035</v>
      </c>
      <c r="K49" s="444">
        <f t="shared" ref="K49:K54" si="40">J49/E49</f>
        <v>-0.39697505011872608</v>
      </c>
      <c r="N49" s="522">
        <v>3621280.8037299998</v>
      </c>
      <c r="Q49" s="522">
        <v>2350073.1979499999</v>
      </c>
      <c r="S49" s="522">
        <f t="shared" ref="S49:S54" si="41">Q49-N49</f>
        <v>-1271207.6057799999</v>
      </c>
      <c r="T49" s="444">
        <f t="shared" ref="T49:T54" si="42">S49/N49</f>
        <v>-0.35103812012330771</v>
      </c>
      <c r="W49" s="522">
        <v>593962.77579999983</v>
      </c>
      <c r="Z49" s="522">
        <v>545653.17936000007</v>
      </c>
      <c r="AB49" s="522">
        <f t="shared" ref="AB49:AB54" si="43">Z49-W49</f>
        <v>-48309.596439999761</v>
      </c>
      <c r="AC49" s="444">
        <f t="shared" ref="AC49:AC54" si="44">AB49/W49</f>
        <v>-8.133438391813741E-2</v>
      </c>
    </row>
    <row r="50" spans="1:29">
      <c r="A50" s="310" t="s">
        <v>48</v>
      </c>
      <c r="E50" s="523">
        <v>-41476.909870000003</v>
      </c>
      <c r="H50" s="523">
        <v>-30726.952738169904</v>
      </c>
      <c r="J50" s="523">
        <f t="shared" si="39"/>
        <v>10749.957131830099</v>
      </c>
      <c r="K50" s="444">
        <f t="shared" si="40"/>
        <v>-0.25917931604652827</v>
      </c>
      <c r="N50" s="523">
        <v>-175622.87179000003</v>
      </c>
      <c r="Q50" s="523">
        <v>-130552.7794781699</v>
      </c>
      <c r="S50" s="523">
        <f t="shared" si="41"/>
        <v>45070.092311830129</v>
      </c>
      <c r="T50" s="444">
        <f t="shared" si="42"/>
        <v>-0.25662996996041842</v>
      </c>
      <c r="W50" s="523">
        <v>-28535.195339999998</v>
      </c>
      <c r="Z50" s="523">
        <v>-30726.952738169904</v>
      </c>
      <c r="AB50" s="523">
        <f t="shared" si="43"/>
        <v>-2191.7573981699061</v>
      </c>
      <c r="AC50" s="444">
        <f t="shared" si="44"/>
        <v>7.6808915167913702E-2</v>
      </c>
    </row>
    <row r="51" spans="1:29">
      <c r="B51" s="524" t="s">
        <v>49</v>
      </c>
      <c r="E51" s="522">
        <f>SUM(E49:E50)</f>
        <v>863383.12862000044</v>
      </c>
      <c r="H51" s="522">
        <f>SUM(H49:H50)</f>
        <v>514926.22662183014</v>
      </c>
      <c r="J51" s="522">
        <f t="shared" si="39"/>
        <v>-348456.9019981703</v>
      </c>
      <c r="K51" s="444">
        <f t="shared" si="40"/>
        <v>-0.40359475468918521</v>
      </c>
      <c r="N51" s="522">
        <f>SUM(N49:N50)</f>
        <v>3445657.9319399996</v>
      </c>
      <c r="Q51" s="522">
        <f>SUM(Q49:Q50)</f>
        <v>2219520.41847183</v>
      </c>
      <c r="S51" s="522">
        <f t="shared" si="41"/>
        <v>-1226137.5134681696</v>
      </c>
      <c r="T51" s="444">
        <f t="shared" si="42"/>
        <v>-0.35585004016281463</v>
      </c>
      <c r="W51" s="522">
        <f>SUM(W49:W50)</f>
        <v>565427.58045999985</v>
      </c>
      <c r="Z51" s="522">
        <f>SUM(Z49:Z50)</f>
        <v>514926.22662183014</v>
      </c>
      <c r="AB51" s="522">
        <f t="shared" si="43"/>
        <v>-50501.353838169714</v>
      </c>
      <c r="AC51" s="444">
        <f t="shared" si="44"/>
        <v>-8.931533512582579E-2</v>
      </c>
    </row>
    <row r="52" spans="1:29">
      <c r="A52" s="310" t="s">
        <v>50</v>
      </c>
      <c r="B52" s="524"/>
      <c r="E52" s="522">
        <v>9807.017530000001</v>
      </c>
      <c r="H52" s="522">
        <v>11007.585169999998</v>
      </c>
      <c r="J52" s="522">
        <f t="shared" si="39"/>
        <v>1200.5676399999975</v>
      </c>
      <c r="K52" s="444">
        <f t="shared" si="40"/>
        <v>0.12241924074545806</v>
      </c>
      <c r="N52" s="522">
        <v>39759.970860000001</v>
      </c>
      <c r="Q52" s="522">
        <v>47424.377250000005</v>
      </c>
      <c r="S52" s="522">
        <f t="shared" si="41"/>
        <v>7664.4063900000037</v>
      </c>
      <c r="T52" s="444">
        <f t="shared" si="42"/>
        <v>0.19276690159022927</v>
      </c>
      <c r="W52" s="522">
        <v>11498.096550000002</v>
      </c>
      <c r="Z52" s="522">
        <v>11007.585169999998</v>
      </c>
      <c r="AB52" s="522">
        <f t="shared" si="43"/>
        <v>-490.51138000000356</v>
      </c>
      <c r="AC52" s="444">
        <f t="shared" si="44"/>
        <v>-4.266022448733077E-2</v>
      </c>
    </row>
    <row r="53" spans="1:29">
      <c r="A53" s="310" t="s">
        <v>51</v>
      </c>
      <c r="B53" s="524"/>
      <c r="E53" s="523">
        <v>2506.2136900000014</v>
      </c>
      <c r="H53" s="523">
        <v>4706.5822299999991</v>
      </c>
      <c r="J53" s="523">
        <f t="shared" si="39"/>
        <v>2200.3685399999977</v>
      </c>
      <c r="K53" s="444">
        <f t="shared" si="40"/>
        <v>0.87796525443127571</v>
      </c>
      <c r="N53" s="523">
        <v>9805.1991699999999</v>
      </c>
      <c r="Q53" s="523">
        <v>14939.39407</v>
      </c>
      <c r="S53" s="523">
        <f t="shared" si="41"/>
        <v>5134.1949000000004</v>
      </c>
      <c r="T53" s="444">
        <f t="shared" si="42"/>
        <v>0.52361964412804485</v>
      </c>
      <c r="W53" s="523">
        <v>4576.0670100000016</v>
      </c>
      <c r="Z53" s="523">
        <v>4706.5822299999991</v>
      </c>
      <c r="AB53" s="523">
        <f t="shared" si="43"/>
        <v>130.5152199999975</v>
      </c>
      <c r="AC53" s="444">
        <f t="shared" si="44"/>
        <v>2.8521265032785754E-2</v>
      </c>
    </row>
    <row r="54" spans="1:29">
      <c r="B54" s="524" t="s">
        <v>52</v>
      </c>
      <c r="E54" s="531">
        <f>SUM(E51:E53)</f>
        <v>875696.3598400004</v>
      </c>
      <c r="H54" s="531">
        <f>SUM(H51:H53)</f>
        <v>530640.39402183006</v>
      </c>
      <c r="J54" s="531">
        <f t="shared" si="39"/>
        <v>-345055.96581817034</v>
      </c>
      <c r="K54" s="444">
        <f t="shared" si="40"/>
        <v>-0.39403608561444287</v>
      </c>
      <c r="N54" s="531">
        <f>SUM(N51:N53)</f>
        <v>3495223.1019699993</v>
      </c>
      <c r="Q54" s="531">
        <f>SUM(Q51:Q53)</f>
        <v>2281884.1897918298</v>
      </c>
      <c r="S54" s="531">
        <f t="shared" si="41"/>
        <v>-1213338.9121781695</v>
      </c>
      <c r="T54" s="444">
        <f t="shared" si="42"/>
        <v>-0.34714204981487445</v>
      </c>
      <c r="W54" s="531">
        <f>SUM(W51:W53)</f>
        <v>581501.74401999987</v>
      </c>
      <c r="Z54" s="531">
        <f>SUM(Z51:Z53)</f>
        <v>530640.39402183006</v>
      </c>
      <c r="AB54" s="531">
        <f t="shared" si="43"/>
        <v>-50861.349998169811</v>
      </c>
      <c r="AC54" s="444">
        <f t="shared" si="44"/>
        <v>-8.7465515832434906E-2</v>
      </c>
    </row>
    <row r="55" spans="1:29">
      <c r="B55" s="524"/>
      <c r="E55" s="522"/>
      <c r="H55" s="522"/>
      <c r="J55" s="522"/>
      <c r="K55" s="444"/>
      <c r="N55" s="522"/>
      <c r="Q55" s="522"/>
      <c r="S55" s="522"/>
      <c r="T55" s="444"/>
      <c r="W55" s="522"/>
      <c r="Z55" s="522"/>
      <c r="AB55" s="522"/>
      <c r="AC55" s="444"/>
    </row>
    <row r="56" spans="1:29">
      <c r="A56" s="310" t="s">
        <v>53</v>
      </c>
      <c r="D56" s="178">
        <v>0.84025414019793321</v>
      </c>
      <c r="E56" s="522">
        <v>725461.24840000004</v>
      </c>
      <c r="G56" s="178">
        <v>0.79170273665124091</v>
      </c>
      <c r="H56" s="522">
        <v>407668.50279</v>
      </c>
      <c r="J56" s="522">
        <f t="shared" ref="J56:J62" si="45">H56-E56</f>
        <v>-317792.74561000004</v>
      </c>
      <c r="K56" s="444">
        <f t="shared" ref="K56:K62" si="46">J56/E56</f>
        <v>-0.43805612816796186</v>
      </c>
      <c r="M56" s="178">
        <v>0.83022179447725086</v>
      </c>
      <c r="N56" s="522">
        <v>2860660.3114099996</v>
      </c>
      <c r="P56" s="178">
        <v>0.81676338159040374</v>
      </c>
      <c r="Q56" s="522">
        <v>1812823.0024999999</v>
      </c>
      <c r="S56" s="522">
        <f t="shared" ref="S56:S62" si="47">Q56-N56</f>
        <v>-1047837.3089099997</v>
      </c>
      <c r="T56" s="444">
        <f t="shared" ref="T56:T62" si="48">S56/N56</f>
        <v>-0.36629211260442451</v>
      </c>
      <c r="V56" s="178">
        <v>0.80694537942207456</v>
      </c>
      <c r="W56" s="522">
        <v>456269.17345000018</v>
      </c>
      <c r="Y56" s="178">
        <v>0.79170273665124091</v>
      </c>
      <c r="Z56" s="522">
        <v>407668.50279</v>
      </c>
      <c r="AB56" s="522">
        <f t="shared" ref="AB56:AB62" si="49">Z56-W56</f>
        <v>-48600.670660000178</v>
      </c>
      <c r="AC56" s="444">
        <f t="shared" ref="AC56:AC62" si="50">AB56/W56</f>
        <v>-0.10651754159176401</v>
      </c>
    </row>
    <row r="57" spans="1:29">
      <c r="A57" s="310" t="s">
        <v>54</v>
      </c>
      <c r="D57" s="178"/>
      <c r="E57" s="522">
        <v>2120.8890000000001</v>
      </c>
      <c r="G57" s="178"/>
      <c r="H57" s="522">
        <v>1003.5339799999981</v>
      </c>
      <c r="J57" s="522">
        <f t="shared" si="45"/>
        <v>-1117.355020000002</v>
      </c>
      <c r="K57" s="444">
        <f t="shared" si="46"/>
        <v>-0.52683333262608367</v>
      </c>
      <c r="M57" s="178"/>
      <c r="N57" s="522">
        <v>5647.868449999999</v>
      </c>
      <c r="P57" s="178"/>
      <c r="Q57" s="522">
        <v>3237.1631399999987</v>
      </c>
      <c r="S57" s="522">
        <f t="shared" si="47"/>
        <v>-2410.7053100000003</v>
      </c>
      <c r="T57" s="444">
        <f t="shared" si="48"/>
        <v>-0.42683453613371619</v>
      </c>
      <c r="V57" s="178"/>
      <c r="W57" s="522">
        <v>87.368140000001631</v>
      </c>
      <c r="Y57" s="178"/>
      <c r="Z57" s="522">
        <v>1003.5339799999981</v>
      </c>
      <c r="AB57" s="522">
        <f t="shared" si="49"/>
        <v>916.16583999999648</v>
      </c>
      <c r="AC57" s="444">
        <f t="shared" si="50"/>
        <v>10.486269251010487</v>
      </c>
    </row>
    <row r="58" spans="1:29">
      <c r="A58" s="492" t="s">
        <v>55</v>
      </c>
      <c r="B58" s="524"/>
      <c r="D58" s="178">
        <v>0.1834368167629313</v>
      </c>
      <c r="E58" s="440">
        <v>1762.92327</v>
      </c>
      <c r="G58" s="178">
        <v>0.20513647501116</v>
      </c>
      <c r="H58" s="440">
        <v>1089.1481133069015</v>
      </c>
      <c r="J58" s="440">
        <f t="shared" si="45"/>
        <v>-673.77515669309855</v>
      </c>
      <c r="K58" s="444">
        <f t="shared" si="46"/>
        <v>-0.38219199222045469</v>
      </c>
      <c r="M58" s="178">
        <v>0.14943491227688094</v>
      </c>
      <c r="N58" s="440">
        <v>7022.5486300000002</v>
      </c>
      <c r="P58" s="178">
        <v>0.19091751384428621</v>
      </c>
      <c r="Q58" s="440">
        <v>4411.691563306902</v>
      </c>
      <c r="S58" s="440">
        <f t="shared" si="47"/>
        <v>-2610.8570666930982</v>
      </c>
      <c r="T58" s="444">
        <f t="shared" si="48"/>
        <v>-0.37178198461163209</v>
      </c>
      <c r="V58" s="178">
        <v>0.1844357498712029</v>
      </c>
      <c r="W58" s="440">
        <v>940.56723000000034</v>
      </c>
      <c r="Y58" s="178">
        <v>0.20513647501116</v>
      </c>
      <c r="Z58" s="440">
        <v>1089.1481133069015</v>
      </c>
      <c r="AB58" s="440">
        <f t="shared" si="49"/>
        <v>148.58088330690111</v>
      </c>
      <c r="AC58" s="444">
        <f t="shared" si="50"/>
        <v>0.15796944499852611</v>
      </c>
    </row>
    <row r="59" spans="1:29">
      <c r="A59" s="532" t="s">
        <v>1196</v>
      </c>
      <c r="B59" s="524"/>
      <c r="D59" s="178"/>
      <c r="E59" s="440">
        <v>0</v>
      </c>
      <c r="G59" s="178"/>
      <c r="H59" s="440">
        <v>15622.0464666931</v>
      </c>
      <c r="J59" s="440">
        <f t="shared" si="45"/>
        <v>15622.0464666931</v>
      </c>
      <c r="K59" s="444" t="e">
        <f t="shared" si="46"/>
        <v>#DIV/0!</v>
      </c>
      <c r="M59" s="178"/>
      <c r="N59" s="440">
        <v>0</v>
      </c>
      <c r="P59" s="178"/>
      <c r="Q59" s="440">
        <v>15622.0464666931</v>
      </c>
      <c r="S59" s="440">
        <f t="shared" si="47"/>
        <v>15622.0464666931</v>
      </c>
      <c r="T59" s="444" t="e">
        <f t="shared" si="48"/>
        <v>#DIV/0!</v>
      </c>
      <c r="V59" s="178"/>
      <c r="W59" s="440">
        <v>0</v>
      </c>
      <c r="Y59" s="178"/>
      <c r="Z59" s="440">
        <v>15622.0464666931</v>
      </c>
      <c r="AB59" s="440">
        <f t="shared" si="49"/>
        <v>15622.0464666931</v>
      </c>
      <c r="AC59" s="444" t="e">
        <f t="shared" si="50"/>
        <v>#DIV/0!</v>
      </c>
    </row>
    <row r="60" spans="1:29">
      <c r="A60" s="492" t="s">
        <v>272</v>
      </c>
      <c r="B60" s="524"/>
      <c r="D60" s="178"/>
      <c r="E60" s="440">
        <v>0</v>
      </c>
      <c r="G60" s="178"/>
      <c r="H60" s="440">
        <v>22042.169000000002</v>
      </c>
      <c r="J60" s="440">
        <f t="shared" si="45"/>
        <v>22042.169000000002</v>
      </c>
      <c r="K60" s="444" t="e">
        <f t="shared" si="46"/>
        <v>#DIV/0!</v>
      </c>
      <c r="M60" s="178"/>
      <c r="N60" s="440">
        <v>0</v>
      </c>
      <c r="P60" s="178"/>
      <c r="Q60" s="440">
        <v>22042.169000000002</v>
      </c>
      <c r="S60" s="440">
        <f t="shared" si="47"/>
        <v>22042.169000000002</v>
      </c>
      <c r="T60" s="444" t="e">
        <f t="shared" si="48"/>
        <v>#DIV/0!</v>
      </c>
      <c r="V60" s="178"/>
      <c r="W60" s="440">
        <v>0</v>
      </c>
      <c r="Y60" s="178"/>
      <c r="Z60" s="440">
        <v>22042.169000000002</v>
      </c>
      <c r="AB60" s="440">
        <f t="shared" si="49"/>
        <v>22042.169000000002</v>
      </c>
      <c r="AC60" s="444" t="e">
        <f t="shared" si="50"/>
        <v>#DIV/0!</v>
      </c>
    </row>
    <row r="61" spans="1:29">
      <c r="A61" s="492" t="s">
        <v>56</v>
      </c>
      <c r="B61" s="524"/>
      <c r="D61" s="180">
        <v>0.18098033026267973</v>
      </c>
      <c r="E61" s="523">
        <v>156255.36376087338</v>
      </c>
      <c r="G61" s="180">
        <v>0.20318758616433691</v>
      </c>
      <c r="H61" s="523">
        <v>104626.61703999998</v>
      </c>
      <c r="J61" s="523">
        <f t="shared" si="45"/>
        <v>-51628.746720873402</v>
      </c>
      <c r="K61" s="444">
        <f t="shared" si="46"/>
        <v>-0.33041263658560777</v>
      </c>
      <c r="M61" s="180">
        <v>0.1477957860021436</v>
      </c>
      <c r="N61" s="523">
        <v>509253.72234559286</v>
      </c>
      <c r="P61" s="180">
        <v>0.18945901717398803</v>
      </c>
      <c r="Q61" s="523">
        <v>420508.15708127152</v>
      </c>
      <c r="S61" s="523">
        <f t="shared" si="47"/>
        <v>-88745.56526432134</v>
      </c>
      <c r="T61" s="444">
        <f t="shared" si="48"/>
        <v>-0.17426591376802206</v>
      </c>
      <c r="V61" s="180">
        <v>0.18428123293036155</v>
      </c>
      <c r="W61" s="523">
        <v>104197.69165999998</v>
      </c>
      <c r="Y61" s="180">
        <v>0.20318758616433691</v>
      </c>
      <c r="Z61" s="523">
        <v>104626.61703999998</v>
      </c>
      <c r="AB61" s="523">
        <f t="shared" si="49"/>
        <v>428.92538000000059</v>
      </c>
      <c r="AC61" s="444">
        <f t="shared" si="50"/>
        <v>4.1164576025311218E-3</v>
      </c>
    </row>
    <row r="62" spans="1:29">
      <c r="A62" s="524"/>
      <c r="B62" s="524" t="s">
        <v>57</v>
      </c>
      <c r="E62" s="531">
        <f>SUM(E56:E61)</f>
        <v>885600.42443087348</v>
      </c>
      <c r="H62" s="531">
        <f>SUM(H56:H61)</f>
        <v>552052.01738999994</v>
      </c>
      <c r="J62" s="531">
        <f t="shared" si="45"/>
        <v>-333548.40704087354</v>
      </c>
      <c r="K62" s="444">
        <f t="shared" si="46"/>
        <v>-0.37663532879992317</v>
      </c>
      <c r="N62" s="531">
        <f>SUM(N56:N61)</f>
        <v>3382584.4508355926</v>
      </c>
      <c r="Q62" s="531">
        <f>SUM(Q56:Q61)</f>
        <v>2278644.2297512712</v>
      </c>
      <c r="S62" s="531">
        <f t="shared" si="47"/>
        <v>-1103940.2210843214</v>
      </c>
      <c r="T62" s="444">
        <f t="shared" si="48"/>
        <v>-0.32635998808887606</v>
      </c>
      <c r="W62" s="531">
        <f>SUM(W56:W61)</f>
        <v>561494.80048000009</v>
      </c>
      <c r="Z62" s="531">
        <f>SUM(Z56:Z61)</f>
        <v>552052.01738999994</v>
      </c>
      <c r="AB62" s="531">
        <f t="shared" si="49"/>
        <v>-9442.7830900001572</v>
      </c>
      <c r="AC62" s="444">
        <f t="shared" si="50"/>
        <v>-1.6817222674061966E-2</v>
      </c>
    </row>
    <row r="63" spans="1:29">
      <c r="A63" s="524"/>
      <c r="B63" s="524"/>
      <c r="E63" s="525"/>
      <c r="H63" s="525"/>
      <c r="J63" s="525"/>
      <c r="K63" s="444"/>
      <c r="N63" s="525"/>
      <c r="Q63" s="525"/>
      <c r="S63" s="525"/>
      <c r="T63" s="444"/>
      <c r="W63" s="525"/>
      <c r="Z63" s="525"/>
      <c r="AB63" s="525"/>
      <c r="AC63" s="444"/>
    </row>
    <row r="64" spans="1:29">
      <c r="A64" s="315"/>
      <c r="B64" s="315" t="s">
        <v>86</v>
      </c>
      <c r="E64" s="440">
        <f>E54-E62</f>
        <v>-9904.0645908730803</v>
      </c>
      <c r="H64" s="440">
        <f>H54-H62</f>
        <v>-21411.62336816988</v>
      </c>
      <c r="J64" s="440">
        <f>H64-E64</f>
        <v>-11507.558777296799</v>
      </c>
      <c r="K64" s="444">
        <f>J64/E64</f>
        <v>1.1619026382260664</v>
      </c>
      <c r="N64" s="440">
        <f>N54-N62</f>
        <v>112638.65113440668</v>
      </c>
      <c r="Q64" s="440">
        <f>Q54-Q62</f>
        <v>3239.9600405585952</v>
      </c>
      <c r="S64" s="440">
        <f>Q64-N64</f>
        <v>-109398.69109384809</v>
      </c>
      <c r="T64" s="444">
        <f>S64/N64</f>
        <v>-0.97123580575647617</v>
      </c>
      <c r="W64" s="440">
        <f>W54-W62</f>
        <v>20006.943539999775</v>
      </c>
      <c r="Z64" s="440">
        <f>Z54-Z62</f>
        <v>-21411.62336816988</v>
      </c>
      <c r="AB64" s="440">
        <f>Z64-W64</f>
        <v>-41418.566908169654</v>
      </c>
      <c r="AC64" s="444">
        <f>AB64/W64</f>
        <v>-2.0702096162445671</v>
      </c>
    </row>
    <row r="65" spans="1:29">
      <c r="E65" s="525"/>
      <c r="H65" s="525"/>
      <c r="J65" s="525"/>
      <c r="K65" s="444"/>
      <c r="N65" s="525"/>
      <c r="Q65" s="525"/>
      <c r="S65" s="525"/>
      <c r="T65" s="444"/>
      <c r="W65" s="525"/>
      <c r="Z65" s="525"/>
      <c r="AB65" s="525"/>
      <c r="AC65" s="444"/>
    </row>
    <row r="66" spans="1:29">
      <c r="B66" s="310" t="s">
        <v>43</v>
      </c>
      <c r="E66" s="441">
        <v>-330.3708600000021</v>
      </c>
      <c r="H66" s="441">
        <v>-1562.8757700000006</v>
      </c>
      <c r="J66" s="441">
        <f>H66-E66</f>
        <v>-1232.5049099999985</v>
      </c>
      <c r="K66" s="444">
        <f>J66/E66</f>
        <v>3.7306707679968829</v>
      </c>
      <c r="N66" s="441">
        <v>6574.8373199999978</v>
      </c>
      <c r="Q66" s="441">
        <v>841.45757000000049</v>
      </c>
      <c r="S66" s="441">
        <f>Q66-N66</f>
        <v>-5733.3797499999973</v>
      </c>
      <c r="T66" s="444">
        <f>S66/N66</f>
        <v>-0.87201849581276014</v>
      </c>
      <c r="W66" s="441">
        <v>408.64456999999857</v>
      </c>
      <c r="Z66" s="441">
        <v>-1562.8757700000006</v>
      </c>
      <c r="AB66" s="441">
        <f>Z66-W66</f>
        <v>-1971.5203399999991</v>
      </c>
      <c r="AC66" s="444">
        <f>AB66/W66</f>
        <v>-4.8245357573208576</v>
      </c>
    </row>
    <row r="67" spans="1:29">
      <c r="E67" s="162"/>
      <c r="H67" s="162"/>
      <c r="J67" s="162"/>
      <c r="K67" s="444"/>
      <c r="N67" s="162"/>
      <c r="Q67" s="162"/>
      <c r="S67" s="162"/>
      <c r="T67" s="444"/>
      <c r="W67" s="162"/>
      <c r="Z67" s="162"/>
      <c r="AB67" s="162"/>
      <c r="AC67" s="444"/>
    </row>
    <row r="68" spans="1:29">
      <c r="B68" s="181" t="s">
        <v>1039</v>
      </c>
      <c r="E68" s="440">
        <f>SUM(E64:E66)</f>
        <v>-10234.435450873083</v>
      </c>
      <c r="H68" s="440">
        <f>SUM(H64:H66)</f>
        <v>-22974.499138169878</v>
      </c>
      <c r="J68" s="440">
        <f>H68-E68</f>
        <v>-12740.063687296795</v>
      </c>
      <c r="K68" s="444">
        <f>J68/E68</f>
        <v>1.2448232976260514</v>
      </c>
      <c r="N68" s="440">
        <f>SUM(N64:N66)</f>
        <v>119213.48845440667</v>
      </c>
      <c r="Q68" s="440">
        <f>Q58-Q66</f>
        <v>3570.2339933069015</v>
      </c>
      <c r="S68" s="440">
        <f>Q68-N68</f>
        <v>-115643.25446109977</v>
      </c>
      <c r="T68" s="444">
        <f>S68/N68</f>
        <v>-0.97005176142737959</v>
      </c>
      <c r="W68" s="440">
        <f>SUM(W64:W66)</f>
        <v>20415.588109999771</v>
      </c>
      <c r="Z68" s="440">
        <f>SUM(Z64:Z66)</f>
        <v>-22974.499138169878</v>
      </c>
      <c r="AB68" s="440">
        <f>Z68-W68</f>
        <v>-43390.08724816965</v>
      </c>
      <c r="AC68" s="444">
        <f>AB68/W68</f>
        <v>-2.1253410391306202</v>
      </c>
    </row>
    <row r="69" spans="1:29">
      <c r="E69" s="440"/>
      <c r="H69" s="440"/>
      <c r="J69" s="440"/>
      <c r="K69" s="444"/>
      <c r="N69" s="440"/>
      <c r="Q69" s="440"/>
      <c r="S69" s="440"/>
      <c r="T69" s="444"/>
      <c r="W69" s="440"/>
      <c r="Z69" s="440"/>
      <c r="AB69" s="440"/>
      <c r="AC69" s="444"/>
    </row>
    <row r="70" spans="1:29">
      <c r="A70" s="533" t="s">
        <v>290</v>
      </c>
      <c r="E70" s="440"/>
      <c r="H70" s="440"/>
      <c r="J70" s="440"/>
      <c r="K70" s="444"/>
      <c r="N70" s="440"/>
      <c r="Q70" s="440"/>
      <c r="S70" s="440"/>
      <c r="T70" s="444"/>
      <c r="W70" s="440">
        <v>0</v>
      </c>
      <c r="Z70" s="440">
        <v>0</v>
      </c>
      <c r="AB70" s="440"/>
      <c r="AC70" s="444"/>
    </row>
    <row r="71" spans="1:29">
      <c r="A71" s="534" t="s">
        <v>1040</v>
      </c>
      <c r="E71" s="440">
        <v>170851.19908087354</v>
      </c>
      <c r="H71" s="440">
        <v>-225</v>
      </c>
      <c r="J71" s="440">
        <f t="shared" ref="J71:J73" si="51">H71-E71</f>
        <v>-171076.19908087354</v>
      </c>
      <c r="K71" s="444">
        <f t="shared" ref="K71:K73" si="52">J71/E71</f>
        <v>-1.0013169354456417</v>
      </c>
      <c r="N71" s="440">
        <v>155099.89922559256</v>
      </c>
      <c r="Q71" s="440">
        <v>-63052.670224112982</v>
      </c>
      <c r="S71" s="440">
        <f t="shared" ref="S71:S73" si="53">Q71-N71</f>
        <v>-218152.56944970554</v>
      </c>
      <c r="T71" s="444">
        <f t="shared" ref="T71:T73" si="54">S71/N71</f>
        <v>-1.4065294080713939</v>
      </c>
      <c r="W71" s="440">
        <v>1.4063061826163903E-10</v>
      </c>
      <c r="Z71" s="440">
        <v>-225</v>
      </c>
      <c r="AB71" s="440">
        <f t="shared" ref="AB71:AB73" si="55">Z71-W71</f>
        <v>-225.00000000014063</v>
      </c>
      <c r="AC71" s="444">
        <f t="shared" ref="AC71:AC73" si="56">AB71/W71</f>
        <v>-1599936079222.342</v>
      </c>
    </row>
    <row r="72" spans="1:29">
      <c r="A72" s="534" t="s">
        <v>1041</v>
      </c>
      <c r="E72" s="440">
        <v>0</v>
      </c>
      <c r="H72" s="440">
        <v>0</v>
      </c>
      <c r="J72" s="440">
        <f t="shared" si="51"/>
        <v>0</v>
      </c>
      <c r="K72" s="444" t="e">
        <f t="shared" si="52"/>
        <v>#DIV/0!</v>
      </c>
      <c r="N72" s="440">
        <v>0</v>
      </c>
      <c r="Q72" s="440">
        <v>-16190.777790000002</v>
      </c>
      <c r="S72" s="440">
        <f t="shared" si="53"/>
        <v>-16190.777790000002</v>
      </c>
      <c r="T72" s="444" t="e">
        <f t="shared" si="54"/>
        <v>#DIV/0!</v>
      </c>
      <c r="W72" s="440">
        <v>0</v>
      </c>
      <c r="Z72" s="440">
        <v>0</v>
      </c>
      <c r="AB72" s="440">
        <f t="shared" si="55"/>
        <v>0</v>
      </c>
      <c r="AC72" s="444" t="e">
        <f t="shared" si="56"/>
        <v>#DIV/0!</v>
      </c>
    </row>
    <row r="73" spans="1:29">
      <c r="A73" s="534" t="s">
        <v>1042</v>
      </c>
      <c r="E73" s="441">
        <v>170851.19908087354</v>
      </c>
      <c r="H73" s="441">
        <v>-225</v>
      </c>
      <c r="J73" s="441">
        <f t="shared" si="51"/>
        <v>-171076.19908087354</v>
      </c>
      <c r="K73" s="444">
        <f t="shared" si="52"/>
        <v>-1.0013169354456417</v>
      </c>
      <c r="N73" s="441">
        <v>155099.89922559256</v>
      </c>
      <c r="Q73" s="441">
        <v>-79243.44801411299</v>
      </c>
      <c r="S73" s="441">
        <f t="shared" si="53"/>
        <v>-234343.34723970556</v>
      </c>
      <c r="T73" s="444">
        <f t="shared" si="54"/>
        <v>-1.5109187588758748</v>
      </c>
      <c r="W73" s="441">
        <v>1.4063061826163903E-10</v>
      </c>
      <c r="Z73" s="441">
        <v>-225</v>
      </c>
      <c r="AB73" s="441">
        <f t="shared" si="55"/>
        <v>-225.00000000014063</v>
      </c>
      <c r="AC73" s="444">
        <f t="shared" si="56"/>
        <v>-1599936079222.342</v>
      </c>
    </row>
    <row r="74" spans="1:29">
      <c r="E74" s="440"/>
      <c r="H74" s="440"/>
      <c r="J74" s="440"/>
      <c r="K74" s="444"/>
      <c r="N74" s="440"/>
      <c r="Q74" s="440"/>
      <c r="S74" s="440"/>
      <c r="T74" s="444"/>
      <c r="W74" s="440">
        <v>0</v>
      </c>
      <c r="Z74" s="440">
        <v>0</v>
      </c>
      <c r="AB74" s="440"/>
      <c r="AC74" s="444"/>
    </row>
    <row r="75" spans="1:29" ht="13.5" thickBot="1">
      <c r="B75" s="158" t="s">
        <v>116</v>
      </c>
      <c r="E75" s="442">
        <f>E68+E73</f>
        <v>160616.76363000047</v>
      </c>
      <c r="H75" s="442">
        <f>H68+H73</f>
        <v>-23199.499138169878</v>
      </c>
      <c r="J75" s="442">
        <f>J68+J73</f>
        <v>-183816.26276817033</v>
      </c>
      <c r="K75" s="444">
        <f>J75/E75</f>
        <v>-1.1444400859153945</v>
      </c>
      <c r="N75" s="442">
        <f>N68+N73</f>
        <v>274313.38767999923</v>
      </c>
      <c r="Q75" s="442">
        <f>Q68+Q73</f>
        <v>-75673.214020806088</v>
      </c>
      <c r="S75" s="442">
        <f>Q75-N75</f>
        <v>-349986.6017008053</v>
      </c>
      <c r="T75" s="444">
        <f>S75/N75</f>
        <v>-1.2758640934764831</v>
      </c>
      <c r="W75" s="442">
        <v>20415.588109999913</v>
      </c>
      <c r="Z75" s="442">
        <v>-23199.499138169878</v>
      </c>
      <c r="AB75" s="442">
        <f>Z75-W75</f>
        <v>-43615.087248169788</v>
      </c>
      <c r="AC75" s="444">
        <f>AB75/W75</f>
        <v>-2.13636202950266</v>
      </c>
    </row>
    <row r="76" spans="1:29" ht="13.5" thickTop="1">
      <c r="E76" s="313"/>
      <c r="H76" s="313"/>
      <c r="J76" s="313"/>
      <c r="N76" s="313"/>
      <c r="Q76" s="313"/>
      <c r="S76" s="313"/>
      <c r="W76" s="313"/>
      <c r="Z76" s="313"/>
      <c r="AB76" s="313"/>
    </row>
    <row r="77" spans="1:29" ht="15">
      <c r="A77" s="1" t="s">
        <v>117</v>
      </c>
      <c r="B77" s="516"/>
      <c r="E77" s="291"/>
      <c r="H77" s="291"/>
      <c r="J77" s="291"/>
      <c r="N77" s="291"/>
      <c r="Q77" s="291"/>
      <c r="S77" s="291"/>
      <c r="W77" s="291"/>
      <c r="Z77" s="291"/>
      <c r="AB77" s="291"/>
    </row>
    <row r="78" spans="1:29">
      <c r="A78" s="516" t="s">
        <v>1194</v>
      </c>
      <c r="B78" s="516"/>
      <c r="E78" s="292" t="s">
        <v>88</v>
      </c>
      <c r="H78" s="292" t="s">
        <v>88</v>
      </c>
      <c r="J78" s="292" t="s">
        <v>92</v>
      </c>
      <c r="N78" s="292" t="s">
        <v>39</v>
      </c>
      <c r="Q78" s="292" t="s">
        <v>39</v>
      </c>
      <c r="S78" s="292" t="s">
        <v>92</v>
      </c>
      <c r="W78" s="292" t="s">
        <v>89</v>
      </c>
      <c r="Z78" s="292" t="s">
        <v>88</v>
      </c>
      <c r="AB78" s="292" t="s">
        <v>92</v>
      </c>
    </row>
    <row r="79" spans="1:29">
      <c r="A79" s="518" t="s">
        <v>40</v>
      </c>
      <c r="E79" s="293">
        <v>2010</v>
      </c>
      <c r="H79" s="293">
        <v>2011</v>
      </c>
      <c r="J79" s="293" t="s">
        <v>93</v>
      </c>
      <c r="N79" s="293">
        <v>2010</v>
      </c>
      <c r="Q79" s="293">
        <v>2011</v>
      </c>
      <c r="S79" s="293" t="s">
        <v>93</v>
      </c>
      <c r="W79" s="293">
        <v>2011</v>
      </c>
      <c r="Z79" s="293">
        <v>2011</v>
      </c>
      <c r="AB79" s="293" t="s">
        <v>93</v>
      </c>
    </row>
    <row r="80" spans="1:29">
      <c r="E80" s="292"/>
      <c r="H80" s="292"/>
      <c r="J80" s="292"/>
      <c r="N80" s="292"/>
      <c r="Q80" s="292"/>
      <c r="S80" s="292"/>
      <c r="W80" s="292"/>
      <c r="Z80" s="292"/>
      <c r="AB80" s="292"/>
    </row>
    <row r="81" spans="1:29">
      <c r="A81" s="310" t="s">
        <v>47</v>
      </c>
      <c r="E81" s="440">
        <v>803157.44409000035</v>
      </c>
      <c r="H81" s="440">
        <v>453956.12529000011</v>
      </c>
      <c r="J81" s="440">
        <f t="shared" ref="J81:J86" si="57">H81-E81</f>
        <v>-349201.31880000024</v>
      </c>
      <c r="K81" s="444">
        <f t="shared" ref="K81:K86" si="58">J81/E81</f>
        <v>-0.43478563433556294</v>
      </c>
      <c r="N81" s="440">
        <v>3193558.6608700003</v>
      </c>
      <c r="Q81" s="440">
        <v>1965070.9485300002</v>
      </c>
      <c r="S81" s="440">
        <f t="shared" ref="S81:S86" si="59">Q81-N81</f>
        <v>-1228487.7123400001</v>
      </c>
      <c r="T81" s="444">
        <f t="shared" ref="T81:T86" si="60">S81/N81</f>
        <v>-0.38467673301023103</v>
      </c>
      <c r="W81" s="440">
        <v>502156.96182999987</v>
      </c>
      <c r="Z81" s="440">
        <v>453956.12529000011</v>
      </c>
      <c r="AB81" s="440">
        <f t="shared" ref="AB81:AB86" si="61">Z81-W81</f>
        <v>-48200.836539999756</v>
      </c>
      <c r="AC81" s="444">
        <f t="shared" ref="AC81:AC86" si="62">AB81/W81</f>
        <v>-9.598758994467084E-2</v>
      </c>
    </row>
    <row r="82" spans="1:29">
      <c r="A82" s="310" t="s">
        <v>48</v>
      </c>
      <c r="E82" s="441">
        <v>-8957.6172099999985</v>
      </c>
      <c r="H82" s="441">
        <v>-1677.46803</v>
      </c>
      <c r="J82" s="441">
        <f t="shared" si="57"/>
        <v>7280.1491799999985</v>
      </c>
      <c r="K82" s="444">
        <f t="shared" si="58"/>
        <v>-0.81273278477145372</v>
      </c>
      <c r="N82" s="441">
        <v>-37752.964830000004</v>
      </c>
      <c r="Q82" s="441">
        <v>-4870.38393</v>
      </c>
      <c r="S82" s="441">
        <f t="shared" si="59"/>
        <v>32882.580900000001</v>
      </c>
      <c r="T82" s="444">
        <f t="shared" si="60"/>
        <v>-0.87099333914750443</v>
      </c>
      <c r="W82" s="441">
        <v>-1033.2410799999998</v>
      </c>
      <c r="Z82" s="441">
        <v>-1677.46803</v>
      </c>
      <c r="AB82" s="441">
        <f t="shared" si="61"/>
        <v>-644.22695000000022</v>
      </c>
      <c r="AC82" s="444">
        <f t="shared" si="62"/>
        <v>0.62350110005304893</v>
      </c>
    </row>
    <row r="83" spans="1:29">
      <c r="B83" s="524" t="s">
        <v>49</v>
      </c>
      <c r="E83" s="440">
        <f>SUM(E81:E82)</f>
        <v>794199.8268800003</v>
      </c>
      <c r="H83" s="440">
        <f>SUM(H81:H82)</f>
        <v>452278.65726000012</v>
      </c>
      <c r="J83" s="440">
        <f t="shared" si="57"/>
        <v>-341921.16962000018</v>
      </c>
      <c r="K83" s="444">
        <f t="shared" si="58"/>
        <v>-0.43052284582235595</v>
      </c>
      <c r="N83" s="440">
        <f>SUM(N81:N82)</f>
        <v>3155805.6960400003</v>
      </c>
      <c r="Q83" s="440">
        <f>SUM(Q81:Q82)</f>
        <v>1960200.5646000002</v>
      </c>
      <c r="S83" s="440">
        <f t="shared" si="59"/>
        <v>-1195605.1314400001</v>
      </c>
      <c r="T83" s="444">
        <f t="shared" si="60"/>
        <v>-0.37885891800635296</v>
      </c>
      <c r="W83" s="440">
        <f>SUM(W81:W82)</f>
        <v>501123.72074999986</v>
      </c>
      <c r="Z83" s="440">
        <f>SUM(Z81:Z82)</f>
        <v>452278.65726000012</v>
      </c>
      <c r="AB83" s="440">
        <f t="shared" si="61"/>
        <v>-48845.063489999739</v>
      </c>
      <c r="AC83" s="444">
        <f t="shared" si="62"/>
        <v>-9.7471066460187619E-2</v>
      </c>
    </row>
    <row r="84" spans="1:29">
      <c r="A84" s="310" t="s">
        <v>50</v>
      </c>
      <c r="B84" s="524"/>
      <c r="E84" s="440">
        <v>5778.9837699999989</v>
      </c>
      <c r="H84" s="440">
        <v>6066.6356499999983</v>
      </c>
      <c r="J84" s="440">
        <f t="shared" si="57"/>
        <v>287.65187999999944</v>
      </c>
      <c r="K84" s="444">
        <f t="shared" si="58"/>
        <v>4.9775512693644317E-2</v>
      </c>
      <c r="N84" s="440">
        <v>24517.300509999997</v>
      </c>
      <c r="Q84" s="440">
        <v>26322.50619</v>
      </c>
      <c r="S84" s="440">
        <f t="shared" si="59"/>
        <v>1805.2056800000028</v>
      </c>
      <c r="T84" s="444">
        <f t="shared" si="60"/>
        <v>7.3629871252086018E-2</v>
      </c>
      <c r="W84" s="440">
        <v>6143.0156200000001</v>
      </c>
      <c r="Z84" s="440">
        <v>6066.6356499999983</v>
      </c>
      <c r="AB84" s="440">
        <f t="shared" si="61"/>
        <v>-76.379970000001776</v>
      </c>
      <c r="AC84" s="444">
        <f t="shared" si="62"/>
        <v>-1.2433627834402572E-2</v>
      </c>
    </row>
    <row r="85" spans="1:29">
      <c r="A85" s="310" t="s">
        <v>51</v>
      </c>
      <c r="B85" s="524"/>
      <c r="E85" s="441">
        <v>509.39292</v>
      </c>
      <c r="H85" s="441">
        <v>394.60703000000012</v>
      </c>
      <c r="J85" s="441">
        <f t="shared" si="57"/>
        <v>-114.78588999999988</v>
      </c>
      <c r="K85" s="444">
        <f t="shared" si="58"/>
        <v>-0.22533860502026584</v>
      </c>
      <c r="N85" s="441">
        <v>2112.3924400000001</v>
      </c>
      <c r="Q85" s="441">
        <v>1845.4211599999999</v>
      </c>
      <c r="S85" s="441">
        <f t="shared" si="59"/>
        <v>-266.97128000000021</v>
      </c>
      <c r="T85" s="444">
        <f t="shared" si="60"/>
        <v>-0.12638337221089477</v>
      </c>
      <c r="W85" s="441">
        <v>294.04012999999986</v>
      </c>
      <c r="Z85" s="441">
        <v>394.60703000000012</v>
      </c>
      <c r="AB85" s="441">
        <f t="shared" si="61"/>
        <v>100.56690000000026</v>
      </c>
      <c r="AC85" s="444">
        <f t="shared" si="62"/>
        <v>0.34201760147501059</v>
      </c>
    </row>
    <row r="86" spans="1:29">
      <c r="B86" s="524" t="s">
        <v>52</v>
      </c>
      <c r="E86" s="443">
        <f>SUM(E83:E85)</f>
        <v>800488.20357000036</v>
      </c>
      <c r="H86" s="443">
        <f>SUM(H83:H85)</f>
        <v>458739.89994000015</v>
      </c>
      <c r="J86" s="443">
        <f t="shared" si="57"/>
        <v>-341748.30363000021</v>
      </c>
      <c r="K86" s="444">
        <f t="shared" si="58"/>
        <v>-0.42692484674462206</v>
      </c>
      <c r="N86" s="443">
        <f>SUM(N83:N85)</f>
        <v>3182435.3889900004</v>
      </c>
      <c r="Q86" s="443">
        <f>SUM(Q83:Q85)</f>
        <v>1988368.4919500002</v>
      </c>
      <c r="S86" s="443">
        <f t="shared" si="59"/>
        <v>-1194066.8970400002</v>
      </c>
      <c r="T86" s="444">
        <f t="shared" si="60"/>
        <v>-0.37520538552676086</v>
      </c>
      <c r="W86" s="443">
        <f>SUM(W83:W85)</f>
        <v>507560.77649999986</v>
      </c>
      <c r="Z86" s="443">
        <f>SUM(Z83:Z85)</f>
        <v>458739.89994000015</v>
      </c>
      <c r="AB86" s="443">
        <f t="shared" si="61"/>
        <v>-48820.876559999713</v>
      </c>
      <c r="AC86" s="444">
        <f t="shared" si="62"/>
        <v>-9.6187252483643654E-2</v>
      </c>
    </row>
    <row r="87" spans="1:29">
      <c r="B87" s="524"/>
      <c r="E87" s="440"/>
      <c r="H87" s="440"/>
      <c r="J87" s="440"/>
      <c r="K87" s="444"/>
      <c r="N87" s="440"/>
      <c r="Q87" s="440"/>
      <c r="S87" s="440"/>
      <c r="T87" s="444"/>
      <c r="W87" s="440"/>
      <c r="Z87" s="440"/>
      <c r="AB87" s="440"/>
      <c r="AC87" s="444"/>
    </row>
    <row r="88" spans="1:29">
      <c r="A88" s="310" t="s">
        <v>53</v>
      </c>
      <c r="D88" s="178">
        <v>0.84438525407954546</v>
      </c>
      <c r="E88" s="440">
        <v>670610.62261000008</v>
      </c>
      <c r="G88" s="178">
        <v>0.79581831095135491</v>
      </c>
      <c r="H88" s="440">
        <v>359931.63710000005</v>
      </c>
      <c r="J88" s="440">
        <f t="shared" ref="J88:J94" si="63">H88-E88</f>
        <v>-310678.98551000003</v>
      </c>
      <c r="K88" s="444">
        <f t="shared" ref="K88:K96" si="64">J88/E88</f>
        <v>-0.46327775766635643</v>
      </c>
      <c r="M88" s="178">
        <v>0.83610545840986894</v>
      </c>
      <c r="N88" s="440">
        <v>2638586.3681399999</v>
      </c>
      <c r="P88" s="178">
        <v>0.82288538356744834</v>
      </c>
      <c r="Q88" s="440">
        <v>1613020.39347</v>
      </c>
      <c r="S88" s="440">
        <f t="shared" ref="S88:S94" si="65">Q88-N88</f>
        <v>-1025565.9746699999</v>
      </c>
      <c r="T88" s="444">
        <f t="shared" ref="T88:T96" si="66">S88/N88</f>
        <v>-0.38868008531134224</v>
      </c>
      <c r="V88" s="178">
        <v>0.81578258288824024</v>
      </c>
      <c r="W88" s="440">
        <v>408808.00326000014</v>
      </c>
      <c r="Y88" s="178">
        <v>0.79581831095135491</v>
      </c>
      <c r="Z88" s="440">
        <v>359931.63710000005</v>
      </c>
      <c r="AB88" s="440">
        <f t="shared" ref="AB88:AB94" si="67">Z88-W88</f>
        <v>-48876.366160000092</v>
      </c>
      <c r="AC88" s="444">
        <f t="shared" ref="AC88:AC96" si="68">AB88/W88</f>
        <v>-0.11955824193812305</v>
      </c>
    </row>
    <row r="89" spans="1:29">
      <c r="A89" s="492" t="s">
        <v>55</v>
      </c>
      <c r="B89" s="524"/>
      <c r="D89" s="178"/>
      <c r="E89" s="440">
        <v>1037.3063400000001</v>
      </c>
      <c r="G89" s="178"/>
      <c r="H89" s="440">
        <v>998.46060000000034</v>
      </c>
      <c r="J89" s="440">
        <f t="shared" si="63"/>
        <v>-38.845739999999751</v>
      </c>
      <c r="K89" s="444">
        <f t="shared" si="64"/>
        <v>-3.7448667285692815E-2</v>
      </c>
      <c r="M89" s="178"/>
      <c r="N89" s="440">
        <v>4293.5751899999996</v>
      </c>
      <c r="P89" s="178"/>
      <c r="Q89" s="440">
        <v>3993.9151600000005</v>
      </c>
      <c r="S89" s="440">
        <f t="shared" si="65"/>
        <v>-299.6600299999991</v>
      </c>
      <c r="T89" s="444">
        <f t="shared" si="66"/>
        <v>-6.9792659203436275E-2</v>
      </c>
      <c r="V89" s="178"/>
      <c r="W89" s="440">
        <v>918.46060000000034</v>
      </c>
      <c r="Y89" s="178"/>
      <c r="Z89" s="440">
        <v>998.46060000000034</v>
      </c>
      <c r="AB89" s="440">
        <f t="shared" si="67"/>
        <v>80</v>
      </c>
      <c r="AC89" s="444">
        <f t="shared" si="68"/>
        <v>8.7102266553404653E-2</v>
      </c>
    </row>
    <row r="90" spans="1:29">
      <c r="A90" s="524"/>
      <c r="B90" s="524" t="s">
        <v>60</v>
      </c>
      <c r="D90" s="178">
        <v>2.3712218370307358E-2</v>
      </c>
      <c r="E90" s="440">
        <v>19044.644700000012</v>
      </c>
      <c r="G90" s="178">
        <v>1.7205821741055505E-2</v>
      </c>
      <c r="H90" s="440">
        <v>7810.6881700000004</v>
      </c>
      <c r="J90" s="440">
        <f t="shared" si="63"/>
        <v>-11233.95653000001</v>
      </c>
      <c r="K90" s="444">
        <f t="shared" si="64"/>
        <v>-0.58987482869659436</v>
      </c>
      <c r="M90" s="178">
        <v>2.4904345877377186E-2</v>
      </c>
      <c r="N90" s="440">
        <v>79533.48947</v>
      </c>
      <c r="P90" s="178">
        <v>1.6885964160643852E-2</v>
      </c>
      <c r="Q90" s="440">
        <v>33182.117610000001</v>
      </c>
      <c r="S90" s="440">
        <f t="shared" si="65"/>
        <v>-46351.371859999999</v>
      </c>
      <c r="T90" s="444">
        <f t="shared" si="66"/>
        <v>-0.58279062277889515</v>
      </c>
      <c r="V90" s="178">
        <v>1.3100250360019989E-2</v>
      </c>
      <c r="W90" s="440">
        <v>6578.3819199999998</v>
      </c>
      <c r="Y90" s="178">
        <v>1.7205821741055505E-2</v>
      </c>
      <c r="Z90" s="440">
        <v>7810.6881700000004</v>
      </c>
      <c r="AB90" s="440">
        <f t="shared" si="67"/>
        <v>1232.3062500000005</v>
      </c>
      <c r="AC90" s="444">
        <f t="shared" si="68"/>
        <v>0.18732665038091928</v>
      </c>
    </row>
    <row r="91" spans="1:29">
      <c r="A91" s="524"/>
      <c r="B91" s="524" t="s">
        <v>58</v>
      </c>
      <c r="D91" s="178">
        <v>6.3368330739375298E-2</v>
      </c>
      <c r="E91" s="440">
        <v>-567.62925000000007</v>
      </c>
      <c r="G91" s="178">
        <v>-0.2176598382026986</v>
      </c>
      <c r="H91" s="440">
        <v>365.11741999999958</v>
      </c>
      <c r="J91" s="440">
        <f t="shared" si="63"/>
        <v>932.74666999999965</v>
      </c>
      <c r="K91" s="444">
        <f t="shared" si="64"/>
        <v>-1.6432322153941143</v>
      </c>
      <c r="M91" s="178">
        <v>6.4636717168790367E-2</v>
      </c>
      <c r="N91" s="440">
        <v>-2440.2277100000001</v>
      </c>
      <c r="P91" s="178">
        <v>-0.43560821703023317</v>
      </c>
      <c r="Q91" s="440">
        <v>2121.57926</v>
      </c>
      <c r="S91" s="440">
        <f t="shared" si="65"/>
        <v>4561.8069699999996</v>
      </c>
      <c r="T91" s="444">
        <f t="shared" si="66"/>
        <v>-1.8694185593032215</v>
      </c>
      <c r="V91" s="178">
        <v>-1.6789951479668235</v>
      </c>
      <c r="W91" s="440">
        <v>1734.8067600000002</v>
      </c>
      <c r="Y91" s="178">
        <v>-0.2176598382026986</v>
      </c>
      <c r="Z91" s="440">
        <v>365.11741999999958</v>
      </c>
      <c r="AB91" s="440">
        <f t="shared" si="67"/>
        <v>-1369.6893400000006</v>
      </c>
      <c r="AC91" s="444">
        <f t="shared" si="68"/>
        <v>-0.78953424184259025</v>
      </c>
    </row>
    <row r="92" spans="1:29">
      <c r="A92" s="524"/>
      <c r="B92" s="524" t="s">
        <v>59</v>
      </c>
      <c r="D92" s="180">
        <v>0.12127152819999953</v>
      </c>
      <c r="E92" s="440">
        <v>97400.130630000029</v>
      </c>
      <c r="G92" s="180">
        <v>0.15382640863231076</v>
      </c>
      <c r="H92" s="440">
        <v>69830.440430000017</v>
      </c>
      <c r="J92" s="440">
        <f t="shared" si="63"/>
        <v>-27569.690200000012</v>
      </c>
      <c r="K92" s="444">
        <f t="shared" si="64"/>
        <v>-0.2830559879301468</v>
      </c>
      <c r="M92" s="180">
        <v>9.8132236200923581E-2</v>
      </c>
      <c r="N92" s="440">
        <v>313391.05283000006</v>
      </c>
      <c r="P92" s="180">
        <v>0.13642553653644415</v>
      </c>
      <c r="Q92" s="440">
        <v>268085.85848538449</v>
      </c>
      <c r="S92" s="440">
        <f t="shared" si="65"/>
        <v>-45305.194344615564</v>
      </c>
      <c r="T92" s="444">
        <f t="shared" si="66"/>
        <v>-0.14456441540209353</v>
      </c>
      <c r="V92" s="180">
        <v>0.13564268738159854</v>
      </c>
      <c r="W92" s="440">
        <v>68113.919789999985</v>
      </c>
      <c r="Y92" s="180">
        <v>0.15382640863231076</v>
      </c>
      <c r="Z92" s="440">
        <v>69830.440430000017</v>
      </c>
      <c r="AB92" s="440">
        <f t="shared" si="67"/>
        <v>1716.5206400000316</v>
      </c>
      <c r="AC92" s="444">
        <f t="shared" si="68"/>
        <v>2.5200732027934755E-2</v>
      </c>
    </row>
    <row r="93" spans="1:29">
      <c r="A93" s="492" t="s">
        <v>56</v>
      </c>
      <c r="B93" s="524"/>
      <c r="D93" s="180">
        <v>0.14590427013214208</v>
      </c>
      <c r="E93" s="443">
        <f>SUM(E90:E92)</f>
        <v>115877.14608000003</v>
      </c>
      <c r="G93" s="180">
        <v>0.17247386045713139</v>
      </c>
      <c r="H93" s="443">
        <f>SUM(H90:H92)</f>
        <v>78006.246020000021</v>
      </c>
      <c r="J93" s="443">
        <f t="shared" si="63"/>
        <v>-37870.900060000014</v>
      </c>
      <c r="K93" s="444">
        <f t="shared" si="64"/>
        <v>-0.32681940607904214</v>
      </c>
      <c r="M93" s="180">
        <v>0.12373522079638538</v>
      </c>
      <c r="N93" s="443">
        <f>SUM(N90:N92)</f>
        <v>390484.31459000008</v>
      </c>
      <c r="P93" s="180">
        <v>0.15477475154043452</v>
      </c>
      <c r="Q93" s="443">
        <f>SUM(Q90:Q92)</f>
        <v>303389.55535538448</v>
      </c>
      <c r="S93" s="443">
        <f t="shared" si="65"/>
        <v>-87094.759234615602</v>
      </c>
      <c r="T93" s="444">
        <f t="shared" si="66"/>
        <v>-0.22304291358300316</v>
      </c>
      <c r="V93" s="180">
        <v>0.15251145636374269</v>
      </c>
      <c r="W93" s="443">
        <f>SUM(W90:W92)</f>
        <v>76427.108469999977</v>
      </c>
      <c r="Y93" s="180">
        <v>0.17247386045713139</v>
      </c>
      <c r="Z93" s="443">
        <f>SUM(Z90:Z92)</f>
        <v>78006.246020000021</v>
      </c>
      <c r="AB93" s="443">
        <f t="shared" si="67"/>
        <v>1579.1375500000431</v>
      </c>
      <c r="AC93" s="444">
        <f t="shared" si="68"/>
        <v>2.066200830586053E-2</v>
      </c>
    </row>
    <row r="94" spans="1:29">
      <c r="A94" s="524"/>
      <c r="B94" s="524" t="s">
        <v>57</v>
      </c>
      <c r="E94" s="443">
        <f>SUM(E88:E92)</f>
        <v>787525.07503000018</v>
      </c>
      <c r="H94" s="443">
        <f>SUM(H88:H92)</f>
        <v>438936.34372000006</v>
      </c>
      <c r="J94" s="443">
        <f t="shared" si="63"/>
        <v>-348588.73131000012</v>
      </c>
      <c r="K94" s="444">
        <f t="shared" si="64"/>
        <v>-0.44263826303780979</v>
      </c>
      <c r="N94" s="443">
        <f>SUM(N88:N92)</f>
        <v>3033364.2579199998</v>
      </c>
      <c r="Q94" s="443">
        <f>SUM(Q88:Q92)</f>
        <v>1920403.8639853848</v>
      </c>
      <c r="S94" s="443">
        <f t="shared" si="65"/>
        <v>-1112960.393934615</v>
      </c>
      <c r="T94" s="444">
        <f t="shared" si="66"/>
        <v>-0.36690627939876236</v>
      </c>
      <c r="W94" s="443">
        <f>SUM(W88:W92)</f>
        <v>486153.57233000011</v>
      </c>
      <c r="Z94" s="443">
        <f>SUM(Z88:Z92)</f>
        <v>438936.34372000006</v>
      </c>
      <c r="AB94" s="443">
        <f t="shared" si="67"/>
        <v>-47217.228610000049</v>
      </c>
      <c r="AC94" s="444">
        <f t="shared" si="68"/>
        <v>-9.7124100896144566E-2</v>
      </c>
    </row>
    <row r="95" spans="1:29">
      <c r="A95" s="524"/>
      <c r="B95" s="524"/>
      <c r="E95" s="162"/>
      <c r="H95" s="162"/>
      <c r="J95" s="162"/>
      <c r="K95" s="444"/>
      <c r="N95" s="162"/>
      <c r="Q95" s="162"/>
      <c r="S95" s="162"/>
      <c r="T95" s="444"/>
      <c r="W95" s="162">
        <v>0</v>
      </c>
      <c r="Z95" s="162">
        <v>0</v>
      </c>
      <c r="AB95" s="162"/>
      <c r="AC95" s="444"/>
    </row>
    <row r="96" spans="1:29" ht="13.5" thickBot="1">
      <c r="B96" s="310" t="s">
        <v>86</v>
      </c>
      <c r="E96" s="442">
        <f>E86-E94</f>
        <v>12963.12854000018</v>
      </c>
      <c r="H96" s="442">
        <f>H86-H94</f>
        <v>19803.556220000086</v>
      </c>
      <c r="J96" s="442">
        <f>H96-E96</f>
        <v>6840.4276799999061</v>
      </c>
      <c r="K96" s="444">
        <f t="shared" si="64"/>
        <v>0.52768339516903462</v>
      </c>
      <c r="N96" s="442">
        <f>N86-N94</f>
        <v>149071.13107000059</v>
      </c>
      <c r="Q96" s="442">
        <f>Q86-Q94</f>
        <v>67964.627964615356</v>
      </c>
      <c r="S96" s="442">
        <f>Q96-N96</f>
        <v>-81106.503105385229</v>
      </c>
      <c r="T96" s="444">
        <f t="shared" si="66"/>
        <v>-0.54407920918839314</v>
      </c>
      <c r="W96" s="442">
        <f>W86-W94</f>
        <v>21407.20416999975</v>
      </c>
      <c r="Z96" s="442">
        <f>Z86-Z94</f>
        <v>19803.556220000086</v>
      </c>
      <c r="AB96" s="442">
        <f>Z96-W96</f>
        <v>-1603.647949999664</v>
      </c>
      <c r="AC96" s="444">
        <f t="shared" si="68"/>
        <v>-7.4911601592842783E-2</v>
      </c>
    </row>
    <row r="97" spans="1:29" ht="13.5" thickTop="1">
      <c r="E97" s="163"/>
      <c r="H97" s="163"/>
      <c r="J97" s="163"/>
      <c r="N97" s="163"/>
      <c r="Q97" s="163"/>
      <c r="S97" s="163"/>
      <c r="W97" s="163"/>
      <c r="Z97" s="163"/>
      <c r="AB97" s="163"/>
    </row>
    <row r="98" spans="1:29" ht="15">
      <c r="A98" s="1" t="s">
        <v>162</v>
      </c>
      <c r="B98" s="516"/>
      <c r="E98" s="291"/>
      <c r="H98" s="291"/>
      <c r="J98" s="291"/>
      <c r="N98" s="291"/>
      <c r="Q98" s="291"/>
      <c r="S98" s="291"/>
      <c r="W98" s="291"/>
      <c r="Z98" s="291"/>
      <c r="AB98" s="291"/>
    </row>
    <row r="99" spans="1:29">
      <c r="A99" s="516" t="s">
        <v>1194</v>
      </c>
      <c r="B99" s="516"/>
      <c r="E99" s="292" t="s">
        <v>88</v>
      </c>
      <c r="H99" s="292" t="s">
        <v>88</v>
      </c>
      <c r="J99" s="292" t="s">
        <v>92</v>
      </c>
      <c r="N99" s="292" t="s">
        <v>39</v>
      </c>
      <c r="Q99" s="292" t="s">
        <v>39</v>
      </c>
      <c r="S99" s="292" t="s">
        <v>92</v>
      </c>
      <c r="W99" s="292" t="s">
        <v>89</v>
      </c>
      <c r="Z99" s="292" t="s">
        <v>88</v>
      </c>
      <c r="AB99" s="292" t="s">
        <v>92</v>
      </c>
    </row>
    <row r="100" spans="1:29">
      <c r="A100" s="518" t="s">
        <v>40</v>
      </c>
      <c r="E100" s="293">
        <v>2010</v>
      </c>
      <c r="H100" s="293">
        <v>2011</v>
      </c>
      <c r="J100" s="293" t="s">
        <v>93</v>
      </c>
      <c r="N100" s="293">
        <v>2010</v>
      </c>
      <c r="Q100" s="293">
        <v>2011</v>
      </c>
      <c r="S100" s="293" t="s">
        <v>93</v>
      </c>
      <c r="W100" s="293">
        <v>2011</v>
      </c>
      <c r="Z100" s="293">
        <v>2011</v>
      </c>
      <c r="AB100" s="293" t="s">
        <v>93</v>
      </c>
    </row>
    <row r="101" spans="1:29">
      <c r="E101" s="292"/>
      <c r="H101" s="292"/>
      <c r="J101" s="292"/>
      <c r="N101" s="292"/>
      <c r="Q101" s="292"/>
      <c r="S101" s="292"/>
      <c r="W101" s="292"/>
      <c r="Z101" s="292"/>
      <c r="AB101" s="292"/>
    </row>
    <row r="102" spans="1:29">
      <c r="A102" s="310" t="s">
        <v>160</v>
      </c>
      <c r="E102" s="440">
        <v>101702.5944</v>
      </c>
      <c r="H102" s="440">
        <v>91697.054069999998</v>
      </c>
      <c r="J102" s="440">
        <f t="shared" ref="J102:J107" si="69">H102-E102</f>
        <v>-10005.540330000003</v>
      </c>
      <c r="K102" s="444">
        <f t="shared" ref="K102:K107" si="70">J102/E102</f>
        <v>-9.8380384384766525E-2</v>
      </c>
      <c r="N102" s="440">
        <v>427722.14286000002</v>
      </c>
      <c r="Q102" s="440">
        <v>376653.86803999997</v>
      </c>
      <c r="S102" s="440">
        <f t="shared" ref="S102:S107" si="71">Q102-N102</f>
        <v>-51068.27482000005</v>
      </c>
      <c r="T102" s="444">
        <f t="shared" ref="T102:T107" si="72">S102/N102</f>
        <v>-0.11939591080912422</v>
      </c>
      <c r="W102" s="440">
        <v>91805.813969999988</v>
      </c>
      <c r="Z102" s="440">
        <v>91697.054069999998</v>
      </c>
      <c r="AB102" s="440">
        <f t="shared" ref="AB102:AB107" si="73">Z102-W102</f>
        <v>-108.75989999999001</v>
      </c>
      <c r="AC102" s="444">
        <f t="shared" ref="AC102:AC107" si="74">AB102/W102</f>
        <v>-1.1846733370887625E-3</v>
      </c>
    </row>
    <row r="103" spans="1:29">
      <c r="A103" s="310" t="s">
        <v>161</v>
      </c>
      <c r="E103" s="441">
        <v>-32519.292660000006</v>
      </c>
      <c r="H103" s="441">
        <v>-29049.484708169904</v>
      </c>
      <c r="J103" s="441">
        <f t="shared" si="69"/>
        <v>3469.807951830102</v>
      </c>
      <c r="K103" s="444">
        <f t="shared" si="70"/>
        <v>-0.10669998231843771</v>
      </c>
      <c r="N103" s="441">
        <v>-137869.90696000002</v>
      </c>
      <c r="Q103" s="441">
        <v>-117334.43896816991</v>
      </c>
      <c r="S103" s="441">
        <f t="shared" si="71"/>
        <v>20535.467991830112</v>
      </c>
      <c r="T103" s="444">
        <f t="shared" si="72"/>
        <v>-0.1489481529699446</v>
      </c>
      <c r="W103" s="441">
        <v>-27501.954259999999</v>
      </c>
      <c r="Z103" s="441">
        <v>-29049.484708169904</v>
      </c>
      <c r="AB103" s="441">
        <f t="shared" si="73"/>
        <v>-1547.5304481699059</v>
      </c>
      <c r="AC103" s="444">
        <f t="shared" si="74"/>
        <v>5.6269835719300117E-2</v>
      </c>
    </row>
    <row r="104" spans="1:29">
      <c r="B104" s="524" t="s">
        <v>49</v>
      </c>
      <c r="E104" s="440">
        <f>SUM(E102:E103)</f>
        <v>69183.301739999995</v>
      </c>
      <c r="H104" s="440">
        <f>SUM(H102:H103)</f>
        <v>62647.569361830094</v>
      </c>
      <c r="J104" s="440">
        <f t="shared" si="69"/>
        <v>-6535.7323781699015</v>
      </c>
      <c r="K104" s="444">
        <f t="shared" si="70"/>
        <v>-9.4469795655779037E-2</v>
      </c>
      <c r="N104" s="440">
        <f>SUM(N102:N103)</f>
        <v>289852.23589999997</v>
      </c>
      <c r="Q104" s="440">
        <f>SUM(Q102:Q103)</f>
        <v>259319.42907183006</v>
      </c>
      <c r="S104" s="440">
        <f t="shared" si="71"/>
        <v>-30532.806828169909</v>
      </c>
      <c r="T104" s="444">
        <f t="shared" si="72"/>
        <v>-0.10533921442201272</v>
      </c>
      <c r="W104" s="440">
        <f>SUM(W102:W103)</f>
        <v>64303.85970999999</v>
      </c>
      <c r="Z104" s="440">
        <f>SUM(Z102:Z103)</f>
        <v>62647.569361830094</v>
      </c>
      <c r="AB104" s="440">
        <f t="shared" si="73"/>
        <v>-1656.2903481698959</v>
      </c>
      <c r="AC104" s="444">
        <f t="shared" si="74"/>
        <v>-2.5757246231244868E-2</v>
      </c>
    </row>
    <row r="105" spans="1:29">
      <c r="A105" s="310" t="s">
        <v>50</v>
      </c>
      <c r="B105" s="524"/>
      <c r="E105" s="440">
        <v>3938.3534700000009</v>
      </c>
      <c r="H105" s="440">
        <v>4947.4686899999997</v>
      </c>
      <c r="J105" s="440">
        <f t="shared" si="69"/>
        <v>1009.1152199999988</v>
      </c>
      <c r="K105" s="444">
        <f t="shared" si="70"/>
        <v>0.25622769202582485</v>
      </c>
      <c r="N105" s="440">
        <v>14891.38006</v>
      </c>
      <c r="Q105" s="440">
        <v>21029.826080000003</v>
      </c>
      <c r="S105" s="440">
        <f t="shared" si="71"/>
        <v>6138.446020000003</v>
      </c>
      <c r="T105" s="444">
        <f t="shared" si="72"/>
        <v>0.41221471718988573</v>
      </c>
      <c r="W105" s="440">
        <v>5349.3884200000002</v>
      </c>
      <c r="Z105" s="440">
        <v>4947.4686899999997</v>
      </c>
      <c r="AB105" s="440">
        <f t="shared" si="73"/>
        <v>-401.91973000000053</v>
      </c>
      <c r="AC105" s="444">
        <f t="shared" si="74"/>
        <v>-7.5133772020989364E-2</v>
      </c>
    </row>
    <row r="106" spans="1:29">
      <c r="A106" s="310" t="s">
        <v>51</v>
      </c>
      <c r="B106" s="524"/>
      <c r="E106" s="441">
        <v>1392.4865699999993</v>
      </c>
      <c r="H106" s="441">
        <v>281.27746999999994</v>
      </c>
      <c r="J106" s="441">
        <f t="shared" si="69"/>
        <v>-1111.2090999999994</v>
      </c>
      <c r="K106" s="444">
        <f t="shared" si="70"/>
        <v>-0.79800345937986306</v>
      </c>
      <c r="N106" s="441">
        <v>2706.9279099999994</v>
      </c>
      <c r="Q106" s="441">
        <v>734.62778000000003</v>
      </c>
      <c r="S106" s="441">
        <f t="shared" si="71"/>
        <v>-1972.3001299999994</v>
      </c>
      <c r="T106" s="444">
        <f t="shared" si="72"/>
        <v>-0.72861198952283879</v>
      </c>
      <c r="W106" s="441">
        <v>222.68202000000002</v>
      </c>
      <c r="Z106" s="441">
        <v>281.27746999999994</v>
      </c>
      <c r="AB106" s="441">
        <f t="shared" si="73"/>
        <v>58.595449999999914</v>
      </c>
      <c r="AC106" s="444">
        <f t="shared" si="74"/>
        <v>0.26313507484798238</v>
      </c>
    </row>
    <row r="107" spans="1:29">
      <c r="B107" s="524" t="s">
        <v>52</v>
      </c>
      <c r="E107" s="443">
        <f>SUM(E104:E106)</f>
        <v>74514.141779999991</v>
      </c>
      <c r="H107" s="443">
        <f>SUM(H104:H106)</f>
        <v>67876.315521830096</v>
      </c>
      <c r="J107" s="443">
        <f t="shared" si="69"/>
        <v>-6637.8262581698946</v>
      </c>
      <c r="K107" s="444">
        <f t="shared" si="70"/>
        <v>-8.9081429371726639E-2</v>
      </c>
      <c r="N107" s="443">
        <f>SUM(N104:N106)</f>
        <v>307450.54386999999</v>
      </c>
      <c r="Q107" s="443">
        <f>SUM(Q104:Q106)</f>
        <v>281083.88293183007</v>
      </c>
      <c r="S107" s="443">
        <f t="shared" si="71"/>
        <v>-26366.660938169924</v>
      </c>
      <c r="T107" s="444">
        <f t="shared" si="72"/>
        <v>-8.5759031700781765E-2</v>
      </c>
      <c r="W107" s="443">
        <f>SUM(W104:W106)</f>
        <v>69875.930149999986</v>
      </c>
      <c r="Z107" s="443">
        <f>SUM(Z104:Z106)</f>
        <v>67876.315521830096</v>
      </c>
      <c r="AB107" s="443">
        <f t="shared" si="73"/>
        <v>-1999.6146281698893</v>
      </c>
      <c r="AC107" s="444">
        <f t="shared" si="74"/>
        <v>-2.8616644155968918E-2</v>
      </c>
    </row>
    <row r="108" spans="1:29">
      <c r="B108" s="524"/>
      <c r="E108" s="440"/>
      <c r="H108" s="440"/>
      <c r="J108" s="440"/>
      <c r="K108" s="444"/>
      <c r="N108" s="440"/>
      <c r="Q108" s="440"/>
      <c r="S108" s="440"/>
      <c r="T108" s="444"/>
      <c r="W108" s="440"/>
      <c r="Z108" s="440"/>
      <c r="AB108" s="440"/>
      <c r="AC108" s="444"/>
    </row>
    <row r="109" spans="1:29">
      <c r="A109" s="310" t="s">
        <v>53</v>
      </c>
      <c r="D109" s="178">
        <v>0.7928304144276882</v>
      </c>
      <c r="E109" s="440">
        <v>54850.625789999998</v>
      </c>
      <c r="G109" s="178">
        <v>0.76199070732160024</v>
      </c>
      <c r="H109" s="440">
        <v>47736.865689999926</v>
      </c>
      <c r="J109" s="440">
        <f t="shared" ref="J109:J116" si="75">H109-E109</f>
        <v>-7113.7601000000723</v>
      </c>
      <c r="K109" s="444">
        <f t="shared" ref="K109:K116" si="76">J109/E109</f>
        <v>-0.12969332614792164</v>
      </c>
      <c r="M109" s="178">
        <v>0.76616260205981723</v>
      </c>
      <c r="N109" s="440">
        <v>222073.94326999999</v>
      </c>
      <c r="P109" s="178">
        <v>0.77048838856827695</v>
      </c>
      <c r="Q109" s="440">
        <v>199802.60902999993</v>
      </c>
      <c r="S109" s="440">
        <f t="shared" ref="S109:S116" si="77">Q109-N109</f>
        <v>-22271.334240000055</v>
      </c>
      <c r="T109" s="444">
        <f t="shared" ref="T109:T116" si="78">S109/N109</f>
        <v>-0.10028792172579346</v>
      </c>
      <c r="V109" s="178">
        <v>0.73807653854748712</v>
      </c>
      <c r="W109" s="440">
        <v>47461.170190000012</v>
      </c>
      <c r="Y109" s="178">
        <v>0.76199070732160024</v>
      </c>
      <c r="Z109" s="440">
        <v>47736.865689999926</v>
      </c>
      <c r="AB109" s="440">
        <f t="shared" ref="AB109:AB116" si="79">Z109-W109</f>
        <v>275.69549999991432</v>
      </c>
      <c r="AC109" s="444">
        <f t="shared" ref="AC109:AC116" si="80">AB109/W109</f>
        <v>5.8088643599858584E-3</v>
      </c>
    </row>
    <row r="110" spans="1:29">
      <c r="A110" s="310" t="s">
        <v>54</v>
      </c>
      <c r="D110" s="178"/>
      <c r="E110" s="440">
        <v>2120.8890000000001</v>
      </c>
      <c r="G110" s="178"/>
      <c r="H110" s="440">
        <v>1003.5339799999981</v>
      </c>
      <c r="J110" s="440">
        <f t="shared" si="75"/>
        <v>-1117.355020000002</v>
      </c>
      <c r="K110" s="444">
        <f t="shared" si="76"/>
        <v>-0.52683333262608367</v>
      </c>
      <c r="M110" s="178"/>
      <c r="N110" s="440">
        <v>5647.868449999999</v>
      </c>
      <c r="P110" s="178"/>
      <c r="Q110" s="440">
        <v>3237.1631399999987</v>
      </c>
      <c r="S110" s="440">
        <f t="shared" si="77"/>
        <v>-2410.7053100000003</v>
      </c>
      <c r="T110" s="444">
        <f t="shared" si="78"/>
        <v>-0.42683453613371619</v>
      </c>
      <c r="V110" s="178"/>
      <c r="W110" s="440">
        <v>87.368140000001631</v>
      </c>
      <c r="Y110" s="178"/>
      <c r="Z110" s="440">
        <v>1003.5339799999981</v>
      </c>
      <c r="AB110" s="440">
        <f t="shared" si="79"/>
        <v>916.16583999999648</v>
      </c>
      <c r="AC110" s="444">
        <f t="shared" si="80"/>
        <v>10.486269251010487</v>
      </c>
    </row>
    <row r="111" spans="1:29">
      <c r="A111" s="492" t="s">
        <v>55</v>
      </c>
      <c r="B111" s="524"/>
      <c r="D111" s="178"/>
      <c r="E111" s="440">
        <v>725.61692999999991</v>
      </c>
      <c r="G111" s="178"/>
      <c r="H111" s="440">
        <v>90.687513306901039</v>
      </c>
      <c r="J111" s="440">
        <f t="shared" si="75"/>
        <v>-634.92941669309891</v>
      </c>
      <c r="K111" s="444">
        <f t="shared" si="76"/>
        <v>-0.87502012486546998</v>
      </c>
      <c r="M111" s="178"/>
      <c r="N111" s="440">
        <v>2728.9734399999998</v>
      </c>
      <c r="P111" s="178"/>
      <c r="Q111" s="440">
        <v>417.77640330690099</v>
      </c>
      <c r="S111" s="440">
        <f t="shared" si="77"/>
        <v>-2311.1970366930987</v>
      </c>
      <c r="T111" s="444">
        <f t="shared" si="78"/>
        <v>-0.84691078440583833</v>
      </c>
      <c r="V111" s="178"/>
      <c r="W111" s="440">
        <v>22.106629999999946</v>
      </c>
      <c r="Y111" s="178"/>
      <c r="Z111" s="440">
        <v>90.687513306901039</v>
      </c>
      <c r="AB111" s="440">
        <f t="shared" si="79"/>
        <v>68.580883306901086</v>
      </c>
      <c r="AC111" s="444">
        <f t="shared" si="80"/>
        <v>3.1022767064406134</v>
      </c>
    </row>
    <row r="112" spans="1:29">
      <c r="A112" s="524"/>
      <c r="B112" s="524" t="s">
        <v>60</v>
      </c>
      <c r="D112" s="178">
        <v>0.10529651650656414</v>
      </c>
      <c r="E112" s="440">
        <v>10708.928909999999</v>
      </c>
      <c r="G112" s="178">
        <v>6.0856420051837737E-2</v>
      </c>
      <c r="H112" s="440">
        <v>5580.3544399999973</v>
      </c>
      <c r="J112" s="440">
        <f t="shared" si="75"/>
        <v>-5128.5744700000014</v>
      </c>
      <c r="K112" s="444">
        <f t="shared" si="76"/>
        <v>-0.47890638859418871</v>
      </c>
      <c r="M112" s="178">
        <v>0.10706264979362728</v>
      </c>
      <c r="N112" s="440">
        <v>45793.065990000003</v>
      </c>
      <c r="P112" s="178">
        <v>7.2625803851017315E-2</v>
      </c>
      <c r="Q112" s="440">
        <v>27354.789939999999</v>
      </c>
      <c r="S112" s="440">
        <f t="shared" si="77"/>
        <v>-18438.276050000004</v>
      </c>
      <c r="T112" s="444">
        <f t="shared" si="78"/>
        <v>-0.4026434057511335</v>
      </c>
      <c r="V112" s="178">
        <v>6.0644421406898449E-2</v>
      </c>
      <c r="W112" s="440">
        <v>5567.5104700000038</v>
      </c>
      <c r="Y112" s="180">
        <v>6.0856420051837737E-2</v>
      </c>
      <c r="Z112" s="440">
        <v>5580.3544399999973</v>
      </c>
      <c r="AB112" s="440">
        <f t="shared" si="79"/>
        <v>12.843969999993533</v>
      </c>
      <c r="AC112" s="444">
        <f t="shared" si="80"/>
        <v>2.3069503091555973E-3</v>
      </c>
    </row>
    <row r="113" spans="1:29">
      <c r="A113" s="524"/>
      <c r="B113" s="524" t="s">
        <v>58</v>
      </c>
      <c r="D113" s="178">
        <v>0.14246317465873187</v>
      </c>
      <c r="E113" s="440">
        <v>-4632.801669999998</v>
      </c>
      <c r="G113" s="178">
        <v>-4.2777716454657437E-2</v>
      </c>
      <c r="H113" s="440">
        <v>1242.6706199999994</v>
      </c>
      <c r="J113" s="440">
        <f t="shared" si="75"/>
        <v>5875.4722899999979</v>
      </c>
      <c r="K113" s="444">
        <f t="shared" si="76"/>
        <v>-1.2682330711558392</v>
      </c>
      <c r="M113" s="178">
        <v>0.14454391824447779</v>
      </c>
      <c r="N113" s="440">
        <v>-19928.256560000002</v>
      </c>
      <c r="P113" s="178">
        <v>-1.0288627197744447E-2</v>
      </c>
      <c r="Q113" s="440">
        <v>1207.2102999999988</v>
      </c>
      <c r="S113" s="440">
        <f t="shared" si="77"/>
        <v>21135.46686</v>
      </c>
      <c r="T113" s="444">
        <f t="shared" si="78"/>
        <v>-1.0605778180527399</v>
      </c>
      <c r="V113" s="178">
        <v>-0.12106699285885583</v>
      </c>
      <c r="W113" s="440">
        <v>3329.5788999999995</v>
      </c>
      <c r="Y113" s="180">
        <v>1.9835895193679034E-2</v>
      </c>
      <c r="Z113" s="440">
        <v>1242.6706199999994</v>
      </c>
      <c r="AB113" s="440">
        <f t="shared" si="79"/>
        <v>-2086.9082800000001</v>
      </c>
      <c r="AC113" s="444">
        <f t="shared" si="80"/>
        <v>-0.62677844336411448</v>
      </c>
    </row>
    <row r="114" spans="1:29">
      <c r="A114" s="524"/>
      <c r="B114" s="524" t="s">
        <v>59</v>
      </c>
      <c r="D114" s="180">
        <v>0.1105427131561946</v>
      </c>
      <c r="E114" s="441">
        <v>11242.480720000003</v>
      </c>
      <c r="G114" s="180">
        <v>8.3251266438422455E-2</v>
      </c>
      <c r="H114" s="441">
        <v>7633.89588</v>
      </c>
      <c r="J114" s="441">
        <f t="shared" si="75"/>
        <v>-3608.5848400000032</v>
      </c>
      <c r="K114" s="444">
        <f t="shared" si="76"/>
        <v>-0.3209776320612629</v>
      </c>
      <c r="M114" s="180">
        <v>0.11682216428143889</v>
      </c>
      <c r="N114" s="441">
        <v>49967.426439999996</v>
      </c>
      <c r="P114" s="180">
        <v>9.5304575091175806E-2</v>
      </c>
      <c r="Q114" s="441">
        <v>35896.83685</v>
      </c>
      <c r="S114" s="441">
        <f t="shared" si="77"/>
        <v>-14070.589589999996</v>
      </c>
      <c r="T114" s="444">
        <f t="shared" si="78"/>
        <v>-0.28159524299086547</v>
      </c>
      <c r="V114" s="180">
        <v>7.3278567326883634E-2</v>
      </c>
      <c r="W114" s="441">
        <v>6727.3985199999979</v>
      </c>
      <c r="Z114" s="441">
        <v>7633.89588</v>
      </c>
      <c r="AB114" s="441">
        <f t="shared" si="79"/>
        <v>906.49736000000212</v>
      </c>
      <c r="AC114" s="444">
        <f t="shared" si="80"/>
        <v>0.13474708794269594</v>
      </c>
    </row>
    <row r="115" spans="1:29">
      <c r="A115" s="492" t="s">
        <v>56</v>
      </c>
      <c r="B115" s="524"/>
      <c r="D115" s="180">
        <v>0.25032930670301956</v>
      </c>
      <c r="E115" s="441">
        <f>SUM(E112:E114)</f>
        <v>17318.607960000005</v>
      </c>
      <c r="G115" s="180">
        <v>0.23076587148181216</v>
      </c>
      <c r="H115" s="441">
        <f>SUM(H112:H114)</f>
        <v>14456.920939999996</v>
      </c>
      <c r="J115" s="441">
        <f t="shared" si="75"/>
        <v>-2861.6870200000085</v>
      </c>
      <c r="K115" s="444">
        <f t="shared" si="76"/>
        <v>-0.16523770424329229</v>
      </c>
      <c r="M115" s="180">
        <v>0.26162377403968817</v>
      </c>
      <c r="N115" s="441">
        <f>SUM(N112:N114)</f>
        <v>75832.235870000004</v>
      </c>
      <c r="P115" s="180">
        <v>0.24856925422331258</v>
      </c>
      <c r="Q115" s="441">
        <f>SUM(Q112:Q114)</f>
        <v>64458.837090000001</v>
      </c>
      <c r="S115" s="441">
        <f t="shared" si="77"/>
        <v>-11373.398780000003</v>
      </c>
      <c r="T115" s="444">
        <f t="shared" si="78"/>
        <v>-0.14998105554341745</v>
      </c>
      <c r="V115" s="180">
        <v>0.24297900562211841</v>
      </c>
      <c r="W115" s="441">
        <f>SUM(W112:W114)</f>
        <v>15624.48789</v>
      </c>
      <c r="Z115" s="441">
        <f>SUM(Z112:Z114)</f>
        <v>14456.920939999996</v>
      </c>
      <c r="AB115" s="441">
        <f t="shared" si="79"/>
        <v>-1167.566950000004</v>
      </c>
      <c r="AC115" s="444">
        <f t="shared" si="80"/>
        <v>-7.4726733971695242E-2</v>
      </c>
    </row>
    <row r="116" spans="1:29">
      <c r="A116" s="524"/>
      <c r="B116" s="524" t="s">
        <v>57</v>
      </c>
      <c r="E116" s="443">
        <f>SUM(E109:E114)</f>
        <v>75015.739679999999</v>
      </c>
      <c r="H116" s="443">
        <f>SUM(H109:H114)</f>
        <v>63288.008123306819</v>
      </c>
      <c r="J116" s="443">
        <f t="shared" si="75"/>
        <v>-11727.731556693179</v>
      </c>
      <c r="K116" s="444">
        <f t="shared" si="76"/>
        <v>-0.15633694484278901</v>
      </c>
      <c r="N116" s="443">
        <f>SUM(N109:N114)</f>
        <v>306283.02103</v>
      </c>
      <c r="Q116" s="443">
        <f>SUM(Q109:Q114)</f>
        <v>267916.38566330681</v>
      </c>
      <c r="S116" s="443">
        <f t="shared" si="77"/>
        <v>-38366.635366693197</v>
      </c>
      <c r="T116" s="444">
        <f t="shared" si="78"/>
        <v>-0.12526530278325562</v>
      </c>
      <c r="W116" s="443">
        <f>SUM(W109:W114)</f>
        <v>63195.132850000009</v>
      </c>
      <c r="Z116" s="443">
        <f>SUM(Z109:Z114)</f>
        <v>63288.008123306819</v>
      </c>
      <c r="AB116" s="443">
        <f t="shared" si="79"/>
        <v>92.875273306810413</v>
      </c>
      <c r="AC116" s="444">
        <f t="shared" si="80"/>
        <v>1.4696586448715789E-3</v>
      </c>
    </row>
    <row r="117" spans="1:29">
      <c r="A117" s="524"/>
      <c r="B117" s="524"/>
      <c r="E117" s="162"/>
      <c r="H117" s="162"/>
      <c r="J117" s="162"/>
      <c r="K117" s="444"/>
      <c r="N117" s="162"/>
      <c r="Q117" s="162"/>
      <c r="S117" s="162"/>
      <c r="T117" s="444"/>
      <c r="W117" s="162"/>
      <c r="Z117" s="162"/>
      <c r="AB117" s="162"/>
      <c r="AC117" s="444"/>
    </row>
    <row r="118" spans="1:29" ht="13.5" thickBot="1">
      <c r="B118" s="310" t="s">
        <v>86</v>
      </c>
      <c r="E118" s="442">
        <f>E107-E116</f>
        <v>-501.59790000000794</v>
      </c>
      <c r="H118" s="442">
        <f>H107-H116</f>
        <v>4588.3073985232768</v>
      </c>
      <c r="J118" s="442">
        <f>H118-E118</f>
        <v>5089.9052985232847</v>
      </c>
      <c r="K118" s="444">
        <f t="shared" ref="K118" si="81">J118/E118</f>
        <v>-10.147381594945282</v>
      </c>
      <c r="N118" s="442">
        <f>N107-N116</f>
        <v>1167.5228399999905</v>
      </c>
      <c r="Q118" s="442">
        <f>Q107-Q116</f>
        <v>13167.497268523264</v>
      </c>
      <c r="S118" s="442">
        <f>Q118-N118</f>
        <v>11999.974428523274</v>
      </c>
      <c r="T118" s="444">
        <f t="shared" ref="T118" si="82">S118/N118</f>
        <v>10.278149615063095</v>
      </c>
      <c r="W118" s="442">
        <f>W107-W116</f>
        <v>6680.7972999999765</v>
      </c>
      <c r="Z118" s="442">
        <f>Z107-Z116</f>
        <v>4588.3073985232768</v>
      </c>
      <c r="AB118" s="442">
        <f>Z118-W118</f>
        <v>-2092.4899014766997</v>
      </c>
      <c r="AC118" s="444">
        <f t="shared" ref="AC118" si="83">AB118/W118</f>
        <v>-0.31320960770306666</v>
      </c>
    </row>
    <row r="119" spans="1:29" ht="13.5" thickTop="1">
      <c r="E119" s="290"/>
      <c r="H119" s="290"/>
      <c r="J119" s="290"/>
      <c r="N119" s="290"/>
      <c r="Q119" s="290"/>
      <c r="S119" s="290"/>
      <c r="W119" s="290">
        <v>0</v>
      </c>
      <c r="Z119" s="290">
        <v>0</v>
      </c>
      <c r="AB119" s="290"/>
    </row>
    <row r="120" spans="1:29" ht="15">
      <c r="A120" s="1" t="s">
        <v>294</v>
      </c>
      <c r="B120" s="516"/>
      <c r="E120" s="294"/>
      <c r="H120" s="294"/>
      <c r="J120" s="294"/>
      <c r="N120" s="294"/>
      <c r="Q120" s="294"/>
      <c r="S120" s="294"/>
      <c r="W120" s="294"/>
      <c r="Z120" s="294"/>
      <c r="AB120" s="294"/>
    </row>
    <row r="121" spans="1:29">
      <c r="A121" s="516" t="s">
        <v>1194</v>
      </c>
      <c r="B121" s="516"/>
      <c r="E121" s="292" t="s">
        <v>88</v>
      </c>
      <c r="H121" s="292" t="s">
        <v>88</v>
      </c>
      <c r="J121" s="292" t="s">
        <v>92</v>
      </c>
      <c r="N121" s="292" t="s">
        <v>39</v>
      </c>
      <c r="Q121" s="292" t="s">
        <v>39</v>
      </c>
      <c r="S121" s="292" t="s">
        <v>92</v>
      </c>
      <c r="W121" s="292" t="s">
        <v>89</v>
      </c>
      <c r="Z121" s="292" t="s">
        <v>88</v>
      </c>
      <c r="AB121" s="292" t="s">
        <v>92</v>
      </c>
    </row>
    <row r="122" spans="1:29">
      <c r="A122" s="518" t="s">
        <v>40</v>
      </c>
      <c r="E122" s="293">
        <v>2010</v>
      </c>
      <c r="H122" s="293">
        <v>2011</v>
      </c>
      <c r="J122" s="293" t="s">
        <v>93</v>
      </c>
      <c r="N122" s="293">
        <v>2010</v>
      </c>
      <c r="Q122" s="293">
        <v>2011</v>
      </c>
      <c r="S122" s="293" t="s">
        <v>93</v>
      </c>
      <c r="W122" s="293">
        <v>2011</v>
      </c>
      <c r="Z122" s="293">
        <v>2011</v>
      </c>
      <c r="AB122" s="293" t="s">
        <v>93</v>
      </c>
    </row>
    <row r="123" spans="1:29">
      <c r="E123" s="292"/>
      <c r="H123" s="292"/>
      <c r="J123" s="292"/>
      <c r="N123" s="292"/>
      <c r="Q123" s="292"/>
      <c r="S123" s="292"/>
      <c r="W123" s="292"/>
      <c r="Z123" s="292"/>
      <c r="AB123" s="292"/>
    </row>
    <row r="124" spans="1:29">
      <c r="A124" s="438" t="s">
        <v>296</v>
      </c>
      <c r="E124" s="440">
        <v>0</v>
      </c>
      <c r="H124" s="440">
        <v>849.99997999999994</v>
      </c>
      <c r="J124" s="440">
        <f t="shared" ref="J124:J129" si="84">H124-E124</f>
        <v>849.99997999999994</v>
      </c>
      <c r="K124" s="444" t="e">
        <f t="shared" ref="K124:K129" si="85">J124/E124</f>
        <v>#DIV/0!</v>
      </c>
      <c r="N124" s="440">
        <v>0</v>
      </c>
      <c r="Q124" s="440">
        <v>2285.2345555555557</v>
      </c>
      <c r="S124" s="440">
        <f t="shared" ref="S124:S129" si="86">Q124-N124</f>
        <v>2285.2345555555557</v>
      </c>
      <c r="T124" s="444" t="e">
        <f t="shared" ref="T124:T129" si="87">S124/N124</f>
        <v>#DIV/0!</v>
      </c>
      <c r="W124" s="440">
        <v>850.00027</v>
      </c>
      <c r="Z124" s="440">
        <v>849.99997999999994</v>
      </c>
      <c r="AB124" s="440">
        <f t="shared" ref="AB124:AB129" si="88">Z124-W124</f>
        <v>-2.9000000006362825E-4</v>
      </c>
      <c r="AC124" s="444">
        <f t="shared" ref="AC124:AC129" si="89">AB124/W124</f>
        <v>-3.4117636228942404E-7</v>
      </c>
    </row>
    <row r="125" spans="1:29">
      <c r="A125" s="438" t="s">
        <v>297</v>
      </c>
      <c r="E125" s="440">
        <v>0</v>
      </c>
      <c r="H125" s="440">
        <v>45.9375</v>
      </c>
      <c r="J125" s="440">
        <f t="shared" si="84"/>
        <v>45.9375</v>
      </c>
      <c r="K125" s="444" t="e">
        <f t="shared" si="85"/>
        <v>#DIV/0!</v>
      </c>
      <c r="N125" s="440">
        <v>0</v>
      </c>
      <c r="Q125" s="440">
        <v>122.5</v>
      </c>
      <c r="S125" s="440">
        <f t="shared" si="86"/>
        <v>122.5</v>
      </c>
      <c r="T125" s="444" t="e">
        <f t="shared" si="87"/>
        <v>#DIV/0!</v>
      </c>
      <c r="W125" s="440">
        <v>45.9375</v>
      </c>
      <c r="Z125" s="440">
        <v>45.9375</v>
      </c>
      <c r="AB125" s="440">
        <f t="shared" si="88"/>
        <v>0</v>
      </c>
      <c r="AC125" s="444">
        <f t="shared" si="89"/>
        <v>0</v>
      </c>
    </row>
    <row r="126" spans="1:29">
      <c r="A126" s="438" t="s">
        <v>298</v>
      </c>
      <c r="E126" s="440">
        <v>2947.6019488192233</v>
      </c>
      <c r="H126" s="440">
        <v>1918.531167061564</v>
      </c>
      <c r="J126" s="440">
        <f t="shared" si="84"/>
        <v>-1029.0707817576592</v>
      </c>
      <c r="K126" s="444">
        <f t="shared" si="85"/>
        <v>-0.34912135343440576</v>
      </c>
      <c r="N126" s="440">
        <v>9995.2230412456265</v>
      </c>
      <c r="Q126" s="440">
        <v>17013.389881537842</v>
      </c>
      <c r="S126" s="440">
        <f t="shared" si="86"/>
        <v>7018.1668402922151</v>
      </c>
      <c r="T126" s="444">
        <f t="shared" si="87"/>
        <v>0.70215209919093469</v>
      </c>
      <c r="W126" s="440">
        <v>2124.1276764351792</v>
      </c>
      <c r="Z126" s="440">
        <v>1918.531167061564</v>
      </c>
      <c r="AB126" s="440">
        <f t="shared" si="88"/>
        <v>-205.59650937361516</v>
      </c>
      <c r="AC126" s="444">
        <f t="shared" si="89"/>
        <v>-9.6791031751282411E-2</v>
      </c>
    </row>
    <row r="127" spans="1:29">
      <c r="A127" s="438" t="s">
        <v>299</v>
      </c>
      <c r="E127" s="163">
        <v>15000</v>
      </c>
      <c r="H127" s="163">
        <v>0</v>
      </c>
      <c r="J127" s="163">
        <f t="shared" si="84"/>
        <v>-15000</v>
      </c>
      <c r="K127" s="444">
        <f t="shared" si="85"/>
        <v>-1</v>
      </c>
      <c r="N127" s="163">
        <v>15000</v>
      </c>
      <c r="Q127" s="163">
        <v>0</v>
      </c>
      <c r="S127" s="163">
        <f t="shared" si="86"/>
        <v>-15000</v>
      </c>
      <c r="T127" s="444">
        <f t="shared" si="87"/>
        <v>-1</v>
      </c>
      <c r="W127" s="163">
        <v>0</v>
      </c>
      <c r="Z127" s="163">
        <v>0</v>
      </c>
      <c r="AB127" s="163">
        <f t="shared" si="88"/>
        <v>0</v>
      </c>
      <c r="AC127" s="444" t="e">
        <f t="shared" si="89"/>
        <v>#DIV/0!</v>
      </c>
    </row>
    <row r="128" spans="1:29">
      <c r="A128" s="438" t="s">
        <v>300</v>
      </c>
      <c r="E128" s="311">
        <v>4241.8438320541172</v>
      </c>
      <c r="H128" s="311">
        <v>43070.910899631519</v>
      </c>
      <c r="J128" s="311">
        <f t="shared" si="84"/>
        <v>38829.067067577402</v>
      </c>
      <c r="K128" s="444">
        <f t="shared" si="85"/>
        <v>9.1538181519460569</v>
      </c>
      <c r="N128" s="311">
        <v>13318.595624347199</v>
      </c>
      <c r="Q128" s="311">
        <v>58292.858865486734</v>
      </c>
      <c r="S128" s="311">
        <f t="shared" si="86"/>
        <v>44974.263241139532</v>
      </c>
      <c r="T128" s="444">
        <f t="shared" si="87"/>
        <v>3.3768022177145958</v>
      </c>
      <c r="W128" s="311">
        <v>5140.4816735648201</v>
      </c>
      <c r="Z128" s="311">
        <v>43070.910899631519</v>
      </c>
      <c r="AB128" s="311">
        <f t="shared" si="88"/>
        <v>37930.429226066699</v>
      </c>
      <c r="AC128" s="444">
        <f t="shared" si="89"/>
        <v>7.3787694684577509</v>
      </c>
    </row>
    <row r="129" spans="1:29">
      <c r="A129" s="438" t="s">
        <v>301</v>
      </c>
      <c r="E129" s="441">
        <v>176.14944999999744</v>
      </c>
      <c r="H129" s="441">
        <v>-81.892559999999207</v>
      </c>
      <c r="J129" s="441">
        <f t="shared" si="84"/>
        <v>-258.04200999999665</v>
      </c>
      <c r="K129" s="444">
        <f t="shared" si="85"/>
        <v>-1.4649038643038648</v>
      </c>
      <c r="N129" s="441">
        <v>-713.61489000000188</v>
      </c>
      <c r="Q129" s="441">
        <v>178.61460000000073</v>
      </c>
      <c r="S129" s="441">
        <f t="shared" si="86"/>
        <v>892.22949000000267</v>
      </c>
      <c r="T129" s="444">
        <f t="shared" si="87"/>
        <v>-1.2502955060256664</v>
      </c>
      <c r="W129" s="441">
        <v>-79.489190000000292</v>
      </c>
      <c r="Z129" s="441">
        <v>-81.892559999999207</v>
      </c>
      <c r="AB129" s="441">
        <f t="shared" si="88"/>
        <v>-2.4033699999989153</v>
      </c>
      <c r="AC129" s="444">
        <f t="shared" si="89"/>
        <v>3.0235180406277967E-2</v>
      </c>
    </row>
    <row r="130" spans="1:29">
      <c r="E130" s="291"/>
      <c r="H130" s="291"/>
      <c r="J130" s="291"/>
      <c r="K130" s="444"/>
      <c r="N130" s="291"/>
      <c r="Q130" s="291"/>
      <c r="S130" s="291"/>
      <c r="T130" s="444"/>
      <c r="W130" s="291"/>
      <c r="Z130" s="291"/>
      <c r="AB130" s="291"/>
      <c r="AC130" s="444"/>
    </row>
    <row r="131" spans="1:29" ht="13.5" thickBot="1">
      <c r="B131" s="310" t="s">
        <v>302</v>
      </c>
      <c r="E131" s="535">
        <f>SUM(E124:E129)</f>
        <v>22365.595230873339</v>
      </c>
      <c r="H131" s="535">
        <f>SUM(H124:H129)</f>
        <v>45803.486986693082</v>
      </c>
      <c r="J131" s="535">
        <f>SUM(J124:J129)</f>
        <v>23437.891755819743</v>
      </c>
      <c r="K131" s="444">
        <f t="shared" ref="K131" si="90">J131/E131</f>
        <v>1.0479440191006502</v>
      </c>
      <c r="N131" s="535">
        <f>SUM(N124:N129)</f>
        <v>37600.203775592825</v>
      </c>
      <c r="Q131" s="535">
        <f>SUM(Q124:Q129)</f>
        <v>77892.597902580135</v>
      </c>
      <c r="S131" s="535">
        <f t="shared" ref="S131:S149" si="91">Q131-N131</f>
        <v>40292.39412698731</v>
      </c>
      <c r="T131" s="444">
        <f t="shared" ref="T131" si="92">S131/N131</f>
        <v>1.0716004191749102</v>
      </c>
      <c r="W131" s="535">
        <f>SUM(W124:W129)</f>
        <v>8081.057929999999</v>
      </c>
      <c r="Z131" s="535">
        <f>SUM(Z124:Z129)</f>
        <v>45803.486986693082</v>
      </c>
      <c r="AB131" s="535">
        <f t="shared" ref="AB131:AB149" si="93">Z131-W131</f>
        <v>37722.429056693087</v>
      </c>
      <c r="AC131" s="444">
        <f t="shared" ref="AC131" si="94">AB131/W131</f>
        <v>4.6680062664385691</v>
      </c>
    </row>
    <row r="132" spans="1:29" ht="13.5" thickTop="1">
      <c r="E132" s="177"/>
      <c r="H132" s="177"/>
      <c r="J132" s="177"/>
      <c r="N132" s="177"/>
      <c r="Q132" s="177"/>
      <c r="S132" s="177"/>
      <c r="W132" s="177"/>
      <c r="Z132" s="177"/>
      <c r="AB132" s="177"/>
    </row>
    <row r="133" spans="1:29">
      <c r="E133" s="295"/>
      <c r="H133" s="295"/>
      <c r="J133" s="295"/>
      <c r="N133" s="295"/>
      <c r="Q133" s="295"/>
      <c r="S133" s="295"/>
      <c r="W133" s="295"/>
      <c r="Z133" s="295"/>
      <c r="AB133" s="295"/>
    </row>
    <row r="134" spans="1:29" ht="15">
      <c r="A134" s="1" t="s">
        <v>366</v>
      </c>
    </row>
    <row r="135" spans="1:29">
      <c r="A135" s="516" t="s">
        <v>1194</v>
      </c>
    </row>
    <row r="138" spans="1:29">
      <c r="A138" s="310" t="s">
        <v>50</v>
      </c>
      <c r="B138" s="524"/>
      <c r="E138" s="311">
        <v>89.680289999999957</v>
      </c>
      <c r="H138" s="311">
        <v>-6.5191700000000212</v>
      </c>
      <c r="J138" s="311">
        <f t="shared" ref="J138:J149" si="95">H138-E138</f>
        <v>-96.199459999999974</v>
      </c>
      <c r="K138" s="444">
        <f t="shared" ref="K138:K140" si="96">J138/E138</f>
        <v>-1.0726934536005628</v>
      </c>
      <c r="N138" s="311">
        <v>351.29028999999997</v>
      </c>
      <c r="Q138" s="311">
        <v>72.044979999999981</v>
      </c>
      <c r="S138" s="311">
        <f t="shared" si="91"/>
        <v>-279.24531000000002</v>
      </c>
      <c r="T138" s="444">
        <f t="shared" ref="T138:T140" si="97">S138/N138</f>
        <v>-0.79491326105256155</v>
      </c>
      <c r="W138" s="311">
        <v>5.6925100000000173</v>
      </c>
      <c r="Z138" s="311">
        <v>-6.5191700000000212</v>
      </c>
      <c r="AB138" s="311">
        <f t="shared" si="93"/>
        <v>-12.211680000000039</v>
      </c>
      <c r="AC138" s="444">
        <f t="shared" ref="AC138:AC140" si="98">AB138/W138</f>
        <v>-2.145218892896104</v>
      </c>
    </row>
    <row r="139" spans="1:29">
      <c r="A139" s="310" t="s">
        <v>51</v>
      </c>
      <c r="B139" s="524"/>
      <c r="E139" s="313">
        <v>604.33420000000206</v>
      </c>
      <c r="H139" s="313">
        <v>4030.697729999999</v>
      </c>
      <c r="J139" s="313">
        <f t="shared" si="95"/>
        <v>3426.3635299999969</v>
      </c>
      <c r="K139" s="444">
        <f t="shared" si="96"/>
        <v>5.669650220027239</v>
      </c>
      <c r="N139" s="313">
        <v>4985.8788200000008</v>
      </c>
      <c r="Q139" s="313">
        <v>12359.34513</v>
      </c>
      <c r="S139" s="313">
        <f t="shared" si="91"/>
        <v>7373.4663099999989</v>
      </c>
      <c r="T139" s="444">
        <f t="shared" si="97"/>
        <v>1.4788699397230833</v>
      </c>
      <c r="W139" s="313">
        <v>4059.3448600000015</v>
      </c>
      <c r="Z139" s="313">
        <v>4030.697729999999</v>
      </c>
      <c r="AB139" s="313">
        <f t="shared" si="93"/>
        <v>-28.647130000002562</v>
      </c>
      <c r="AC139" s="444">
        <f t="shared" si="98"/>
        <v>-7.0570821125068321E-3</v>
      </c>
    </row>
    <row r="140" spans="1:29">
      <c r="B140" s="524" t="s">
        <v>52</v>
      </c>
      <c r="E140" s="296">
        <f>SUM(E138:E139)</f>
        <v>694.01449000000207</v>
      </c>
      <c r="H140" s="296">
        <f>SUM(H138:H139)</f>
        <v>4024.1785599999989</v>
      </c>
      <c r="J140" s="296">
        <f>SUM(J138:J139)</f>
        <v>3330.1640699999971</v>
      </c>
      <c r="K140" s="444">
        <f t="shared" si="96"/>
        <v>4.7984071197130005</v>
      </c>
      <c r="N140" s="296">
        <f>SUM(N138:N139)</f>
        <v>5337.1691100000007</v>
      </c>
      <c r="Q140" s="296">
        <f>SUM(Q138:Q139)</f>
        <v>12431.39011</v>
      </c>
      <c r="S140" s="296">
        <f t="shared" si="91"/>
        <v>7094.2209999999995</v>
      </c>
      <c r="T140" s="444">
        <f t="shared" si="97"/>
        <v>1.3292104585383839</v>
      </c>
      <c r="W140" s="296">
        <f>SUM(W138:W139)</f>
        <v>4065.0373700000014</v>
      </c>
      <c r="Z140" s="296">
        <f>SUM(Z138:Z139)</f>
        <v>4024.1785599999989</v>
      </c>
      <c r="AB140" s="296">
        <f t="shared" si="93"/>
        <v>-40.85881000000245</v>
      </c>
      <c r="AC140" s="444">
        <f t="shared" si="98"/>
        <v>-1.0051275371178798E-2</v>
      </c>
    </row>
    <row r="141" spans="1:29">
      <c r="K141" s="444"/>
      <c r="T141" s="444"/>
      <c r="AC141" s="444"/>
    </row>
    <row r="142" spans="1:29">
      <c r="A142" s="438" t="s">
        <v>367</v>
      </c>
      <c r="E142" s="313">
        <v>0</v>
      </c>
      <c r="H142" s="313">
        <v>895.93747999999994</v>
      </c>
      <c r="J142" s="313">
        <f t="shared" si="95"/>
        <v>895.93747999999994</v>
      </c>
      <c r="K142" s="444" t="e">
        <f t="shared" ref="K142:K147" si="99">J142/E142</f>
        <v>#DIV/0!</v>
      </c>
      <c r="N142" s="313">
        <v>0</v>
      </c>
      <c r="Q142" s="313">
        <v>2407.7345555555557</v>
      </c>
      <c r="S142" s="313">
        <f t="shared" si="91"/>
        <v>2407.7345555555557</v>
      </c>
      <c r="T142" s="444" t="e">
        <f t="shared" ref="T142:T147" si="100">S142/N142</f>
        <v>#DIV/0!</v>
      </c>
      <c r="W142" s="313">
        <v>895.93777</v>
      </c>
      <c r="Z142" s="313">
        <v>895.93747999999994</v>
      </c>
      <c r="AB142" s="313">
        <f t="shared" si="93"/>
        <v>-2.9000000006362825E-4</v>
      </c>
      <c r="AC142" s="444">
        <f t="shared" ref="AC142:AC147" si="101">AB142/W142</f>
        <v>-3.2368319516614222E-7</v>
      </c>
    </row>
    <row r="143" spans="1:29">
      <c r="A143" s="488" t="s">
        <v>1196</v>
      </c>
      <c r="E143" s="313">
        <v>0</v>
      </c>
      <c r="H143" s="313">
        <v>15622.0464666931</v>
      </c>
      <c r="J143" s="313">
        <f t="shared" si="95"/>
        <v>15622.0464666931</v>
      </c>
      <c r="K143" s="444" t="e">
        <f t="shared" si="99"/>
        <v>#DIV/0!</v>
      </c>
      <c r="N143" s="313">
        <v>0</v>
      </c>
      <c r="Q143" s="313">
        <v>15622.0464666931</v>
      </c>
      <c r="S143" s="313">
        <f t="shared" si="91"/>
        <v>15622.0464666931</v>
      </c>
      <c r="T143" s="444" t="e">
        <f t="shared" si="100"/>
        <v>#DIV/0!</v>
      </c>
      <c r="W143" s="313">
        <v>0</v>
      </c>
      <c r="Z143" s="313">
        <v>15622.0464666931</v>
      </c>
      <c r="AB143" s="313">
        <f t="shared" si="93"/>
        <v>15622.0464666931</v>
      </c>
      <c r="AC143" s="444" t="e">
        <f t="shared" si="101"/>
        <v>#DIV/0!</v>
      </c>
    </row>
    <row r="144" spans="1:29">
      <c r="A144" s="489" t="s">
        <v>1197</v>
      </c>
      <c r="E144" s="313">
        <v>0</v>
      </c>
      <c r="H144" s="313">
        <v>22042.169000000002</v>
      </c>
      <c r="J144" s="313">
        <f t="shared" si="95"/>
        <v>22042.169000000002</v>
      </c>
      <c r="K144" s="444" t="e">
        <f t="shared" si="99"/>
        <v>#DIV/0!</v>
      </c>
      <c r="N144" s="313">
        <v>0</v>
      </c>
      <c r="Q144" s="313">
        <v>22042.169000000002</v>
      </c>
      <c r="S144" s="313">
        <f t="shared" si="91"/>
        <v>22042.169000000002</v>
      </c>
      <c r="T144" s="444" t="e">
        <f t="shared" si="100"/>
        <v>#DIV/0!</v>
      </c>
      <c r="W144" s="313">
        <v>0</v>
      </c>
      <c r="Z144" s="313">
        <v>22042.169000000002</v>
      </c>
      <c r="AB144" s="313">
        <f t="shared" si="93"/>
        <v>22042.169000000002</v>
      </c>
      <c r="AC144" s="444" t="e">
        <f t="shared" si="101"/>
        <v>#DIV/0!</v>
      </c>
    </row>
    <row r="145" spans="1:29">
      <c r="A145" s="438" t="s">
        <v>298</v>
      </c>
      <c r="E145" s="313">
        <v>2947.6019488192233</v>
      </c>
      <c r="H145" s="313">
        <v>1918.531167061564</v>
      </c>
      <c r="J145" s="313">
        <f t="shared" si="95"/>
        <v>-1029.0707817576592</v>
      </c>
      <c r="K145" s="444">
        <f t="shared" si="99"/>
        <v>-0.34912135343440576</v>
      </c>
      <c r="N145" s="313">
        <v>9995.2230412456265</v>
      </c>
      <c r="Q145" s="313">
        <v>17013.389881537842</v>
      </c>
      <c r="S145" s="313">
        <f t="shared" si="91"/>
        <v>7018.1668402922151</v>
      </c>
      <c r="T145" s="444">
        <f t="shared" si="100"/>
        <v>0.70215209919093469</v>
      </c>
      <c r="W145" s="313">
        <v>2124.1276764351792</v>
      </c>
      <c r="Z145" s="313">
        <v>1918.531167061564</v>
      </c>
      <c r="AB145" s="313">
        <f t="shared" si="93"/>
        <v>-205.59650937361516</v>
      </c>
      <c r="AC145" s="444">
        <f t="shared" si="101"/>
        <v>-9.6791031751282411E-2</v>
      </c>
    </row>
    <row r="146" spans="1:29">
      <c r="A146" s="438" t="s">
        <v>368</v>
      </c>
      <c r="E146" s="313">
        <v>20112.007772054116</v>
      </c>
      <c r="H146" s="313">
        <v>9348.9814329384153</v>
      </c>
      <c r="J146" s="313">
        <f t="shared" si="95"/>
        <v>-10763.0263391157</v>
      </c>
      <c r="K146" s="444">
        <f t="shared" si="99"/>
        <v>-0.53515424522016442</v>
      </c>
      <c r="N146" s="313">
        <v>32941.9488443472</v>
      </c>
      <c r="Q146" s="313">
        <v>33238.640198793626</v>
      </c>
      <c r="S146" s="313">
        <f t="shared" si="91"/>
        <v>296.69135444642598</v>
      </c>
      <c r="T146" s="444">
        <f t="shared" si="100"/>
        <v>9.0064906556777038E-3</v>
      </c>
      <c r="W146" s="313">
        <v>9126.0298535648199</v>
      </c>
      <c r="Z146" s="313">
        <v>9348.9814329384153</v>
      </c>
      <c r="AB146" s="313">
        <f t="shared" si="93"/>
        <v>222.95157937359545</v>
      </c>
      <c r="AC146" s="444">
        <f t="shared" si="101"/>
        <v>2.4430292575309279E-2</v>
      </c>
    </row>
    <row r="147" spans="1:29">
      <c r="B147" s="524" t="s">
        <v>57</v>
      </c>
      <c r="E147" s="296">
        <f>SUM(E142:E146)</f>
        <v>23059.609720873341</v>
      </c>
      <c r="H147" s="296">
        <f>SUM(H142:H146)</f>
        <v>49827.665546693082</v>
      </c>
      <c r="J147" s="296">
        <f t="shared" si="95"/>
        <v>26768.055825819742</v>
      </c>
      <c r="K147" s="444">
        <f t="shared" si="99"/>
        <v>1.1608199856734587</v>
      </c>
      <c r="N147" s="296">
        <f>SUM(N142:N146)</f>
        <v>42937.171885592827</v>
      </c>
      <c r="Q147" s="296">
        <f>SUM(Q142:Q146)</f>
        <v>90323.980102580128</v>
      </c>
      <c r="S147" s="296">
        <f t="shared" si="91"/>
        <v>47386.808216987301</v>
      </c>
      <c r="T147" s="444">
        <f t="shared" si="100"/>
        <v>1.1036313323860882</v>
      </c>
      <c r="W147" s="296">
        <f>SUM(W142:W146)</f>
        <v>12146.095299999999</v>
      </c>
      <c r="Z147" s="296">
        <f>SUM(Z142:Z146)</f>
        <v>49827.665546693082</v>
      </c>
      <c r="AB147" s="296">
        <f t="shared" si="93"/>
        <v>37681.570246693082</v>
      </c>
      <c r="AC147" s="444">
        <f t="shared" si="101"/>
        <v>3.1023608259267554</v>
      </c>
    </row>
    <row r="148" spans="1:29">
      <c r="B148" s="524"/>
      <c r="K148" s="444"/>
      <c r="T148" s="444"/>
      <c r="AC148" s="444"/>
    </row>
    <row r="149" spans="1:29" ht="13.5" thickBot="1">
      <c r="B149" s="310" t="s">
        <v>369</v>
      </c>
      <c r="E149" s="297">
        <f>E140-E147</f>
        <v>-22365.595230873339</v>
      </c>
      <c r="H149" s="297">
        <f>H140-H147</f>
        <v>-45803.486986693082</v>
      </c>
      <c r="J149" s="297">
        <f t="shared" si="95"/>
        <v>-23437.891755819743</v>
      </c>
      <c r="K149" s="444">
        <v>1.0479440191006502</v>
      </c>
      <c r="N149" s="297">
        <f>N140-N147</f>
        <v>-37600.002775592824</v>
      </c>
      <c r="Q149" s="297">
        <f>Q140-Q147</f>
        <v>-77892.58999258012</v>
      </c>
      <c r="S149" s="297">
        <f t="shared" si="91"/>
        <v>-40292.587216987296</v>
      </c>
      <c r="T149" s="444">
        <v>1.0479440191006502</v>
      </c>
      <c r="W149" s="297">
        <f>W140-W147</f>
        <v>-8081.0579299999972</v>
      </c>
      <c r="Z149" s="297">
        <f>Z140-Z147</f>
        <v>-45803.486986693082</v>
      </c>
      <c r="AB149" s="297">
        <f t="shared" si="93"/>
        <v>-37722.429056693087</v>
      </c>
      <c r="AC149" s="444">
        <v>1.0479440191006502</v>
      </c>
    </row>
    <row r="150" spans="1:29" ht="13.5" thickTop="1">
      <c r="E150" s="310"/>
      <c r="H150" s="310"/>
      <c r="J150" s="310"/>
      <c r="N150" s="310"/>
      <c r="Q150" s="310"/>
      <c r="S150" s="310"/>
      <c r="W150" s="310"/>
      <c r="Z150" s="310"/>
      <c r="AB150" s="310"/>
    </row>
    <row r="151" spans="1:29">
      <c r="E151" s="310"/>
      <c r="H151" s="310"/>
      <c r="J151" s="310"/>
      <c r="N151" s="310"/>
      <c r="Q151" s="310"/>
      <c r="S151" s="310"/>
      <c r="W151" s="310"/>
      <c r="Z151" s="310"/>
      <c r="AB151" s="310"/>
    </row>
  </sheetData>
  <mergeCells count="1">
    <mergeCell ref="A3:B3"/>
  </mergeCells>
  <pageMargins left="1.25" right="1.25" top="0.4" bottom="0.5" header="0.5" footer="0.45"/>
  <pageSetup paperSize="3" scale="65" fitToHeight="4" orientation="landscape" r:id="rId1"/>
  <headerFooter alignWithMargins="0">
    <oddFooter>&amp;L&amp;8&amp;Z
&amp;F&amp;C&amp;8&amp;P&amp;R&amp;8&amp;D
&amp;T</oddFooter>
  </headerFooter>
  <rowBreaks count="3" manualBreakCount="3">
    <brk id="43" max="28" man="1"/>
    <brk id="76" max="28" man="1"/>
    <brk id="119" max="28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BV75"/>
  <sheetViews>
    <sheetView zoomScale="85" zoomScaleNormal="85" workbookViewId="0">
      <pane xSplit="1" ySplit="6" topLeftCell="B7" activePane="bottomRight" state="frozen"/>
      <selection activeCell="N27" sqref="N27"/>
      <selection pane="topRight" activeCell="N27" sqref="N27"/>
      <selection pane="bottomLeft" activeCell="N27" sqref="N27"/>
      <selection pane="bottomRight" activeCell="E31" sqref="E31"/>
    </sheetView>
  </sheetViews>
  <sheetFormatPr defaultRowHeight="12.75" outlineLevelCol="1"/>
  <cols>
    <col min="1" max="1" width="39.5703125" style="310" customWidth="1"/>
    <col min="2" max="2" width="3.5703125" style="310" customWidth="1"/>
    <col min="3" max="3" width="14.85546875" style="310" customWidth="1"/>
    <col min="4" max="4" width="2.28515625" style="310" customWidth="1"/>
    <col min="5" max="5" width="8.140625" style="310" customWidth="1"/>
    <col min="6" max="6" width="3.5703125" style="310" customWidth="1"/>
    <col min="7" max="7" width="14.85546875" style="310" customWidth="1"/>
    <col min="8" max="8" width="2.28515625" style="310" customWidth="1"/>
    <col min="9" max="9" width="8.140625" style="310" customWidth="1"/>
    <col min="10" max="10" width="3.5703125" style="310" customWidth="1"/>
    <col min="11" max="11" width="14.85546875" style="310" customWidth="1"/>
    <col min="12" max="12" width="2.28515625" style="310" customWidth="1"/>
    <col min="13" max="13" width="8.140625" style="310" customWidth="1"/>
    <col min="14" max="14" width="3.5703125" style="310" customWidth="1"/>
    <col min="15" max="15" width="14.85546875" style="310" customWidth="1"/>
    <col min="16" max="16" width="2.28515625" style="310" customWidth="1"/>
    <col min="17" max="17" width="8.140625" style="310" customWidth="1"/>
    <col min="18" max="18" width="3.5703125" style="310" customWidth="1"/>
    <col min="19" max="19" width="14.85546875" style="310" customWidth="1"/>
    <col min="20" max="20" width="2.28515625" style="310" customWidth="1"/>
    <col min="21" max="21" width="8.140625" style="310" customWidth="1"/>
    <col min="22" max="22" width="3.5703125" style="310" hidden="1" customWidth="1" outlineLevel="1"/>
    <col min="23" max="23" width="14.85546875" style="310" hidden="1" customWidth="1" outlineLevel="1"/>
    <col min="24" max="24" width="2.28515625" style="310" hidden="1" customWidth="1" outlineLevel="1"/>
    <col min="25" max="25" width="8.140625" style="310" hidden="1" customWidth="1" outlineLevel="1"/>
    <col min="26" max="26" width="3.5703125" style="310" hidden="1" customWidth="1" outlineLevel="1"/>
    <col min="27" max="27" width="14.85546875" style="310" hidden="1" customWidth="1" outlineLevel="1"/>
    <col min="28" max="28" width="2.28515625" style="310" hidden="1" customWidth="1" outlineLevel="1"/>
    <col min="29" max="29" width="8.140625" style="310" hidden="1" customWidth="1" outlineLevel="1"/>
    <col min="30" max="30" width="3.5703125" style="310" hidden="1" customWidth="1" outlineLevel="1"/>
    <col min="31" max="31" width="14.85546875" style="310" hidden="1" customWidth="1" outlineLevel="1"/>
    <col min="32" max="32" width="2.28515625" style="310" hidden="1" customWidth="1" outlineLevel="1"/>
    <col min="33" max="33" width="8.140625" style="310" hidden="1" customWidth="1" outlineLevel="1"/>
    <col min="34" max="34" width="3.5703125" style="310" hidden="1" customWidth="1" outlineLevel="1"/>
    <col min="35" max="35" width="14.85546875" style="310" hidden="1" customWidth="1" outlineLevel="1"/>
    <col min="36" max="36" width="2.28515625" style="310" hidden="1" customWidth="1" outlineLevel="1"/>
    <col min="37" max="37" width="8.140625" style="310" hidden="1" customWidth="1" outlineLevel="1"/>
    <col min="38" max="38" width="3.5703125" style="310" hidden="1" customWidth="1" outlineLevel="1"/>
    <col min="39" max="39" width="14.85546875" style="310" hidden="1" customWidth="1" outlineLevel="1"/>
    <col min="40" max="40" width="2.28515625" style="310" hidden="1" customWidth="1" outlineLevel="1"/>
    <col min="41" max="41" width="8.140625" style="310" hidden="1" customWidth="1" outlineLevel="1"/>
    <col min="42" max="42" width="3.5703125" style="310" hidden="1" customWidth="1" outlineLevel="1"/>
    <col min="43" max="43" width="14.85546875" style="310" hidden="1" customWidth="1" outlineLevel="1"/>
    <col min="44" max="44" width="2.28515625" style="310" hidden="1" customWidth="1" outlineLevel="1"/>
    <col min="45" max="45" width="8.140625" style="310" hidden="1" customWidth="1" outlineLevel="1"/>
    <col min="46" max="46" width="3.5703125" style="310" hidden="1" customWidth="1" outlineLevel="1"/>
    <col min="47" max="47" width="14.85546875" style="310" hidden="1" customWidth="1" outlineLevel="1"/>
    <col min="48" max="48" width="2.28515625" style="310" hidden="1" customWidth="1" outlineLevel="1"/>
    <col min="49" max="49" width="8.140625" style="310" hidden="1" customWidth="1" outlineLevel="1"/>
    <col min="50" max="50" width="3.5703125" style="310" hidden="1" customWidth="1" outlineLevel="1"/>
    <col min="51" max="51" width="14.85546875" style="310" hidden="1" customWidth="1" outlineLevel="1"/>
    <col min="52" max="52" width="2.28515625" style="310" hidden="1" customWidth="1" outlineLevel="1"/>
    <col min="53" max="53" width="8.140625" style="310" hidden="1" customWidth="1" outlineLevel="1"/>
    <col min="54" max="54" width="3.5703125" style="310" hidden="1" customWidth="1" outlineLevel="1"/>
    <col min="55" max="55" width="14.85546875" style="310" hidden="1" customWidth="1" outlineLevel="1"/>
    <col min="56" max="56" width="2.28515625" style="310" hidden="1" customWidth="1" outlineLevel="1"/>
    <col min="57" max="57" width="8.140625" style="310" hidden="1" customWidth="1" outlineLevel="1"/>
    <col min="58" max="58" width="3.5703125" style="310" hidden="1" customWidth="1" outlineLevel="1"/>
    <col min="59" max="59" width="14.85546875" style="310" hidden="1" customWidth="1" outlineLevel="1"/>
    <col min="60" max="60" width="2.28515625" style="310" hidden="1" customWidth="1" outlineLevel="1"/>
    <col min="61" max="61" width="8.140625" style="310" hidden="1" customWidth="1" outlineLevel="1"/>
    <col min="62" max="62" width="3.5703125" style="310" hidden="1" customWidth="1" outlineLevel="1"/>
    <col min="63" max="63" width="14.85546875" style="310" hidden="1" customWidth="1" outlineLevel="1"/>
    <col min="64" max="64" width="2.28515625" style="310" hidden="1" customWidth="1" outlineLevel="1"/>
    <col min="65" max="65" width="8.140625" style="310" hidden="1" customWidth="1" outlineLevel="1"/>
    <col min="66" max="66" width="3.5703125" style="310" hidden="1" customWidth="1" outlineLevel="1"/>
    <col min="67" max="67" width="14.85546875" style="310" hidden="1" customWidth="1" outlineLevel="1"/>
    <col min="68" max="68" width="2.28515625" style="310" hidden="1" customWidth="1" outlineLevel="1"/>
    <col min="69" max="69" width="8.140625" style="310" hidden="1" customWidth="1" outlineLevel="1"/>
    <col min="70" max="70" width="0" style="310" hidden="1" customWidth="1" outlineLevel="1"/>
    <col min="71" max="71" width="11.7109375" style="310" hidden="1" customWidth="1" outlineLevel="1"/>
    <col min="72" max="72" width="2.5703125" style="310" hidden="1" customWidth="1" outlineLevel="1"/>
    <col min="73" max="73" width="0" style="310" hidden="1" customWidth="1" outlineLevel="1"/>
    <col min="74" max="74" width="9.140625" style="310" collapsed="1"/>
    <col min="75" max="16384" width="9.140625" style="310"/>
  </cols>
  <sheetData>
    <row r="1" spans="1:73" ht="15.75">
      <c r="A1" s="2" t="s">
        <v>253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  <c r="BN1" s="181"/>
      <c r="BO1" s="181"/>
      <c r="BP1" s="181"/>
      <c r="BQ1" s="181"/>
      <c r="BR1" s="181"/>
      <c r="BS1" s="181"/>
      <c r="BT1" s="181"/>
      <c r="BU1" s="181"/>
    </row>
    <row r="2" spans="1:73" ht="15.75">
      <c r="A2" s="2" t="s">
        <v>61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81"/>
      <c r="AJ2" s="181"/>
      <c r="AK2" s="181"/>
      <c r="AL2" s="181"/>
      <c r="AM2" s="181"/>
      <c r="AN2" s="181"/>
      <c r="AO2" s="181"/>
      <c r="AP2" s="181"/>
      <c r="AQ2" s="181"/>
      <c r="AR2" s="181"/>
      <c r="AS2" s="181"/>
      <c r="AT2" s="181"/>
      <c r="AU2" s="181"/>
      <c r="AV2" s="181"/>
      <c r="AW2" s="181"/>
      <c r="AX2" s="181"/>
      <c r="AY2" s="181"/>
      <c r="AZ2" s="181"/>
      <c r="BA2" s="181"/>
      <c r="BB2" s="181"/>
      <c r="BC2" s="181"/>
      <c r="BD2" s="181"/>
      <c r="BE2" s="181"/>
      <c r="BF2" s="181"/>
      <c r="BG2" s="181"/>
      <c r="BH2" s="181"/>
      <c r="BI2" s="181"/>
      <c r="BJ2" s="181"/>
      <c r="BK2" s="181"/>
      <c r="BL2" s="181"/>
      <c r="BM2" s="181"/>
      <c r="BN2" s="181"/>
      <c r="BO2" s="181"/>
      <c r="BP2" s="181"/>
      <c r="BQ2" s="181"/>
      <c r="BR2" s="181"/>
      <c r="BS2" s="181"/>
      <c r="BT2" s="181"/>
      <c r="BU2" s="181"/>
    </row>
    <row r="3" spans="1:73" ht="15.75">
      <c r="A3" s="2" t="s">
        <v>103</v>
      </c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  <c r="AI3" s="181"/>
      <c r="AJ3" s="181"/>
      <c r="AK3" s="181"/>
      <c r="AL3" s="181"/>
      <c r="AM3" s="181"/>
      <c r="AN3" s="181"/>
      <c r="AO3" s="181"/>
      <c r="AP3" s="181"/>
      <c r="AQ3" s="181"/>
      <c r="AR3" s="181"/>
      <c r="AS3" s="181"/>
      <c r="AT3" s="181"/>
      <c r="AU3" s="181"/>
      <c r="AV3" s="181"/>
      <c r="AW3" s="181"/>
      <c r="AX3" s="181"/>
      <c r="AY3" s="181"/>
      <c r="AZ3" s="181"/>
      <c r="BA3" s="181"/>
      <c r="BB3" s="181"/>
      <c r="BC3" s="181"/>
      <c r="BD3" s="181"/>
      <c r="BE3" s="181"/>
      <c r="BF3" s="181"/>
      <c r="BG3" s="181"/>
      <c r="BH3" s="181"/>
      <c r="BI3" s="181"/>
      <c r="BJ3" s="181"/>
      <c r="BK3" s="181"/>
      <c r="BL3" s="181"/>
      <c r="BM3" s="181"/>
      <c r="BN3" s="181"/>
      <c r="BO3" s="181"/>
      <c r="BP3" s="181"/>
      <c r="BQ3" s="181"/>
      <c r="BR3" s="181"/>
      <c r="BS3" s="181"/>
      <c r="BT3" s="181"/>
      <c r="BU3" s="181"/>
    </row>
    <row r="4" spans="1:73">
      <c r="A4" s="181" t="s">
        <v>127</v>
      </c>
      <c r="B4" s="181"/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1"/>
      <c r="AA4" s="181"/>
      <c r="AB4" s="181"/>
      <c r="AC4" s="181"/>
      <c r="AD4" s="181"/>
      <c r="AE4" s="181"/>
      <c r="AF4" s="181"/>
      <c r="AG4" s="181"/>
      <c r="AH4" s="181"/>
      <c r="AI4" s="181"/>
      <c r="AJ4" s="181"/>
      <c r="AK4" s="181"/>
      <c r="AL4" s="181"/>
      <c r="AM4" s="181"/>
      <c r="AN4" s="181"/>
      <c r="AO4" s="181"/>
      <c r="AP4" s="181"/>
      <c r="AQ4" s="181"/>
      <c r="AR4" s="181"/>
      <c r="AS4" s="181"/>
      <c r="AT4" s="181"/>
      <c r="AU4" s="181"/>
      <c r="AV4" s="181"/>
      <c r="AW4" s="181"/>
      <c r="AX4" s="181"/>
      <c r="AY4" s="181"/>
      <c r="AZ4" s="181"/>
      <c r="BA4" s="181"/>
      <c r="BB4" s="181"/>
      <c r="BC4" s="181"/>
      <c r="BD4" s="181"/>
      <c r="BE4" s="181"/>
      <c r="BF4" s="181"/>
      <c r="BG4" s="181"/>
      <c r="BH4" s="181"/>
      <c r="BI4" s="181"/>
      <c r="BJ4" s="181"/>
      <c r="BK4" s="181"/>
      <c r="BL4" s="181"/>
      <c r="BM4" s="181"/>
      <c r="BN4" s="181"/>
      <c r="BO4" s="181"/>
      <c r="BP4" s="181"/>
      <c r="BQ4" s="181"/>
      <c r="BR4" s="181"/>
      <c r="BS4" s="181"/>
      <c r="BT4" s="181"/>
      <c r="BU4" s="181"/>
    </row>
    <row r="5" spans="1:73" ht="15">
      <c r="A5" s="18"/>
      <c r="B5" s="18"/>
      <c r="C5" s="546" t="s">
        <v>1121</v>
      </c>
      <c r="D5" s="546"/>
      <c r="E5" s="546"/>
      <c r="F5" s="18"/>
      <c r="G5" s="546" t="s">
        <v>1049</v>
      </c>
      <c r="H5" s="546"/>
      <c r="I5" s="546"/>
      <c r="J5" s="18"/>
      <c r="K5" s="546" t="s">
        <v>523</v>
      </c>
      <c r="L5" s="546"/>
      <c r="M5" s="546"/>
      <c r="N5" s="18"/>
      <c r="O5" s="546" t="s">
        <v>385</v>
      </c>
      <c r="P5" s="546"/>
      <c r="Q5" s="546"/>
      <c r="R5" s="18"/>
      <c r="S5" s="546" t="s">
        <v>370</v>
      </c>
      <c r="T5" s="546"/>
      <c r="U5" s="546"/>
      <c r="V5" s="18"/>
      <c r="W5" s="546" t="s">
        <v>314</v>
      </c>
      <c r="X5" s="546"/>
      <c r="Y5" s="546"/>
      <c r="Z5" s="18"/>
      <c r="AA5" s="546" t="s">
        <v>307</v>
      </c>
      <c r="AB5" s="546"/>
      <c r="AC5" s="546"/>
      <c r="AD5" s="18"/>
      <c r="AE5" s="546" t="s">
        <v>292</v>
      </c>
      <c r="AF5" s="546"/>
      <c r="AG5" s="546"/>
      <c r="AH5" s="18"/>
      <c r="AI5" s="546" t="s">
        <v>282</v>
      </c>
      <c r="AJ5" s="546"/>
      <c r="AK5" s="546"/>
      <c r="AL5" s="18"/>
      <c r="AM5" s="546" t="s">
        <v>280</v>
      </c>
      <c r="AN5" s="546"/>
      <c r="AO5" s="546"/>
      <c r="AP5" s="18"/>
      <c r="AQ5" s="546" t="s">
        <v>271</v>
      </c>
      <c r="AR5" s="546"/>
      <c r="AS5" s="546"/>
      <c r="AT5" s="18"/>
      <c r="AU5" s="546" t="s">
        <v>263</v>
      </c>
      <c r="AV5" s="546"/>
      <c r="AW5" s="546"/>
      <c r="AX5" s="18"/>
      <c r="AY5" s="546" t="s">
        <v>254</v>
      </c>
      <c r="AZ5" s="546"/>
      <c r="BA5" s="546"/>
      <c r="BB5" s="18"/>
      <c r="BC5" s="546" t="s">
        <v>196</v>
      </c>
      <c r="BD5" s="546"/>
      <c r="BE5" s="546"/>
      <c r="BF5" s="18"/>
      <c r="BG5" s="546" t="s">
        <v>193</v>
      </c>
      <c r="BH5" s="546"/>
      <c r="BI5" s="546"/>
      <c r="BJ5" s="18"/>
      <c r="BK5" s="546" t="s">
        <v>168</v>
      </c>
      <c r="BL5" s="546"/>
      <c r="BM5" s="546"/>
      <c r="BN5" s="18"/>
      <c r="BO5" s="546" t="s">
        <v>158</v>
      </c>
      <c r="BP5" s="546"/>
      <c r="BQ5" s="546"/>
      <c r="BR5" s="18"/>
      <c r="BS5" s="546" t="s">
        <v>152</v>
      </c>
      <c r="BT5" s="546"/>
      <c r="BU5" s="546"/>
    </row>
    <row r="6" spans="1:73" ht="15">
      <c r="A6" s="45" t="s">
        <v>128</v>
      </c>
      <c r="B6" s="21"/>
      <c r="C6" s="19" t="s">
        <v>81</v>
      </c>
      <c r="D6" s="20"/>
      <c r="E6" s="19" t="s">
        <v>62</v>
      </c>
      <c r="F6" s="21"/>
      <c r="G6" s="19" t="s">
        <v>81</v>
      </c>
      <c r="H6" s="20"/>
      <c r="I6" s="19" t="s">
        <v>62</v>
      </c>
      <c r="J6" s="21"/>
      <c r="K6" s="19" t="s">
        <v>81</v>
      </c>
      <c r="L6" s="20"/>
      <c r="M6" s="19" t="s">
        <v>62</v>
      </c>
      <c r="N6" s="21"/>
      <c r="O6" s="19" t="s">
        <v>81</v>
      </c>
      <c r="P6" s="20"/>
      <c r="Q6" s="19" t="s">
        <v>62</v>
      </c>
      <c r="R6" s="21"/>
      <c r="S6" s="19" t="s">
        <v>81</v>
      </c>
      <c r="T6" s="20"/>
      <c r="U6" s="19" t="s">
        <v>62</v>
      </c>
      <c r="V6" s="21"/>
      <c r="W6" s="19" t="s">
        <v>81</v>
      </c>
      <c r="X6" s="20"/>
      <c r="Y6" s="19" t="s">
        <v>62</v>
      </c>
      <c r="Z6" s="21"/>
      <c r="AA6" s="19" t="s">
        <v>81</v>
      </c>
      <c r="AB6" s="20"/>
      <c r="AC6" s="19" t="s">
        <v>62</v>
      </c>
      <c r="AD6" s="21"/>
      <c r="AE6" s="19" t="s">
        <v>81</v>
      </c>
      <c r="AF6" s="20"/>
      <c r="AG6" s="19" t="s">
        <v>62</v>
      </c>
      <c r="AH6" s="21"/>
      <c r="AI6" s="19" t="s">
        <v>81</v>
      </c>
      <c r="AJ6" s="20"/>
      <c r="AK6" s="19" t="s">
        <v>62</v>
      </c>
      <c r="AL6" s="21"/>
      <c r="AM6" s="19" t="s">
        <v>81</v>
      </c>
      <c r="AN6" s="20"/>
      <c r="AO6" s="19" t="s">
        <v>62</v>
      </c>
      <c r="AP6" s="21"/>
      <c r="AQ6" s="19" t="s">
        <v>81</v>
      </c>
      <c r="AR6" s="20"/>
      <c r="AS6" s="19" t="s">
        <v>62</v>
      </c>
      <c r="AT6" s="21"/>
      <c r="AU6" s="19" t="s">
        <v>81</v>
      </c>
      <c r="AV6" s="20"/>
      <c r="AW6" s="19" t="s">
        <v>62</v>
      </c>
      <c r="AX6" s="21"/>
      <c r="AY6" s="19" t="s">
        <v>81</v>
      </c>
      <c r="AZ6" s="20"/>
      <c r="BA6" s="19" t="s">
        <v>62</v>
      </c>
      <c r="BB6" s="21"/>
      <c r="BC6" s="19" t="s">
        <v>81</v>
      </c>
      <c r="BD6" s="20"/>
      <c r="BE6" s="19" t="s">
        <v>62</v>
      </c>
      <c r="BF6" s="21"/>
      <c r="BG6" s="19" t="s">
        <v>81</v>
      </c>
      <c r="BH6" s="20"/>
      <c r="BI6" s="19" t="s">
        <v>62</v>
      </c>
      <c r="BJ6" s="21"/>
      <c r="BK6" s="19" t="s">
        <v>81</v>
      </c>
      <c r="BL6" s="20"/>
      <c r="BM6" s="19" t="s">
        <v>62</v>
      </c>
      <c r="BN6" s="21"/>
      <c r="BO6" s="19" t="s">
        <v>81</v>
      </c>
      <c r="BP6" s="20"/>
      <c r="BQ6" s="19" t="s">
        <v>62</v>
      </c>
      <c r="BR6" s="21"/>
      <c r="BS6" s="19" t="s">
        <v>81</v>
      </c>
      <c r="BT6" s="20"/>
      <c r="BU6" s="19" t="s">
        <v>62</v>
      </c>
    </row>
    <row r="7" spans="1:73" ht="15">
      <c r="A7" s="22" t="s">
        <v>63</v>
      </c>
      <c r="B7" s="224"/>
      <c r="C7" s="46">
        <v>491348.13920999999</v>
      </c>
      <c r="D7" s="28"/>
      <c r="E7" s="382">
        <f>+C7/C$18</f>
        <v>0.40177367315054491</v>
      </c>
      <c r="F7" s="224"/>
      <c r="G7" s="46">
        <v>482548.90457999997</v>
      </c>
      <c r="H7" s="28"/>
      <c r="I7" s="382">
        <f>+G7/G$18</f>
        <v>0.39437590500509628</v>
      </c>
      <c r="J7" s="224"/>
      <c r="K7" s="46">
        <v>482252.92470999976</v>
      </c>
      <c r="L7" s="28"/>
      <c r="M7" s="382">
        <f>+K7/K$18</f>
        <v>0.40277136646592682</v>
      </c>
      <c r="N7" s="224"/>
      <c r="O7" s="46">
        <v>495773.69812233275</v>
      </c>
      <c r="P7" s="28"/>
      <c r="Q7" s="29">
        <f>+O7/O$18</f>
        <v>0.39205029838022165</v>
      </c>
      <c r="R7" s="224"/>
      <c r="S7" s="46">
        <v>569070.49187999987</v>
      </c>
      <c r="T7" s="28"/>
      <c r="U7" s="29">
        <f>+S7/S$18</f>
        <v>0.40691554412687403</v>
      </c>
      <c r="V7" s="224"/>
      <c r="W7" s="46">
        <v>576494.52627000003</v>
      </c>
      <c r="X7" s="28"/>
      <c r="Y7" s="29">
        <f>+W7/W$18</f>
        <v>0.43666735366796228</v>
      </c>
      <c r="Z7" s="224"/>
      <c r="AA7" s="46">
        <v>531328</v>
      </c>
      <c r="AB7" s="28"/>
      <c r="AC7" s="29">
        <f>+AA7/AA$18</f>
        <v>0.48418838701681677</v>
      </c>
      <c r="AD7" s="224"/>
      <c r="AE7" s="46">
        <v>545156.84664</v>
      </c>
      <c r="AF7" s="28"/>
      <c r="AG7" s="29">
        <f>+AE7/AE$18</f>
        <v>0.58514335968817399</v>
      </c>
      <c r="AH7" s="224"/>
      <c r="AI7" s="46">
        <v>577585.38026999985</v>
      </c>
      <c r="AJ7" s="28"/>
      <c r="AK7" s="29">
        <f>+AI7/AI$18</f>
        <v>0.59881137696871656</v>
      </c>
      <c r="AL7" s="224"/>
      <c r="AM7" s="46">
        <v>572027.98971999995</v>
      </c>
      <c r="AN7" s="28"/>
      <c r="AO7" s="29">
        <f>+AM7/AM$18</f>
        <v>0.58981772572862512</v>
      </c>
      <c r="AP7" s="224"/>
      <c r="AQ7" s="46">
        <v>442977.3696499996</v>
      </c>
      <c r="AR7" s="28"/>
      <c r="AS7" s="29">
        <f>+AQ7/AQ$18</f>
        <v>0.50681249335935508</v>
      </c>
      <c r="AT7" s="224"/>
      <c r="AU7" s="46">
        <v>454190.20091000013</v>
      </c>
      <c r="AV7" s="28"/>
      <c r="AW7" s="29">
        <f>+AU7/AU$18</f>
        <v>0.46936530795475429</v>
      </c>
      <c r="AX7" s="224"/>
      <c r="AY7" s="46">
        <v>531125.43466000049</v>
      </c>
      <c r="AZ7" s="28"/>
      <c r="BA7" s="29">
        <f>+AY7/AY$18</f>
        <v>0.51446056732404499</v>
      </c>
      <c r="BB7" s="224"/>
      <c r="BC7" s="46">
        <v>541901.71452000039</v>
      </c>
      <c r="BD7" s="28"/>
      <c r="BE7" s="29">
        <f>+BC7/BC$18</f>
        <v>0.51769358627610518</v>
      </c>
      <c r="BF7" s="224"/>
      <c r="BG7" s="46">
        <v>544291.73510999989</v>
      </c>
      <c r="BH7" s="28"/>
      <c r="BI7" s="29">
        <f>+BG7/BG$18</f>
        <v>0.50476632146473011</v>
      </c>
      <c r="BJ7" s="224"/>
      <c r="BK7" s="46">
        <v>538316.17705000006</v>
      </c>
      <c r="BL7" s="28"/>
      <c r="BM7" s="29">
        <f>+BK7/BK$18</f>
        <v>0.50700212495199592</v>
      </c>
      <c r="BN7" s="224"/>
      <c r="BO7" s="46">
        <v>548216</v>
      </c>
      <c r="BP7" s="28"/>
      <c r="BQ7" s="29">
        <f>+BO7/BO$18</f>
        <v>0.48736852679781911</v>
      </c>
      <c r="BR7" s="224"/>
      <c r="BS7" s="46">
        <v>542783</v>
      </c>
      <c r="BT7" s="28"/>
      <c r="BU7" s="29">
        <f>+BS7/BS$18</f>
        <v>0.47081718137524908</v>
      </c>
    </row>
    <row r="8" spans="1:73" ht="15">
      <c r="A8" s="22" t="s">
        <v>64</v>
      </c>
      <c r="B8" s="224"/>
      <c r="C8" s="46">
        <v>140723.85391999999</v>
      </c>
      <c r="D8" s="28"/>
      <c r="E8" s="29">
        <f>+C8/C$18</f>
        <v>0.11506940838372551</v>
      </c>
      <c r="F8" s="224"/>
      <c r="G8" s="46">
        <v>167408.14274000001</v>
      </c>
      <c r="H8" s="28"/>
      <c r="I8" s="29">
        <f>+G8/G$18</f>
        <v>0.13681874970946981</v>
      </c>
      <c r="J8" s="224"/>
      <c r="K8" s="46">
        <v>172736.29685999997</v>
      </c>
      <c r="L8" s="28"/>
      <c r="M8" s="29">
        <f>+K8/K$18</f>
        <v>0.14426710707126073</v>
      </c>
      <c r="N8" s="224"/>
      <c r="O8" s="46">
        <v>238116.91344989455</v>
      </c>
      <c r="P8" s="28"/>
      <c r="Q8" s="29">
        <f>+O8/O$18</f>
        <v>0.1882992327365729</v>
      </c>
      <c r="R8" s="224"/>
      <c r="S8" s="46">
        <v>228744.74900000001</v>
      </c>
      <c r="T8" s="28"/>
      <c r="U8" s="29">
        <f>+S8/S$18</f>
        <v>0.16356461164942637</v>
      </c>
      <c r="V8" s="224"/>
      <c r="W8" s="46">
        <v>216695.52323000002</v>
      </c>
      <c r="X8" s="28"/>
      <c r="Y8" s="29">
        <f>+W8/W$18</f>
        <v>0.16413661599316151</v>
      </c>
      <c r="Z8" s="224"/>
      <c r="AA8" s="46">
        <v>110672</v>
      </c>
      <c r="AB8" s="28"/>
      <c r="AC8" s="29">
        <f t="shared" ref="AC8:AC16" si="0">+AA8/AA$18</f>
        <v>0.10085313999624552</v>
      </c>
      <c r="AD8" s="224"/>
      <c r="AE8" s="46">
        <v>72569.094339999996</v>
      </c>
      <c r="AF8" s="28"/>
      <c r="AG8" s="29">
        <f t="shared" ref="AG8:AG16" si="1">+AE8/AE$18</f>
        <v>7.7891938683981615E-2</v>
      </c>
      <c r="AH8" s="224"/>
      <c r="AI8" s="46">
        <v>70415.538410000008</v>
      </c>
      <c r="AJ8" s="28"/>
      <c r="AK8" s="29">
        <f t="shared" ref="AK8:AK16" si="2">+AI8/AI$18</f>
        <v>7.3003277014343379E-2</v>
      </c>
      <c r="AL8" s="224"/>
      <c r="AM8" s="46">
        <v>67940.373090000008</v>
      </c>
      <c r="AN8" s="28"/>
      <c r="AO8" s="29">
        <f t="shared" ref="AO8:AO16" si="3">+AM8/AM$18</f>
        <v>7.0053278967543195E-2</v>
      </c>
      <c r="AP8" s="224"/>
      <c r="AQ8" s="46">
        <v>70565.914919999981</v>
      </c>
      <c r="AR8" s="28"/>
      <c r="AS8" s="29">
        <f t="shared" ref="AS8:AS16" si="4">+AQ8/AQ$18</f>
        <v>8.073479535770986E-2</v>
      </c>
      <c r="AT8" s="224"/>
      <c r="AU8" s="46">
        <v>85421.869739999995</v>
      </c>
      <c r="AV8" s="28"/>
      <c r="AW8" s="29">
        <f t="shared" ref="AW8:AW16" si="5">+AU8/AU$18</f>
        <v>8.8275929591292143E-2</v>
      </c>
      <c r="AX8" s="224"/>
      <c r="AY8" s="46">
        <v>68618.393119999993</v>
      </c>
      <c r="AZ8" s="28"/>
      <c r="BA8" s="29">
        <f t="shared" ref="BA8:BA16" si="6">+AY8/AY$18</f>
        <v>6.6465386798841106E-2</v>
      </c>
      <c r="BB8" s="224"/>
      <c r="BC8" s="46">
        <v>98977.010129999995</v>
      </c>
      <c r="BD8" s="28"/>
      <c r="BE8" s="29">
        <f t="shared" ref="BE8:BE16" si="7">+BC8/BC$18</f>
        <v>9.4555455279326184E-2</v>
      </c>
      <c r="BF8" s="224"/>
      <c r="BG8" s="46">
        <v>116313.06025000001</v>
      </c>
      <c r="BH8" s="28"/>
      <c r="BI8" s="29">
        <f t="shared" ref="BI8:BI16" si="8">+BG8/BG$18</f>
        <v>0.10786663065687137</v>
      </c>
      <c r="BJ8" s="224"/>
      <c r="BK8" s="46">
        <v>132444.3481</v>
      </c>
      <c r="BL8" s="28"/>
      <c r="BM8" s="29">
        <f t="shared" ref="BM8:BM16" si="9">+BK8/BK$18</f>
        <v>0.12474001114468614</v>
      </c>
      <c r="BN8" s="224"/>
      <c r="BO8" s="46">
        <v>179883</v>
      </c>
      <c r="BP8" s="28"/>
      <c r="BQ8" s="29">
        <f t="shared" ref="BQ8:BQ16" si="10">+BO8/BO$18</f>
        <v>0.15991746447745431</v>
      </c>
      <c r="BR8" s="224"/>
      <c r="BS8" s="46">
        <v>218487</v>
      </c>
      <c r="BT8" s="28"/>
      <c r="BU8" s="29">
        <f t="shared" ref="BU8:BU16" si="11">+BS8/BS$18</f>
        <v>0.18951852491167565</v>
      </c>
    </row>
    <row r="9" spans="1:73" ht="15">
      <c r="A9" s="22" t="s">
        <v>65</v>
      </c>
      <c r="B9" s="224"/>
      <c r="C9" s="46">
        <v>299770.73684999999</v>
      </c>
      <c r="D9" s="28"/>
      <c r="E9" s="29">
        <f>+C9/C$18</f>
        <v>0.24512149418315876</v>
      </c>
      <c r="F9" s="224"/>
      <c r="G9" s="46">
        <v>304065.35489000002</v>
      </c>
      <c r="H9" s="28"/>
      <c r="I9" s="29">
        <f>+G9/G$18</f>
        <v>0.24850548488927116</v>
      </c>
      <c r="J9" s="224"/>
      <c r="K9" s="46">
        <v>309631.85705000028</v>
      </c>
      <c r="L9" s="28"/>
      <c r="M9" s="29">
        <f>+K9/K$18</f>
        <v>0.25860049732286294</v>
      </c>
      <c r="N9" s="224"/>
      <c r="O9" s="46">
        <v>330291.2025272731</v>
      </c>
      <c r="P9" s="28"/>
      <c r="Q9" s="29">
        <f>+O9/O$18</f>
        <v>0.2611892583120205</v>
      </c>
      <c r="R9" s="224"/>
      <c r="S9" s="46">
        <v>406695.68361000001</v>
      </c>
      <c r="T9" s="28"/>
      <c r="U9" s="29">
        <f>+S9/S$18</f>
        <v>0.29080895557155556</v>
      </c>
      <c r="V9" s="224"/>
      <c r="W9" s="46">
        <v>406018.64399000001</v>
      </c>
      <c r="X9" s="28"/>
      <c r="Y9" s="29">
        <f>+W9/W$18</f>
        <v>0.30753993096533239</v>
      </c>
      <c r="Z9" s="224"/>
      <c r="AA9" s="46">
        <v>336828</v>
      </c>
      <c r="AB9" s="28"/>
      <c r="AC9" s="29">
        <f t="shared" si="0"/>
        <v>0.30694449760242326</v>
      </c>
      <c r="AD9" s="224"/>
      <c r="AE9" s="46">
        <v>241382.94071999996</v>
      </c>
      <c r="AF9" s="28"/>
      <c r="AG9" s="29">
        <f t="shared" si="1"/>
        <v>0.25908805103494154</v>
      </c>
      <c r="AH9" s="224"/>
      <c r="AI9" s="46">
        <v>245348.78101000001</v>
      </c>
      <c r="AJ9" s="28"/>
      <c r="AK9" s="29">
        <f t="shared" si="2"/>
        <v>0.25436523570855557</v>
      </c>
      <c r="AL9" s="224"/>
      <c r="AM9" s="46">
        <v>261914.87613999998</v>
      </c>
      <c r="AN9" s="28"/>
      <c r="AO9" s="29">
        <f t="shared" si="3"/>
        <v>0.27006027564316604</v>
      </c>
      <c r="AP9" s="224"/>
      <c r="AQ9" s="46">
        <v>281068.95912999997</v>
      </c>
      <c r="AR9" s="28"/>
      <c r="AS9" s="29">
        <f t="shared" si="4"/>
        <v>0.32157231890907745</v>
      </c>
      <c r="AT9" s="224"/>
      <c r="AU9" s="46">
        <v>331636.91382720001</v>
      </c>
      <c r="AV9" s="28"/>
      <c r="AW9" s="29">
        <f t="shared" si="5"/>
        <v>0.34271735029904921</v>
      </c>
      <c r="AX9" s="224"/>
      <c r="AY9" s="46">
        <v>337525.16025289992</v>
      </c>
      <c r="AZ9" s="28"/>
      <c r="BA9" s="29">
        <f t="shared" si="6"/>
        <v>0.32693479562130889</v>
      </c>
      <c r="BB9" s="224"/>
      <c r="BC9" s="46">
        <v>302943.26100520004</v>
      </c>
      <c r="BD9" s="28"/>
      <c r="BE9" s="29">
        <f t="shared" si="7"/>
        <v>0.28941001481583584</v>
      </c>
      <c r="BF9" s="224"/>
      <c r="BG9" s="46">
        <v>316985.15642000001</v>
      </c>
      <c r="BH9" s="28"/>
      <c r="BI9" s="29">
        <f t="shared" si="8"/>
        <v>0.29396630711783495</v>
      </c>
      <c r="BJ9" s="224"/>
      <c r="BK9" s="46">
        <v>289304.96701347001</v>
      </c>
      <c r="BL9" s="28"/>
      <c r="BM9" s="29">
        <f t="shared" si="9"/>
        <v>0.27247598955468982</v>
      </c>
      <c r="BN9" s="224"/>
      <c r="BO9" s="46">
        <v>293420</v>
      </c>
      <c r="BP9" s="28"/>
      <c r="BQ9" s="29">
        <f t="shared" si="10"/>
        <v>0.26085279001892697</v>
      </c>
      <c r="BR9" s="224"/>
      <c r="BS9" s="46">
        <v>289326</v>
      </c>
      <c r="BT9" s="28"/>
      <c r="BU9" s="29">
        <f t="shared" si="11"/>
        <v>0.25096521412530481</v>
      </c>
    </row>
    <row r="10" spans="1:73" ht="15">
      <c r="A10" s="22" t="s">
        <v>66</v>
      </c>
      <c r="B10" s="224"/>
      <c r="C10" s="46">
        <v>281883.41304999997</v>
      </c>
      <c r="D10" s="28"/>
      <c r="E10" s="29">
        <f t="shared" ref="E10:E15" si="12">+C10/C$18</f>
        <v>0.23049509140993565</v>
      </c>
      <c r="F10" s="224"/>
      <c r="G10" s="46">
        <v>257480.00498</v>
      </c>
      <c r="H10" s="28"/>
      <c r="I10" s="29">
        <f t="shared" ref="I10:I15" si="13">+G10/G$18</f>
        <v>0.21043237073159618</v>
      </c>
      <c r="J10" s="224"/>
      <c r="K10" s="46">
        <v>213524.27455999996</v>
      </c>
      <c r="L10" s="28"/>
      <c r="M10" s="29">
        <f t="shared" ref="M10:M15" si="14">+K10/K$18</f>
        <v>0.17833269521360279</v>
      </c>
      <c r="N10" s="224"/>
      <c r="O10" s="46">
        <v>180844.87710795607</v>
      </c>
      <c r="P10" s="28"/>
      <c r="Q10" s="29">
        <f t="shared" ref="Q10:Q15" si="15">+O10/O$18</f>
        <v>0.14300937766410909</v>
      </c>
      <c r="R10" s="224"/>
      <c r="S10" s="46">
        <v>189178.03419999999</v>
      </c>
      <c r="T10" s="28"/>
      <c r="U10" s="29">
        <f t="shared" ref="U10:U16" si="16">+S10/S$18</f>
        <v>0.13527231480415272</v>
      </c>
      <c r="V10" s="224"/>
      <c r="W10" s="46">
        <v>118302.76858</v>
      </c>
      <c r="X10" s="28"/>
      <c r="Y10" s="29">
        <f t="shared" ref="Y10:Y16" si="17">+W10/W$18</f>
        <v>8.9608755215184105E-2</v>
      </c>
      <c r="Z10" s="224"/>
      <c r="AA10" s="46">
        <v>114042</v>
      </c>
      <c r="AB10" s="28"/>
      <c r="AC10" s="29">
        <f t="shared" si="0"/>
        <v>0.10392415237324557</v>
      </c>
      <c r="AD10" s="224"/>
      <c r="AE10" s="46">
        <v>69066.813980000006</v>
      </c>
      <c r="AF10" s="28"/>
      <c r="AG10" s="29">
        <f t="shared" si="1"/>
        <v>7.4132770824215932E-2</v>
      </c>
      <c r="AH10" s="224"/>
      <c r="AI10" s="46">
        <v>66742.078829999999</v>
      </c>
      <c r="AJ10" s="28"/>
      <c r="AK10" s="29">
        <f t="shared" si="2"/>
        <v>6.9194819486712661E-2</v>
      </c>
      <c r="AL10" s="224"/>
      <c r="AM10" s="46">
        <v>61400.668600000005</v>
      </c>
      <c r="AN10" s="28"/>
      <c r="AO10" s="29">
        <f t="shared" si="3"/>
        <v>6.3310193491748309E-2</v>
      </c>
      <c r="AP10" s="224"/>
      <c r="AQ10" s="46">
        <v>73961.064369999993</v>
      </c>
      <c r="AR10" s="28"/>
      <c r="AS10" s="29">
        <f t="shared" si="4"/>
        <v>8.4619201821727857E-2</v>
      </c>
      <c r="AT10" s="224"/>
      <c r="AU10" s="46">
        <v>74091.035600000003</v>
      </c>
      <c r="AV10" s="28"/>
      <c r="AW10" s="29">
        <f t="shared" si="5"/>
        <v>7.656651700412101E-2</v>
      </c>
      <c r="AX10" s="224"/>
      <c r="AY10" s="46">
        <v>72632.081860000006</v>
      </c>
      <c r="AZ10" s="28"/>
      <c r="BA10" s="29">
        <f t="shared" si="6"/>
        <v>7.0353139957498201E-2</v>
      </c>
      <c r="BB10" s="224"/>
      <c r="BC10" s="46">
        <v>78811.711429999996</v>
      </c>
      <c r="BD10" s="28"/>
      <c r="BE10" s="29">
        <f t="shared" si="7"/>
        <v>7.5290991774945484E-2</v>
      </c>
      <c r="BF10" s="224"/>
      <c r="BG10" s="46">
        <v>81031.361000000004</v>
      </c>
      <c r="BH10" s="28"/>
      <c r="BI10" s="29">
        <f t="shared" si="8"/>
        <v>7.5147020204127168E-2</v>
      </c>
      <c r="BJ10" s="224"/>
      <c r="BK10" s="46">
        <v>81911.169309999997</v>
      </c>
      <c r="BL10" s="28"/>
      <c r="BM10" s="29">
        <f t="shared" si="9"/>
        <v>7.7146366146851622E-2</v>
      </c>
      <c r="BN10" s="224"/>
      <c r="BO10" s="46">
        <v>86234</v>
      </c>
      <c r="BP10" s="28"/>
      <c r="BQ10" s="29">
        <f t="shared" si="10"/>
        <v>7.6662734287002071E-2</v>
      </c>
      <c r="BR10" s="224"/>
      <c r="BS10" s="46">
        <v>89416</v>
      </c>
      <c r="BT10" s="28"/>
      <c r="BU10" s="29">
        <f t="shared" si="11"/>
        <v>7.756062568254582E-2</v>
      </c>
    </row>
    <row r="11" spans="1:73" ht="15">
      <c r="A11" s="22" t="s">
        <v>67</v>
      </c>
      <c r="B11" s="224"/>
      <c r="C11" s="46">
        <v>58.842889999999997</v>
      </c>
      <c r="D11" s="28"/>
      <c r="E11" s="29">
        <f t="shared" si="12"/>
        <v>4.8115627530623828E-5</v>
      </c>
      <c r="F11" s="224"/>
      <c r="G11" s="46">
        <v>62.071170000000002</v>
      </c>
      <c r="H11" s="28"/>
      <c r="I11" s="29">
        <f t="shared" si="13"/>
        <v>5.072931180888597E-5</v>
      </c>
      <c r="J11" s="224"/>
      <c r="K11" s="46">
        <v>5849.9964</v>
      </c>
      <c r="L11" s="28"/>
      <c r="M11" s="29">
        <f t="shared" si="14"/>
        <v>4.8858408588514993E-3</v>
      </c>
      <c r="N11" s="224"/>
      <c r="O11" s="46">
        <v>6468.3711633248085</v>
      </c>
      <c r="P11" s="28"/>
      <c r="Q11" s="29">
        <f t="shared" si="15"/>
        <v>5.1150895140664957E-3</v>
      </c>
      <c r="R11" s="224"/>
      <c r="S11" s="46">
        <v>4322.4007099999999</v>
      </c>
      <c r="T11" s="28"/>
      <c r="U11" s="29">
        <f t="shared" si="16"/>
        <v>3.0907454558633599E-3</v>
      </c>
      <c r="V11" s="224"/>
      <c r="W11" s="46">
        <v>2280.6012799999999</v>
      </c>
      <c r="X11" s="28"/>
      <c r="Y11" s="29">
        <f t="shared" si="17"/>
        <v>1.7274476691960063E-3</v>
      </c>
      <c r="Z11" s="224"/>
      <c r="AA11" s="46">
        <v>1910</v>
      </c>
      <c r="AB11" s="28"/>
      <c r="AC11" s="29">
        <f t="shared" si="0"/>
        <v>1.7405441068457149E-3</v>
      </c>
      <c r="AD11" s="224"/>
      <c r="AE11" s="46">
        <v>1709.3961200000001</v>
      </c>
      <c r="AF11" s="28"/>
      <c r="AG11" s="29">
        <f t="shared" si="1"/>
        <v>1.8347779998721162E-3</v>
      </c>
      <c r="AH11" s="224"/>
      <c r="AI11" s="46">
        <v>1546.62835</v>
      </c>
      <c r="AJ11" s="28"/>
      <c r="AK11" s="29">
        <f t="shared" si="2"/>
        <v>1.6034662295112429E-3</v>
      </c>
      <c r="AL11" s="224"/>
      <c r="AM11" s="46">
        <v>1142.8804500000001</v>
      </c>
      <c r="AN11" s="28"/>
      <c r="AO11" s="29">
        <f t="shared" si="3"/>
        <v>1.1784233637390127E-3</v>
      </c>
      <c r="AP11" s="224"/>
      <c r="AQ11" s="46">
        <v>1176.4669899999999</v>
      </c>
      <c r="AR11" s="28"/>
      <c r="AS11" s="29">
        <f t="shared" si="4"/>
        <v>1.3460014199551018E-3</v>
      </c>
      <c r="AT11" s="224"/>
      <c r="AU11" s="46">
        <v>8397.888289999999</v>
      </c>
      <c r="AV11" s="28"/>
      <c r="AW11" s="29">
        <f t="shared" si="5"/>
        <v>8.6784730615237036E-3</v>
      </c>
      <c r="AX11" s="224"/>
      <c r="AY11" s="46">
        <v>6388.6411499999995</v>
      </c>
      <c r="AZ11" s="28"/>
      <c r="BA11" s="29">
        <f t="shared" si="6"/>
        <v>6.1881878290440369E-3</v>
      </c>
      <c r="BB11" s="224"/>
      <c r="BC11" s="46">
        <v>7415.329459999999</v>
      </c>
      <c r="BD11" s="28"/>
      <c r="BE11" s="29">
        <f t="shared" si="7"/>
        <v>7.0840678276255379E-3</v>
      </c>
      <c r="BF11" s="224"/>
      <c r="BG11" s="46">
        <v>4698.5456199999999</v>
      </c>
      <c r="BH11" s="28"/>
      <c r="BI11" s="29">
        <f t="shared" si="8"/>
        <v>4.357346319731112E-3</v>
      </c>
      <c r="BJ11" s="224"/>
      <c r="BK11" s="46">
        <v>2934.4135300000003</v>
      </c>
      <c r="BL11" s="28"/>
      <c r="BM11" s="29">
        <f t="shared" si="9"/>
        <v>2.7637176043098953E-3</v>
      </c>
      <c r="BN11" s="224"/>
      <c r="BO11" s="46">
        <v>8748</v>
      </c>
      <c r="BP11" s="28"/>
      <c r="BQ11" s="29">
        <f t="shared" si="10"/>
        <v>7.7770438521081496E-3</v>
      </c>
      <c r="BR11" s="224"/>
      <c r="BS11" s="46">
        <v>8245</v>
      </c>
      <c r="BT11" s="28"/>
      <c r="BU11" s="29">
        <f t="shared" si="11"/>
        <v>7.1518224786681394E-3</v>
      </c>
    </row>
    <row r="12" spans="1:73" ht="15">
      <c r="A12" s="22" t="s">
        <v>68</v>
      </c>
      <c r="B12" s="224"/>
      <c r="C12" s="46">
        <v>3951.8319000000001</v>
      </c>
      <c r="D12" s="28"/>
      <c r="E12" s="29">
        <f t="shared" si="12"/>
        <v>3.2313992695470512E-3</v>
      </c>
      <c r="F12" s="224"/>
      <c r="G12" s="46">
        <v>6439.2307799999999</v>
      </c>
      <c r="H12" s="28"/>
      <c r="I12" s="29">
        <f t="shared" si="13"/>
        <v>5.2626323307260999E-3</v>
      </c>
      <c r="J12" s="224"/>
      <c r="K12" s="46">
        <v>7295.7419700000009</v>
      </c>
      <c r="L12" s="28"/>
      <c r="M12" s="29">
        <f t="shared" si="14"/>
        <v>6.0933087433461897E-3</v>
      </c>
      <c r="N12" s="224"/>
      <c r="O12" s="46">
        <v>6198.8556981862748</v>
      </c>
      <c r="P12" s="28"/>
      <c r="Q12" s="29">
        <f t="shared" si="15"/>
        <v>4.9019607843137254E-3</v>
      </c>
      <c r="R12" s="224"/>
      <c r="S12" s="46">
        <v>319.50973999999997</v>
      </c>
      <c r="T12" s="28"/>
      <c r="U12" s="29">
        <f t="shared" si="16"/>
        <v>2.2846638783961413E-4</v>
      </c>
      <c r="V12" s="224"/>
      <c r="W12" s="46">
        <v>273.39886999999999</v>
      </c>
      <c r="X12" s="28"/>
      <c r="Y12" s="29">
        <f t="shared" si="17"/>
        <v>2.0708672089420294E-4</v>
      </c>
      <c r="Z12" s="224"/>
      <c r="AA12" s="46">
        <v>543</v>
      </c>
      <c r="AB12" s="28"/>
      <c r="AC12" s="29">
        <f t="shared" si="0"/>
        <v>4.948248429409545E-4</v>
      </c>
      <c r="AD12" s="224"/>
      <c r="AE12" s="46">
        <v>537.76968999999997</v>
      </c>
      <c r="AF12" s="28"/>
      <c r="AG12" s="29">
        <f t="shared" si="1"/>
        <v>5.772143651584092E-4</v>
      </c>
      <c r="AH12" s="224"/>
      <c r="AI12" s="46">
        <v>1225.77702</v>
      </c>
      <c r="AJ12" s="28"/>
      <c r="AK12" s="29">
        <f t="shared" si="2"/>
        <v>1.2708237609125215E-3</v>
      </c>
      <c r="AL12" s="224"/>
      <c r="AM12" s="46">
        <v>4042.1871000000006</v>
      </c>
      <c r="AN12" s="28"/>
      <c r="AO12" s="29">
        <f t="shared" si="3"/>
        <v>4.1678967552944363E-3</v>
      </c>
      <c r="AP12" s="224"/>
      <c r="AQ12" s="46">
        <v>3170.4732899999999</v>
      </c>
      <c r="AR12" s="28"/>
      <c r="AS12" s="29">
        <f t="shared" si="4"/>
        <v>3.6273534119896753E-3</v>
      </c>
      <c r="AT12" s="224"/>
      <c r="AU12" s="46">
        <v>2318.4676099999997</v>
      </c>
      <c r="AV12" s="28"/>
      <c r="AW12" s="29">
        <f t="shared" si="5"/>
        <v>2.3959307390834846E-3</v>
      </c>
      <c r="AX12" s="224"/>
      <c r="AY12" s="46">
        <v>3113.3555900000001</v>
      </c>
      <c r="AZ12" s="28"/>
      <c r="BA12" s="29">
        <f t="shared" si="6"/>
        <v>3.0156693289189081E-3</v>
      </c>
      <c r="BB12" s="224"/>
      <c r="BC12" s="46">
        <v>11967.261699999999</v>
      </c>
      <c r="BD12" s="28"/>
      <c r="BE12" s="29">
        <f t="shared" si="7"/>
        <v>1.1432653673859193E-2</v>
      </c>
      <c r="BF12" s="224"/>
      <c r="BG12" s="46">
        <v>11464.521200000001</v>
      </c>
      <c r="BH12" s="28"/>
      <c r="BI12" s="29">
        <f t="shared" si="8"/>
        <v>1.0631989832270549E-2</v>
      </c>
      <c r="BJ12" s="224"/>
      <c r="BK12" s="46">
        <v>13522.0825</v>
      </c>
      <c r="BL12" s="28"/>
      <c r="BM12" s="29">
        <f t="shared" si="9"/>
        <v>1.2735497935146433E-2</v>
      </c>
      <c r="BN12" s="224"/>
      <c r="BO12" s="46">
        <v>4431</v>
      </c>
      <c r="BP12" s="28"/>
      <c r="BQ12" s="29">
        <f t="shared" si="10"/>
        <v>3.9391953942262475E-3</v>
      </c>
      <c r="BR12" s="224"/>
      <c r="BS12" s="46">
        <v>4596</v>
      </c>
      <c r="BT12" s="28"/>
      <c r="BU12" s="29">
        <f t="shared" si="11"/>
        <v>3.9866314265565514E-3</v>
      </c>
    </row>
    <row r="13" spans="1:73" ht="15">
      <c r="A13" s="22" t="s">
        <v>69</v>
      </c>
      <c r="B13" s="224"/>
      <c r="C13" s="46">
        <v>837.09082999999998</v>
      </c>
      <c r="D13" s="28"/>
      <c r="E13" s="29">
        <f t="shared" si="12"/>
        <v>6.8448627498718623E-4</v>
      </c>
      <c r="F13" s="224"/>
      <c r="G13" s="46">
        <v>923.92206999999996</v>
      </c>
      <c r="H13" s="28"/>
      <c r="I13" s="29">
        <f t="shared" si="13"/>
        <v>7.5509984387504478E-4</v>
      </c>
      <c r="J13" s="224"/>
      <c r="K13" s="46">
        <v>266.56054999999998</v>
      </c>
      <c r="L13" s="28"/>
      <c r="M13" s="29">
        <f t="shared" si="14"/>
        <v>2.2262790222365398E-4</v>
      </c>
      <c r="N13" s="224"/>
      <c r="O13" s="46">
        <v>269.51546513853367</v>
      </c>
      <c r="P13" s="28"/>
      <c r="Q13" s="29">
        <f t="shared" si="15"/>
        <v>2.1312872975277065E-4</v>
      </c>
      <c r="R13" s="224"/>
      <c r="S13" s="46">
        <v>166.92750000000001</v>
      </c>
      <c r="T13" s="28"/>
      <c r="U13" s="29">
        <f t="shared" si="16"/>
        <v>1.1936200428849899E-4</v>
      </c>
      <c r="V13" s="224"/>
      <c r="W13" s="46">
        <v>148.93307999999999</v>
      </c>
      <c r="X13" s="28"/>
      <c r="Y13" s="29">
        <f t="shared" si="17"/>
        <v>1.128097682696128E-4</v>
      </c>
      <c r="Z13" s="224"/>
      <c r="AA13" s="46">
        <v>2035</v>
      </c>
      <c r="AB13" s="28"/>
      <c r="AC13" s="29">
        <f t="shared" si="0"/>
        <v>1.8544540614822145E-3</v>
      </c>
      <c r="AD13" s="224"/>
      <c r="AE13" s="46">
        <v>1240.8711900000001</v>
      </c>
      <c r="AF13" s="28"/>
      <c r="AG13" s="29">
        <f t="shared" si="1"/>
        <v>1.3318874036564051E-3</v>
      </c>
      <c r="AH13" s="224"/>
      <c r="AI13" s="46">
        <v>1662.8485400000002</v>
      </c>
      <c r="AJ13" s="28"/>
      <c r="AK13" s="29">
        <f t="shared" si="2"/>
        <v>1.7239574579646594E-3</v>
      </c>
      <c r="AL13" s="224"/>
      <c r="AM13" s="46">
        <v>1369.6119200000001</v>
      </c>
      <c r="AN13" s="28"/>
      <c r="AO13" s="29">
        <f t="shared" si="3"/>
        <v>1.4122060498833868E-3</v>
      </c>
      <c r="AP13" s="224"/>
      <c r="AQ13" s="46">
        <v>93.127499999999984</v>
      </c>
      <c r="AR13" s="28"/>
      <c r="AS13" s="29">
        <f t="shared" si="4"/>
        <v>1.0654761102720675E-4</v>
      </c>
      <c r="AT13" s="224"/>
      <c r="AU13" s="46">
        <v>10720.001999999999</v>
      </c>
      <c r="AV13" s="28"/>
      <c r="AW13" s="29">
        <f t="shared" si="5"/>
        <v>1.1078171721724607E-2</v>
      </c>
      <c r="AX13" s="224"/>
      <c r="AY13" s="46">
        <v>6973.5247499999996</v>
      </c>
      <c r="AZ13" s="28"/>
      <c r="BA13" s="29">
        <f t="shared" si="6"/>
        <v>6.7547198176074368E-3</v>
      </c>
      <c r="BB13" s="224"/>
      <c r="BC13" s="46">
        <v>3870.2109999999998</v>
      </c>
      <c r="BD13" s="28"/>
      <c r="BE13" s="29">
        <f t="shared" si="7"/>
        <v>3.6973188283966636E-3</v>
      </c>
      <c r="BF13" s="224"/>
      <c r="BG13" s="46">
        <v>3520</v>
      </c>
      <c r="BH13" s="28"/>
      <c r="BI13" s="29">
        <f t="shared" si="8"/>
        <v>3.2643844044348167E-3</v>
      </c>
      <c r="BJ13" s="224"/>
      <c r="BK13" s="46">
        <v>3330</v>
      </c>
      <c r="BL13" s="28"/>
      <c r="BM13" s="29">
        <f t="shared" si="9"/>
        <v>3.1362926623201433E-3</v>
      </c>
      <c r="BN13" s="224"/>
      <c r="BO13" s="46">
        <v>3917</v>
      </c>
      <c r="BP13" s="28"/>
      <c r="BQ13" s="29">
        <f t="shared" si="10"/>
        <v>3.4822451724631485E-3</v>
      </c>
      <c r="BR13" s="224"/>
      <c r="BS13" s="28">
        <v>0</v>
      </c>
      <c r="BT13" s="28"/>
      <c r="BU13" s="29">
        <f t="shared" si="11"/>
        <v>0</v>
      </c>
    </row>
    <row r="14" spans="1:73" ht="15">
      <c r="A14" s="22" t="s">
        <v>70</v>
      </c>
      <c r="B14" s="224"/>
      <c r="C14" s="46">
        <v>2273.4897900000001</v>
      </c>
      <c r="D14" s="28"/>
      <c r="E14" s="29">
        <f t="shared" si="12"/>
        <v>1.8590247340046725E-3</v>
      </c>
      <c r="F14" s="224"/>
      <c r="G14" s="46">
        <v>2483.9289699999999</v>
      </c>
      <c r="H14" s="28"/>
      <c r="I14" s="29">
        <f t="shared" si="13"/>
        <v>2.0300569045219375E-3</v>
      </c>
      <c r="J14" s="224"/>
      <c r="K14" s="46">
        <v>3590.5622899999994</v>
      </c>
      <c r="L14" s="28"/>
      <c r="M14" s="29">
        <f t="shared" si="14"/>
        <v>2.9987908954496796E-3</v>
      </c>
      <c r="N14" s="224"/>
      <c r="O14" s="46">
        <v>4447.005174785806</v>
      </c>
      <c r="P14" s="28"/>
      <c r="Q14" s="29">
        <f t="shared" si="15"/>
        <v>3.5166240409207159E-3</v>
      </c>
      <c r="R14" s="224"/>
      <c r="S14" s="46">
        <v>0</v>
      </c>
      <c r="T14" s="28"/>
      <c r="U14" s="29">
        <f t="shared" si="16"/>
        <v>0</v>
      </c>
      <c r="V14" s="224"/>
      <c r="W14" s="46">
        <v>0</v>
      </c>
      <c r="X14" s="28"/>
      <c r="Y14" s="29">
        <f t="shared" si="17"/>
        <v>0</v>
      </c>
      <c r="Z14" s="224"/>
      <c r="AA14" s="46">
        <v>0</v>
      </c>
      <c r="AB14" s="28"/>
      <c r="AC14" s="29">
        <f t="shared" si="0"/>
        <v>0</v>
      </c>
      <c r="AD14" s="224"/>
      <c r="AE14" s="46">
        <v>0</v>
      </c>
      <c r="AF14" s="28"/>
      <c r="AG14" s="29">
        <f t="shared" si="1"/>
        <v>0</v>
      </c>
      <c r="AH14" s="224"/>
      <c r="AI14" s="46">
        <v>26.084769999999999</v>
      </c>
      <c r="AJ14" s="28"/>
      <c r="AK14" s="29">
        <f t="shared" si="2"/>
        <v>2.7043373283289409E-5</v>
      </c>
      <c r="AL14" s="224"/>
      <c r="AM14" s="46">
        <v>0</v>
      </c>
      <c r="AN14" s="28"/>
      <c r="AO14" s="29">
        <f t="shared" si="3"/>
        <v>0</v>
      </c>
      <c r="AP14" s="224"/>
      <c r="AQ14" s="46">
        <v>0</v>
      </c>
      <c r="AR14" s="28"/>
      <c r="AS14" s="29">
        <f t="shared" si="4"/>
        <v>0</v>
      </c>
      <c r="AT14" s="224"/>
      <c r="AU14" s="46">
        <v>0</v>
      </c>
      <c r="AV14" s="28"/>
      <c r="AW14" s="29">
        <f t="shared" si="5"/>
        <v>0</v>
      </c>
      <c r="AX14" s="224"/>
      <c r="AY14" s="46">
        <v>0</v>
      </c>
      <c r="AZ14" s="28"/>
      <c r="BA14" s="29">
        <f t="shared" si="6"/>
        <v>0</v>
      </c>
      <c r="BB14" s="224"/>
      <c r="BC14" s="46">
        <v>0</v>
      </c>
      <c r="BD14" s="28"/>
      <c r="BE14" s="29">
        <f t="shared" si="7"/>
        <v>0</v>
      </c>
      <c r="BF14" s="224"/>
      <c r="BG14" s="46">
        <v>0</v>
      </c>
      <c r="BH14" s="28"/>
      <c r="BI14" s="29">
        <f t="shared" si="8"/>
        <v>0</v>
      </c>
      <c r="BJ14" s="224"/>
      <c r="BK14" s="46">
        <v>0</v>
      </c>
      <c r="BL14" s="28"/>
      <c r="BM14" s="29">
        <f t="shared" si="9"/>
        <v>0</v>
      </c>
      <c r="BN14" s="224"/>
      <c r="BO14" s="28">
        <v>0</v>
      </c>
      <c r="BP14" s="28"/>
      <c r="BQ14" s="29">
        <f t="shared" si="10"/>
        <v>0</v>
      </c>
      <c r="BR14" s="224"/>
      <c r="BS14" s="28">
        <v>0</v>
      </c>
      <c r="BT14" s="28"/>
      <c r="BU14" s="29">
        <f t="shared" si="11"/>
        <v>0</v>
      </c>
    </row>
    <row r="15" spans="1:73" ht="15">
      <c r="A15" s="22" t="s">
        <v>255</v>
      </c>
      <c r="B15" s="224"/>
      <c r="C15" s="46">
        <v>148.47977</v>
      </c>
      <c r="D15" s="28"/>
      <c r="E15" s="29">
        <f t="shared" si="12"/>
        <v>1.2141139412344796E-4</v>
      </c>
      <c r="F15" s="224"/>
      <c r="G15" s="46">
        <v>197.18065000000001</v>
      </c>
      <c r="H15" s="28"/>
      <c r="I15" s="29">
        <f t="shared" si="13"/>
        <v>1.6115112179339961E-4</v>
      </c>
      <c r="J15" s="224"/>
      <c r="K15" s="46">
        <v>205.6799</v>
      </c>
      <c r="L15" s="28"/>
      <c r="M15" s="29">
        <f t="shared" si="14"/>
        <v>1.7178117567123467E-4</v>
      </c>
      <c r="N15" s="224"/>
      <c r="O15" s="46">
        <v>134.75773256926684</v>
      </c>
      <c r="P15" s="28"/>
      <c r="Q15" s="29">
        <f t="shared" si="15"/>
        <v>1.0656436487638532E-4</v>
      </c>
      <c r="R15" s="224"/>
      <c r="S15" s="46">
        <v>0</v>
      </c>
      <c r="T15" s="28"/>
      <c r="U15" s="29">
        <f t="shared" si="16"/>
        <v>0</v>
      </c>
      <c r="V15" s="224"/>
      <c r="W15" s="46">
        <v>0</v>
      </c>
      <c r="X15" s="28"/>
      <c r="Y15" s="29">
        <f t="shared" si="17"/>
        <v>0</v>
      </c>
      <c r="Z15" s="224"/>
      <c r="AA15" s="46">
        <v>0</v>
      </c>
      <c r="AB15" s="28"/>
      <c r="AC15" s="29">
        <f t="shared" si="0"/>
        <v>0</v>
      </c>
      <c r="AD15" s="224"/>
      <c r="AE15" s="46">
        <v>0</v>
      </c>
      <c r="AF15" s="28"/>
      <c r="AG15" s="29">
        <f t="shared" si="1"/>
        <v>0</v>
      </c>
      <c r="AH15" s="224"/>
      <c r="AI15" s="46">
        <v>0</v>
      </c>
      <c r="AJ15" s="28"/>
      <c r="AK15" s="29">
        <f t="shared" si="2"/>
        <v>0</v>
      </c>
      <c r="AL15" s="224"/>
      <c r="AM15" s="46">
        <v>0</v>
      </c>
      <c r="AN15" s="28"/>
      <c r="AO15" s="29">
        <f t="shared" si="3"/>
        <v>0</v>
      </c>
      <c r="AP15" s="224"/>
      <c r="AQ15" s="46">
        <v>0</v>
      </c>
      <c r="AR15" s="28"/>
      <c r="AS15" s="29">
        <f t="shared" si="4"/>
        <v>0</v>
      </c>
      <c r="AT15" s="224"/>
      <c r="AU15" s="46">
        <v>0</v>
      </c>
      <c r="AV15" s="28"/>
      <c r="AW15" s="29">
        <f t="shared" si="5"/>
        <v>0</v>
      </c>
      <c r="AX15" s="224"/>
      <c r="AY15" s="46">
        <v>0</v>
      </c>
      <c r="AZ15" s="28"/>
      <c r="BA15" s="29">
        <f t="shared" si="6"/>
        <v>0</v>
      </c>
      <c r="BB15" s="224"/>
      <c r="BC15" s="46">
        <v>0</v>
      </c>
      <c r="BD15" s="28"/>
      <c r="BE15" s="29">
        <f t="shared" si="7"/>
        <v>0</v>
      </c>
      <c r="BF15" s="224"/>
      <c r="BG15" s="46">
        <v>0</v>
      </c>
      <c r="BH15" s="28"/>
      <c r="BI15" s="29">
        <f t="shared" si="8"/>
        <v>0</v>
      </c>
      <c r="BJ15" s="224"/>
      <c r="BK15" s="46">
        <v>0</v>
      </c>
      <c r="BL15" s="28"/>
      <c r="BM15" s="29">
        <f t="shared" si="9"/>
        <v>0</v>
      </c>
      <c r="BN15" s="224"/>
      <c r="BO15" s="28">
        <v>0</v>
      </c>
      <c r="BP15" s="28"/>
      <c r="BQ15" s="29">
        <f t="shared" si="10"/>
        <v>0</v>
      </c>
      <c r="BR15" s="224"/>
      <c r="BS15" s="28">
        <v>0</v>
      </c>
      <c r="BT15" s="28"/>
      <c r="BU15" s="29">
        <f t="shared" si="11"/>
        <v>0</v>
      </c>
    </row>
    <row r="16" spans="1:73" ht="15">
      <c r="A16" s="22" t="s">
        <v>179</v>
      </c>
      <c r="B16" s="224"/>
      <c r="C16" s="76">
        <v>1951.6966199999999</v>
      </c>
      <c r="D16" s="28"/>
      <c r="E16" s="29">
        <f>+C16/C$18</f>
        <v>1.5958955724420993E-3</v>
      </c>
      <c r="F16" s="224"/>
      <c r="G16" s="76">
        <v>1967.2901999999999</v>
      </c>
      <c r="H16" s="28"/>
      <c r="I16" s="29">
        <f>+G16/G$18</f>
        <v>1.6078201518412757E-3</v>
      </c>
      <c r="J16" s="224"/>
      <c r="K16" s="76">
        <v>1982.7707800000001</v>
      </c>
      <c r="L16" s="28"/>
      <c r="M16" s="29">
        <f>+K16/K$18</f>
        <v>1.6559843508041914E-3</v>
      </c>
      <c r="N16" s="224"/>
      <c r="O16" s="76">
        <v>2021.365988539003</v>
      </c>
      <c r="P16" s="28"/>
      <c r="Q16" s="29">
        <f>+O16/O$18</f>
        <v>1.5984654731457802E-3</v>
      </c>
      <c r="R16" s="224"/>
      <c r="S16" s="76">
        <v>0</v>
      </c>
      <c r="T16" s="28"/>
      <c r="U16" s="29">
        <f t="shared" si="16"/>
        <v>0</v>
      </c>
      <c r="V16" s="224"/>
      <c r="W16" s="76">
        <v>0</v>
      </c>
      <c r="X16" s="28"/>
      <c r="Y16" s="29">
        <f t="shared" si="17"/>
        <v>0</v>
      </c>
      <c r="Z16" s="224"/>
      <c r="AA16" s="76">
        <v>0</v>
      </c>
      <c r="AB16" s="28"/>
      <c r="AC16" s="29">
        <f t="shared" si="0"/>
        <v>0</v>
      </c>
      <c r="AD16" s="224"/>
      <c r="AE16" s="76">
        <v>0</v>
      </c>
      <c r="AF16" s="28"/>
      <c r="AG16" s="29">
        <f t="shared" si="1"/>
        <v>0</v>
      </c>
      <c r="AH16" s="224"/>
      <c r="AI16" s="76">
        <v>0</v>
      </c>
      <c r="AJ16" s="28"/>
      <c r="AK16" s="29">
        <f t="shared" si="2"/>
        <v>0</v>
      </c>
      <c r="AL16" s="224"/>
      <c r="AM16" s="76">
        <v>0</v>
      </c>
      <c r="AN16" s="28"/>
      <c r="AO16" s="29">
        <f t="shared" si="3"/>
        <v>0</v>
      </c>
      <c r="AP16" s="224"/>
      <c r="AQ16" s="76">
        <v>1032.5</v>
      </c>
      <c r="AR16" s="28"/>
      <c r="AS16" s="29">
        <f t="shared" si="4"/>
        <v>1.181288109157778E-3</v>
      </c>
      <c r="AT16" s="224"/>
      <c r="AU16" s="76">
        <v>892.5</v>
      </c>
      <c r="AV16" s="28"/>
      <c r="AW16" s="29">
        <f t="shared" si="5"/>
        <v>9.2231962845148844E-4</v>
      </c>
      <c r="AX16" s="224"/>
      <c r="AY16" s="76">
        <v>6016.3040000000001</v>
      </c>
      <c r="AZ16" s="28"/>
      <c r="BA16" s="29">
        <f t="shared" si="6"/>
        <v>5.8275333227362381E-3</v>
      </c>
      <c r="BB16" s="224"/>
      <c r="BC16" s="76">
        <v>875</v>
      </c>
      <c r="BD16" s="28"/>
      <c r="BE16" s="29">
        <f t="shared" si="7"/>
        <v>8.359115239058234E-4</v>
      </c>
      <c r="BF16" s="224"/>
      <c r="BG16" s="76">
        <v>0</v>
      </c>
      <c r="BH16" s="28"/>
      <c r="BI16" s="29">
        <f t="shared" si="8"/>
        <v>0</v>
      </c>
      <c r="BJ16" s="224"/>
      <c r="BK16" s="76">
        <v>0</v>
      </c>
      <c r="BL16" s="28"/>
      <c r="BM16" s="29">
        <f t="shared" si="9"/>
        <v>0</v>
      </c>
      <c r="BN16" s="224"/>
      <c r="BO16" s="30">
        <v>0</v>
      </c>
      <c r="BP16" s="28"/>
      <c r="BQ16" s="29">
        <f t="shared" si="10"/>
        <v>0</v>
      </c>
      <c r="BR16" s="224"/>
      <c r="BS16" s="30">
        <v>0</v>
      </c>
      <c r="BT16" s="28"/>
      <c r="BU16" s="29">
        <f t="shared" si="11"/>
        <v>0</v>
      </c>
    </row>
    <row r="17" spans="1:73" ht="15">
      <c r="A17" s="22"/>
      <c r="B17" s="225"/>
      <c r="C17" s="28"/>
      <c r="D17" s="28"/>
      <c r="E17" s="29"/>
      <c r="F17" s="225"/>
      <c r="G17" s="28"/>
      <c r="H17" s="28"/>
      <c r="I17" s="29"/>
      <c r="J17" s="225"/>
      <c r="K17" s="28"/>
      <c r="L17" s="28"/>
      <c r="M17" s="29"/>
      <c r="N17" s="225"/>
      <c r="O17" s="28"/>
      <c r="P17" s="28"/>
      <c r="Q17" s="29"/>
      <c r="R17" s="225"/>
      <c r="S17" s="28"/>
      <c r="T17" s="28"/>
      <c r="U17" s="29"/>
      <c r="V17" s="225"/>
      <c r="W17" s="28"/>
      <c r="X17" s="28"/>
      <c r="Y17" s="29"/>
      <c r="Z17" s="225"/>
      <c r="AA17" s="28"/>
      <c r="AB17" s="28"/>
      <c r="AC17" s="29"/>
      <c r="AD17" s="225"/>
      <c r="AE17" s="28"/>
      <c r="AF17" s="28"/>
      <c r="AG17" s="29"/>
      <c r="AH17" s="225"/>
      <c r="AI17" s="28"/>
      <c r="AJ17" s="28"/>
      <c r="AK17" s="29"/>
      <c r="AL17" s="225"/>
      <c r="AM17" s="28"/>
      <c r="AN17" s="28"/>
      <c r="AO17" s="29"/>
      <c r="AP17" s="225"/>
      <c r="AQ17" s="28"/>
      <c r="AR17" s="28"/>
      <c r="AS17" s="29"/>
      <c r="AT17" s="225"/>
      <c r="AU17" s="28"/>
      <c r="AV17" s="28"/>
      <c r="AW17" s="29"/>
      <c r="AX17" s="225"/>
      <c r="AY17" s="28"/>
      <c r="AZ17" s="28"/>
      <c r="BA17" s="29"/>
      <c r="BB17" s="225"/>
      <c r="BC17" s="28"/>
      <c r="BD17" s="28"/>
      <c r="BE17" s="29"/>
      <c r="BF17" s="225"/>
      <c r="BG17" s="28"/>
      <c r="BH17" s="28"/>
      <c r="BI17" s="29"/>
      <c r="BJ17" s="225"/>
      <c r="BK17" s="28"/>
      <c r="BL17" s="28"/>
      <c r="BM17" s="29"/>
      <c r="BN17" s="225"/>
      <c r="BO17" s="28"/>
      <c r="BP17" s="28"/>
      <c r="BQ17" s="29"/>
      <c r="BR17" s="225"/>
      <c r="BS17" s="28"/>
      <c r="BT17" s="28"/>
      <c r="BU17" s="29"/>
    </row>
    <row r="18" spans="1:73" ht="15.75" thickBot="1">
      <c r="A18" s="22" t="s">
        <v>130</v>
      </c>
      <c r="B18" s="18"/>
      <c r="C18" s="226">
        <f>SUM(C7:C17)</f>
        <v>1222947.5748300001</v>
      </c>
      <c r="D18" s="227"/>
      <c r="E18" s="29">
        <f>SUM(E7:E17)</f>
        <v>0.99999999999999989</v>
      </c>
      <c r="F18" s="18"/>
      <c r="G18" s="226">
        <f>SUM(G7:G17)</f>
        <v>1223576.03103</v>
      </c>
      <c r="H18" s="227"/>
      <c r="I18" s="29">
        <f>SUM(I7:I17)</f>
        <v>1</v>
      </c>
      <c r="J18" s="18"/>
      <c r="K18" s="226">
        <f>SUM(K7:K17)</f>
        <v>1197336.6650700003</v>
      </c>
      <c r="L18" s="227"/>
      <c r="M18" s="29">
        <f>SUM(M7:M17)</f>
        <v>0.99999999999999956</v>
      </c>
      <c r="N18" s="18"/>
      <c r="O18" s="226">
        <f>SUM(O7:O17)</f>
        <v>1264566.5624300002</v>
      </c>
      <c r="P18" s="227"/>
      <c r="Q18" s="29">
        <f>SUM(Q7:Q17)</f>
        <v>1</v>
      </c>
      <c r="R18" s="18"/>
      <c r="S18" s="226">
        <f>SUM(S7:S17)</f>
        <v>1398497.7966399996</v>
      </c>
      <c r="T18" s="227"/>
      <c r="U18" s="29">
        <f>SUM(U7:U17)</f>
        <v>1.0000000000000002</v>
      </c>
      <c r="V18" s="18"/>
      <c r="W18" s="226">
        <f>SUM(W7:W17)</f>
        <v>1320214.3953</v>
      </c>
      <c r="X18" s="227"/>
      <c r="Y18" s="29">
        <f>SUM(Y7:Y17)</f>
        <v>1</v>
      </c>
      <c r="Z18" s="18"/>
      <c r="AA18" s="226">
        <f>SUM(AA7:AA17)</f>
        <v>1097358</v>
      </c>
      <c r="AB18" s="227"/>
      <c r="AC18" s="29">
        <f>SUM(AC7:AC17)</f>
        <v>1.0000000000000002</v>
      </c>
      <c r="AD18" s="18"/>
      <c r="AE18" s="226">
        <v>931663.7326799999</v>
      </c>
      <c r="AF18" s="227"/>
      <c r="AG18" s="29">
        <f>SUM(AG7:AG17)</f>
        <v>0.99999999999999989</v>
      </c>
      <c r="AH18" s="18"/>
      <c r="AI18" s="226">
        <v>964553.11719999998</v>
      </c>
      <c r="AJ18" s="227"/>
      <c r="AK18" s="29">
        <f>SUM(AK7:AK17)</f>
        <v>0.99999999999999989</v>
      </c>
      <c r="AL18" s="18"/>
      <c r="AM18" s="226">
        <v>969838.58702000044</v>
      </c>
      <c r="AN18" s="227"/>
      <c r="AO18" s="29">
        <f>SUM(AO7:AO17)</f>
        <v>0.99999999999999933</v>
      </c>
      <c r="AP18" s="18"/>
      <c r="AQ18" s="226">
        <v>874045.87584999949</v>
      </c>
      <c r="AR18" s="227"/>
      <c r="AS18" s="29">
        <f>SUM(AS7:AS17)</f>
        <v>1.0000000000000002</v>
      </c>
      <c r="AT18" s="18"/>
      <c r="AU18" s="226">
        <v>967668.8779772002</v>
      </c>
      <c r="AV18" s="227"/>
      <c r="AW18" s="29">
        <f>SUM(AW7:AW17)</f>
        <v>1</v>
      </c>
      <c r="AX18" s="18"/>
      <c r="AY18" s="226">
        <v>1032392.8953829006</v>
      </c>
      <c r="AZ18" s="227"/>
      <c r="BA18" s="29">
        <f>SUM(BA7:BA17)</f>
        <v>0.99999999999999989</v>
      </c>
      <c r="BB18" s="18"/>
      <c r="BC18" s="226">
        <v>1046761.4992452005</v>
      </c>
      <c r="BD18" s="227"/>
      <c r="BE18" s="29">
        <f>SUM(BE7:BE17)</f>
        <v>0.99999999999999978</v>
      </c>
      <c r="BF18" s="18"/>
      <c r="BG18" s="226">
        <v>1078304.3795999999</v>
      </c>
      <c r="BH18" s="227"/>
      <c r="BI18" s="29">
        <f>SUM(BI7:BI17)</f>
        <v>1</v>
      </c>
      <c r="BJ18" s="18"/>
      <c r="BK18" s="226">
        <v>1061763.1575034701</v>
      </c>
      <c r="BL18" s="227"/>
      <c r="BM18" s="29">
        <f>SUM(BM7:BM17)</f>
        <v>1</v>
      </c>
      <c r="BN18" s="18"/>
      <c r="BO18" s="226">
        <v>1124849</v>
      </c>
      <c r="BP18" s="227"/>
      <c r="BQ18" s="29">
        <f>SUM(BQ7:BQ17)</f>
        <v>1</v>
      </c>
      <c r="BR18" s="18"/>
      <c r="BS18" s="226">
        <v>1152853</v>
      </c>
      <c r="BT18" s="227"/>
      <c r="BU18" s="29">
        <f>SUM(BU7:BU17)</f>
        <v>1.0000000000000002</v>
      </c>
    </row>
    <row r="19" spans="1:73" ht="15" thickTop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</row>
    <row r="20" spans="1:73" ht="15">
      <c r="A20" s="22" t="s">
        <v>131</v>
      </c>
      <c r="B20" s="224"/>
      <c r="C20" s="28">
        <v>1561.412</v>
      </c>
      <c r="D20" s="28"/>
      <c r="E20" s="29"/>
      <c r="F20" s="224"/>
      <c r="G20" s="28">
        <v>1511.4680000000001</v>
      </c>
      <c r="H20" s="28"/>
      <c r="I20" s="29"/>
      <c r="J20" s="224"/>
      <c r="K20" s="28">
        <v>1476</v>
      </c>
      <c r="L20" s="28"/>
      <c r="M20" s="29"/>
      <c r="N20" s="224"/>
      <c r="O20" s="28">
        <v>1454</v>
      </c>
      <c r="P20" s="28"/>
      <c r="Q20" s="29"/>
      <c r="R20" s="224"/>
      <c r="S20" s="28">
        <v>1408.538</v>
      </c>
      <c r="T20" s="28"/>
      <c r="U20" s="29"/>
      <c r="V20" s="224"/>
      <c r="W20" s="28">
        <v>1356</v>
      </c>
      <c r="X20" s="28"/>
      <c r="Y20" s="29"/>
      <c r="Z20" s="224"/>
      <c r="AA20" s="28">
        <v>1366.7697999998927</v>
      </c>
      <c r="AB20" s="28"/>
      <c r="AC20" s="29"/>
      <c r="AD20" s="224"/>
      <c r="AE20" s="28">
        <v>1286.8241699999999</v>
      </c>
      <c r="AF20" s="28"/>
      <c r="AG20" s="29"/>
      <c r="AH20" s="224"/>
      <c r="AI20" s="28">
        <v>1275.59717</v>
      </c>
      <c r="AJ20" s="28"/>
      <c r="AK20" s="29"/>
      <c r="AL20" s="224"/>
      <c r="AM20" s="28">
        <v>1193.06519</v>
      </c>
      <c r="AN20" s="28"/>
      <c r="AO20" s="29"/>
      <c r="AP20" s="224"/>
      <c r="AQ20" s="28">
        <v>1733.7653799999998</v>
      </c>
      <c r="AR20" s="28"/>
      <c r="AS20" s="29"/>
      <c r="AT20" s="224"/>
      <c r="AU20" s="28">
        <v>23451.331342799647</v>
      </c>
      <c r="AV20" s="28"/>
      <c r="AW20" s="29"/>
      <c r="AX20" s="224"/>
      <c r="AY20" s="28">
        <v>23922.611347099533</v>
      </c>
      <c r="AZ20" s="28"/>
      <c r="BA20" s="29"/>
      <c r="BB20" s="224"/>
      <c r="BC20" s="28">
        <v>23469.502394799259</v>
      </c>
      <c r="BD20" s="28"/>
      <c r="BE20" s="29"/>
      <c r="BF20" s="224"/>
      <c r="BG20" s="28">
        <v>23218.060979999998</v>
      </c>
      <c r="BH20" s="28"/>
      <c r="BI20" s="29"/>
      <c r="BJ20" s="224"/>
      <c r="BK20" s="28">
        <v>23067.601439999995</v>
      </c>
      <c r="BL20" s="28"/>
      <c r="BM20" s="29"/>
      <c r="BN20" s="224"/>
      <c r="BO20" s="28">
        <v>23086.161619999999</v>
      </c>
      <c r="BP20" s="28"/>
      <c r="BQ20" s="29"/>
      <c r="BR20" s="224"/>
      <c r="BS20" s="28">
        <v>22992.566500000001</v>
      </c>
      <c r="BT20" s="28"/>
      <c r="BU20" s="29"/>
    </row>
    <row r="21" spans="1:73" ht="15">
      <c r="A21" s="22" t="s">
        <v>6</v>
      </c>
      <c r="B21" s="224"/>
      <c r="C21" s="30">
        <v>63538.870999999999</v>
      </c>
      <c r="D21" s="28"/>
      <c r="E21" s="29"/>
      <c r="F21" s="224"/>
      <c r="G21" s="30">
        <v>219389.90900000001</v>
      </c>
      <c r="H21" s="28"/>
      <c r="I21" s="29"/>
      <c r="J21" s="224"/>
      <c r="K21" s="30">
        <v>20135</v>
      </c>
      <c r="L21" s="28"/>
      <c r="M21" s="29"/>
      <c r="N21" s="224"/>
      <c r="O21" s="30">
        <v>-11182</v>
      </c>
      <c r="P21" s="28"/>
      <c r="Q21" s="29"/>
      <c r="R21" s="224"/>
      <c r="S21" s="30">
        <v>23224</v>
      </c>
      <c r="T21" s="28"/>
      <c r="U21" s="29"/>
      <c r="V21" s="224"/>
      <c r="W21" s="30">
        <v>531789</v>
      </c>
      <c r="X21" s="28"/>
      <c r="Y21" s="29"/>
      <c r="Z21" s="224"/>
      <c r="AA21" s="30">
        <v>826646.82363</v>
      </c>
      <c r="AB21" s="28"/>
      <c r="AC21" s="29"/>
      <c r="AD21" s="224"/>
      <c r="AE21" s="30">
        <v>946274.54238999996</v>
      </c>
      <c r="AF21" s="28"/>
      <c r="AG21" s="29"/>
      <c r="AH21" s="224"/>
      <c r="AI21" s="30">
        <v>856957.52113000001</v>
      </c>
      <c r="AJ21" s="28"/>
      <c r="AK21" s="29"/>
      <c r="AL21" s="224"/>
      <c r="AM21" s="30">
        <v>414568.78715000005</v>
      </c>
      <c r="AN21" s="28"/>
      <c r="AO21" s="29"/>
      <c r="AP21" s="224"/>
      <c r="AQ21" s="30">
        <v>331831.55950999999</v>
      </c>
      <c r="AR21" s="28"/>
      <c r="AS21" s="29"/>
      <c r="AT21" s="224"/>
      <c r="AU21" s="30">
        <v>470783.55528000003</v>
      </c>
      <c r="AV21" s="28"/>
      <c r="AW21" s="29"/>
      <c r="AX21" s="224"/>
      <c r="AY21" s="30">
        <v>511031.85549999995</v>
      </c>
      <c r="AZ21" s="28"/>
      <c r="BA21" s="29"/>
      <c r="BB21" s="224"/>
      <c r="BC21" s="30">
        <v>546959.29605999996</v>
      </c>
      <c r="BD21" s="28"/>
      <c r="BE21" s="29"/>
      <c r="BF21" s="224"/>
      <c r="BG21" s="30">
        <v>452717.36953999999</v>
      </c>
      <c r="BH21" s="28"/>
      <c r="BI21" s="29"/>
      <c r="BJ21" s="224"/>
      <c r="BK21" s="30">
        <v>638915</v>
      </c>
      <c r="BL21" s="28"/>
      <c r="BM21" s="29"/>
      <c r="BN21" s="224"/>
      <c r="BO21" s="30">
        <v>667685.48573000007</v>
      </c>
      <c r="BP21" s="28"/>
      <c r="BQ21" s="29"/>
      <c r="BR21" s="224"/>
      <c r="BS21" s="30">
        <v>993534.99044000008</v>
      </c>
      <c r="BT21" s="28"/>
      <c r="BU21" s="29"/>
    </row>
    <row r="22" spans="1:73" ht="14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</row>
    <row r="23" spans="1:73" ht="15.75" thickBot="1">
      <c r="A23" s="22" t="s">
        <v>132</v>
      </c>
      <c r="B23" s="18"/>
      <c r="C23" s="226">
        <f>SUM(C18:C21)</f>
        <v>1288047.8578300001</v>
      </c>
      <c r="D23" s="227"/>
      <c r="E23" s="29"/>
      <c r="F23" s="18"/>
      <c r="G23" s="226">
        <f>SUM(G18:G21)</f>
        <v>1444477.40803</v>
      </c>
      <c r="H23" s="227"/>
      <c r="I23" s="29"/>
      <c r="J23" s="18"/>
      <c r="K23" s="226">
        <f>SUM(K18:K21)</f>
        <v>1218947.6650700003</v>
      </c>
      <c r="L23" s="227"/>
      <c r="M23" s="29"/>
      <c r="N23" s="18"/>
      <c r="O23" s="226">
        <f>SUM(O18:O21)</f>
        <v>1254838.5624300002</v>
      </c>
      <c r="P23" s="227"/>
      <c r="Q23" s="29"/>
      <c r="R23" s="18"/>
      <c r="S23" s="226">
        <f>SUM(S18:S21)</f>
        <v>1423130.3346399995</v>
      </c>
      <c r="T23" s="227"/>
      <c r="U23" s="29"/>
      <c r="V23" s="18"/>
      <c r="W23" s="226">
        <f>SUM(W18:W21)</f>
        <v>1853359.3953</v>
      </c>
      <c r="X23" s="227"/>
      <c r="Y23" s="29"/>
      <c r="Z23" s="18"/>
      <c r="AA23" s="226">
        <f>SUM(AA18:AA21)</f>
        <v>1925371.5934299999</v>
      </c>
      <c r="AB23" s="227"/>
      <c r="AC23" s="29"/>
      <c r="AD23" s="18"/>
      <c r="AE23" s="226">
        <v>1879225.0992399999</v>
      </c>
      <c r="AF23" s="227"/>
      <c r="AG23" s="29"/>
      <c r="AH23" s="18"/>
      <c r="AI23" s="226">
        <v>1822786.2355</v>
      </c>
      <c r="AJ23" s="227"/>
      <c r="AK23" s="29"/>
      <c r="AL23" s="18"/>
      <c r="AM23" s="226">
        <v>1385600.4393600004</v>
      </c>
      <c r="AN23" s="227"/>
      <c r="AO23" s="29"/>
      <c r="AP23" s="18"/>
      <c r="AQ23" s="226">
        <v>1207611.2007399995</v>
      </c>
      <c r="AR23" s="227"/>
      <c r="AS23" s="29"/>
      <c r="AT23" s="18"/>
      <c r="AU23" s="226">
        <v>1461903.7645999999</v>
      </c>
      <c r="AV23" s="227"/>
      <c r="AW23" s="29"/>
      <c r="AX23" s="18"/>
      <c r="AY23" s="226">
        <v>1567347.3622300001</v>
      </c>
      <c r="AZ23" s="227"/>
      <c r="BA23" s="29"/>
      <c r="BB23" s="18"/>
      <c r="BC23" s="226">
        <v>1617190.2977</v>
      </c>
      <c r="BD23" s="227"/>
      <c r="BE23" s="29"/>
      <c r="BF23" s="18"/>
      <c r="BG23" s="226">
        <v>1554239.81012</v>
      </c>
      <c r="BH23" s="227"/>
      <c r="BI23" s="29"/>
      <c r="BJ23" s="18"/>
      <c r="BK23" s="226">
        <v>1723745.75894347</v>
      </c>
      <c r="BL23" s="227"/>
      <c r="BM23" s="29"/>
      <c r="BN23" s="18"/>
      <c r="BO23" s="226">
        <v>1815620.64735</v>
      </c>
      <c r="BP23" s="227"/>
      <c r="BQ23" s="29"/>
      <c r="BR23" s="18"/>
      <c r="BS23" s="226">
        <v>2169380.55694</v>
      </c>
      <c r="BT23" s="227"/>
      <c r="BU23" s="29"/>
    </row>
    <row r="24" spans="1:73" ht="16.5" thickTop="1" thickBot="1">
      <c r="A24" s="23"/>
      <c r="B24" s="24"/>
      <c r="C24" s="228"/>
      <c r="D24" s="229"/>
      <c r="E24" s="27"/>
      <c r="F24" s="24"/>
      <c r="G24" s="228"/>
      <c r="H24" s="229"/>
      <c r="I24" s="27"/>
      <c r="J24" s="24"/>
      <c r="K24" s="228"/>
      <c r="L24" s="229"/>
      <c r="M24" s="27"/>
      <c r="N24" s="24"/>
      <c r="O24" s="228"/>
      <c r="P24" s="229"/>
      <c r="Q24" s="27"/>
      <c r="R24" s="24"/>
      <c r="S24" s="228"/>
      <c r="T24" s="229"/>
      <c r="U24" s="27"/>
      <c r="V24" s="24"/>
      <c r="W24" s="228"/>
      <c r="X24" s="229"/>
      <c r="Y24" s="27"/>
      <c r="Z24" s="24"/>
      <c r="AA24" s="228"/>
      <c r="AB24" s="229"/>
      <c r="AC24" s="27"/>
      <c r="AD24" s="24"/>
      <c r="AE24" s="228"/>
      <c r="AF24" s="229"/>
      <c r="AG24" s="27"/>
      <c r="AH24" s="24"/>
      <c r="AI24" s="228"/>
      <c r="AJ24" s="229"/>
      <c r="AK24" s="27"/>
      <c r="AL24" s="24"/>
      <c r="AM24" s="228"/>
      <c r="AN24" s="229"/>
      <c r="AO24" s="27"/>
      <c r="AP24" s="24"/>
      <c r="AQ24" s="228"/>
      <c r="AR24" s="229"/>
      <c r="AS24" s="27"/>
      <c r="AT24" s="24"/>
      <c r="AU24" s="228"/>
      <c r="AV24" s="229"/>
      <c r="AW24" s="27"/>
      <c r="AX24" s="24"/>
      <c r="AY24" s="228"/>
      <c r="AZ24" s="229"/>
      <c r="BA24" s="27"/>
      <c r="BB24" s="24"/>
      <c r="BC24" s="228"/>
      <c r="BD24" s="229"/>
      <c r="BE24" s="27"/>
      <c r="BF24" s="24"/>
      <c r="BG24" s="228"/>
      <c r="BH24" s="229"/>
      <c r="BI24" s="27"/>
      <c r="BJ24" s="24"/>
      <c r="BK24" s="228"/>
      <c r="BL24" s="229"/>
      <c r="BM24" s="27"/>
      <c r="BN24" s="24"/>
      <c r="BO24" s="228"/>
      <c r="BP24" s="229"/>
      <c r="BQ24" s="27"/>
      <c r="BR24" s="24"/>
      <c r="BS24" s="228"/>
      <c r="BT24" s="229"/>
      <c r="BU24" s="27"/>
    </row>
    <row r="25" spans="1:73" ht="15" thickTop="1">
      <c r="A25" s="45" t="s">
        <v>129</v>
      </c>
      <c r="B25" s="18"/>
      <c r="C25" s="230"/>
      <c r="D25" s="231"/>
      <c r="E25" s="29"/>
      <c r="F25" s="18"/>
      <c r="G25" s="230"/>
      <c r="H25" s="231"/>
      <c r="I25" s="29"/>
      <c r="J25" s="18"/>
      <c r="K25" s="230"/>
      <c r="L25" s="231"/>
      <c r="M25" s="29"/>
      <c r="N25" s="18"/>
      <c r="O25" s="230"/>
      <c r="P25" s="231"/>
      <c r="Q25" s="29"/>
      <c r="R25" s="18"/>
      <c r="S25" s="230"/>
      <c r="T25" s="231"/>
      <c r="U25" s="29"/>
      <c r="V25" s="18"/>
      <c r="W25" s="230"/>
      <c r="X25" s="231"/>
      <c r="Y25" s="29"/>
      <c r="Z25" s="18"/>
      <c r="AA25" s="230"/>
      <c r="AB25" s="231"/>
      <c r="AC25" s="29"/>
      <c r="AD25" s="18"/>
      <c r="AE25" s="230"/>
      <c r="AF25" s="231"/>
      <c r="AG25" s="29"/>
      <c r="AH25" s="18"/>
      <c r="AI25" s="230"/>
      <c r="AJ25" s="231"/>
      <c r="AK25" s="29"/>
      <c r="AL25" s="18"/>
      <c r="AM25" s="230"/>
      <c r="AN25" s="231"/>
      <c r="AO25" s="29"/>
      <c r="AP25" s="18"/>
      <c r="AQ25" s="230"/>
      <c r="AR25" s="231"/>
      <c r="AS25" s="29"/>
      <c r="AT25" s="18"/>
      <c r="AU25" s="230"/>
      <c r="AV25" s="231"/>
      <c r="AW25" s="29"/>
      <c r="AX25" s="18"/>
      <c r="AY25" s="230"/>
      <c r="AZ25" s="231"/>
      <c r="BA25" s="29"/>
      <c r="BB25" s="18"/>
      <c r="BC25" s="230"/>
      <c r="BD25" s="231"/>
      <c r="BE25" s="29"/>
      <c r="BF25" s="18"/>
      <c r="BG25" s="230"/>
      <c r="BH25" s="231"/>
      <c r="BI25" s="29"/>
      <c r="BJ25" s="18"/>
      <c r="BK25" s="230"/>
      <c r="BL25" s="231"/>
      <c r="BM25" s="29"/>
      <c r="BN25" s="18"/>
      <c r="BO25" s="230"/>
      <c r="BP25" s="231"/>
      <c r="BQ25" s="29"/>
      <c r="BR25" s="18"/>
      <c r="BS25" s="230"/>
      <c r="BT25" s="231"/>
      <c r="BU25" s="29"/>
    </row>
    <row r="26" spans="1:73" ht="14.25">
      <c r="A26" s="45" t="s">
        <v>128</v>
      </c>
      <c r="B26" s="18"/>
      <c r="C26" s="230"/>
      <c r="D26" s="231"/>
      <c r="E26" s="29"/>
      <c r="F26" s="18"/>
      <c r="G26" s="230"/>
      <c r="H26" s="231"/>
      <c r="I26" s="29"/>
      <c r="J26" s="18"/>
      <c r="K26" s="230"/>
      <c r="L26" s="231"/>
      <c r="M26" s="29"/>
      <c r="N26" s="18"/>
      <c r="O26" s="230"/>
      <c r="P26" s="231"/>
      <c r="Q26" s="29"/>
      <c r="R26" s="18"/>
      <c r="S26" s="230"/>
      <c r="T26" s="231"/>
      <c r="U26" s="29"/>
      <c r="V26" s="18"/>
      <c r="W26" s="230"/>
      <c r="X26" s="231"/>
      <c r="Y26" s="29"/>
      <c r="Z26" s="18"/>
      <c r="AA26" s="230"/>
      <c r="AB26" s="231"/>
      <c r="AC26" s="29"/>
      <c r="AD26" s="18"/>
      <c r="AE26" s="230"/>
      <c r="AF26" s="231"/>
      <c r="AG26" s="29"/>
      <c r="AH26" s="18"/>
      <c r="AI26" s="230"/>
      <c r="AJ26" s="231"/>
      <c r="AK26" s="29"/>
      <c r="AL26" s="18"/>
      <c r="AM26" s="230"/>
      <c r="AN26" s="231"/>
      <c r="AO26" s="29"/>
      <c r="AP26" s="18"/>
      <c r="AQ26" s="230"/>
      <c r="AR26" s="231"/>
      <c r="AS26" s="29"/>
      <c r="AT26" s="18"/>
      <c r="AU26" s="230"/>
      <c r="AV26" s="231"/>
      <c r="AW26" s="29"/>
      <c r="AX26" s="18"/>
      <c r="AY26" s="230"/>
      <c r="AZ26" s="231"/>
      <c r="BA26" s="29"/>
      <c r="BB26" s="18"/>
      <c r="BC26" s="230"/>
      <c r="BD26" s="231"/>
      <c r="BE26" s="29"/>
      <c r="BF26" s="18"/>
      <c r="BG26" s="230"/>
      <c r="BH26" s="231"/>
      <c r="BI26" s="29"/>
      <c r="BJ26" s="18"/>
      <c r="BK26" s="230"/>
      <c r="BL26" s="231"/>
      <c r="BM26" s="29"/>
      <c r="BN26" s="18"/>
      <c r="BO26" s="230"/>
      <c r="BP26" s="231"/>
      <c r="BQ26" s="29"/>
      <c r="BR26" s="18"/>
      <c r="BS26" s="230"/>
      <c r="BT26" s="231"/>
      <c r="BU26" s="29"/>
    </row>
    <row r="27" spans="1:73" ht="15">
      <c r="A27" s="22" t="s">
        <v>72</v>
      </c>
      <c r="B27" s="224"/>
      <c r="C27" s="28">
        <f>SUM(C7:C10)</f>
        <v>1213726.1430299999</v>
      </c>
      <c r="D27" s="31"/>
      <c r="E27" s="29">
        <f>+C27/C$30</f>
        <v>0.992459667127365</v>
      </c>
      <c r="F27" s="224"/>
      <c r="G27" s="28">
        <f>SUM(G7:G10)</f>
        <v>1211502.4071899999</v>
      </c>
      <c r="H27" s="31"/>
      <c r="I27" s="29">
        <f>+G27/G$30</f>
        <v>0.99013251033543337</v>
      </c>
      <c r="J27" s="224"/>
      <c r="K27" s="28">
        <f>SUM(K7:K10)</f>
        <v>1178145.3531800001</v>
      </c>
      <c r="L27" s="31"/>
      <c r="M27" s="29">
        <f>+K27/K$30</f>
        <v>0.98397166607365349</v>
      </c>
      <c r="N27" s="224"/>
      <c r="O27" s="28">
        <f>SUM(O7:O10)</f>
        <v>1245026.6912074564</v>
      </c>
      <c r="P27" s="31"/>
      <c r="Q27" s="29">
        <f>+O27/O$30</f>
        <v>0.98454816709292403</v>
      </c>
      <c r="R27" s="224"/>
      <c r="S27" s="28">
        <f>SUM(S7:S10)</f>
        <v>1393688.9586899998</v>
      </c>
      <c r="T27" s="31"/>
      <c r="U27" s="29">
        <f>+S27/S$30</f>
        <v>0.99656142615200849</v>
      </c>
      <c r="V27" s="224"/>
      <c r="W27" s="28">
        <v>1317511</v>
      </c>
      <c r="X27" s="31"/>
      <c r="Y27" s="29">
        <f>+W27/W$30</f>
        <v>0.99795260465348801</v>
      </c>
      <c r="Z27" s="224"/>
      <c r="AA27" s="28">
        <v>1092870</v>
      </c>
      <c r="AB27" s="31"/>
      <c r="AC27" s="29">
        <f>+AA27/AA$30</f>
        <v>0.99591017698873108</v>
      </c>
      <c r="AD27" s="224"/>
      <c r="AE27" s="28">
        <v>928175.69567999989</v>
      </c>
      <c r="AF27" s="31"/>
      <c r="AG27" s="29">
        <f>+AE27/AE$30</f>
        <v>0.99625612023131305</v>
      </c>
      <c r="AH27" s="224"/>
      <c r="AI27" s="28">
        <v>960091.77851999993</v>
      </c>
      <c r="AJ27" s="31"/>
      <c r="AK27" s="29">
        <f>+AI27/AI$30</f>
        <v>0.99537470917832827</v>
      </c>
      <c r="AL27" s="224"/>
      <c r="AM27" s="28">
        <v>963279.90755000035</v>
      </c>
      <c r="AN27" s="31"/>
      <c r="AO27" s="29">
        <f>+AM27/AM$30</f>
        <v>0.99324144595611874</v>
      </c>
      <c r="AP27" s="224"/>
      <c r="AQ27" s="28">
        <v>868573.30806999956</v>
      </c>
      <c r="AR27" s="31"/>
      <c r="AS27" s="29">
        <f>+AQ27/AQ$30</f>
        <v>0.99373880944787019</v>
      </c>
      <c r="AT27" s="224"/>
      <c r="AU27" s="28">
        <v>945340.02007720014</v>
      </c>
      <c r="AV27" s="31"/>
      <c r="AW27" s="29">
        <f>+AU27/AU$30</f>
        <v>0.9769251048492168</v>
      </c>
      <c r="AX27" s="224"/>
      <c r="AY27" s="28">
        <v>1009901.0698929005</v>
      </c>
      <c r="AZ27" s="31"/>
      <c r="BA27" s="29">
        <f>+AY27/AY$30</f>
        <v>0.97821388970169343</v>
      </c>
      <c r="BB27" s="224"/>
      <c r="BC27" s="28">
        <v>1022633.6970852005</v>
      </c>
      <c r="BD27" s="31"/>
      <c r="BE27" s="29">
        <f>+BC27/BC$30</f>
        <v>0.97695004814621278</v>
      </c>
      <c r="BF27" s="224"/>
      <c r="BG27" s="28">
        <v>1058621.3127799998</v>
      </c>
      <c r="BH27" s="31"/>
      <c r="BI27" s="29">
        <f>+BG27/BG$30</f>
        <v>0.98174627944356341</v>
      </c>
      <c r="BJ27" s="224"/>
      <c r="BK27" s="28">
        <v>1041976.6614734702</v>
      </c>
      <c r="BL27" s="31"/>
      <c r="BM27" s="29">
        <f>+BK27/BK$30</f>
        <v>0.9813644917982236</v>
      </c>
      <c r="BN27" s="224"/>
      <c r="BO27" s="28">
        <v>1107753</v>
      </c>
      <c r="BP27" s="31"/>
      <c r="BQ27" s="29">
        <f>+BO27/BO$30</f>
        <v>0.98480151558120244</v>
      </c>
      <c r="BR27" s="224"/>
      <c r="BS27" s="28">
        <v>1140012</v>
      </c>
      <c r="BT27" s="31"/>
      <c r="BU27" s="29">
        <f>+BS27/BS$30</f>
        <v>0.98886154609477528</v>
      </c>
    </row>
    <row r="28" spans="1:73" ht="15">
      <c r="A28" s="22" t="s">
        <v>73</v>
      </c>
      <c r="B28" s="224"/>
      <c r="C28" s="30">
        <f>SUM(C11:C16)</f>
        <v>9221.4318000000003</v>
      </c>
      <c r="D28" s="31"/>
      <c r="E28" s="29">
        <f>+C28/C$30</f>
        <v>7.5403328726350825E-3</v>
      </c>
      <c r="F28" s="224"/>
      <c r="G28" s="30">
        <f>SUM(G11:G16)</f>
        <v>12073.623839999998</v>
      </c>
      <c r="H28" s="31"/>
      <c r="I28" s="29">
        <f>+G28/G$30</f>
        <v>9.8674896645666432E-3</v>
      </c>
      <c r="J28" s="224"/>
      <c r="K28" s="30">
        <f>SUM(K11:K16)</f>
        <v>19191.311889999997</v>
      </c>
      <c r="L28" s="31"/>
      <c r="M28" s="29">
        <f>+K28/K$30</f>
        <v>1.602833392634645E-2</v>
      </c>
      <c r="N28" s="224"/>
      <c r="O28" s="30">
        <f>SUM(O11:O16)</f>
        <v>19539.871222543694</v>
      </c>
      <c r="P28" s="31"/>
      <c r="Q28" s="29">
        <f>+O28/O$30</f>
        <v>1.5451832907075873E-2</v>
      </c>
      <c r="R28" s="224"/>
      <c r="S28" s="30">
        <f>SUM(S11:S16)</f>
        <v>4808.8379499999992</v>
      </c>
      <c r="T28" s="31"/>
      <c r="U28" s="29">
        <f>+S28/S$30</f>
        <v>3.4385738479914721E-3</v>
      </c>
      <c r="V28" s="224"/>
      <c r="W28" s="30">
        <v>2703</v>
      </c>
      <c r="X28" s="31"/>
      <c r="Y28" s="29">
        <f>+W28/W$30</f>
        <v>2.0473953465120049E-3</v>
      </c>
      <c r="Z28" s="224"/>
      <c r="AA28" s="30">
        <v>4488</v>
      </c>
      <c r="AB28" s="31"/>
      <c r="AC28" s="29">
        <f>+AA28/AA$30</f>
        <v>4.0898230112688836E-3</v>
      </c>
      <c r="AD28" s="224"/>
      <c r="AE28" s="30">
        <v>3488.0370000000003</v>
      </c>
      <c r="AF28" s="31"/>
      <c r="AG28" s="29">
        <f>+AE28/AE$30</f>
        <v>3.7438797686869304E-3</v>
      </c>
      <c r="AH28" s="224"/>
      <c r="AI28" s="30">
        <v>4461.3386800000007</v>
      </c>
      <c r="AJ28" s="31"/>
      <c r="AK28" s="29">
        <f>+AI28/AI$30</f>
        <v>4.625290821671714E-3</v>
      </c>
      <c r="AL28" s="224"/>
      <c r="AM28" s="30">
        <v>6554.6794700000009</v>
      </c>
      <c r="AN28" s="31"/>
      <c r="AO28" s="29">
        <f>+AM28/AM$30</f>
        <v>6.7585540438813282E-3</v>
      </c>
      <c r="AP28" s="224"/>
      <c r="AQ28" s="30">
        <v>5472.5677799999994</v>
      </c>
      <c r="AR28" s="31"/>
      <c r="AS28" s="29">
        <f>+AQ28/AQ$30</f>
        <v>6.261190552129761E-3</v>
      </c>
      <c r="AT28" s="224"/>
      <c r="AU28" s="30">
        <v>22328.857899999995</v>
      </c>
      <c r="AV28" s="31"/>
      <c r="AW28" s="29">
        <f>+AU28/AU$30</f>
        <v>2.3074895150783283E-2</v>
      </c>
      <c r="AX28" s="224"/>
      <c r="AY28" s="30">
        <v>22491.825489999999</v>
      </c>
      <c r="AZ28" s="31"/>
      <c r="BA28" s="29">
        <f>+AY28/AY$30</f>
        <v>2.1786110298306623E-2</v>
      </c>
      <c r="BB28" s="224"/>
      <c r="BC28" s="30">
        <v>24127.802159999996</v>
      </c>
      <c r="BD28" s="31"/>
      <c r="BE28" s="29">
        <f>+BC28/BC$30</f>
        <v>2.3049951853787217E-2</v>
      </c>
      <c r="BF28" s="224"/>
      <c r="BG28" s="30">
        <v>19683.06682</v>
      </c>
      <c r="BH28" s="31"/>
      <c r="BI28" s="29">
        <f>+BG28/BG$30</f>
        <v>1.8253720556436478E-2</v>
      </c>
      <c r="BJ28" s="224"/>
      <c r="BK28" s="30">
        <v>19786.496030000002</v>
      </c>
      <c r="BL28" s="31"/>
      <c r="BM28" s="29">
        <f>+BK28/BK$30</f>
        <v>1.8635508201776473E-2</v>
      </c>
      <c r="BN28" s="224"/>
      <c r="BO28" s="30">
        <v>17096</v>
      </c>
      <c r="BP28" s="31"/>
      <c r="BQ28" s="29">
        <f>+BO28/BO$30</f>
        <v>1.5198484418797545E-2</v>
      </c>
      <c r="BR28" s="224"/>
      <c r="BS28" s="30">
        <v>12841</v>
      </c>
      <c r="BT28" s="31"/>
      <c r="BU28" s="29">
        <f>+BS28/BS$30</f>
        <v>1.113845390522469E-2</v>
      </c>
    </row>
    <row r="29" spans="1:73" ht="14.25">
      <c r="A29" s="18"/>
      <c r="B29" s="18"/>
      <c r="C29" s="28"/>
      <c r="D29" s="32"/>
      <c r="E29" s="29"/>
      <c r="F29" s="18"/>
      <c r="G29" s="28"/>
      <c r="H29" s="32"/>
      <c r="I29" s="29"/>
      <c r="J29" s="18"/>
      <c r="K29" s="28"/>
      <c r="L29" s="32"/>
      <c r="M29" s="29"/>
      <c r="N29" s="18"/>
      <c r="O29" s="28"/>
      <c r="P29" s="32"/>
      <c r="Q29" s="29"/>
      <c r="R29" s="18"/>
      <c r="S29" s="28"/>
      <c r="T29" s="32"/>
      <c r="U29" s="29"/>
      <c r="V29" s="18"/>
      <c r="W29" s="28"/>
      <c r="X29" s="32"/>
      <c r="Y29" s="29"/>
      <c r="Z29" s="18"/>
      <c r="AA29" s="28"/>
      <c r="AB29" s="32"/>
      <c r="AC29" s="29"/>
      <c r="AD29" s="18"/>
      <c r="AE29" s="28"/>
      <c r="AF29" s="32"/>
      <c r="AG29" s="29"/>
      <c r="AH29" s="18"/>
      <c r="AI29" s="28"/>
      <c r="AJ29" s="32"/>
      <c r="AK29" s="29"/>
      <c r="AL29" s="18"/>
      <c r="AM29" s="28"/>
      <c r="AN29" s="32"/>
      <c r="AO29" s="29"/>
      <c r="AP29" s="18"/>
      <c r="AQ29" s="28"/>
      <c r="AR29" s="32"/>
      <c r="AS29" s="29"/>
      <c r="AT29" s="18"/>
      <c r="AU29" s="28"/>
      <c r="AV29" s="32"/>
      <c r="AW29" s="29"/>
      <c r="AX29" s="18"/>
      <c r="AY29" s="28"/>
      <c r="AZ29" s="32"/>
      <c r="BA29" s="29"/>
      <c r="BB29" s="18"/>
      <c r="BC29" s="28"/>
      <c r="BD29" s="32"/>
      <c r="BE29" s="29"/>
      <c r="BF29" s="18"/>
      <c r="BG29" s="28"/>
      <c r="BH29" s="32"/>
      <c r="BI29" s="29"/>
      <c r="BJ29" s="18"/>
      <c r="BK29" s="28"/>
      <c r="BL29" s="32"/>
      <c r="BM29" s="29"/>
      <c r="BN29" s="18"/>
      <c r="BO29" s="28"/>
      <c r="BP29" s="32"/>
      <c r="BQ29" s="29"/>
      <c r="BR29" s="18"/>
      <c r="BS29" s="28"/>
      <c r="BT29" s="32"/>
      <c r="BU29" s="29"/>
    </row>
    <row r="30" spans="1:73" ht="15.75" thickBot="1">
      <c r="A30" s="22" t="s">
        <v>71</v>
      </c>
      <c r="B30" s="18"/>
      <c r="C30" s="226">
        <f>SUM(C27:C29)</f>
        <v>1222947.5748299998</v>
      </c>
      <c r="D30" s="31"/>
      <c r="E30" s="29">
        <f>SUM(E27:E29)</f>
        <v>1</v>
      </c>
      <c r="F30" s="18"/>
      <c r="G30" s="226">
        <f>SUM(G27:G29)</f>
        <v>1223576.03103</v>
      </c>
      <c r="H30" s="31"/>
      <c r="I30" s="29">
        <f>SUM(I27:I29)</f>
        <v>1</v>
      </c>
      <c r="J30" s="18"/>
      <c r="K30" s="226">
        <f>SUM(K27:K29)</f>
        <v>1197336.6650700001</v>
      </c>
      <c r="L30" s="31"/>
      <c r="M30" s="29">
        <f>SUM(M27:M29)</f>
        <v>1</v>
      </c>
      <c r="N30" s="18"/>
      <c r="O30" s="226">
        <f>SUM(O27:O29)</f>
        <v>1264566.5624300002</v>
      </c>
      <c r="P30" s="31"/>
      <c r="Q30" s="29">
        <f>SUM(Q27:Q29)</f>
        <v>0.99999999999999989</v>
      </c>
      <c r="R30" s="18"/>
      <c r="S30" s="226">
        <f>SUM(S27:S29)</f>
        <v>1398497.7966399998</v>
      </c>
      <c r="T30" s="31"/>
      <c r="U30" s="29">
        <f>SUM(U27:U29)</f>
        <v>1</v>
      </c>
      <c r="V30" s="18"/>
      <c r="W30" s="226">
        <f>SUM(W27:W29)</f>
        <v>1320214</v>
      </c>
      <c r="X30" s="31"/>
      <c r="Y30" s="29">
        <f>SUM(Y27:Y29)</f>
        <v>1</v>
      </c>
      <c r="Z30" s="18"/>
      <c r="AA30" s="226">
        <f>SUM(AA27:AA29)</f>
        <v>1097358</v>
      </c>
      <c r="AB30" s="31"/>
      <c r="AC30" s="29">
        <f>SUM(AC27:AC29)</f>
        <v>1</v>
      </c>
      <c r="AD30" s="18"/>
      <c r="AE30" s="226">
        <v>931663.7326799999</v>
      </c>
      <c r="AF30" s="31"/>
      <c r="AG30" s="29">
        <f>SUM(AG27:AG29)</f>
        <v>1</v>
      </c>
      <c r="AH30" s="18"/>
      <c r="AI30" s="226">
        <v>964553.11719999998</v>
      </c>
      <c r="AJ30" s="31"/>
      <c r="AK30" s="29">
        <f>SUM(AK27:AK29)</f>
        <v>1</v>
      </c>
      <c r="AL30" s="18"/>
      <c r="AM30" s="226">
        <v>969834.58702000033</v>
      </c>
      <c r="AN30" s="31"/>
      <c r="AO30" s="29">
        <f>SUM(AO27:AO29)</f>
        <v>1</v>
      </c>
      <c r="AP30" s="18"/>
      <c r="AQ30" s="226">
        <v>874045.8758499996</v>
      </c>
      <c r="AR30" s="31"/>
      <c r="AS30" s="29">
        <f>SUM(AS27:AS29)</f>
        <v>1</v>
      </c>
      <c r="AT30" s="18"/>
      <c r="AU30" s="226">
        <v>967668.87797720009</v>
      </c>
      <c r="AV30" s="31"/>
      <c r="AW30" s="29">
        <f>SUM(AW27:AW29)</f>
        <v>1</v>
      </c>
      <c r="AX30" s="18"/>
      <c r="AY30" s="226">
        <v>1032392.8953829005</v>
      </c>
      <c r="AZ30" s="31"/>
      <c r="BA30" s="29">
        <f>SUM(BA27:BA29)</f>
        <v>1</v>
      </c>
      <c r="BB30" s="18"/>
      <c r="BC30" s="226">
        <v>1046761.4992452004</v>
      </c>
      <c r="BD30" s="31"/>
      <c r="BE30" s="29">
        <f>SUM(BE27:BE29)</f>
        <v>1</v>
      </c>
      <c r="BF30" s="18"/>
      <c r="BG30" s="226">
        <v>1078304.3795999999</v>
      </c>
      <c r="BH30" s="31"/>
      <c r="BI30" s="29">
        <f>SUM(BI27:BI29)</f>
        <v>0.99999999999999989</v>
      </c>
      <c r="BJ30" s="18"/>
      <c r="BK30" s="226">
        <v>1061763.1575034701</v>
      </c>
      <c r="BL30" s="31"/>
      <c r="BM30" s="29">
        <f>SUM(BM27:BM29)</f>
        <v>1</v>
      </c>
      <c r="BN30" s="18"/>
      <c r="BO30" s="226">
        <v>1124849</v>
      </c>
      <c r="BP30" s="31"/>
      <c r="BQ30" s="29">
        <f>SUM(BQ27:BQ29)</f>
        <v>1</v>
      </c>
      <c r="BR30" s="18"/>
      <c r="BS30" s="226">
        <v>1152853</v>
      </c>
      <c r="BT30" s="31"/>
      <c r="BU30" s="29">
        <f>SUM(BU27:BU29)</f>
        <v>1</v>
      </c>
    </row>
    <row r="31" spans="1:73" ht="15.75" thickTop="1" thickBot="1">
      <c r="A31" s="24"/>
      <c r="B31" s="24"/>
      <c r="C31" s="25"/>
      <c r="D31" s="25"/>
      <c r="E31" s="24"/>
      <c r="F31" s="24"/>
      <c r="G31" s="25"/>
      <c r="H31" s="25"/>
      <c r="I31" s="24"/>
      <c r="J31" s="24"/>
      <c r="K31" s="25"/>
      <c r="L31" s="25"/>
      <c r="M31" s="24"/>
      <c r="N31" s="24"/>
      <c r="O31" s="25"/>
      <c r="P31" s="25"/>
      <c r="Q31" s="24"/>
      <c r="R31" s="24"/>
      <c r="S31" s="25"/>
      <c r="T31" s="25"/>
      <c r="U31" s="24"/>
      <c r="V31" s="24"/>
      <c r="W31" s="25"/>
      <c r="X31" s="25"/>
      <c r="Y31" s="24"/>
      <c r="Z31" s="24"/>
      <c r="AA31" s="25"/>
      <c r="AB31" s="25"/>
      <c r="AC31" s="24"/>
      <c r="AD31" s="24"/>
      <c r="AE31" s="25"/>
      <c r="AF31" s="25"/>
      <c r="AG31" s="24"/>
      <c r="AH31" s="24"/>
      <c r="AI31" s="25"/>
      <c r="AJ31" s="25"/>
      <c r="AK31" s="24"/>
      <c r="AL31" s="24"/>
      <c r="AM31" s="25"/>
      <c r="AN31" s="25"/>
      <c r="AO31" s="24"/>
      <c r="AP31" s="24"/>
      <c r="AQ31" s="25"/>
      <c r="AR31" s="25"/>
      <c r="AS31" s="24"/>
      <c r="AT31" s="24"/>
      <c r="AU31" s="25"/>
      <c r="AV31" s="25"/>
      <c r="AW31" s="24"/>
      <c r="AX31" s="24"/>
      <c r="AY31" s="25"/>
      <c r="AZ31" s="25"/>
      <c r="BA31" s="24"/>
      <c r="BB31" s="24"/>
      <c r="BC31" s="25"/>
      <c r="BD31" s="25"/>
      <c r="BE31" s="24"/>
      <c r="BF31" s="24"/>
      <c r="BG31" s="25"/>
      <c r="BH31" s="25"/>
      <c r="BI31" s="24"/>
      <c r="BJ31" s="24"/>
      <c r="BK31" s="25"/>
      <c r="BL31" s="25"/>
      <c r="BM31" s="24"/>
      <c r="BN31" s="24"/>
      <c r="BO31" s="25"/>
      <c r="BP31" s="25"/>
      <c r="BQ31" s="24"/>
      <c r="BR31" s="24"/>
      <c r="BS31" s="25"/>
      <c r="BT31" s="25"/>
      <c r="BU31" s="24"/>
    </row>
    <row r="32" spans="1:73" ht="15" thickTop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</row>
    <row r="33" spans="1:73" ht="14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</row>
    <row r="34" spans="1:73" ht="14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</row>
    <row r="35" spans="1:73" ht="14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</row>
    <row r="36" spans="1:73" ht="14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</row>
    <row r="37" spans="1:73" ht="14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</row>
    <row r="38" spans="1:73" ht="14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</row>
    <row r="39" spans="1:73" ht="14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</row>
    <row r="40" spans="1:73" ht="14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</row>
    <row r="41" spans="1:73" ht="14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</row>
    <row r="42" spans="1:73" ht="14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</row>
    <row r="43" spans="1:73" ht="14.2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</row>
    <row r="44" spans="1:73" ht="14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</row>
    <row r="45" spans="1:73" ht="14.2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</row>
    <row r="46" spans="1:73" ht="14.2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</row>
    <row r="47" spans="1:73" ht="14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</row>
    <row r="48" spans="1:73" ht="14.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</row>
    <row r="49" spans="1:73" ht="14.2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</row>
    <row r="50" spans="1:73" ht="14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</row>
    <row r="51" spans="1:73" ht="14.2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</row>
    <row r="52" spans="1:73" ht="14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</row>
    <row r="53" spans="1:73" ht="14.2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</row>
    <row r="54" spans="1:73" ht="14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</row>
    <row r="55" spans="1:73" ht="14.2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</row>
    <row r="56" spans="1:73" ht="14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</row>
    <row r="57" spans="1:73" ht="14.2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</row>
    <row r="58" spans="1:73" ht="14.25" hidden="1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</row>
    <row r="59" spans="1:73" ht="14.25" hidden="1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</row>
    <row r="60" spans="1:73" ht="14.25" hidden="1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</row>
    <row r="61" spans="1:73" ht="14.25" hidden="1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</row>
    <row r="62" spans="1:73" ht="14.25" hidden="1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</row>
    <row r="63" spans="1:73" ht="14.25" hidden="1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</row>
    <row r="64" spans="1:73" ht="14.25" hidden="1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</row>
    <row r="65" spans="1:73" ht="14.25" hidden="1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</row>
    <row r="66" spans="1:73" ht="14.25" hidden="1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</row>
    <row r="67" spans="1:73" ht="14.25" hidden="1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</row>
    <row r="68" spans="1:73" ht="14.25" hidden="1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</row>
    <row r="69" spans="1:73" ht="14.25" hidden="1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</row>
    <row r="70" spans="1:73" ht="14.25" hidden="1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</row>
    <row r="71" spans="1:73" ht="14.25" hidden="1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</row>
    <row r="72" spans="1:73" ht="14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</row>
    <row r="73" spans="1:73" ht="14.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</row>
    <row r="74" spans="1:73" ht="14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</row>
    <row r="75" spans="1:73" ht="14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</row>
  </sheetData>
  <mergeCells count="18">
    <mergeCell ref="AY5:BA5"/>
    <mergeCell ref="AU5:AW5"/>
    <mergeCell ref="C5:E5"/>
    <mergeCell ref="G5:I5"/>
    <mergeCell ref="K5:M5"/>
    <mergeCell ref="O5:Q5"/>
    <mergeCell ref="S5:U5"/>
    <mergeCell ref="W5:Y5"/>
    <mergeCell ref="AA5:AC5"/>
    <mergeCell ref="AE5:AG5"/>
    <mergeCell ref="AI5:AK5"/>
    <mergeCell ref="AM5:AO5"/>
    <mergeCell ref="AQ5:AS5"/>
    <mergeCell ref="BC5:BE5"/>
    <mergeCell ref="BG5:BI5"/>
    <mergeCell ref="BK5:BM5"/>
    <mergeCell ref="BO5:BQ5"/>
    <mergeCell ref="BS5:BU5"/>
  </mergeCells>
  <pageMargins left="0.5" right="0.5" top="0.75" bottom="0.5" header="0.5" footer="0.25"/>
  <pageSetup scale="70" orientation="landscape" r:id="rId1"/>
  <headerFooter alignWithMargins="0">
    <oddFooter>&amp;L&amp;F&amp;C&amp;P&amp;R&amp;D &amp;T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S557"/>
  <sheetViews>
    <sheetView view="pageBreakPreview" zoomScaleSheetLayoutView="100" workbookViewId="0">
      <pane xSplit="2" ySplit="4" topLeftCell="C548" activePane="bottomRight" state="frozen"/>
      <selection activeCell="N27" sqref="N27"/>
      <selection pane="topRight" activeCell="N27" sqref="N27"/>
      <selection pane="bottomLeft" activeCell="N27" sqref="N27"/>
      <selection pane="bottomRight" activeCell="N27" sqref="N27"/>
    </sheetView>
  </sheetViews>
  <sheetFormatPr defaultRowHeight="16.5"/>
  <cols>
    <col min="1" max="1" width="12.42578125" style="182" customWidth="1"/>
    <col min="2" max="2" width="36.7109375" style="182" bestFit="1" customWidth="1"/>
    <col min="3" max="3" width="48.7109375" style="182" customWidth="1"/>
    <col min="4" max="4" width="8" style="182" bestFit="1" customWidth="1"/>
    <col min="5" max="5" width="7.85546875" style="182" bestFit="1" customWidth="1"/>
    <col min="6" max="6" width="1" style="182" customWidth="1"/>
    <col min="7" max="7" width="10.85546875" style="238" customWidth="1"/>
    <col min="8" max="8" width="11" style="182" bestFit="1" customWidth="1"/>
    <col min="9" max="9" width="10" style="182" bestFit="1" customWidth="1"/>
    <col min="10" max="10" width="8.140625" style="182" bestFit="1" customWidth="1"/>
    <col min="11" max="11" width="1" style="182" customWidth="1"/>
    <col min="12" max="13" width="7" style="182" bestFit="1" customWidth="1"/>
    <col min="14" max="14" width="6.5703125" style="182" bestFit="1" customWidth="1"/>
    <col min="15" max="16384" width="9.140625" style="182"/>
  </cols>
  <sheetData>
    <row r="1" spans="1:19" s="47" customFormat="1">
      <c r="A1" s="80" t="s">
        <v>256</v>
      </c>
      <c r="B1" s="83"/>
      <c r="C1" s="83"/>
      <c r="H1" s="232"/>
      <c r="I1" s="232"/>
      <c r="J1" s="233"/>
    </row>
    <row r="2" spans="1:19" s="84" customFormat="1">
      <c r="A2" s="80" t="s">
        <v>257</v>
      </c>
      <c r="D2" s="85"/>
      <c r="E2" s="85"/>
      <c r="F2" s="86"/>
      <c r="G2" s="547">
        <v>40908</v>
      </c>
      <c r="H2" s="547"/>
      <c r="I2" s="547"/>
      <c r="J2" s="547"/>
      <c r="K2" s="86"/>
      <c r="L2" s="79"/>
      <c r="M2" s="79"/>
      <c r="N2" s="79"/>
    </row>
    <row r="3" spans="1:19" s="84" customFormat="1" ht="14.25" customHeight="1">
      <c r="A3" s="80"/>
      <c r="B3" s="80"/>
      <c r="C3" s="80"/>
      <c r="D3" s="81"/>
      <c r="E3" s="81" t="s">
        <v>133</v>
      </c>
      <c r="F3" s="79"/>
      <c r="G3" s="82" t="s">
        <v>134</v>
      </c>
      <c r="H3" s="82" t="s">
        <v>120</v>
      </c>
      <c r="I3" s="82" t="s">
        <v>163</v>
      </c>
      <c r="J3" s="82" t="s">
        <v>164</v>
      </c>
      <c r="K3" s="79"/>
      <c r="L3" s="548" t="s">
        <v>135</v>
      </c>
      <c r="M3" s="548"/>
      <c r="N3" s="548"/>
    </row>
    <row r="4" spans="1:19" s="90" customFormat="1">
      <c r="A4" s="87" t="s">
        <v>136</v>
      </c>
      <c r="B4" s="87" t="s">
        <v>137</v>
      </c>
      <c r="C4" s="87" t="s">
        <v>1050</v>
      </c>
      <c r="D4" s="88" t="s">
        <v>139</v>
      </c>
      <c r="E4" s="88" t="s">
        <v>258</v>
      </c>
      <c r="F4" s="87"/>
      <c r="G4" s="89" t="s">
        <v>141</v>
      </c>
      <c r="H4" s="89" t="s">
        <v>141</v>
      </c>
      <c r="I4" s="89" t="s">
        <v>141</v>
      </c>
      <c r="J4" s="89" t="s">
        <v>165</v>
      </c>
      <c r="K4" s="87"/>
      <c r="L4" s="87" t="s">
        <v>142</v>
      </c>
      <c r="M4" s="87" t="s">
        <v>143</v>
      </c>
      <c r="N4" s="87" t="s">
        <v>177</v>
      </c>
    </row>
    <row r="5" spans="1:19" s="91" customFormat="1">
      <c r="A5" s="91" t="s">
        <v>524</v>
      </c>
      <c r="B5" s="91" t="s">
        <v>198</v>
      </c>
      <c r="C5" s="91" t="s">
        <v>1051</v>
      </c>
      <c r="D5" s="234">
        <v>6.875</v>
      </c>
      <c r="E5" s="92">
        <v>41030</v>
      </c>
      <c r="F5" s="93"/>
      <c r="G5" s="235">
        <f>P5/1000</f>
        <v>1000</v>
      </c>
      <c r="H5" s="235">
        <f t="shared" ref="H5:J20" si="0">Q5/1000</f>
        <v>1003.92508</v>
      </c>
      <c r="I5" s="235">
        <f t="shared" si="0"/>
        <v>1019.9930000000001</v>
      </c>
      <c r="J5" s="235">
        <f t="shared" si="0"/>
        <v>16.067920000000044</v>
      </c>
      <c r="K5" s="93"/>
      <c r="L5" s="236" t="s">
        <v>199</v>
      </c>
      <c r="M5" s="236" t="s">
        <v>66</v>
      </c>
      <c r="N5" s="236" t="s">
        <v>66</v>
      </c>
      <c r="P5" s="91">
        <v>1000000</v>
      </c>
      <c r="Q5" s="91">
        <v>1003925.08</v>
      </c>
      <c r="R5" s="91">
        <v>1019993</v>
      </c>
      <c r="S5" s="91">
        <v>16067.920000000042</v>
      </c>
    </row>
    <row r="6" spans="1:19" s="91" customFormat="1">
      <c r="A6" s="91" t="s">
        <v>525</v>
      </c>
      <c r="B6" s="91" t="s">
        <v>245</v>
      </c>
      <c r="C6" s="91" t="s">
        <v>1051</v>
      </c>
      <c r="D6" s="234">
        <v>5.6</v>
      </c>
      <c r="E6" s="92">
        <v>43235</v>
      </c>
      <c r="F6" s="93"/>
      <c r="G6" s="235">
        <f t="shared" ref="G6:J69" si="1">P6/1000</f>
        <v>1498</v>
      </c>
      <c r="H6" s="235">
        <f t="shared" si="0"/>
        <v>1646.3795299999999</v>
      </c>
      <c r="I6" s="235">
        <f t="shared" si="0"/>
        <v>1748.4473400000002</v>
      </c>
      <c r="J6" s="235">
        <f t="shared" si="0"/>
        <v>102.06781000000005</v>
      </c>
      <c r="K6" s="93"/>
      <c r="L6" s="236" t="s">
        <v>183</v>
      </c>
      <c r="M6" s="236" t="s">
        <v>206</v>
      </c>
      <c r="N6" s="236" t="s">
        <v>65</v>
      </c>
      <c r="P6" s="91">
        <v>1498000</v>
      </c>
      <c r="Q6" s="91">
        <v>1646379.53</v>
      </c>
      <c r="R6" s="91">
        <v>1748447.34</v>
      </c>
      <c r="S6" s="91">
        <v>102067.81000000006</v>
      </c>
    </row>
    <row r="7" spans="1:19" s="91" customFormat="1">
      <c r="A7" s="91" t="s">
        <v>526</v>
      </c>
      <c r="B7" s="91" t="s">
        <v>245</v>
      </c>
      <c r="C7" s="91" t="s">
        <v>1051</v>
      </c>
      <c r="D7" s="234">
        <v>5.8</v>
      </c>
      <c r="E7" s="92">
        <v>43511</v>
      </c>
      <c r="F7" s="93"/>
      <c r="G7" s="235">
        <f t="shared" si="1"/>
        <v>1600</v>
      </c>
      <c r="H7" s="235">
        <f t="shared" si="0"/>
        <v>1839.7611499999998</v>
      </c>
      <c r="I7" s="235">
        <f t="shared" si="0"/>
        <v>1893.91077</v>
      </c>
      <c r="J7" s="235">
        <f t="shared" si="0"/>
        <v>54.149619999999999</v>
      </c>
      <c r="K7" s="93"/>
      <c r="L7" s="236" t="s">
        <v>183</v>
      </c>
      <c r="M7" s="236" t="s">
        <v>206</v>
      </c>
      <c r="N7" s="236" t="s">
        <v>65</v>
      </c>
      <c r="P7" s="91">
        <v>1600000</v>
      </c>
      <c r="Q7" s="91">
        <v>1839761.15</v>
      </c>
      <c r="R7" s="91">
        <v>1893910.77</v>
      </c>
      <c r="S7" s="91">
        <v>54149.619999999995</v>
      </c>
    </row>
    <row r="8" spans="1:19" s="91" customFormat="1">
      <c r="A8" s="91" t="s">
        <v>1061</v>
      </c>
      <c r="B8" s="91" t="s">
        <v>245</v>
      </c>
      <c r="C8" s="91" t="s">
        <v>1051</v>
      </c>
      <c r="D8" s="234">
        <v>2.4</v>
      </c>
      <c r="E8" s="92">
        <v>42597</v>
      </c>
      <c r="F8" s="93"/>
      <c r="G8" s="235">
        <f t="shared" si="1"/>
        <v>3000</v>
      </c>
      <c r="H8" s="235">
        <f t="shared" si="0"/>
        <v>2990.8741800000003</v>
      </c>
      <c r="I8" s="235">
        <f t="shared" si="0"/>
        <v>3060.7823100000001</v>
      </c>
      <c r="J8" s="235">
        <f t="shared" si="0"/>
        <v>69.908129999999886</v>
      </c>
      <c r="K8" s="93"/>
      <c r="L8" s="236" t="s">
        <v>183</v>
      </c>
      <c r="M8" s="236" t="s">
        <v>206</v>
      </c>
      <c r="N8" s="236" t="s">
        <v>65</v>
      </c>
      <c r="P8" s="91">
        <v>3000000</v>
      </c>
      <c r="Q8" s="91">
        <v>2990874.18</v>
      </c>
      <c r="R8" s="91">
        <v>3060782.31</v>
      </c>
      <c r="S8" s="91">
        <v>69908.129999999888</v>
      </c>
    </row>
    <row r="9" spans="1:19" s="91" customFormat="1">
      <c r="A9" s="91" t="s">
        <v>527</v>
      </c>
      <c r="B9" s="91" t="s">
        <v>201</v>
      </c>
      <c r="C9" s="91" t="s">
        <v>1051</v>
      </c>
      <c r="D9" s="234">
        <v>9.4550000000000001</v>
      </c>
      <c r="E9" s="92">
        <v>44880</v>
      </c>
      <c r="F9" s="93"/>
      <c r="G9" s="235">
        <f t="shared" si="1"/>
        <v>246</v>
      </c>
      <c r="H9" s="235">
        <f t="shared" si="0"/>
        <v>291.26570000000004</v>
      </c>
      <c r="I9" s="235">
        <f t="shared" si="0"/>
        <v>350.57146999999998</v>
      </c>
      <c r="J9" s="235">
        <f t="shared" si="0"/>
        <v>59.30576999999996</v>
      </c>
      <c r="K9" s="93"/>
      <c r="L9" s="236" t="s">
        <v>204</v>
      </c>
      <c r="M9" s="236" t="s">
        <v>200</v>
      </c>
      <c r="N9" s="236" t="s">
        <v>200</v>
      </c>
      <c r="P9" s="91">
        <v>246000</v>
      </c>
      <c r="Q9" s="91">
        <v>291265.7</v>
      </c>
      <c r="R9" s="91">
        <v>350571.47</v>
      </c>
      <c r="S9" s="91">
        <v>59305.76999999996</v>
      </c>
    </row>
    <row r="10" spans="1:19" s="91" customFormat="1">
      <c r="A10" s="91" t="s">
        <v>528</v>
      </c>
      <c r="B10" s="91" t="s">
        <v>202</v>
      </c>
      <c r="C10" s="91" t="s">
        <v>1051</v>
      </c>
      <c r="D10" s="234">
        <v>5.875</v>
      </c>
      <c r="E10" s="92">
        <v>42505</v>
      </c>
      <c r="F10" s="93"/>
      <c r="G10" s="235">
        <f t="shared" si="1"/>
        <v>1250</v>
      </c>
      <c r="H10" s="235">
        <f t="shared" si="0"/>
        <v>1245.0143899999998</v>
      </c>
      <c r="I10" s="235">
        <f t="shared" si="0"/>
        <v>1469.5901899999999</v>
      </c>
      <c r="J10" s="235">
        <f t="shared" si="0"/>
        <v>224.57580000000004</v>
      </c>
      <c r="K10" s="93"/>
      <c r="L10" s="236" t="s">
        <v>194</v>
      </c>
      <c r="M10" s="236" t="s">
        <v>64</v>
      </c>
      <c r="N10" s="236" t="s">
        <v>121</v>
      </c>
      <c r="P10" s="91">
        <v>1250000</v>
      </c>
      <c r="Q10" s="91">
        <v>1245014.3899999999</v>
      </c>
      <c r="R10" s="91">
        <v>1469590.19</v>
      </c>
      <c r="S10" s="91">
        <v>224575.80000000005</v>
      </c>
    </row>
    <row r="11" spans="1:19" s="91" customFormat="1">
      <c r="A11" s="91" t="s">
        <v>529</v>
      </c>
      <c r="B11" s="91" t="s">
        <v>203</v>
      </c>
      <c r="C11" s="91" t="s">
        <v>1051</v>
      </c>
      <c r="D11" s="234">
        <v>5.5</v>
      </c>
      <c r="E11" s="92">
        <v>43023</v>
      </c>
      <c r="F11" s="93"/>
      <c r="G11" s="235">
        <f t="shared" si="1"/>
        <v>6500</v>
      </c>
      <c r="H11" s="235">
        <f t="shared" si="0"/>
        <v>6530.7569699999995</v>
      </c>
      <c r="I11" s="235">
        <f t="shared" si="0"/>
        <v>7625.1954399999995</v>
      </c>
      <c r="J11" s="235">
        <f t="shared" si="0"/>
        <v>1094.4384700000003</v>
      </c>
      <c r="K11" s="93"/>
      <c r="L11" s="236" t="s">
        <v>183</v>
      </c>
      <c r="M11" s="236" t="s">
        <v>65</v>
      </c>
      <c r="N11" s="236" t="s">
        <v>121</v>
      </c>
      <c r="P11" s="91">
        <v>6500000</v>
      </c>
      <c r="Q11" s="91">
        <v>6530756.9699999997</v>
      </c>
      <c r="R11" s="91">
        <v>7625195.4399999995</v>
      </c>
      <c r="S11" s="91">
        <v>1094438.4700000002</v>
      </c>
    </row>
    <row r="12" spans="1:19" s="91" customFormat="1">
      <c r="A12" s="91" t="s">
        <v>1030</v>
      </c>
      <c r="B12" s="91" t="s">
        <v>1031</v>
      </c>
      <c r="C12" s="91" t="s">
        <v>1051</v>
      </c>
      <c r="D12" s="234">
        <v>5.4</v>
      </c>
      <c r="E12" s="92">
        <v>44301</v>
      </c>
      <c r="F12" s="93"/>
      <c r="G12" s="235">
        <f t="shared" si="1"/>
        <v>3750</v>
      </c>
      <c r="H12" s="235">
        <f t="shared" si="0"/>
        <v>3832.33959</v>
      </c>
      <c r="I12" s="235">
        <f t="shared" si="0"/>
        <v>3770.2012500000001</v>
      </c>
      <c r="J12" s="235">
        <f t="shared" si="0"/>
        <v>-62.138340000000085</v>
      </c>
      <c r="K12" s="93"/>
      <c r="L12" s="236" t="s">
        <v>332</v>
      </c>
      <c r="M12" s="236" t="s">
        <v>208</v>
      </c>
      <c r="N12" s="236" t="s">
        <v>208</v>
      </c>
      <c r="P12" s="91">
        <v>3750000</v>
      </c>
      <c r="Q12" s="91">
        <v>3832339.59</v>
      </c>
      <c r="R12" s="91">
        <v>3770201.25</v>
      </c>
      <c r="S12" s="91">
        <v>-62138.340000000084</v>
      </c>
    </row>
    <row r="13" spans="1:19" s="91" customFormat="1">
      <c r="A13" s="91" t="s">
        <v>530</v>
      </c>
      <c r="B13" s="91" t="s">
        <v>437</v>
      </c>
      <c r="C13" s="91" t="s">
        <v>1052</v>
      </c>
      <c r="D13" s="234">
        <v>5</v>
      </c>
      <c r="E13" s="92">
        <v>43235</v>
      </c>
      <c r="F13" s="93"/>
      <c r="G13" s="235">
        <f t="shared" si="1"/>
        <v>5000</v>
      </c>
      <c r="H13" s="235">
        <f t="shared" si="0"/>
        <v>5665.8752700000005</v>
      </c>
      <c r="I13" s="235">
        <f t="shared" si="0"/>
        <v>5838.75</v>
      </c>
      <c r="J13" s="235">
        <f t="shared" si="0"/>
        <v>172.87472999999974</v>
      </c>
      <c r="K13" s="93"/>
      <c r="L13" s="236" t="s">
        <v>188</v>
      </c>
      <c r="M13" s="236" t="s">
        <v>121</v>
      </c>
      <c r="N13" s="236" t="s">
        <v>171</v>
      </c>
      <c r="P13" s="91">
        <v>5000000</v>
      </c>
      <c r="Q13" s="91">
        <v>5665875.2700000005</v>
      </c>
      <c r="R13" s="91">
        <v>5838750</v>
      </c>
      <c r="S13" s="91">
        <v>172874.72999999975</v>
      </c>
    </row>
    <row r="14" spans="1:19" s="91" customFormat="1">
      <c r="A14" s="91" t="s">
        <v>1000</v>
      </c>
      <c r="B14" s="91" t="s">
        <v>1001</v>
      </c>
      <c r="C14" s="91" t="s">
        <v>1051</v>
      </c>
      <c r="D14" s="234">
        <v>6.125</v>
      </c>
      <c r="E14" s="92">
        <v>50175</v>
      </c>
      <c r="F14" s="93"/>
      <c r="G14" s="235">
        <f t="shared" si="1"/>
        <v>1000</v>
      </c>
      <c r="H14" s="235">
        <f t="shared" si="0"/>
        <v>987.68881999999996</v>
      </c>
      <c r="I14" s="235">
        <f t="shared" si="0"/>
        <v>900</v>
      </c>
      <c r="J14" s="235">
        <f t="shared" si="0"/>
        <v>-87.68881999999995</v>
      </c>
      <c r="K14" s="93"/>
      <c r="L14" s="236" t="s">
        <v>204</v>
      </c>
      <c r="M14" s="236" t="s">
        <v>66</v>
      </c>
      <c r="N14" s="236" t="s">
        <v>208</v>
      </c>
      <c r="P14" s="91">
        <v>1000000</v>
      </c>
      <c r="Q14" s="91">
        <v>987688.82</v>
      </c>
      <c r="R14" s="91">
        <v>900000</v>
      </c>
      <c r="S14" s="91">
        <v>-87688.819999999949</v>
      </c>
    </row>
    <row r="15" spans="1:19" s="91" customFormat="1">
      <c r="A15" s="91" t="s">
        <v>531</v>
      </c>
      <c r="B15" s="91" t="s">
        <v>371</v>
      </c>
      <c r="C15" s="91" t="s">
        <v>1051</v>
      </c>
      <c r="D15" s="234">
        <v>4.125</v>
      </c>
      <c r="E15" s="92">
        <v>42258</v>
      </c>
      <c r="F15" s="93"/>
      <c r="G15" s="235">
        <f t="shared" si="1"/>
        <v>2000</v>
      </c>
      <c r="H15" s="235">
        <f t="shared" si="0"/>
        <v>2077.1918999999998</v>
      </c>
      <c r="I15" s="235">
        <f t="shared" si="0"/>
        <v>2166.23398</v>
      </c>
      <c r="J15" s="235">
        <f t="shared" si="0"/>
        <v>89.04208000000007</v>
      </c>
      <c r="K15" s="93"/>
      <c r="L15" s="236" t="s">
        <v>204</v>
      </c>
      <c r="M15" s="236" t="s">
        <v>66</v>
      </c>
      <c r="N15" s="236" t="s">
        <v>200</v>
      </c>
      <c r="P15" s="91">
        <v>2000000</v>
      </c>
      <c r="Q15" s="91">
        <v>2077191.9</v>
      </c>
      <c r="R15" s="91">
        <v>2166233.98</v>
      </c>
      <c r="S15" s="91">
        <v>89042.080000000075</v>
      </c>
    </row>
    <row r="16" spans="1:19" s="91" customFormat="1">
      <c r="A16" s="91" t="s">
        <v>995</v>
      </c>
      <c r="B16" s="91" t="s">
        <v>371</v>
      </c>
      <c r="C16" s="91" t="s">
        <v>1051</v>
      </c>
      <c r="D16" s="234">
        <v>4.75</v>
      </c>
      <c r="E16" s="92">
        <v>44321</v>
      </c>
      <c r="F16" s="93"/>
      <c r="G16" s="235">
        <f t="shared" si="1"/>
        <v>3600</v>
      </c>
      <c r="H16" s="235">
        <f t="shared" si="0"/>
        <v>3585.4975800000002</v>
      </c>
      <c r="I16" s="235">
        <f t="shared" si="0"/>
        <v>3948.7596199999998</v>
      </c>
      <c r="J16" s="235">
        <f t="shared" si="0"/>
        <v>363.2620399999999</v>
      </c>
      <c r="K16" s="93"/>
      <c r="L16" s="236" t="s">
        <v>204</v>
      </c>
      <c r="M16" s="236" t="s">
        <v>66</v>
      </c>
      <c r="N16" s="236" t="s">
        <v>200</v>
      </c>
      <c r="P16" s="91">
        <v>3600000</v>
      </c>
      <c r="Q16" s="91">
        <v>3585497.58</v>
      </c>
      <c r="R16" s="91">
        <v>3948759.6199999996</v>
      </c>
      <c r="S16" s="91">
        <v>363262.03999999992</v>
      </c>
    </row>
    <row r="17" spans="1:19" s="91" customFormat="1">
      <c r="A17" s="91" t="s">
        <v>532</v>
      </c>
      <c r="B17" s="91" t="s">
        <v>533</v>
      </c>
      <c r="C17" s="91" t="s">
        <v>1051</v>
      </c>
      <c r="D17" s="234">
        <v>4.875</v>
      </c>
      <c r="E17" s="92">
        <v>41470</v>
      </c>
      <c r="F17" s="93"/>
      <c r="G17" s="235">
        <f t="shared" si="1"/>
        <v>5000</v>
      </c>
      <c r="H17" s="235">
        <f t="shared" si="0"/>
        <v>4907.26793</v>
      </c>
      <c r="I17" s="235">
        <f t="shared" si="0"/>
        <v>5220.8877499999999</v>
      </c>
      <c r="J17" s="235">
        <f t="shared" si="0"/>
        <v>313.61982</v>
      </c>
      <c r="K17" s="93"/>
      <c r="L17" s="236" t="s">
        <v>195</v>
      </c>
      <c r="M17" s="236" t="s">
        <v>200</v>
      </c>
      <c r="N17" s="236" t="s">
        <v>121</v>
      </c>
      <c r="P17" s="91">
        <v>5000000</v>
      </c>
      <c r="Q17" s="91">
        <v>4907267.93</v>
      </c>
      <c r="R17" s="91">
        <v>5220887.75</v>
      </c>
      <c r="S17" s="91">
        <v>313619.82</v>
      </c>
    </row>
    <row r="18" spans="1:19" s="91" customFormat="1">
      <c r="A18" s="91" t="s">
        <v>1122</v>
      </c>
      <c r="B18" s="91" t="s">
        <v>533</v>
      </c>
      <c r="C18" s="91" t="s">
        <v>1051</v>
      </c>
      <c r="D18" s="234">
        <v>7</v>
      </c>
      <c r="E18" s="92">
        <v>43178</v>
      </c>
      <c r="F18" s="93"/>
      <c r="G18" s="235">
        <f t="shared" si="1"/>
        <v>905</v>
      </c>
      <c r="H18" s="235">
        <f t="shared" si="0"/>
        <v>1053.42137</v>
      </c>
      <c r="I18" s="235">
        <f t="shared" si="0"/>
        <v>1079.20622</v>
      </c>
      <c r="J18" s="235">
        <f t="shared" si="0"/>
        <v>25.78484999999986</v>
      </c>
      <c r="K18" s="93"/>
      <c r="L18" s="236" t="s">
        <v>195</v>
      </c>
      <c r="M18" s="236" t="s">
        <v>200</v>
      </c>
      <c r="N18" s="236" t="s">
        <v>121</v>
      </c>
      <c r="P18" s="91">
        <v>905000</v>
      </c>
      <c r="Q18" s="91">
        <v>1053421.3700000001</v>
      </c>
      <c r="R18" s="91">
        <v>1079206.22</v>
      </c>
      <c r="S18" s="91">
        <v>25784.84999999986</v>
      </c>
    </row>
    <row r="19" spans="1:19" s="91" customFormat="1">
      <c r="A19" s="91" t="s">
        <v>534</v>
      </c>
      <c r="B19" s="91" t="s">
        <v>345</v>
      </c>
      <c r="C19" s="91" t="s">
        <v>1051</v>
      </c>
      <c r="D19" s="234">
        <v>2.75</v>
      </c>
      <c r="E19" s="92">
        <v>42262</v>
      </c>
      <c r="F19" s="93"/>
      <c r="G19" s="235">
        <f t="shared" si="1"/>
        <v>2925</v>
      </c>
      <c r="H19" s="235">
        <f t="shared" si="0"/>
        <v>2912.1276699999999</v>
      </c>
      <c r="I19" s="235">
        <f t="shared" si="0"/>
        <v>2946.59584</v>
      </c>
      <c r="J19" s="235">
        <f t="shared" si="0"/>
        <v>34.468169999999915</v>
      </c>
      <c r="K19" s="93"/>
      <c r="L19" s="236" t="s">
        <v>183</v>
      </c>
      <c r="M19" s="236" t="s">
        <v>200</v>
      </c>
      <c r="N19" s="236" t="s">
        <v>121</v>
      </c>
      <c r="P19" s="91">
        <v>2925000</v>
      </c>
      <c r="Q19" s="91">
        <v>2912127.67</v>
      </c>
      <c r="R19" s="91">
        <v>2946595.84</v>
      </c>
      <c r="S19" s="91">
        <v>34468.169999999918</v>
      </c>
    </row>
    <row r="20" spans="1:19" s="91" customFormat="1">
      <c r="A20" s="91" t="s">
        <v>535</v>
      </c>
      <c r="B20" s="91" t="s">
        <v>335</v>
      </c>
      <c r="C20" s="91" t="s">
        <v>1051</v>
      </c>
      <c r="D20" s="234">
        <v>2.5</v>
      </c>
      <c r="E20" s="92">
        <v>42268</v>
      </c>
      <c r="F20" s="93"/>
      <c r="G20" s="235">
        <f t="shared" si="1"/>
        <v>2500</v>
      </c>
      <c r="H20" s="235">
        <f t="shared" si="0"/>
        <v>2498.2421199999999</v>
      </c>
      <c r="I20" s="235">
        <f t="shared" si="0"/>
        <v>2543.77</v>
      </c>
      <c r="J20" s="235">
        <f t="shared" si="0"/>
        <v>45.527880000000032</v>
      </c>
      <c r="K20" s="93"/>
      <c r="L20" s="236" t="s">
        <v>194</v>
      </c>
      <c r="M20" s="236" t="s">
        <v>121</v>
      </c>
      <c r="N20" s="236" t="s">
        <v>179</v>
      </c>
      <c r="P20" s="91">
        <v>2500000</v>
      </c>
      <c r="Q20" s="91">
        <v>2498242.12</v>
      </c>
      <c r="R20" s="91">
        <v>2543770</v>
      </c>
      <c r="S20" s="91">
        <v>45527.880000000034</v>
      </c>
    </row>
    <row r="21" spans="1:19" s="91" customFormat="1">
      <c r="A21" s="91" t="s">
        <v>1062</v>
      </c>
      <c r="B21" s="91" t="s">
        <v>335</v>
      </c>
      <c r="C21" s="91" t="s">
        <v>1051</v>
      </c>
      <c r="D21" s="234">
        <v>2.6</v>
      </c>
      <c r="E21" s="92">
        <v>42633</v>
      </c>
      <c r="F21" s="93"/>
      <c r="G21" s="235">
        <f t="shared" si="1"/>
        <v>5000</v>
      </c>
      <c r="H21" s="235">
        <f t="shared" si="1"/>
        <v>4999.7632200000007</v>
      </c>
      <c r="I21" s="235">
        <f t="shared" si="1"/>
        <v>5022.4350000000004</v>
      </c>
      <c r="J21" s="235">
        <f t="shared" si="1"/>
        <v>22.671779999999913</v>
      </c>
      <c r="K21" s="93"/>
      <c r="L21" s="236" t="s">
        <v>194</v>
      </c>
      <c r="M21" s="236" t="s">
        <v>121</v>
      </c>
      <c r="N21" s="236" t="s">
        <v>179</v>
      </c>
      <c r="P21" s="91">
        <v>5000000</v>
      </c>
      <c r="Q21" s="91">
        <v>4999763.2200000007</v>
      </c>
      <c r="R21" s="91">
        <v>5022435</v>
      </c>
      <c r="S21" s="91">
        <v>22671.779999999912</v>
      </c>
    </row>
    <row r="22" spans="1:19" s="91" customFormat="1">
      <c r="A22" s="91" t="s">
        <v>536</v>
      </c>
      <c r="B22" s="91" t="s">
        <v>319</v>
      </c>
      <c r="C22" s="91" t="s">
        <v>1051</v>
      </c>
      <c r="D22" s="234">
        <v>5.05</v>
      </c>
      <c r="E22" s="92">
        <v>42278</v>
      </c>
      <c r="F22" s="93"/>
      <c r="G22" s="235">
        <f t="shared" si="1"/>
        <v>4900</v>
      </c>
      <c r="H22" s="235">
        <f t="shared" si="1"/>
        <v>4862.9864399999997</v>
      </c>
      <c r="I22" s="235">
        <f t="shared" si="1"/>
        <v>4723.1275500000011</v>
      </c>
      <c r="J22" s="235">
        <f t="shared" si="1"/>
        <v>-139.85888999999989</v>
      </c>
      <c r="K22" s="93"/>
      <c r="L22" s="236" t="s">
        <v>204</v>
      </c>
      <c r="M22" s="236" t="s">
        <v>206</v>
      </c>
      <c r="N22" s="236" t="s">
        <v>66</v>
      </c>
      <c r="P22" s="91">
        <v>4900000</v>
      </c>
      <c r="Q22" s="91">
        <v>4862986.4399999995</v>
      </c>
      <c r="R22" s="91">
        <v>4723127.5500000007</v>
      </c>
      <c r="S22" s="91">
        <v>-139858.8899999999</v>
      </c>
    </row>
    <row r="23" spans="1:19" s="91" customFormat="1">
      <c r="A23" s="91" t="s">
        <v>537</v>
      </c>
      <c r="B23" s="91" t="s">
        <v>538</v>
      </c>
      <c r="C23" s="91" t="s">
        <v>1051</v>
      </c>
      <c r="D23" s="234">
        <v>7.5179999999999998</v>
      </c>
      <c r="E23" s="92">
        <v>60784</v>
      </c>
      <c r="F23" s="93"/>
      <c r="G23" s="235">
        <f t="shared" si="1"/>
        <v>5000</v>
      </c>
      <c r="H23" s="235">
        <f t="shared" si="1"/>
        <v>5198.5538200000001</v>
      </c>
      <c r="I23" s="235">
        <f t="shared" si="1"/>
        <v>5000</v>
      </c>
      <c r="J23" s="235">
        <f t="shared" si="1"/>
        <v>-198.55382000000029</v>
      </c>
      <c r="K23" s="93"/>
      <c r="L23" s="236" t="s">
        <v>199</v>
      </c>
      <c r="M23" s="236" t="s">
        <v>200</v>
      </c>
      <c r="N23" s="236" t="s">
        <v>66</v>
      </c>
      <c r="P23" s="91">
        <v>5000000</v>
      </c>
      <c r="Q23" s="91">
        <v>5198553.82</v>
      </c>
      <c r="R23" s="91">
        <v>5000000</v>
      </c>
      <c r="S23" s="91">
        <v>-198553.8200000003</v>
      </c>
    </row>
    <row r="24" spans="1:19" s="91" customFormat="1">
      <c r="A24" s="91" t="s">
        <v>1123</v>
      </c>
      <c r="B24" s="91" t="s">
        <v>1018</v>
      </c>
      <c r="C24" s="91" t="s">
        <v>1051</v>
      </c>
      <c r="D24" s="234">
        <v>3.875</v>
      </c>
      <c r="E24" s="92">
        <v>44515</v>
      </c>
      <c r="F24" s="93"/>
      <c r="G24" s="235">
        <f t="shared" si="1"/>
        <v>3500</v>
      </c>
      <c r="H24" s="235">
        <f t="shared" si="1"/>
        <v>3490.3107800000002</v>
      </c>
      <c r="I24" s="235">
        <f t="shared" si="1"/>
        <v>3528.8671599999998</v>
      </c>
      <c r="J24" s="235">
        <f t="shared" si="1"/>
        <v>38.556379999999599</v>
      </c>
      <c r="K24" s="93"/>
      <c r="L24" s="236" t="s">
        <v>204</v>
      </c>
      <c r="M24" s="236" t="s">
        <v>121</v>
      </c>
      <c r="N24" s="236" t="s">
        <v>66</v>
      </c>
      <c r="P24" s="91">
        <v>3500000</v>
      </c>
      <c r="Q24" s="91">
        <v>3490310.7800000003</v>
      </c>
      <c r="R24" s="91">
        <v>3528867.1599999997</v>
      </c>
      <c r="S24" s="91">
        <v>38556.379999999597</v>
      </c>
    </row>
    <row r="25" spans="1:19" s="91" customFormat="1">
      <c r="A25" s="91" t="s">
        <v>1124</v>
      </c>
      <c r="B25" s="91" t="s">
        <v>1125</v>
      </c>
      <c r="C25" s="91" t="s">
        <v>1051</v>
      </c>
      <c r="D25" s="234">
        <v>6.875</v>
      </c>
      <c r="E25" s="92">
        <v>43784</v>
      </c>
      <c r="F25" s="93"/>
      <c r="G25" s="235">
        <f t="shared" si="1"/>
        <v>2990</v>
      </c>
      <c r="H25" s="235">
        <f t="shared" si="1"/>
        <v>3710.4556900000002</v>
      </c>
      <c r="I25" s="235">
        <f t="shared" si="1"/>
        <v>3767.3130899999996</v>
      </c>
      <c r="J25" s="235">
        <f t="shared" si="1"/>
        <v>56.857399999999906</v>
      </c>
      <c r="K25" s="93"/>
      <c r="L25" s="236" t="s">
        <v>204</v>
      </c>
      <c r="M25" s="236" t="s">
        <v>206</v>
      </c>
      <c r="N25" s="236" t="s">
        <v>206</v>
      </c>
      <c r="P25" s="91">
        <v>2990000</v>
      </c>
      <c r="Q25" s="91">
        <v>3710455.6900000004</v>
      </c>
      <c r="R25" s="91">
        <v>3767313.09</v>
      </c>
      <c r="S25" s="91">
        <v>56857.399999999907</v>
      </c>
    </row>
    <row r="26" spans="1:19" s="91" customFormat="1">
      <c r="A26" s="91" t="s">
        <v>539</v>
      </c>
      <c r="B26" s="91" t="s">
        <v>1126</v>
      </c>
      <c r="C26" s="91" t="s">
        <v>1052</v>
      </c>
      <c r="D26" s="234">
        <v>5</v>
      </c>
      <c r="E26" s="92">
        <v>42005</v>
      </c>
      <c r="F26" s="93"/>
      <c r="G26" s="235">
        <f t="shared" si="1"/>
        <v>2500</v>
      </c>
      <c r="H26" s="235">
        <f t="shared" si="1"/>
        <v>2653.49874</v>
      </c>
      <c r="I26" s="235">
        <f t="shared" si="1"/>
        <v>2773.1</v>
      </c>
      <c r="J26" s="235">
        <f t="shared" si="1"/>
        <v>119.60125999999995</v>
      </c>
      <c r="K26" s="93"/>
      <c r="L26" s="236" t="s">
        <v>194</v>
      </c>
      <c r="M26" s="236" t="s">
        <v>179</v>
      </c>
      <c r="N26" s="236" t="s">
        <v>121</v>
      </c>
      <c r="P26" s="91">
        <v>2500000</v>
      </c>
      <c r="Q26" s="91">
        <v>2653498.7400000002</v>
      </c>
      <c r="R26" s="91">
        <v>2773100</v>
      </c>
      <c r="S26" s="91">
        <v>119601.25999999995</v>
      </c>
    </row>
    <row r="27" spans="1:19" s="91" customFormat="1">
      <c r="A27" s="91" t="s">
        <v>540</v>
      </c>
      <c r="B27" s="91" t="s">
        <v>423</v>
      </c>
      <c r="C27" s="91" t="s">
        <v>1053</v>
      </c>
      <c r="D27" s="234">
        <v>4.91</v>
      </c>
      <c r="E27" s="92">
        <v>42936</v>
      </c>
      <c r="F27" s="93"/>
      <c r="G27" s="235">
        <f t="shared" si="1"/>
        <v>4319.3562999999995</v>
      </c>
      <c r="H27" s="235">
        <f t="shared" si="1"/>
        <v>4326.0499300000001</v>
      </c>
      <c r="I27" s="235">
        <f t="shared" si="1"/>
        <v>4614.2089599999999</v>
      </c>
      <c r="J27" s="235">
        <f t="shared" si="1"/>
        <v>288.15903000000026</v>
      </c>
      <c r="K27" s="93"/>
      <c r="L27" s="236" t="s">
        <v>189</v>
      </c>
      <c r="M27" s="236" t="s">
        <v>63</v>
      </c>
      <c r="N27" s="236" t="s">
        <v>63</v>
      </c>
      <c r="P27" s="91">
        <v>4319356.3</v>
      </c>
      <c r="Q27" s="91">
        <v>4326049.93</v>
      </c>
      <c r="R27" s="91">
        <v>4614208.96</v>
      </c>
      <c r="S27" s="91">
        <v>288159.03000000026</v>
      </c>
    </row>
    <row r="28" spans="1:19" s="91" customFormat="1">
      <c r="A28" s="91" t="s">
        <v>541</v>
      </c>
      <c r="B28" s="91" t="s">
        <v>207</v>
      </c>
      <c r="C28" s="91" t="s">
        <v>1051</v>
      </c>
      <c r="D28" s="234">
        <v>7.625</v>
      </c>
      <c r="E28" s="92">
        <v>46310</v>
      </c>
      <c r="F28" s="93"/>
      <c r="G28" s="235">
        <f t="shared" si="1"/>
        <v>2000</v>
      </c>
      <c r="H28" s="235">
        <f t="shared" si="1"/>
        <v>2424.72748</v>
      </c>
      <c r="I28" s="235">
        <f t="shared" si="1"/>
        <v>2366.61942</v>
      </c>
      <c r="J28" s="235">
        <f t="shared" si="1"/>
        <v>-58.108060000000059</v>
      </c>
      <c r="K28" s="93"/>
      <c r="L28" s="236" t="s">
        <v>194</v>
      </c>
      <c r="M28" s="236" t="s">
        <v>206</v>
      </c>
      <c r="N28" s="236" t="s">
        <v>121</v>
      </c>
      <c r="P28" s="91">
        <v>2000000</v>
      </c>
      <c r="Q28" s="91">
        <v>2424727.48</v>
      </c>
      <c r="R28" s="91">
        <v>2366619.42</v>
      </c>
      <c r="S28" s="91">
        <v>-58108.060000000056</v>
      </c>
    </row>
    <row r="29" spans="1:19" s="91" customFormat="1">
      <c r="A29" s="91" t="s">
        <v>542</v>
      </c>
      <c r="B29" s="91" t="s">
        <v>412</v>
      </c>
      <c r="C29" s="91" t="s">
        <v>1054</v>
      </c>
      <c r="D29" s="234">
        <v>5.7312469999999998</v>
      </c>
      <c r="E29" s="92">
        <v>53092</v>
      </c>
      <c r="F29" s="93"/>
      <c r="G29" s="235">
        <f t="shared" si="1"/>
        <v>7750</v>
      </c>
      <c r="H29" s="235">
        <f t="shared" si="1"/>
        <v>8336.66698</v>
      </c>
      <c r="I29" s="235">
        <f t="shared" si="1"/>
        <v>8690.2645699999975</v>
      </c>
      <c r="J29" s="235">
        <f t="shared" si="1"/>
        <v>353.59758999999985</v>
      </c>
      <c r="K29" s="93"/>
      <c r="L29" s="236" t="s">
        <v>179</v>
      </c>
      <c r="M29" s="236" t="s">
        <v>63</v>
      </c>
      <c r="N29" s="236" t="s">
        <v>63</v>
      </c>
      <c r="P29" s="91">
        <v>7750000</v>
      </c>
      <c r="Q29" s="91">
        <v>8336666.9800000004</v>
      </c>
      <c r="R29" s="91">
        <v>8690264.5699999984</v>
      </c>
      <c r="S29" s="91">
        <v>353597.58999999985</v>
      </c>
    </row>
    <row r="30" spans="1:19" s="91" customFormat="1">
      <c r="A30" s="91" t="s">
        <v>543</v>
      </c>
      <c r="B30" s="91" t="s">
        <v>451</v>
      </c>
      <c r="C30" s="91" t="s">
        <v>1054</v>
      </c>
      <c r="D30" s="234">
        <v>5.6137030000000001</v>
      </c>
      <c r="E30" s="92">
        <v>54963</v>
      </c>
      <c r="F30" s="93"/>
      <c r="G30" s="235">
        <f t="shared" si="1"/>
        <v>3500</v>
      </c>
      <c r="H30" s="235">
        <f t="shared" si="1"/>
        <v>3768.8307200000004</v>
      </c>
      <c r="I30" s="235">
        <f t="shared" si="1"/>
        <v>3832.22</v>
      </c>
      <c r="J30" s="235">
        <f t="shared" si="1"/>
        <v>63.389279999999793</v>
      </c>
      <c r="K30" s="93"/>
      <c r="L30" s="236" t="s">
        <v>179</v>
      </c>
      <c r="M30" s="236" t="s">
        <v>179</v>
      </c>
      <c r="N30" s="236" t="s">
        <v>63</v>
      </c>
      <c r="P30" s="91">
        <v>3500000</v>
      </c>
      <c r="Q30" s="91">
        <v>3768830.72</v>
      </c>
      <c r="R30" s="91">
        <v>3832220</v>
      </c>
      <c r="S30" s="91">
        <v>63389.279999999795</v>
      </c>
    </row>
    <row r="31" spans="1:19" s="91" customFormat="1">
      <c r="A31" s="91" t="s">
        <v>544</v>
      </c>
      <c r="B31" s="91" t="s">
        <v>451</v>
      </c>
      <c r="C31" s="91" t="s">
        <v>1054</v>
      </c>
      <c r="D31" s="234">
        <v>5.7420660000000003</v>
      </c>
      <c r="E31" s="92">
        <v>54781</v>
      </c>
      <c r="F31" s="93"/>
      <c r="G31" s="235">
        <f t="shared" si="1"/>
        <v>3750</v>
      </c>
      <c r="H31" s="235">
        <f t="shared" si="1"/>
        <v>4065.3946899999996</v>
      </c>
      <c r="I31" s="235">
        <f t="shared" si="1"/>
        <v>4126.1774999999998</v>
      </c>
      <c r="J31" s="235">
        <f t="shared" si="1"/>
        <v>60.782810000000055</v>
      </c>
      <c r="K31" s="93"/>
      <c r="L31" s="236" t="s">
        <v>179</v>
      </c>
      <c r="M31" s="236" t="s">
        <v>179</v>
      </c>
      <c r="N31" s="236" t="s">
        <v>63</v>
      </c>
      <c r="P31" s="91">
        <v>3750000</v>
      </c>
      <c r="Q31" s="91">
        <v>4065394.6899999995</v>
      </c>
      <c r="R31" s="91">
        <v>4126177.5</v>
      </c>
      <c r="S31" s="91">
        <v>60782.810000000056</v>
      </c>
    </row>
    <row r="32" spans="1:19" s="91" customFormat="1">
      <c r="A32" s="91" t="s">
        <v>545</v>
      </c>
      <c r="B32" s="91" t="s">
        <v>264</v>
      </c>
      <c r="C32" s="91" t="s">
        <v>1051</v>
      </c>
      <c r="D32" s="234">
        <v>4.95</v>
      </c>
      <c r="E32" s="92">
        <v>41214</v>
      </c>
      <c r="F32" s="93"/>
      <c r="G32" s="235">
        <f t="shared" si="1"/>
        <v>2500</v>
      </c>
      <c r="H32" s="235">
        <f t="shared" si="1"/>
        <v>2512.41365</v>
      </c>
      <c r="I32" s="235">
        <f t="shared" si="1"/>
        <v>2592.1174999999998</v>
      </c>
      <c r="J32" s="235">
        <f t="shared" si="1"/>
        <v>79.703850000000088</v>
      </c>
      <c r="K32" s="93"/>
      <c r="L32" s="236" t="s">
        <v>181</v>
      </c>
      <c r="M32" s="236" t="s">
        <v>121</v>
      </c>
      <c r="N32" s="236" t="s">
        <v>171</v>
      </c>
      <c r="P32" s="91">
        <v>2500000</v>
      </c>
      <c r="Q32" s="91">
        <v>2512413.65</v>
      </c>
      <c r="R32" s="91">
        <v>2592117.5</v>
      </c>
      <c r="S32" s="91">
        <v>79703.850000000093</v>
      </c>
    </row>
    <row r="33" spans="1:19" s="91" customFormat="1">
      <c r="A33" s="91" t="s">
        <v>546</v>
      </c>
      <c r="B33" s="91" t="s">
        <v>320</v>
      </c>
      <c r="C33" s="91" t="s">
        <v>1055</v>
      </c>
      <c r="D33" s="234">
        <v>6.05</v>
      </c>
      <c r="E33" s="92">
        <v>43073</v>
      </c>
      <c r="F33" s="93"/>
      <c r="G33" s="235">
        <f t="shared" si="1"/>
        <v>10000</v>
      </c>
      <c r="H33" s="235">
        <f t="shared" si="1"/>
        <v>10254.590040000001</v>
      </c>
      <c r="I33" s="235">
        <f t="shared" si="1"/>
        <v>9042.58</v>
      </c>
      <c r="J33" s="235">
        <f t="shared" si="1"/>
        <v>-1212.0100400000001</v>
      </c>
      <c r="K33" s="93"/>
      <c r="L33" s="236" t="s">
        <v>204</v>
      </c>
      <c r="M33" s="236" t="s">
        <v>200</v>
      </c>
      <c r="N33" s="236" t="s">
        <v>206</v>
      </c>
      <c r="P33" s="91">
        <v>10000000</v>
      </c>
      <c r="Q33" s="91">
        <v>10254590.040000001</v>
      </c>
      <c r="R33" s="91">
        <v>9042580</v>
      </c>
      <c r="S33" s="91">
        <v>-1212010.04</v>
      </c>
    </row>
    <row r="34" spans="1:19" s="91" customFormat="1">
      <c r="A34" s="91" t="s">
        <v>547</v>
      </c>
      <c r="B34" s="91" t="s">
        <v>350</v>
      </c>
      <c r="C34" s="91" t="s">
        <v>1052</v>
      </c>
      <c r="D34" s="234">
        <v>3</v>
      </c>
      <c r="E34" s="92">
        <v>42583</v>
      </c>
      <c r="F34" s="93"/>
      <c r="G34" s="235">
        <f t="shared" si="1"/>
        <v>735</v>
      </c>
      <c r="H34" s="235">
        <f t="shared" si="1"/>
        <v>770.96679000000006</v>
      </c>
      <c r="I34" s="235">
        <f t="shared" si="1"/>
        <v>796.25490000000002</v>
      </c>
      <c r="J34" s="235">
        <f t="shared" si="1"/>
        <v>25.288109999999985</v>
      </c>
      <c r="K34" s="93"/>
      <c r="L34" s="236" t="s">
        <v>181</v>
      </c>
      <c r="M34" s="236" t="s">
        <v>122</v>
      </c>
      <c r="N34" s="236" t="s">
        <v>122</v>
      </c>
      <c r="P34" s="91">
        <v>735000</v>
      </c>
      <c r="Q34" s="91">
        <v>770966.79</v>
      </c>
      <c r="R34" s="91">
        <v>796254.9</v>
      </c>
      <c r="S34" s="91">
        <v>25288.109999999986</v>
      </c>
    </row>
    <row r="35" spans="1:19" s="91" customFormat="1">
      <c r="A35" s="91" t="s">
        <v>548</v>
      </c>
      <c r="B35" s="91" t="s">
        <v>350</v>
      </c>
      <c r="C35" s="91" t="s">
        <v>1052</v>
      </c>
      <c r="D35" s="234">
        <v>3.5</v>
      </c>
      <c r="E35" s="92">
        <v>42948</v>
      </c>
      <c r="F35" s="93"/>
      <c r="G35" s="235">
        <f t="shared" si="1"/>
        <v>220</v>
      </c>
      <c r="H35" s="235">
        <f t="shared" si="1"/>
        <v>234.94048000000001</v>
      </c>
      <c r="I35" s="235">
        <f t="shared" si="1"/>
        <v>245.1284</v>
      </c>
      <c r="J35" s="235">
        <f t="shared" si="1"/>
        <v>10.187919999999984</v>
      </c>
      <c r="K35" s="93"/>
      <c r="L35" s="236" t="s">
        <v>181</v>
      </c>
      <c r="M35" s="236" t="s">
        <v>122</v>
      </c>
      <c r="N35" s="236" t="s">
        <v>122</v>
      </c>
      <c r="P35" s="91">
        <v>220000</v>
      </c>
      <c r="Q35" s="91">
        <v>234940.48</v>
      </c>
      <c r="R35" s="91">
        <v>245128.4</v>
      </c>
      <c r="S35" s="91">
        <v>10187.919999999984</v>
      </c>
    </row>
    <row r="36" spans="1:19" s="91" customFormat="1">
      <c r="A36" s="91" t="s">
        <v>549</v>
      </c>
      <c r="B36" s="91" t="s">
        <v>463</v>
      </c>
      <c r="C36" s="91" t="s">
        <v>1054</v>
      </c>
      <c r="D36" s="234">
        <v>0.73360000000000003</v>
      </c>
      <c r="E36" s="92">
        <v>49638</v>
      </c>
      <c r="F36" s="93"/>
      <c r="G36" s="235">
        <f t="shared" si="1"/>
        <v>2084.02045</v>
      </c>
      <c r="H36" s="235">
        <f t="shared" si="1"/>
        <v>1879.7864399999999</v>
      </c>
      <c r="I36" s="235">
        <f t="shared" si="1"/>
        <v>1253.1235800000002</v>
      </c>
      <c r="J36" s="235">
        <f t="shared" si="1"/>
        <v>-626.66285999999991</v>
      </c>
      <c r="K36" s="93"/>
      <c r="L36" s="236" t="s">
        <v>183</v>
      </c>
      <c r="M36" s="236" t="s">
        <v>179</v>
      </c>
      <c r="N36" s="236" t="s">
        <v>68</v>
      </c>
      <c r="P36" s="91">
        <v>2084020.45</v>
      </c>
      <c r="Q36" s="91">
        <v>1879786.44</v>
      </c>
      <c r="R36" s="91">
        <v>1253123.58</v>
      </c>
      <c r="S36" s="91">
        <v>-626662.85999999987</v>
      </c>
    </row>
    <row r="37" spans="1:19" s="91" customFormat="1">
      <c r="A37" s="91" t="s">
        <v>550</v>
      </c>
      <c r="B37" s="91" t="s">
        <v>311</v>
      </c>
      <c r="C37" s="91" t="s">
        <v>1051</v>
      </c>
      <c r="D37" s="234">
        <v>5.7</v>
      </c>
      <c r="E37" s="92">
        <v>41958</v>
      </c>
      <c r="F37" s="93"/>
      <c r="G37" s="235">
        <f t="shared" si="1"/>
        <v>3000</v>
      </c>
      <c r="H37" s="235">
        <f t="shared" si="1"/>
        <v>3259.4618100000007</v>
      </c>
      <c r="I37" s="235">
        <f t="shared" si="1"/>
        <v>3254.6649400000001</v>
      </c>
      <c r="J37" s="235">
        <f t="shared" si="1"/>
        <v>-4.7968700000001121</v>
      </c>
      <c r="K37" s="93"/>
      <c r="L37" s="236" t="s">
        <v>188</v>
      </c>
      <c r="M37" s="236" t="s">
        <v>65</v>
      </c>
      <c r="N37" s="236" t="s">
        <v>171</v>
      </c>
      <c r="P37" s="91">
        <v>3000000</v>
      </c>
      <c r="Q37" s="91">
        <v>3259461.8100000005</v>
      </c>
      <c r="R37" s="91">
        <v>3254664.94</v>
      </c>
      <c r="S37" s="91">
        <v>-4796.8700000001118</v>
      </c>
    </row>
    <row r="38" spans="1:19" s="91" customFormat="1">
      <c r="A38" s="91" t="s">
        <v>551</v>
      </c>
      <c r="B38" s="91" t="s">
        <v>311</v>
      </c>
      <c r="C38" s="91" t="s">
        <v>1051</v>
      </c>
      <c r="D38" s="234">
        <v>6.4</v>
      </c>
      <c r="E38" s="92">
        <v>43010</v>
      </c>
      <c r="F38" s="93"/>
      <c r="G38" s="235">
        <f t="shared" si="1"/>
        <v>1100</v>
      </c>
      <c r="H38" s="235">
        <f t="shared" si="1"/>
        <v>1247.19067</v>
      </c>
      <c r="I38" s="235">
        <f t="shared" si="1"/>
        <v>1220.11662</v>
      </c>
      <c r="J38" s="235">
        <f t="shared" si="1"/>
        <v>-27.074049999999815</v>
      </c>
      <c r="K38" s="93"/>
      <c r="L38" s="236" t="s">
        <v>188</v>
      </c>
      <c r="M38" s="236" t="s">
        <v>65</v>
      </c>
      <c r="N38" s="236" t="s">
        <v>171</v>
      </c>
      <c r="P38" s="91">
        <v>1100000</v>
      </c>
      <c r="Q38" s="91">
        <v>1247190.67</v>
      </c>
      <c r="R38" s="91">
        <v>1220116.6200000001</v>
      </c>
      <c r="S38" s="91">
        <v>-27074.049999999814</v>
      </c>
    </row>
    <row r="39" spans="1:19" s="91" customFormat="1">
      <c r="A39" s="91" t="s">
        <v>1127</v>
      </c>
      <c r="B39" s="91" t="s">
        <v>1128</v>
      </c>
      <c r="C39" s="91" t="s">
        <v>1051</v>
      </c>
      <c r="D39" s="234">
        <v>3.125</v>
      </c>
      <c r="E39" s="92">
        <v>44508</v>
      </c>
      <c r="F39" s="93"/>
      <c r="G39" s="235">
        <f t="shared" si="1"/>
        <v>5000</v>
      </c>
      <c r="H39" s="235">
        <f t="shared" si="1"/>
        <v>4989.8795600000003</v>
      </c>
      <c r="I39" s="235">
        <f t="shared" si="1"/>
        <v>5172.4350000000004</v>
      </c>
      <c r="J39" s="235">
        <f t="shared" si="1"/>
        <v>182.55543999999972</v>
      </c>
      <c r="K39" s="93"/>
      <c r="L39" s="236" t="s">
        <v>183</v>
      </c>
      <c r="M39" s="236" t="s">
        <v>121</v>
      </c>
      <c r="N39" s="236" t="s">
        <v>179</v>
      </c>
      <c r="P39" s="91">
        <v>5000000</v>
      </c>
      <c r="Q39" s="91">
        <v>4989879.5600000005</v>
      </c>
      <c r="R39" s="91">
        <v>5172435</v>
      </c>
      <c r="S39" s="91">
        <v>182555.43999999971</v>
      </c>
    </row>
    <row r="40" spans="1:19" s="91" customFormat="1">
      <c r="A40" s="91" t="s">
        <v>1063</v>
      </c>
      <c r="B40" s="91" t="s">
        <v>1064</v>
      </c>
      <c r="C40" s="91" t="s">
        <v>1051</v>
      </c>
      <c r="D40" s="234">
        <v>4.5</v>
      </c>
      <c r="E40" s="92">
        <v>44484</v>
      </c>
      <c r="F40" s="93"/>
      <c r="G40" s="235">
        <f t="shared" si="1"/>
        <v>6000</v>
      </c>
      <c r="H40" s="235">
        <f t="shared" si="1"/>
        <v>6008.6666599999999</v>
      </c>
      <c r="I40" s="235">
        <f t="shared" si="1"/>
        <v>6356.1660000000002</v>
      </c>
      <c r="J40" s="235">
        <f t="shared" si="1"/>
        <v>347.49934000000007</v>
      </c>
      <c r="K40" s="93"/>
      <c r="L40" s="236" t="s">
        <v>204</v>
      </c>
      <c r="M40" s="236" t="s">
        <v>66</v>
      </c>
      <c r="N40" s="236" t="s">
        <v>179</v>
      </c>
      <c r="P40" s="91">
        <v>6000000</v>
      </c>
      <c r="Q40" s="91">
        <v>6008666.6600000001</v>
      </c>
      <c r="R40" s="91">
        <v>6356166</v>
      </c>
      <c r="S40" s="91">
        <v>347499.34000000008</v>
      </c>
    </row>
    <row r="41" spans="1:19" s="91" customFormat="1">
      <c r="A41" s="91" t="s">
        <v>552</v>
      </c>
      <c r="B41" s="91" t="s">
        <v>438</v>
      </c>
      <c r="C41" s="91" t="s">
        <v>1052</v>
      </c>
      <c r="D41" s="234">
        <v>4</v>
      </c>
      <c r="E41" s="92">
        <v>44166</v>
      </c>
      <c r="F41" s="93"/>
      <c r="G41" s="235">
        <f t="shared" si="1"/>
        <v>2000</v>
      </c>
      <c r="H41" s="235">
        <f t="shared" si="1"/>
        <v>2246.8404399999999</v>
      </c>
      <c r="I41" s="235">
        <f t="shared" si="1"/>
        <v>2337.36</v>
      </c>
      <c r="J41" s="235">
        <f t="shared" si="1"/>
        <v>90.519559999999942</v>
      </c>
      <c r="K41" s="93"/>
      <c r="L41" s="236" t="s">
        <v>178</v>
      </c>
      <c r="M41" s="236" t="s">
        <v>179</v>
      </c>
      <c r="N41" s="236" t="s">
        <v>179</v>
      </c>
      <c r="P41" s="91">
        <v>2000000</v>
      </c>
      <c r="Q41" s="91">
        <v>2246840.44</v>
      </c>
      <c r="R41" s="91">
        <v>2337360</v>
      </c>
      <c r="S41" s="91">
        <v>90519.559999999939</v>
      </c>
    </row>
    <row r="42" spans="1:19" s="91" customFormat="1">
      <c r="A42" s="91" t="s">
        <v>553</v>
      </c>
      <c r="B42" s="91" t="s">
        <v>265</v>
      </c>
      <c r="C42" s="91" t="s">
        <v>1051</v>
      </c>
      <c r="D42" s="234">
        <v>4.5999999999999996</v>
      </c>
      <c r="E42" s="92">
        <v>41409</v>
      </c>
      <c r="F42" s="93"/>
      <c r="G42" s="235">
        <f t="shared" si="1"/>
        <v>2175</v>
      </c>
      <c r="H42" s="235">
        <f t="shared" si="1"/>
        <v>2196.4980399999999</v>
      </c>
      <c r="I42" s="235">
        <f t="shared" si="1"/>
        <v>2286.12327</v>
      </c>
      <c r="J42" s="235">
        <f t="shared" si="1"/>
        <v>89.625230000000101</v>
      </c>
      <c r="K42" s="93"/>
      <c r="L42" s="236" t="s">
        <v>181</v>
      </c>
      <c r="M42" s="236" t="s">
        <v>122</v>
      </c>
      <c r="N42" s="236" t="s">
        <v>121</v>
      </c>
      <c r="P42" s="91">
        <v>2175000</v>
      </c>
      <c r="Q42" s="91">
        <v>2196498.04</v>
      </c>
      <c r="R42" s="91">
        <v>2286123.27</v>
      </c>
      <c r="S42" s="91">
        <v>89625.230000000098</v>
      </c>
    </row>
    <row r="43" spans="1:19" s="91" customFormat="1">
      <c r="A43" s="91" t="s">
        <v>554</v>
      </c>
      <c r="B43" s="91" t="s">
        <v>265</v>
      </c>
      <c r="C43" s="91" t="s">
        <v>1051</v>
      </c>
      <c r="D43" s="234">
        <v>5.4</v>
      </c>
      <c r="E43" s="92">
        <v>43235</v>
      </c>
      <c r="F43" s="93"/>
      <c r="G43" s="235">
        <f t="shared" si="1"/>
        <v>7000</v>
      </c>
      <c r="H43" s="235">
        <f t="shared" si="1"/>
        <v>7558.1131100000011</v>
      </c>
      <c r="I43" s="235">
        <f t="shared" si="1"/>
        <v>8155.7033600000004</v>
      </c>
      <c r="J43" s="235">
        <f t="shared" si="1"/>
        <v>597.59024999999951</v>
      </c>
      <c r="K43" s="93"/>
      <c r="L43" s="236" t="s">
        <v>181</v>
      </c>
      <c r="M43" s="236" t="s">
        <v>122</v>
      </c>
      <c r="N43" s="236" t="s">
        <v>121</v>
      </c>
      <c r="P43" s="91">
        <v>7000000</v>
      </c>
      <c r="Q43" s="91">
        <v>7558113.1100000013</v>
      </c>
      <c r="R43" s="91">
        <v>8155703.3600000003</v>
      </c>
      <c r="S43" s="91">
        <v>597590.24999999953</v>
      </c>
    </row>
    <row r="44" spans="1:19" s="91" customFormat="1">
      <c r="A44" s="91" t="s">
        <v>555</v>
      </c>
      <c r="B44" s="91" t="s">
        <v>209</v>
      </c>
      <c r="C44" s="91" t="s">
        <v>1051</v>
      </c>
      <c r="D44" s="234">
        <v>5.125</v>
      </c>
      <c r="E44" s="92">
        <v>41320</v>
      </c>
      <c r="F44" s="93"/>
      <c r="G44" s="235">
        <f t="shared" si="1"/>
        <v>1750</v>
      </c>
      <c r="H44" s="235">
        <f t="shared" si="1"/>
        <v>1745.5441400000002</v>
      </c>
      <c r="I44" s="235">
        <f t="shared" si="1"/>
        <v>1835.45469</v>
      </c>
      <c r="J44" s="235">
        <f t="shared" si="1"/>
        <v>89.91054999999993</v>
      </c>
      <c r="K44" s="93"/>
      <c r="L44" s="236" t="s">
        <v>183</v>
      </c>
      <c r="M44" s="236" t="s">
        <v>65</v>
      </c>
      <c r="N44" s="236" t="s">
        <v>65</v>
      </c>
      <c r="P44" s="91">
        <v>1750000</v>
      </c>
      <c r="Q44" s="91">
        <v>1745544.1400000001</v>
      </c>
      <c r="R44" s="91">
        <v>1835454.69</v>
      </c>
      <c r="S44" s="91">
        <v>89910.54999999993</v>
      </c>
    </row>
    <row r="45" spans="1:19" s="91" customFormat="1">
      <c r="A45" s="91" t="s">
        <v>1129</v>
      </c>
      <c r="B45" s="91" t="s">
        <v>1130</v>
      </c>
      <c r="C45" s="91" t="s">
        <v>1051</v>
      </c>
      <c r="D45" s="234">
        <v>3.7</v>
      </c>
      <c r="E45" s="92">
        <v>43419</v>
      </c>
      <c r="F45" s="93"/>
      <c r="G45" s="235">
        <f t="shared" si="1"/>
        <v>3000</v>
      </c>
      <c r="H45" s="235">
        <f t="shared" si="1"/>
        <v>3008.4786600000002</v>
      </c>
      <c r="I45" s="235">
        <f t="shared" si="1"/>
        <v>3063.2460000000001</v>
      </c>
      <c r="J45" s="235">
        <f t="shared" si="1"/>
        <v>54.767339999999848</v>
      </c>
      <c r="K45" s="93"/>
      <c r="L45" s="236" t="s">
        <v>199</v>
      </c>
      <c r="M45" s="236" t="s">
        <v>206</v>
      </c>
      <c r="N45" s="236" t="s">
        <v>66</v>
      </c>
      <c r="P45" s="91">
        <v>3000000</v>
      </c>
      <c r="Q45" s="91">
        <v>3008478.66</v>
      </c>
      <c r="R45" s="91">
        <v>3063246</v>
      </c>
      <c r="S45" s="91">
        <v>54767.339999999851</v>
      </c>
    </row>
    <row r="46" spans="1:19" s="91" customFormat="1">
      <c r="A46" s="91" t="s">
        <v>556</v>
      </c>
      <c r="B46" s="91" t="s">
        <v>259</v>
      </c>
      <c r="C46" s="91" t="s">
        <v>1051</v>
      </c>
      <c r="D46" s="234">
        <v>6.95</v>
      </c>
      <c r="E46" s="92">
        <v>41713</v>
      </c>
      <c r="F46" s="93"/>
      <c r="G46" s="235">
        <f t="shared" si="1"/>
        <v>1000</v>
      </c>
      <c r="H46" s="235">
        <f t="shared" si="1"/>
        <v>1003.29723</v>
      </c>
      <c r="I46" s="235">
        <f t="shared" si="1"/>
        <v>1125.6570400000001</v>
      </c>
      <c r="J46" s="235">
        <f t="shared" si="1"/>
        <v>122.35981000000005</v>
      </c>
      <c r="K46" s="93"/>
      <c r="L46" s="236" t="s">
        <v>188</v>
      </c>
      <c r="M46" s="236" t="s">
        <v>65</v>
      </c>
      <c r="N46" s="236" t="s">
        <v>65</v>
      </c>
      <c r="P46" s="91">
        <v>1000000</v>
      </c>
      <c r="Q46" s="91">
        <v>1003297.23</v>
      </c>
      <c r="R46" s="91">
        <v>1125657.04</v>
      </c>
      <c r="S46" s="91">
        <v>122359.81000000006</v>
      </c>
    </row>
    <row r="47" spans="1:19" s="91" customFormat="1">
      <c r="A47" s="91" t="s">
        <v>970</v>
      </c>
      <c r="B47" s="91" t="s">
        <v>971</v>
      </c>
      <c r="C47" s="91" t="s">
        <v>1051</v>
      </c>
      <c r="D47" s="234">
        <v>4.95</v>
      </c>
      <c r="E47" s="92">
        <v>43205</v>
      </c>
      <c r="F47" s="93"/>
      <c r="G47" s="235">
        <f t="shared" si="1"/>
        <v>2675</v>
      </c>
      <c r="H47" s="235">
        <f t="shared" si="1"/>
        <v>2659.4694299999996</v>
      </c>
      <c r="I47" s="235">
        <f t="shared" si="1"/>
        <v>2640.3854999999999</v>
      </c>
      <c r="J47" s="235">
        <f t="shared" si="1"/>
        <v>-19.083929999999956</v>
      </c>
      <c r="K47" s="93"/>
      <c r="L47" s="236" t="s">
        <v>332</v>
      </c>
      <c r="M47" s="236" t="s">
        <v>208</v>
      </c>
      <c r="N47" s="236" t="s">
        <v>211</v>
      </c>
      <c r="P47" s="91">
        <v>2675000</v>
      </c>
      <c r="Q47" s="91">
        <v>2659469.4299999997</v>
      </c>
      <c r="R47" s="91">
        <v>2640385.5</v>
      </c>
      <c r="S47" s="91">
        <v>-19083.929999999957</v>
      </c>
    </row>
    <row r="48" spans="1:19" s="91" customFormat="1">
      <c r="A48" s="91" t="s">
        <v>958</v>
      </c>
      <c r="B48" s="91" t="s">
        <v>403</v>
      </c>
      <c r="C48" s="91" t="s">
        <v>1053</v>
      </c>
      <c r="D48" s="234">
        <v>1.3061100000000001</v>
      </c>
      <c r="E48" s="92">
        <v>47539</v>
      </c>
      <c r="F48" s="93"/>
      <c r="G48" s="235">
        <f t="shared" si="1"/>
        <v>3300</v>
      </c>
      <c r="H48" s="235">
        <f t="shared" si="1"/>
        <v>3259.9999799999996</v>
      </c>
      <c r="I48" s="235">
        <f t="shared" si="1"/>
        <v>3205.7506799999996</v>
      </c>
      <c r="J48" s="235">
        <f t="shared" si="1"/>
        <v>-54.249300000000048</v>
      </c>
      <c r="K48" s="93"/>
      <c r="L48" s="236" t="s">
        <v>179</v>
      </c>
      <c r="M48" s="236" t="s">
        <v>63</v>
      </c>
      <c r="N48" s="236" t="s">
        <v>63</v>
      </c>
      <c r="P48" s="91">
        <v>3300000</v>
      </c>
      <c r="Q48" s="91">
        <v>3259999.9799999995</v>
      </c>
      <c r="R48" s="91">
        <v>3205750.6799999997</v>
      </c>
      <c r="S48" s="91">
        <v>-54249.300000000047</v>
      </c>
    </row>
    <row r="49" spans="1:19" s="91" customFormat="1">
      <c r="A49" s="91" t="s">
        <v>992</v>
      </c>
      <c r="B49" s="91" t="s">
        <v>403</v>
      </c>
      <c r="C49" s="91" t="s">
        <v>1053</v>
      </c>
      <c r="D49" s="234">
        <v>1.26833</v>
      </c>
      <c r="E49" s="92">
        <v>47324</v>
      </c>
      <c r="F49" s="93"/>
      <c r="G49" s="235">
        <f t="shared" si="1"/>
        <v>2600</v>
      </c>
      <c r="H49" s="235">
        <f t="shared" si="1"/>
        <v>2575.4913700000002</v>
      </c>
      <c r="I49" s="235">
        <f t="shared" si="1"/>
        <v>2528.0361599999997</v>
      </c>
      <c r="J49" s="235">
        <f t="shared" si="1"/>
        <v>-47.455210000000079</v>
      </c>
      <c r="K49" s="93"/>
      <c r="L49" s="236" t="s">
        <v>179</v>
      </c>
      <c r="M49" s="236" t="s">
        <v>63</v>
      </c>
      <c r="N49" s="236" t="s">
        <v>63</v>
      </c>
      <c r="P49" s="91">
        <v>2600000</v>
      </c>
      <c r="Q49" s="91">
        <v>2575491.37</v>
      </c>
      <c r="R49" s="91">
        <v>2528036.1599999997</v>
      </c>
      <c r="S49" s="91">
        <v>-47455.210000000079</v>
      </c>
    </row>
    <row r="50" spans="1:19" s="91" customFormat="1">
      <c r="A50" s="91" t="s">
        <v>993</v>
      </c>
      <c r="B50" s="91" t="s">
        <v>994</v>
      </c>
      <c r="C50" s="91" t="s">
        <v>1051</v>
      </c>
      <c r="D50" s="234">
        <v>5.35</v>
      </c>
      <c r="E50" s="92">
        <v>41744</v>
      </c>
      <c r="F50" s="93"/>
      <c r="G50" s="235">
        <f t="shared" si="1"/>
        <v>1975</v>
      </c>
      <c r="H50" s="235">
        <f t="shared" si="1"/>
        <v>2099.0668999999998</v>
      </c>
      <c r="I50" s="235">
        <f t="shared" si="1"/>
        <v>2082.0252500000001</v>
      </c>
      <c r="J50" s="235">
        <f t="shared" si="1"/>
        <v>-17.041649999999994</v>
      </c>
      <c r="K50" s="93"/>
      <c r="L50" s="236" t="s">
        <v>199</v>
      </c>
      <c r="M50" s="236" t="s">
        <v>208</v>
      </c>
      <c r="N50" s="236" t="s">
        <v>66</v>
      </c>
      <c r="P50" s="91">
        <v>1975000</v>
      </c>
      <c r="Q50" s="91">
        <v>2099066.9</v>
      </c>
      <c r="R50" s="91">
        <v>2082025.25</v>
      </c>
      <c r="S50" s="91">
        <v>-17041.649999999994</v>
      </c>
    </row>
    <row r="51" spans="1:19" s="91" customFormat="1">
      <c r="A51" s="91" t="s">
        <v>1131</v>
      </c>
      <c r="B51" s="91" t="s">
        <v>1132</v>
      </c>
      <c r="C51" s="91" t="s">
        <v>1051</v>
      </c>
      <c r="D51" s="234">
        <v>2.75</v>
      </c>
      <c r="E51" s="92">
        <v>42689</v>
      </c>
      <c r="F51" s="93"/>
      <c r="G51" s="235">
        <f t="shared" si="1"/>
        <v>4000</v>
      </c>
      <c r="H51" s="235">
        <f t="shared" si="1"/>
        <v>3996.9202200000009</v>
      </c>
      <c r="I51" s="235">
        <f t="shared" si="1"/>
        <v>4010.9203999999995</v>
      </c>
      <c r="J51" s="235">
        <f t="shared" si="1"/>
        <v>14.000179999999586</v>
      </c>
      <c r="K51" s="93"/>
      <c r="L51" s="236" t="s">
        <v>199</v>
      </c>
      <c r="M51" s="236" t="s">
        <v>66</v>
      </c>
      <c r="N51" s="236" t="s">
        <v>66</v>
      </c>
      <c r="P51" s="91">
        <v>4000000</v>
      </c>
      <c r="Q51" s="91">
        <v>3996920.2200000007</v>
      </c>
      <c r="R51" s="91">
        <v>4010920.3999999994</v>
      </c>
      <c r="S51" s="91">
        <v>14000.179999999586</v>
      </c>
    </row>
    <row r="52" spans="1:19" s="91" customFormat="1">
      <c r="A52" s="91" t="s">
        <v>557</v>
      </c>
      <c r="B52" s="91" t="s">
        <v>434</v>
      </c>
      <c r="C52" s="91" t="s">
        <v>1053</v>
      </c>
      <c r="D52" s="234">
        <v>6.25</v>
      </c>
      <c r="E52" s="92">
        <v>42750</v>
      </c>
      <c r="F52" s="93"/>
      <c r="G52" s="235">
        <f t="shared" si="1"/>
        <v>5730</v>
      </c>
      <c r="H52" s="235">
        <f t="shared" si="1"/>
        <v>5905.1989299999996</v>
      </c>
      <c r="I52" s="235">
        <f t="shared" si="1"/>
        <v>6624.5072599999994</v>
      </c>
      <c r="J52" s="235">
        <f t="shared" si="1"/>
        <v>719.30832999999984</v>
      </c>
      <c r="K52" s="93"/>
      <c r="L52" s="236" t="s">
        <v>189</v>
      </c>
      <c r="M52" s="236" t="s">
        <v>63</v>
      </c>
      <c r="N52" s="236" t="s">
        <v>63</v>
      </c>
      <c r="P52" s="91">
        <v>5730000</v>
      </c>
      <c r="Q52" s="91">
        <v>5905198.9299999997</v>
      </c>
      <c r="R52" s="91">
        <v>6624507.2599999998</v>
      </c>
      <c r="S52" s="91">
        <v>719308.32999999984</v>
      </c>
    </row>
    <row r="53" spans="1:19" s="91" customFormat="1">
      <c r="A53" s="91" t="s">
        <v>558</v>
      </c>
      <c r="B53" s="91" t="s">
        <v>452</v>
      </c>
      <c r="C53" s="91" t="s">
        <v>1054</v>
      </c>
      <c r="D53" s="234">
        <v>5.7866679999999997</v>
      </c>
      <c r="E53" s="92">
        <v>54775</v>
      </c>
      <c r="F53" s="93"/>
      <c r="G53" s="235">
        <f t="shared" si="1"/>
        <v>3000</v>
      </c>
      <c r="H53" s="235">
        <f t="shared" si="1"/>
        <v>3283.9414400000005</v>
      </c>
      <c r="I53" s="235">
        <f t="shared" si="1"/>
        <v>3304.56</v>
      </c>
      <c r="J53" s="235">
        <f t="shared" si="1"/>
        <v>20.618560000000056</v>
      </c>
      <c r="K53" s="93"/>
      <c r="L53" s="236" t="s">
        <v>189</v>
      </c>
      <c r="M53" s="236" t="s">
        <v>179</v>
      </c>
      <c r="N53" s="236" t="s">
        <v>179</v>
      </c>
      <c r="P53" s="91">
        <v>3000000</v>
      </c>
      <c r="Q53" s="91">
        <v>3283941.4400000004</v>
      </c>
      <c r="R53" s="91">
        <v>3304560</v>
      </c>
      <c r="S53" s="91">
        <v>20618.560000000056</v>
      </c>
    </row>
    <row r="54" spans="1:19" s="91" customFormat="1">
      <c r="A54" s="91" t="s">
        <v>1002</v>
      </c>
      <c r="B54" s="91" t="s">
        <v>1003</v>
      </c>
      <c r="C54" s="91" t="s">
        <v>1051</v>
      </c>
      <c r="D54" s="234">
        <v>4.125</v>
      </c>
      <c r="E54" s="92">
        <v>44331</v>
      </c>
      <c r="F54" s="93"/>
      <c r="G54" s="235">
        <f t="shared" si="1"/>
        <v>5000</v>
      </c>
      <c r="H54" s="235">
        <f t="shared" si="1"/>
        <v>4890.4369999999999</v>
      </c>
      <c r="I54" s="235">
        <f t="shared" si="1"/>
        <v>5382.8708499999993</v>
      </c>
      <c r="J54" s="235">
        <f t="shared" si="1"/>
        <v>492.4338499999995</v>
      </c>
      <c r="K54" s="93"/>
      <c r="L54" s="236" t="s">
        <v>199</v>
      </c>
      <c r="M54" s="236" t="s">
        <v>200</v>
      </c>
      <c r="N54" s="236" t="s">
        <v>200</v>
      </c>
      <c r="P54" s="91">
        <v>5000000</v>
      </c>
      <c r="Q54" s="91">
        <v>4890437</v>
      </c>
      <c r="R54" s="91">
        <v>5382870.8499999996</v>
      </c>
      <c r="S54" s="91">
        <v>492433.84999999951</v>
      </c>
    </row>
    <row r="55" spans="1:19" s="91" customFormat="1">
      <c r="A55" s="91" t="s">
        <v>144</v>
      </c>
      <c r="B55" s="91" t="s">
        <v>467</v>
      </c>
      <c r="C55" s="91" t="s">
        <v>1053</v>
      </c>
      <c r="D55" s="234">
        <v>5.5049999999999999</v>
      </c>
      <c r="E55" s="92">
        <v>49515</v>
      </c>
      <c r="F55" s="93"/>
      <c r="G55" s="235">
        <f t="shared" si="1"/>
        <v>441.91210999999998</v>
      </c>
      <c r="H55" s="235">
        <f t="shared" si="1"/>
        <v>154.30086</v>
      </c>
      <c r="I55" s="235">
        <f t="shared" si="1"/>
        <v>148.47977</v>
      </c>
      <c r="J55" s="235">
        <f t="shared" si="1"/>
        <v>-5.8210899999999963</v>
      </c>
      <c r="K55" s="93"/>
      <c r="L55" s="236" t="s">
        <v>255</v>
      </c>
      <c r="M55" s="236" t="s">
        <v>69</v>
      </c>
      <c r="N55" s="236" t="s">
        <v>179</v>
      </c>
      <c r="P55" s="91">
        <v>441912.11</v>
      </c>
      <c r="Q55" s="91">
        <v>154300.85999999999</v>
      </c>
      <c r="R55" s="91">
        <v>148479.76999999999</v>
      </c>
      <c r="S55" s="91">
        <v>-5821.0899999999965</v>
      </c>
    </row>
    <row r="56" spans="1:19" s="91" customFormat="1">
      <c r="A56" s="91" t="s">
        <v>559</v>
      </c>
      <c r="B56" s="91" t="s">
        <v>477</v>
      </c>
      <c r="C56" s="91" t="s">
        <v>1056</v>
      </c>
      <c r="D56" s="234">
        <v>5.0629099999999996</v>
      </c>
      <c r="E56" s="92">
        <v>48816</v>
      </c>
      <c r="F56" s="93"/>
      <c r="G56" s="235">
        <f t="shared" si="1"/>
        <v>724.18138999999996</v>
      </c>
      <c r="H56" s="235">
        <f t="shared" si="1"/>
        <v>591.11092000000008</v>
      </c>
      <c r="I56" s="235">
        <f t="shared" si="1"/>
        <v>577.89131999999995</v>
      </c>
      <c r="J56" s="235">
        <f t="shared" si="1"/>
        <v>-13.219600000000094</v>
      </c>
      <c r="K56" s="93"/>
      <c r="L56" s="236" t="s">
        <v>179</v>
      </c>
      <c r="M56" s="236" t="s">
        <v>293</v>
      </c>
      <c r="N56" s="236" t="s">
        <v>179</v>
      </c>
      <c r="P56" s="91">
        <v>724181.39</v>
      </c>
      <c r="Q56" s="91">
        <v>591110.92000000004</v>
      </c>
      <c r="R56" s="91">
        <v>577891.31999999995</v>
      </c>
      <c r="S56" s="91">
        <v>-13219.600000000093</v>
      </c>
    </row>
    <row r="57" spans="1:19" s="91" customFormat="1">
      <c r="A57" s="91" t="s">
        <v>560</v>
      </c>
      <c r="B57" s="91" t="s">
        <v>336</v>
      </c>
      <c r="C57" s="91" t="s">
        <v>1055</v>
      </c>
      <c r="D57" s="234">
        <v>2.65</v>
      </c>
      <c r="E57" s="92">
        <v>42263</v>
      </c>
      <c r="F57" s="93"/>
      <c r="G57" s="235">
        <f t="shared" si="1"/>
        <v>4625</v>
      </c>
      <c r="H57" s="235">
        <f t="shared" si="1"/>
        <v>4619.9775</v>
      </c>
      <c r="I57" s="235">
        <f t="shared" si="1"/>
        <v>4758.6717500000004</v>
      </c>
      <c r="J57" s="235">
        <f t="shared" si="1"/>
        <v>138.6942500000001</v>
      </c>
      <c r="K57" s="93"/>
      <c r="L57" s="236" t="s">
        <v>178</v>
      </c>
      <c r="M57" s="236" t="s">
        <v>171</v>
      </c>
      <c r="N57" s="236" t="s">
        <v>171</v>
      </c>
      <c r="P57" s="91">
        <v>4625000</v>
      </c>
      <c r="Q57" s="91">
        <v>4619977.5</v>
      </c>
      <c r="R57" s="91">
        <v>4758671.75</v>
      </c>
      <c r="S57" s="91">
        <v>138694.25000000009</v>
      </c>
    </row>
    <row r="58" spans="1:19" s="91" customFormat="1">
      <c r="A58" s="91" t="s">
        <v>561</v>
      </c>
      <c r="B58" s="91" t="s">
        <v>404</v>
      </c>
      <c r="C58" s="91" t="s">
        <v>1053</v>
      </c>
      <c r="D58" s="234">
        <v>4.7</v>
      </c>
      <c r="E58" s="92">
        <v>42170</v>
      </c>
      <c r="F58" s="93"/>
      <c r="G58" s="235">
        <f t="shared" si="1"/>
        <v>3500</v>
      </c>
      <c r="H58" s="235">
        <f t="shared" si="1"/>
        <v>3491.8651800000002</v>
      </c>
      <c r="I58" s="235">
        <f t="shared" si="1"/>
        <v>3583.1722500000001</v>
      </c>
      <c r="J58" s="235">
        <f t="shared" si="1"/>
        <v>91.307069999999825</v>
      </c>
      <c r="K58" s="93"/>
      <c r="L58" s="236" t="s">
        <v>189</v>
      </c>
      <c r="M58" s="236" t="s">
        <v>63</v>
      </c>
      <c r="N58" s="236" t="s">
        <v>63</v>
      </c>
      <c r="P58" s="91">
        <v>3500000</v>
      </c>
      <c r="Q58" s="91">
        <v>3491865.18</v>
      </c>
      <c r="R58" s="91">
        <v>3583172.25</v>
      </c>
      <c r="S58" s="91">
        <v>91307.069999999832</v>
      </c>
    </row>
    <row r="59" spans="1:19" s="91" customFormat="1">
      <c r="A59" s="91" t="s">
        <v>562</v>
      </c>
      <c r="B59" s="91" t="s">
        <v>405</v>
      </c>
      <c r="C59" s="91" t="s">
        <v>1053</v>
      </c>
      <c r="D59" s="234">
        <v>5.09</v>
      </c>
      <c r="E59" s="92">
        <v>42217</v>
      </c>
      <c r="F59" s="93"/>
      <c r="G59" s="235">
        <f t="shared" si="1"/>
        <v>2500</v>
      </c>
      <c r="H59" s="235">
        <f t="shared" si="1"/>
        <v>2497.85248</v>
      </c>
      <c r="I59" s="235">
        <f t="shared" si="1"/>
        <v>2647.32285</v>
      </c>
      <c r="J59" s="235">
        <f t="shared" si="1"/>
        <v>149.47037000000012</v>
      </c>
      <c r="K59" s="93"/>
      <c r="L59" s="236" t="s">
        <v>189</v>
      </c>
      <c r="M59" s="236" t="s">
        <v>63</v>
      </c>
      <c r="N59" s="236" t="s">
        <v>63</v>
      </c>
      <c r="P59" s="91">
        <v>2500000</v>
      </c>
      <c r="Q59" s="91">
        <v>2497852.48</v>
      </c>
      <c r="R59" s="91">
        <v>2647322.85</v>
      </c>
      <c r="S59" s="91">
        <v>149470.37000000011</v>
      </c>
    </row>
    <row r="60" spans="1:19" s="91" customFormat="1">
      <c r="A60" s="91" t="s">
        <v>563</v>
      </c>
      <c r="B60" s="91" t="s">
        <v>405</v>
      </c>
      <c r="C60" s="91" t="s">
        <v>1053</v>
      </c>
      <c r="D60" s="234">
        <v>4.1920000000000002</v>
      </c>
      <c r="E60" s="92">
        <v>43862</v>
      </c>
      <c r="F60" s="93"/>
      <c r="G60" s="235">
        <f t="shared" si="1"/>
        <v>3395.3639600000001</v>
      </c>
      <c r="H60" s="235">
        <f t="shared" si="1"/>
        <v>3417.6968299999999</v>
      </c>
      <c r="I60" s="235">
        <f t="shared" si="1"/>
        <v>3654.2224300000003</v>
      </c>
      <c r="J60" s="235">
        <f t="shared" si="1"/>
        <v>236.52559999999986</v>
      </c>
      <c r="K60" s="93"/>
      <c r="L60" s="236" t="s">
        <v>189</v>
      </c>
      <c r="M60" s="236" t="s">
        <v>63</v>
      </c>
      <c r="N60" s="236" t="s">
        <v>63</v>
      </c>
      <c r="P60" s="91">
        <v>3395363.96</v>
      </c>
      <c r="Q60" s="91">
        <v>3417696.83</v>
      </c>
      <c r="R60" s="91">
        <v>3654222.43</v>
      </c>
      <c r="S60" s="91">
        <v>236525.59999999986</v>
      </c>
    </row>
    <row r="61" spans="1:19" s="91" customFormat="1">
      <c r="A61" s="91" t="s">
        <v>1133</v>
      </c>
      <c r="B61" s="91" t="s">
        <v>1134</v>
      </c>
      <c r="C61" s="91" t="s">
        <v>1052</v>
      </c>
      <c r="D61" s="234">
        <v>2.5</v>
      </c>
      <c r="E61" s="92">
        <v>42826</v>
      </c>
      <c r="F61" s="93"/>
      <c r="G61" s="235">
        <f t="shared" si="1"/>
        <v>550</v>
      </c>
      <c r="H61" s="235">
        <f t="shared" si="1"/>
        <v>574.82150000000001</v>
      </c>
      <c r="I61" s="235">
        <f t="shared" si="1"/>
        <v>590.29849999999999</v>
      </c>
      <c r="J61" s="235">
        <f t="shared" si="1"/>
        <v>15.477</v>
      </c>
      <c r="K61" s="93"/>
      <c r="L61" s="236" t="s">
        <v>179</v>
      </c>
      <c r="M61" s="236" t="s">
        <v>122</v>
      </c>
      <c r="N61" s="236" t="s">
        <v>63</v>
      </c>
      <c r="P61" s="91">
        <v>550000</v>
      </c>
      <c r="Q61" s="91">
        <v>574821.5</v>
      </c>
      <c r="R61" s="91">
        <v>590298.5</v>
      </c>
      <c r="S61" s="91">
        <v>15477</v>
      </c>
    </row>
    <row r="62" spans="1:19" s="91" customFormat="1">
      <c r="A62" s="91" t="s">
        <v>564</v>
      </c>
      <c r="B62" s="91" t="s">
        <v>347</v>
      </c>
      <c r="C62" s="91" t="s">
        <v>1052</v>
      </c>
      <c r="D62" s="234">
        <v>5</v>
      </c>
      <c r="E62" s="92">
        <v>42005</v>
      </c>
      <c r="F62" s="93"/>
      <c r="G62" s="235">
        <f t="shared" si="1"/>
        <v>1460</v>
      </c>
      <c r="H62" s="235">
        <f t="shared" si="1"/>
        <v>1602.5789199999999</v>
      </c>
      <c r="I62" s="235">
        <f t="shared" si="1"/>
        <v>1598.9336000000001</v>
      </c>
      <c r="J62" s="235">
        <f t="shared" si="1"/>
        <v>-3.6453199999998325</v>
      </c>
      <c r="K62" s="93"/>
      <c r="L62" s="236" t="s">
        <v>188</v>
      </c>
      <c r="M62" s="236" t="s">
        <v>171</v>
      </c>
      <c r="N62" s="236" t="s">
        <v>171</v>
      </c>
      <c r="P62" s="91">
        <v>1460000</v>
      </c>
      <c r="Q62" s="91">
        <v>1602578.92</v>
      </c>
      <c r="R62" s="91">
        <v>1598933.6</v>
      </c>
      <c r="S62" s="91">
        <v>-3645.3199999998324</v>
      </c>
    </row>
    <row r="63" spans="1:19" s="91" customFormat="1">
      <c r="A63" s="91" t="s">
        <v>565</v>
      </c>
      <c r="B63" s="91" t="s">
        <v>425</v>
      </c>
      <c r="C63" s="91" t="s">
        <v>1056</v>
      </c>
      <c r="D63" s="234">
        <v>1.9520299999999999</v>
      </c>
      <c r="E63" s="92">
        <v>43337</v>
      </c>
      <c r="F63" s="93"/>
      <c r="G63" s="235">
        <f t="shared" si="1"/>
        <v>63.010800000000003</v>
      </c>
      <c r="H63" s="235">
        <f t="shared" si="1"/>
        <v>62.798190000000005</v>
      </c>
      <c r="I63" s="235">
        <f t="shared" si="1"/>
        <v>58.842889999999997</v>
      </c>
      <c r="J63" s="235">
        <f t="shared" si="1"/>
        <v>-3.9553000000000029</v>
      </c>
      <c r="K63" s="93"/>
      <c r="L63" s="236" t="s">
        <v>179</v>
      </c>
      <c r="M63" s="236" t="s">
        <v>67</v>
      </c>
      <c r="N63" s="236" t="s">
        <v>179</v>
      </c>
      <c r="P63" s="91">
        <v>63010.8</v>
      </c>
      <c r="Q63" s="91">
        <v>62798.19</v>
      </c>
      <c r="R63" s="91">
        <v>58842.89</v>
      </c>
      <c r="S63" s="91">
        <v>-3955.3000000000029</v>
      </c>
    </row>
    <row r="64" spans="1:19" s="91" customFormat="1">
      <c r="A64" s="91" t="s">
        <v>566</v>
      </c>
      <c r="B64" s="91" t="s">
        <v>321</v>
      </c>
      <c r="C64" s="91" t="s">
        <v>1051</v>
      </c>
      <c r="D64" s="234">
        <v>6.375</v>
      </c>
      <c r="E64" s="92">
        <v>41863</v>
      </c>
      <c r="F64" s="93"/>
      <c r="G64" s="235">
        <f t="shared" si="1"/>
        <v>2125</v>
      </c>
      <c r="H64" s="235">
        <f t="shared" si="1"/>
        <v>2281.9703799999997</v>
      </c>
      <c r="I64" s="235">
        <f t="shared" si="1"/>
        <v>2221.4690499999997</v>
      </c>
      <c r="J64" s="235">
        <f t="shared" si="1"/>
        <v>-60.50132999999996</v>
      </c>
      <c r="K64" s="93"/>
      <c r="L64" s="236" t="s">
        <v>195</v>
      </c>
      <c r="M64" s="236" t="s">
        <v>206</v>
      </c>
      <c r="N64" s="236" t="s">
        <v>65</v>
      </c>
      <c r="P64" s="91">
        <v>2125000</v>
      </c>
      <c r="Q64" s="91">
        <v>2281970.38</v>
      </c>
      <c r="R64" s="91">
        <v>2221469.0499999998</v>
      </c>
      <c r="S64" s="91">
        <v>-60501.329999999958</v>
      </c>
    </row>
    <row r="65" spans="1:19" s="91" customFormat="1">
      <c r="A65" s="91" t="s">
        <v>567</v>
      </c>
      <c r="B65" s="91" t="s">
        <v>321</v>
      </c>
      <c r="C65" s="91" t="s">
        <v>1051</v>
      </c>
      <c r="D65" s="234">
        <v>6.01</v>
      </c>
      <c r="E65" s="92">
        <v>42019</v>
      </c>
      <c r="F65" s="93"/>
      <c r="G65" s="235">
        <f t="shared" si="1"/>
        <v>800</v>
      </c>
      <c r="H65" s="235">
        <f t="shared" si="1"/>
        <v>845.39678000000004</v>
      </c>
      <c r="I65" s="235">
        <f t="shared" si="1"/>
        <v>831.90796</v>
      </c>
      <c r="J65" s="235">
        <f t="shared" si="1"/>
        <v>-13.488820000000064</v>
      </c>
      <c r="K65" s="93"/>
      <c r="L65" s="236" t="s">
        <v>195</v>
      </c>
      <c r="M65" s="236" t="s">
        <v>206</v>
      </c>
      <c r="N65" s="236" t="s">
        <v>65</v>
      </c>
      <c r="P65" s="91">
        <v>800000</v>
      </c>
      <c r="Q65" s="91">
        <v>845396.78</v>
      </c>
      <c r="R65" s="91">
        <v>831907.96</v>
      </c>
      <c r="S65" s="91">
        <v>-13488.820000000065</v>
      </c>
    </row>
    <row r="66" spans="1:19" s="91" customFormat="1">
      <c r="A66" s="91" t="s">
        <v>1135</v>
      </c>
      <c r="B66" s="91" t="s">
        <v>321</v>
      </c>
      <c r="C66" s="91" t="s">
        <v>1051</v>
      </c>
      <c r="D66" s="234">
        <v>4.5</v>
      </c>
      <c r="E66" s="92">
        <v>44575</v>
      </c>
      <c r="F66" s="93"/>
      <c r="G66" s="235">
        <f t="shared" si="1"/>
        <v>1000</v>
      </c>
      <c r="H66" s="235">
        <f t="shared" si="1"/>
        <v>990.17372</v>
      </c>
      <c r="I66" s="235">
        <f t="shared" si="1"/>
        <v>955.09828000000005</v>
      </c>
      <c r="J66" s="235">
        <f t="shared" si="1"/>
        <v>-35.075439999999944</v>
      </c>
      <c r="K66" s="93"/>
      <c r="L66" s="236" t="s">
        <v>195</v>
      </c>
      <c r="M66" s="236" t="s">
        <v>206</v>
      </c>
      <c r="N66" s="236" t="s">
        <v>179</v>
      </c>
      <c r="P66" s="91">
        <v>1000000</v>
      </c>
      <c r="Q66" s="91">
        <v>990173.72</v>
      </c>
      <c r="R66" s="91">
        <v>955098.28</v>
      </c>
      <c r="S66" s="91">
        <v>-35075.439999999944</v>
      </c>
    </row>
    <row r="67" spans="1:19" s="91" customFormat="1">
      <c r="A67" s="91" t="s">
        <v>568</v>
      </c>
      <c r="B67" s="91" t="s">
        <v>406</v>
      </c>
      <c r="C67" s="91" t="s">
        <v>1053</v>
      </c>
      <c r="D67" s="234">
        <v>5.35</v>
      </c>
      <c r="E67" s="92">
        <v>43868</v>
      </c>
      <c r="F67" s="93"/>
      <c r="G67" s="235">
        <f t="shared" si="1"/>
        <v>9000</v>
      </c>
      <c r="H67" s="235">
        <f t="shared" si="1"/>
        <v>10356.438830000003</v>
      </c>
      <c r="I67" s="235">
        <f t="shared" si="1"/>
        <v>10672.023669999999</v>
      </c>
      <c r="J67" s="235">
        <f t="shared" si="1"/>
        <v>315.58484000000055</v>
      </c>
      <c r="K67" s="93"/>
      <c r="L67" s="236" t="s">
        <v>189</v>
      </c>
      <c r="M67" s="236" t="s">
        <v>63</v>
      </c>
      <c r="N67" s="236" t="s">
        <v>63</v>
      </c>
      <c r="P67" s="91">
        <v>9000000</v>
      </c>
      <c r="Q67" s="91">
        <v>10356438.830000002</v>
      </c>
      <c r="R67" s="91">
        <v>10672023.669999998</v>
      </c>
      <c r="S67" s="91">
        <v>315584.84000000055</v>
      </c>
    </row>
    <row r="68" spans="1:19" s="91" customFormat="1">
      <c r="A68" s="91" t="s">
        <v>569</v>
      </c>
      <c r="B68" s="91" t="s">
        <v>1136</v>
      </c>
      <c r="C68" s="91" t="s">
        <v>1052</v>
      </c>
      <c r="D68" s="234">
        <v>5</v>
      </c>
      <c r="E68" s="92">
        <v>41805</v>
      </c>
      <c r="F68" s="93"/>
      <c r="G68" s="235">
        <f t="shared" si="1"/>
        <v>1700</v>
      </c>
      <c r="H68" s="235">
        <f t="shared" si="1"/>
        <v>1862.78882</v>
      </c>
      <c r="I68" s="235">
        <f t="shared" si="1"/>
        <v>1872.4480000000001</v>
      </c>
      <c r="J68" s="235">
        <f t="shared" si="1"/>
        <v>9.6591799999999353</v>
      </c>
      <c r="K68" s="93"/>
      <c r="L68" s="236" t="s">
        <v>181</v>
      </c>
      <c r="M68" s="236" t="s">
        <v>64</v>
      </c>
      <c r="N68" s="236" t="s">
        <v>171</v>
      </c>
      <c r="P68" s="91">
        <v>1700000</v>
      </c>
      <c r="Q68" s="91">
        <v>1862788.82</v>
      </c>
      <c r="R68" s="91">
        <v>1872448</v>
      </c>
      <c r="S68" s="91">
        <v>9659.1799999999348</v>
      </c>
    </row>
    <row r="69" spans="1:19" s="91" customFormat="1">
      <c r="A69" s="91" t="s">
        <v>1137</v>
      </c>
      <c r="B69" s="91" t="s">
        <v>1136</v>
      </c>
      <c r="C69" s="91" t="s">
        <v>1052</v>
      </c>
      <c r="D69" s="234">
        <v>5</v>
      </c>
      <c r="E69" s="92">
        <v>42901</v>
      </c>
      <c r="F69" s="93"/>
      <c r="G69" s="235">
        <f t="shared" si="1"/>
        <v>2000</v>
      </c>
      <c r="H69" s="235">
        <f t="shared" si="1"/>
        <v>2291.9209000000001</v>
      </c>
      <c r="I69" s="235">
        <f t="shared" si="1"/>
        <v>2352.46</v>
      </c>
      <c r="J69" s="235">
        <f t="shared" si="1"/>
        <v>60.53910000000009</v>
      </c>
      <c r="K69" s="93"/>
      <c r="L69" s="236" t="s">
        <v>181</v>
      </c>
      <c r="M69" s="236" t="s">
        <v>64</v>
      </c>
      <c r="N69" s="236" t="s">
        <v>171</v>
      </c>
      <c r="P69" s="91">
        <v>2000000</v>
      </c>
      <c r="Q69" s="91">
        <v>2291920.9</v>
      </c>
      <c r="R69" s="91">
        <v>2352460</v>
      </c>
      <c r="S69" s="91">
        <v>60539.100000000093</v>
      </c>
    </row>
    <row r="70" spans="1:19" s="91" customFormat="1">
      <c r="A70" s="91" t="s">
        <v>570</v>
      </c>
      <c r="B70" s="91" t="s">
        <v>212</v>
      </c>
      <c r="C70" s="91" t="s">
        <v>1051</v>
      </c>
      <c r="D70" s="234">
        <v>5</v>
      </c>
      <c r="E70" s="92">
        <v>42019</v>
      </c>
      <c r="F70" s="93"/>
      <c r="G70" s="235">
        <f t="shared" ref="G70:J133" si="2">P70/1000</f>
        <v>500</v>
      </c>
      <c r="H70" s="235">
        <f t="shared" si="2"/>
        <v>499.45673999999997</v>
      </c>
      <c r="I70" s="235">
        <f t="shared" si="2"/>
        <v>541.86172999999997</v>
      </c>
      <c r="J70" s="235">
        <f t="shared" si="2"/>
        <v>42.404989999999991</v>
      </c>
      <c r="K70" s="93"/>
      <c r="L70" s="236" t="s">
        <v>204</v>
      </c>
      <c r="M70" s="236" t="s">
        <v>200</v>
      </c>
      <c r="N70" s="236" t="s">
        <v>200</v>
      </c>
      <c r="P70" s="91">
        <v>500000</v>
      </c>
      <c r="Q70" s="91">
        <v>499456.74</v>
      </c>
      <c r="R70" s="91">
        <v>541861.73</v>
      </c>
      <c r="S70" s="91">
        <v>42404.989999999991</v>
      </c>
    </row>
    <row r="71" spans="1:19" s="91" customFormat="1">
      <c r="A71" s="91" t="s">
        <v>571</v>
      </c>
      <c r="B71" s="91" t="s">
        <v>213</v>
      </c>
      <c r="C71" s="91" t="s">
        <v>1051</v>
      </c>
      <c r="D71" s="234">
        <v>8.5</v>
      </c>
      <c r="E71" s="92">
        <v>40940</v>
      </c>
      <c r="F71" s="93"/>
      <c r="G71" s="235">
        <f t="shared" si="2"/>
        <v>3000</v>
      </c>
      <c r="H71" s="235">
        <f t="shared" si="2"/>
        <v>3006.4447099999998</v>
      </c>
      <c r="I71" s="235">
        <f t="shared" si="2"/>
        <v>3017.607</v>
      </c>
      <c r="J71" s="235">
        <f t="shared" si="2"/>
        <v>11.162289999999979</v>
      </c>
      <c r="K71" s="93"/>
      <c r="L71" s="236" t="s">
        <v>179</v>
      </c>
      <c r="M71" s="236" t="s">
        <v>121</v>
      </c>
      <c r="N71" s="236" t="s">
        <v>121</v>
      </c>
      <c r="P71" s="91">
        <v>3000000</v>
      </c>
      <c r="Q71" s="91">
        <v>3006444.71</v>
      </c>
      <c r="R71" s="91">
        <v>3017607</v>
      </c>
      <c r="S71" s="91">
        <v>11162.289999999979</v>
      </c>
    </row>
    <row r="72" spans="1:19" s="91" customFormat="1">
      <c r="A72" s="91" t="s">
        <v>572</v>
      </c>
      <c r="B72" s="91" t="s">
        <v>213</v>
      </c>
      <c r="C72" s="91" t="s">
        <v>1051</v>
      </c>
      <c r="D72" s="234">
        <v>6.95</v>
      </c>
      <c r="E72" s="92">
        <v>46341</v>
      </c>
      <c r="F72" s="93"/>
      <c r="G72" s="235">
        <f t="shared" si="2"/>
        <v>1000</v>
      </c>
      <c r="H72" s="235">
        <f t="shared" si="2"/>
        <v>1177.7444800000001</v>
      </c>
      <c r="I72" s="235">
        <f t="shared" si="2"/>
        <v>1349.2760000000001</v>
      </c>
      <c r="J72" s="235">
        <f t="shared" si="2"/>
        <v>171.53152000000003</v>
      </c>
      <c r="K72" s="93"/>
      <c r="L72" s="236" t="s">
        <v>179</v>
      </c>
      <c r="M72" s="236" t="s">
        <v>121</v>
      </c>
      <c r="N72" s="236" t="s">
        <v>121</v>
      </c>
      <c r="P72" s="91">
        <v>1000000</v>
      </c>
      <c r="Q72" s="91">
        <v>1177744.48</v>
      </c>
      <c r="R72" s="91">
        <v>1349276</v>
      </c>
      <c r="S72" s="91">
        <v>171531.52000000002</v>
      </c>
    </row>
    <row r="73" spans="1:19" s="91" customFormat="1">
      <c r="A73" s="91" t="s">
        <v>573</v>
      </c>
      <c r="B73" s="91" t="s">
        <v>387</v>
      </c>
      <c r="C73" s="91" t="s">
        <v>1051</v>
      </c>
      <c r="D73" s="234">
        <v>7.125</v>
      </c>
      <c r="E73" s="92">
        <v>41440</v>
      </c>
      <c r="F73" s="93"/>
      <c r="G73" s="235">
        <f t="shared" si="2"/>
        <v>1750</v>
      </c>
      <c r="H73" s="235">
        <f t="shared" si="2"/>
        <v>1784.5052700000001</v>
      </c>
      <c r="I73" s="235">
        <f t="shared" si="2"/>
        <v>1893.9291999999998</v>
      </c>
      <c r="J73" s="235">
        <f t="shared" si="2"/>
        <v>109.42392999999994</v>
      </c>
      <c r="K73" s="93"/>
      <c r="L73" s="236" t="s">
        <v>204</v>
      </c>
      <c r="M73" s="236" t="s">
        <v>200</v>
      </c>
      <c r="N73" s="236" t="s">
        <v>200</v>
      </c>
      <c r="P73" s="91">
        <v>1750000</v>
      </c>
      <c r="Q73" s="91">
        <v>1784505.27</v>
      </c>
      <c r="R73" s="91">
        <v>1893929.1999999997</v>
      </c>
      <c r="S73" s="91">
        <v>109423.92999999993</v>
      </c>
    </row>
    <row r="74" spans="1:19" s="91" customFormat="1">
      <c r="A74" s="91" t="s">
        <v>574</v>
      </c>
      <c r="B74" s="91" t="s">
        <v>214</v>
      </c>
      <c r="C74" s="91" t="s">
        <v>1051</v>
      </c>
      <c r="D74" s="234">
        <v>6.5</v>
      </c>
      <c r="E74" s="92">
        <v>42019</v>
      </c>
      <c r="F74" s="93"/>
      <c r="G74" s="235">
        <f t="shared" si="2"/>
        <v>2600</v>
      </c>
      <c r="H74" s="235">
        <f t="shared" si="2"/>
        <v>2915.3128499999998</v>
      </c>
      <c r="I74" s="235">
        <f t="shared" si="2"/>
        <v>2923.6564800000001</v>
      </c>
      <c r="J74" s="235">
        <f t="shared" si="2"/>
        <v>8.3436300000001218</v>
      </c>
      <c r="K74" s="93"/>
      <c r="L74" s="236" t="s">
        <v>204</v>
      </c>
      <c r="M74" s="236" t="s">
        <v>200</v>
      </c>
      <c r="N74" s="236" t="s">
        <v>200</v>
      </c>
      <c r="P74" s="91">
        <v>2600000</v>
      </c>
      <c r="Q74" s="91">
        <v>2915312.8499999996</v>
      </c>
      <c r="R74" s="91">
        <v>2923656.48</v>
      </c>
      <c r="S74" s="91">
        <v>8343.6300000001211</v>
      </c>
    </row>
    <row r="75" spans="1:19" s="91" customFormat="1">
      <c r="A75" s="91" t="s">
        <v>575</v>
      </c>
      <c r="B75" s="91" t="s">
        <v>453</v>
      </c>
      <c r="C75" s="91" t="s">
        <v>1054</v>
      </c>
      <c r="D75" s="234">
        <v>4.7149999999999999</v>
      </c>
      <c r="E75" s="92">
        <v>50839</v>
      </c>
      <c r="F75" s="93"/>
      <c r="G75" s="235">
        <f t="shared" si="2"/>
        <v>3748.3845500000002</v>
      </c>
      <c r="H75" s="235">
        <f t="shared" si="2"/>
        <v>3844.6774800000003</v>
      </c>
      <c r="I75" s="235">
        <f t="shared" si="2"/>
        <v>3931.0130399999998</v>
      </c>
      <c r="J75" s="235">
        <f t="shared" si="2"/>
        <v>86.335559999999703</v>
      </c>
      <c r="K75" s="93"/>
      <c r="L75" s="236" t="s">
        <v>179</v>
      </c>
      <c r="M75" s="236" t="s">
        <v>63</v>
      </c>
      <c r="N75" s="236" t="s">
        <v>63</v>
      </c>
      <c r="P75" s="91">
        <v>3748384.5500000003</v>
      </c>
      <c r="Q75" s="91">
        <v>3844677.4800000004</v>
      </c>
      <c r="R75" s="91">
        <v>3931013.04</v>
      </c>
      <c r="S75" s="91">
        <v>86335.559999999707</v>
      </c>
    </row>
    <row r="76" spans="1:19" s="91" customFormat="1">
      <c r="A76" s="91" t="s">
        <v>576</v>
      </c>
      <c r="B76" s="91" t="s">
        <v>215</v>
      </c>
      <c r="C76" s="91" t="s">
        <v>1051</v>
      </c>
      <c r="D76" s="234">
        <v>7.5</v>
      </c>
      <c r="E76" s="92">
        <v>41456</v>
      </c>
      <c r="F76" s="93"/>
      <c r="G76" s="235">
        <f t="shared" si="2"/>
        <v>3000</v>
      </c>
      <c r="H76" s="235">
        <f t="shared" si="2"/>
        <v>3036.0456399999998</v>
      </c>
      <c r="I76" s="235">
        <f t="shared" si="2"/>
        <v>3264.4859999999999</v>
      </c>
      <c r="J76" s="235">
        <f t="shared" si="2"/>
        <v>228.44035999999994</v>
      </c>
      <c r="K76" s="93"/>
      <c r="L76" s="236" t="s">
        <v>204</v>
      </c>
      <c r="M76" s="236" t="s">
        <v>206</v>
      </c>
      <c r="N76" s="236" t="s">
        <v>200</v>
      </c>
      <c r="P76" s="91">
        <v>3000000</v>
      </c>
      <c r="Q76" s="91">
        <v>3036045.6399999997</v>
      </c>
      <c r="R76" s="91">
        <v>3264486</v>
      </c>
      <c r="S76" s="91">
        <v>228440.35999999993</v>
      </c>
    </row>
    <row r="77" spans="1:19" s="91" customFormat="1">
      <c r="A77" s="91" t="s">
        <v>1138</v>
      </c>
      <c r="B77" s="91" t="s">
        <v>1139</v>
      </c>
      <c r="C77" s="91" t="s">
        <v>1055</v>
      </c>
      <c r="D77" s="234">
        <v>3.5</v>
      </c>
      <c r="E77" s="92">
        <v>42082</v>
      </c>
      <c r="F77" s="93"/>
      <c r="G77" s="235">
        <f t="shared" si="2"/>
        <v>5000</v>
      </c>
      <c r="H77" s="235">
        <f t="shared" si="2"/>
        <v>5114.1736200000005</v>
      </c>
      <c r="I77" s="235">
        <f t="shared" si="2"/>
        <v>5105.3</v>
      </c>
      <c r="J77" s="235">
        <f t="shared" si="2"/>
        <v>-8.8736200000001126</v>
      </c>
      <c r="K77" s="93"/>
      <c r="L77" s="236" t="s">
        <v>181</v>
      </c>
      <c r="M77" s="236" t="s">
        <v>171</v>
      </c>
      <c r="N77" s="236" t="s">
        <v>64</v>
      </c>
      <c r="P77" s="91">
        <v>5000000</v>
      </c>
      <c r="Q77" s="91">
        <v>5114173.62</v>
      </c>
      <c r="R77" s="91">
        <v>5105300</v>
      </c>
      <c r="S77" s="91">
        <v>-8873.6200000001118</v>
      </c>
    </row>
    <row r="78" spans="1:19" s="91" customFormat="1">
      <c r="A78" s="91" t="s">
        <v>577</v>
      </c>
      <c r="B78" s="91" t="s">
        <v>216</v>
      </c>
      <c r="C78" s="91" t="s">
        <v>1051</v>
      </c>
      <c r="D78" s="234">
        <v>5</v>
      </c>
      <c r="E78" s="92">
        <v>41320</v>
      </c>
      <c r="F78" s="93"/>
      <c r="G78" s="235">
        <f t="shared" si="2"/>
        <v>4000</v>
      </c>
      <c r="H78" s="235">
        <f t="shared" si="2"/>
        <v>3984.5895500000001</v>
      </c>
      <c r="I78" s="235">
        <f t="shared" si="2"/>
        <v>3989.1476499999999</v>
      </c>
      <c r="J78" s="235">
        <f t="shared" si="2"/>
        <v>4.5581000000002092</v>
      </c>
      <c r="K78" s="93"/>
      <c r="L78" s="236" t="s">
        <v>204</v>
      </c>
      <c r="M78" s="236" t="s">
        <v>200</v>
      </c>
      <c r="N78" s="236" t="s">
        <v>200</v>
      </c>
      <c r="P78" s="91">
        <v>4000000</v>
      </c>
      <c r="Q78" s="91">
        <v>3984589.5500000003</v>
      </c>
      <c r="R78" s="91">
        <v>3989147.65</v>
      </c>
      <c r="S78" s="91">
        <v>4558.1000000002095</v>
      </c>
    </row>
    <row r="79" spans="1:19" s="91" customFormat="1">
      <c r="A79" s="91" t="s">
        <v>1140</v>
      </c>
      <c r="B79" s="91" t="s">
        <v>1141</v>
      </c>
      <c r="C79" s="91" t="s">
        <v>1052</v>
      </c>
      <c r="D79" s="234">
        <v>5</v>
      </c>
      <c r="E79" s="92">
        <v>43084</v>
      </c>
      <c r="F79" s="93"/>
      <c r="G79" s="235">
        <f t="shared" si="2"/>
        <v>1250</v>
      </c>
      <c r="H79" s="235">
        <f t="shared" si="2"/>
        <v>1479.8308500000001</v>
      </c>
      <c r="I79" s="235">
        <f t="shared" si="2"/>
        <v>1485.3</v>
      </c>
      <c r="J79" s="235">
        <f t="shared" si="2"/>
        <v>5.469150000000023</v>
      </c>
      <c r="K79" s="93"/>
      <c r="L79" s="236" t="s">
        <v>181</v>
      </c>
      <c r="M79" s="236" t="s">
        <v>64</v>
      </c>
      <c r="N79" s="236" t="s">
        <v>64</v>
      </c>
      <c r="P79" s="91">
        <v>1250000</v>
      </c>
      <c r="Q79" s="91">
        <v>1479830.85</v>
      </c>
      <c r="R79" s="91">
        <v>1485300</v>
      </c>
      <c r="S79" s="91">
        <v>5469.1500000000233</v>
      </c>
    </row>
    <row r="80" spans="1:19" s="91" customFormat="1">
      <c r="A80" s="91" t="s">
        <v>578</v>
      </c>
      <c r="B80" s="91" t="s">
        <v>348</v>
      </c>
      <c r="C80" s="91" t="s">
        <v>1052</v>
      </c>
      <c r="D80" s="234">
        <v>5</v>
      </c>
      <c r="E80" s="92">
        <v>54605</v>
      </c>
      <c r="F80" s="93"/>
      <c r="G80" s="235">
        <f t="shared" si="2"/>
        <v>4000</v>
      </c>
      <c r="H80" s="235">
        <f t="shared" si="2"/>
        <v>4653.7246399999995</v>
      </c>
      <c r="I80" s="235">
        <f t="shared" si="2"/>
        <v>4504.6000000000004</v>
      </c>
      <c r="J80" s="235">
        <f t="shared" si="2"/>
        <v>-149.12463999999966</v>
      </c>
      <c r="K80" s="93"/>
      <c r="L80" s="236" t="s">
        <v>189</v>
      </c>
      <c r="M80" s="236" t="s">
        <v>63</v>
      </c>
      <c r="N80" s="236" t="s">
        <v>179</v>
      </c>
      <c r="P80" s="91">
        <v>4000000</v>
      </c>
      <c r="Q80" s="91">
        <v>4653724.6399999997</v>
      </c>
      <c r="R80" s="91">
        <v>4504600</v>
      </c>
      <c r="S80" s="91">
        <v>-149124.63999999966</v>
      </c>
    </row>
    <row r="81" spans="1:19" s="91" customFormat="1">
      <c r="A81" s="91" t="s">
        <v>579</v>
      </c>
      <c r="B81" s="91" t="s">
        <v>418</v>
      </c>
      <c r="C81" s="91" t="s">
        <v>1056</v>
      </c>
      <c r="D81" s="234">
        <v>9.375</v>
      </c>
      <c r="E81" s="92">
        <v>46204</v>
      </c>
      <c r="F81" s="93"/>
      <c r="G81" s="235">
        <f t="shared" si="2"/>
        <v>1641.2974100000001</v>
      </c>
      <c r="H81" s="235">
        <f t="shared" si="2"/>
        <v>1640.7474999999999</v>
      </c>
      <c r="I81" s="235">
        <f t="shared" si="2"/>
        <v>1906.8593399999997</v>
      </c>
      <c r="J81" s="235">
        <f t="shared" si="2"/>
        <v>266.11183999999997</v>
      </c>
      <c r="K81" s="93"/>
      <c r="L81" s="236" t="s">
        <v>179</v>
      </c>
      <c r="M81" s="236" t="s">
        <v>179</v>
      </c>
      <c r="N81" s="236" t="s">
        <v>179</v>
      </c>
      <c r="P81" s="91">
        <v>1641297.4100000001</v>
      </c>
      <c r="Q81" s="91">
        <v>1640747.5</v>
      </c>
      <c r="R81" s="91">
        <v>1906859.3399999999</v>
      </c>
      <c r="S81" s="91">
        <v>266111.83999999997</v>
      </c>
    </row>
    <row r="82" spans="1:19" s="91" customFormat="1">
      <c r="A82" s="91" t="s">
        <v>580</v>
      </c>
      <c r="B82" s="91" t="s">
        <v>217</v>
      </c>
      <c r="C82" s="91" t="s">
        <v>1051</v>
      </c>
      <c r="D82" s="234">
        <v>6.1</v>
      </c>
      <c r="E82" s="92">
        <v>42917</v>
      </c>
      <c r="F82" s="93"/>
      <c r="G82" s="235">
        <f t="shared" si="2"/>
        <v>1000</v>
      </c>
      <c r="H82" s="235">
        <f t="shared" si="2"/>
        <v>999.67966000000001</v>
      </c>
      <c r="I82" s="235">
        <f t="shared" si="2"/>
        <v>1173.2920100000001</v>
      </c>
      <c r="J82" s="235">
        <f t="shared" si="2"/>
        <v>173.61234999999996</v>
      </c>
      <c r="K82" s="93"/>
      <c r="L82" s="236" t="s">
        <v>195</v>
      </c>
      <c r="M82" s="236" t="s">
        <v>65</v>
      </c>
      <c r="N82" s="236" t="s">
        <v>65</v>
      </c>
      <c r="P82" s="91">
        <v>1000000</v>
      </c>
      <c r="Q82" s="91">
        <v>999679.66</v>
      </c>
      <c r="R82" s="91">
        <v>1173292.01</v>
      </c>
      <c r="S82" s="91">
        <v>173612.34999999998</v>
      </c>
    </row>
    <row r="83" spans="1:19" s="91" customFormat="1">
      <c r="A83" s="91" t="s">
        <v>581</v>
      </c>
      <c r="B83" s="91" t="s">
        <v>315</v>
      </c>
      <c r="C83" s="91" t="s">
        <v>1055</v>
      </c>
      <c r="D83" s="234">
        <v>6</v>
      </c>
      <c r="E83" s="92">
        <v>43023</v>
      </c>
      <c r="F83" s="93"/>
      <c r="G83" s="235">
        <f t="shared" si="2"/>
        <v>500</v>
      </c>
      <c r="H83" s="235">
        <f t="shared" si="2"/>
        <v>499.79311999999999</v>
      </c>
      <c r="I83" s="235">
        <f t="shared" si="2"/>
        <v>600.03399000000002</v>
      </c>
      <c r="J83" s="235">
        <f t="shared" si="2"/>
        <v>100.24087</v>
      </c>
      <c r="K83" s="93"/>
      <c r="L83" s="236" t="s">
        <v>204</v>
      </c>
      <c r="M83" s="236" t="s">
        <v>65</v>
      </c>
      <c r="N83" s="236" t="s">
        <v>65</v>
      </c>
      <c r="P83" s="91">
        <v>500000</v>
      </c>
      <c r="Q83" s="91">
        <v>499793.12</v>
      </c>
      <c r="R83" s="91">
        <v>600033.99</v>
      </c>
      <c r="S83" s="91">
        <v>100240.87</v>
      </c>
    </row>
    <row r="84" spans="1:19" s="91" customFormat="1">
      <c r="A84" s="91" t="s">
        <v>582</v>
      </c>
      <c r="B84" s="91" t="s">
        <v>315</v>
      </c>
      <c r="C84" s="91" t="s">
        <v>1055</v>
      </c>
      <c r="D84" s="234">
        <v>4.2</v>
      </c>
      <c r="E84" s="92">
        <v>43997</v>
      </c>
      <c r="F84" s="93"/>
      <c r="G84" s="235">
        <f t="shared" si="2"/>
        <v>2810</v>
      </c>
      <c r="H84" s="235">
        <f t="shared" si="2"/>
        <v>2792.2158599999998</v>
      </c>
      <c r="I84" s="235">
        <f t="shared" si="2"/>
        <v>3076.9356500000004</v>
      </c>
      <c r="J84" s="235">
        <f t="shared" si="2"/>
        <v>284.71979000000027</v>
      </c>
      <c r="K84" s="93"/>
      <c r="L84" s="236" t="s">
        <v>204</v>
      </c>
      <c r="M84" s="236" t="s">
        <v>65</v>
      </c>
      <c r="N84" s="236" t="s">
        <v>65</v>
      </c>
      <c r="P84" s="91">
        <v>2810000</v>
      </c>
      <c r="Q84" s="91">
        <v>2792215.86</v>
      </c>
      <c r="R84" s="91">
        <v>3076935.6500000004</v>
      </c>
      <c r="S84" s="91">
        <v>284719.79000000027</v>
      </c>
    </row>
    <row r="85" spans="1:19" s="91" customFormat="1">
      <c r="A85" s="91" t="s">
        <v>965</v>
      </c>
      <c r="B85" s="91" t="s">
        <v>331</v>
      </c>
      <c r="C85" s="91" t="s">
        <v>1055</v>
      </c>
      <c r="D85" s="234">
        <v>6</v>
      </c>
      <c r="E85" s="92">
        <v>43146</v>
      </c>
      <c r="F85" s="93"/>
      <c r="G85" s="235">
        <f t="shared" si="2"/>
        <v>3000</v>
      </c>
      <c r="H85" s="235">
        <f t="shared" si="2"/>
        <v>3176.7688499999999</v>
      </c>
      <c r="I85" s="235">
        <f t="shared" si="2"/>
        <v>2928.84294</v>
      </c>
      <c r="J85" s="235">
        <f t="shared" si="2"/>
        <v>-247.92591000000016</v>
      </c>
      <c r="K85" s="93"/>
      <c r="L85" s="236" t="s">
        <v>181</v>
      </c>
      <c r="M85" s="236" t="s">
        <v>200</v>
      </c>
      <c r="N85" s="236" t="s">
        <v>206</v>
      </c>
      <c r="P85" s="91">
        <v>3000000</v>
      </c>
      <c r="Q85" s="91">
        <v>3176768.85</v>
      </c>
      <c r="R85" s="91">
        <v>2928842.94</v>
      </c>
      <c r="S85" s="91">
        <v>-247925.91000000015</v>
      </c>
    </row>
    <row r="86" spans="1:19" s="91" customFormat="1">
      <c r="A86" s="91" t="s">
        <v>583</v>
      </c>
      <c r="B86" s="91" t="s">
        <v>218</v>
      </c>
      <c r="C86" s="91" t="s">
        <v>1051</v>
      </c>
      <c r="D86" s="234">
        <v>6.5</v>
      </c>
      <c r="E86" s="92">
        <v>40923</v>
      </c>
      <c r="F86" s="93"/>
      <c r="G86" s="235">
        <f t="shared" si="2"/>
        <v>5000</v>
      </c>
      <c r="H86" s="235">
        <f t="shared" si="2"/>
        <v>5000.9388399999998</v>
      </c>
      <c r="I86" s="235">
        <f t="shared" si="2"/>
        <v>5009.08</v>
      </c>
      <c r="J86" s="235">
        <f t="shared" si="2"/>
        <v>8.1411599999998572</v>
      </c>
      <c r="K86" s="93"/>
      <c r="L86" s="236" t="s">
        <v>178</v>
      </c>
      <c r="M86" s="236" t="s">
        <v>121</v>
      </c>
      <c r="N86" s="236" t="s">
        <v>65</v>
      </c>
      <c r="P86" s="91">
        <v>5000000</v>
      </c>
      <c r="Q86" s="91">
        <v>5000938.84</v>
      </c>
      <c r="R86" s="91">
        <v>5009080</v>
      </c>
      <c r="S86" s="91">
        <v>8141.159999999858</v>
      </c>
    </row>
    <row r="87" spans="1:19" s="91" customFormat="1">
      <c r="A87" s="91" t="s">
        <v>981</v>
      </c>
      <c r="B87" s="91" t="s">
        <v>331</v>
      </c>
      <c r="C87" s="91" t="s">
        <v>1055</v>
      </c>
      <c r="D87" s="234">
        <v>5.4</v>
      </c>
      <c r="E87" s="92">
        <v>43844</v>
      </c>
      <c r="F87" s="93"/>
      <c r="G87" s="235">
        <f t="shared" si="2"/>
        <v>1375</v>
      </c>
      <c r="H87" s="235">
        <f t="shared" si="2"/>
        <v>1393.8678199999999</v>
      </c>
      <c r="I87" s="235">
        <f t="shared" si="2"/>
        <v>1283.58493</v>
      </c>
      <c r="J87" s="235">
        <f t="shared" si="2"/>
        <v>-110.28289000000007</v>
      </c>
      <c r="K87" s="93"/>
      <c r="L87" s="236" t="s">
        <v>181</v>
      </c>
      <c r="M87" s="236" t="s">
        <v>200</v>
      </c>
      <c r="N87" s="236" t="s">
        <v>206</v>
      </c>
      <c r="P87" s="91">
        <v>1375000</v>
      </c>
      <c r="Q87" s="91">
        <v>1393867.8199999998</v>
      </c>
      <c r="R87" s="91">
        <v>1283584.93</v>
      </c>
      <c r="S87" s="91">
        <v>-110282.89000000007</v>
      </c>
    </row>
    <row r="88" spans="1:19" s="91" customFormat="1">
      <c r="A88" s="91" t="s">
        <v>584</v>
      </c>
      <c r="B88" s="91" t="s">
        <v>337</v>
      </c>
      <c r="C88" s="91" t="s">
        <v>1051</v>
      </c>
      <c r="D88" s="234">
        <v>5.35</v>
      </c>
      <c r="E88" s="92">
        <v>43905</v>
      </c>
      <c r="F88" s="93"/>
      <c r="G88" s="235">
        <f t="shared" si="2"/>
        <v>3875</v>
      </c>
      <c r="H88" s="235">
        <f t="shared" si="2"/>
        <v>4183.7997599999999</v>
      </c>
      <c r="I88" s="235">
        <f t="shared" si="2"/>
        <v>4146.9746500000001</v>
      </c>
      <c r="J88" s="235">
        <f t="shared" si="2"/>
        <v>-36.825109999999988</v>
      </c>
      <c r="K88" s="93"/>
      <c r="L88" s="236" t="s">
        <v>199</v>
      </c>
      <c r="M88" s="236" t="s">
        <v>66</v>
      </c>
      <c r="N88" s="236" t="s">
        <v>66</v>
      </c>
      <c r="P88" s="91">
        <v>3875000</v>
      </c>
      <c r="Q88" s="91">
        <v>4183799.7600000002</v>
      </c>
      <c r="R88" s="91">
        <v>4146974.65</v>
      </c>
      <c r="S88" s="91">
        <v>-36825.109999999986</v>
      </c>
    </row>
    <row r="89" spans="1:19" s="91" customFormat="1">
      <c r="A89" s="91" t="s">
        <v>585</v>
      </c>
      <c r="B89" s="91" t="s">
        <v>219</v>
      </c>
      <c r="C89" s="91" t="s">
        <v>1051</v>
      </c>
      <c r="D89" s="234">
        <v>6.5</v>
      </c>
      <c r="E89" s="92">
        <v>41593</v>
      </c>
      <c r="F89" s="93"/>
      <c r="G89" s="235">
        <f t="shared" si="2"/>
        <v>1600</v>
      </c>
      <c r="H89" s="235">
        <f t="shared" si="2"/>
        <v>1650.2278199999998</v>
      </c>
      <c r="I89" s="235">
        <f t="shared" si="2"/>
        <v>1739.44848</v>
      </c>
      <c r="J89" s="235">
        <f t="shared" si="2"/>
        <v>89.220660000000152</v>
      </c>
      <c r="K89" s="93"/>
      <c r="L89" s="236" t="s">
        <v>195</v>
      </c>
      <c r="M89" s="236" t="s">
        <v>200</v>
      </c>
      <c r="N89" s="236" t="s">
        <v>206</v>
      </c>
      <c r="P89" s="91">
        <v>1600000</v>
      </c>
      <c r="Q89" s="91">
        <v>1650227.8199999998</v>
      </c>
      <c r="R89" s="91">
        <v>1739448.48</v>
      </c>
      <c r="S89" s="91">
        <v>89220.660000000149</v>
      </c>
    </row>
    <row r="90" spans="1:19" s="91" customFormat="1">
      <c r="A90" s="91" t="s">
        <v>1142</v>
      </c>
      <c r="B90" s="91" t="s">
        <v>1143</v>
      </c>
      <c r="C90" s="91" t="s">
        <v>1052</v>
      </c>
      <c r="D90" s="234">
        <v>5</v>
      </c>
      <c r="E90" s="92">
        <v>43009</v>
      </c>
      <c r="F90" s="93"/>
      <c r="G90" s="235">
        <f t="shared" si="2"/>
        <v>750</v>
      </c>
      <c r="H90" s="235">
        <f t="shared" si="2"/>
        <v>872.49464999999998</v>
      </c>
      <c r="I90" s="235">
        <f t="shared" si="2"/>
        <v>886.88250000000005</v>
      </c>
      <c r="J90" s="235">
        <f t="shared" si="2"/>
        <v>14.387849999999977</v>
      </c>
      <c r="K90" s="93"/>
      <c r="L90" s="236" t="s">
        <v>188</v>
      </c>
      <c r="M90" s="236" t="s">
        <v>121</v>
      </c>
      <c r="N90" s="236" t="s">
        <v>179</v>
      </c>
      <c r="P90" s="91">
        <v>750000</v>
      </c>
      <c r="Q90" s="91">
        <v>872494.65</v>
      </c>
      <c r="R90" s="91">
        <v>886882.5</v>
      </c>
      <c r="S90" s="91">
        <v>14387.849999999977</v>
      </c>
    </row>
    <row r="91" spans="1:19" s="91" customFormat="1">
      <c r="A91" s="91" t="s">
        <v>586</v>
      </c>
      <c r="B91" s="91" t="s">
        <v>316</v>
      </c>
      <c r="C91" s="91" t="s">
        <v>1051</v>
      </c>
      <c r="D91" s="234">
        <v>6.95</v>
      </c>
      <c r="E91" s="92">
        <v>41754</v>
      </c>
      <c r="F91" s="93"/>
      <c r="G91" s="235">
        <f t="shared" si="2"/>
        <v>3000</v>
      </c>
      <c r="H91" s="235">
        <f t="shared" si="2"/>
        <v>3102.1574900000001</v>
      </c>
      <c r="I91" s="235">
        <f t="shared" si="2"/>
        <v>3414.2690400000001</v>
      </c>
      <c r="J91" s="235">
        <f t="shared" si="2"/>
        <v>312.11155000000002</v>
      </c>
      <c r="K91" s="93"/>
      <c r="L91" s="236" t="s">
        <v>183</v>
      </c>
      <c r="M91" s="236" t="s">
        <v>65</v>
      </c>
      <c r="N91" s="236" t="s">
        <v>179</v>
      </c>
      <c r="P91" s="91">
        <v>3000000</v>
      </c>
      <c r="Q91" s="91">
        <v>3102157.49</v>
      </c>
      <c r="R91" s="91">
        <v>3414269.04</v>
      </c>
      <c r="S91" s="91">
        <v>312111.55000000005</v>
      </c>
    </row>
    <row r="92" spans="1:19" s="91" customFormat="1">
      <c r="A92" s="91" t="s">
        <v>972</v>
      </c>
      <c r="B92" s="91" t="s">
        <v>313</v>
      </c>
      <c r="C92" s="91" t="s">
        <v>1051</v>
      </c>
      <c r="D92" s="234">
        <v>5.875</v>
      </c>
      <c r="E92" s="92">
        <v>43631</v>
      </c>
      <c r="F92" s="93"/>
      <c r="G92" s="235">
        <f t="shared" si="2"/>
        <v>2725</v>
      </c>
      <c r="H92" s="235">
        <f t="shared" si="2"/>
        <v>2969.2561100000003</v>
      </c>
      <c r="I92" s="235">
        <f t="shared" si="2"/>
        <v>3190.54108</v>
      </c>
      <c r="J92" s="235">
        <f t="shared" si="2"/>
        <v>221.28496999999996</v>
      </c>
      <c r="K92" s="93"/>
      <c r="L92" s="236" t="s">
        <v>183</v>
      </c>
      <c r="M92" s="236" t="s">
        <v>206</v>
      </c>
      <c r="N92" s="236" t="s">
        <v>65</v>
      </c>
      <c r="P92" s="91">
        <v>2725000</v>
      </c>
      <c r="Q92" s="91">
        <v>2969256.1100000003</v>
      </c>
      <c r="R92" s="91">
        <v>3190541.08</v>
      </c>
      <c r="S92" s="91">
        <v>221284.96999999997</v>
      </c>
    </row>
    <row r="93" spans="1:19" s="91" customFormat="1">
      <c r="A93" s="91" t="s">
        <v>587</v>
      </c>
      <c r="B93" s="91" t="s">
        <v>372</v>
      </c>
      <c r="C93" s="91" t="s">
        <v>1051</v>
      </c>
      <c r="D93" s="234">
        <v>4.95</v>
      </c>
      <c r="E93" s="92">
        <v>43792</v>
      </c>
      <c r="F93" s="93"/>
      <c r="G93" s="235">
        <f t="shared" si="2"/>
        <v>1248.71523</v>
      </c>
      <c r="H93" s="235">
        <f t="shared" si="2"/>
        <v>1248.71523</v>
      </c>
      <c r="I93" s="235">
        <f t="shared" si="2"/>
        <v>1273.6895400000001</v>
      </c>
      <c r="J93" s="235">
        <f t="shared" si="2"/>
        <v>24.974309999999939</v>
      </c>
      <c r="K93" s="93"/>
      <c r="L93" s="236" t="s">
        <v>199</v>
      </c>
      <c r="M93" s="236" t="s">
        <v>206</v>
      </c>
      <c r="N93" s="236" t="s">
        <v>179</v>
      </c>
      <c r="P93" s="91">
        <v>1248715.23</v>
      </c>
      <c r="Q93" s="91">
        <v>1248715.23</v>
      </c>
      <c r="R93" s="91">
        <v>1273689.54</v>
      </c>
      <c r="S93" s="91">
        <v>24974.309999999939</v>
      </c>
    </row>
    <row r="94" spans="1:19" s="91" customFormat="1">
      <c r="A94" s="91" t="s">
        <v>1065</v>
      </c>
      <c r="B94" s="91" t="s">
        <v>1066</v>
      </c>
      <c r="C94" s="91" t="s">
        <v>1051</v>
      </c>
      <c r="D94" s="234">
        <v>2.75</v>
      </c>
      <c r="E94" s="92">
        <v>42597</v>
      </c>
      <c r="F94" s="93"/>
      <c r="G94" s="235">
        <f t="shared" si="2"/>
        <v>300</v>
      </c>
      <c r="H94" s="235">
        <f t="shared" si="2"/>
        <v>299.59896000000003</v>
      </c>
      <c r="I94" s="235">
        <f t="shared" si="2"/>
        <v>302.0822</v>
      </c>
      <c r="J94" s="235">
        <f t="shared" si="2"/>
        <v>2.4832399999999906</v>
      </c>
      <c r="K94" s="93"/>
      <c r="L94" s="236" t="s">
        <v>199</v>
      </c>
      <c r="M94" s="236" t="s">
        <v>200</v>
      </c>
      <c r="N94" s="236" t="s">
        <v>179</v>
      </c>
      <c r="P94" s="91">
        <v>300000</v>
      </c>
      <c r="Q94" s="91">
        <v>299598.96000000002</v>
      </c>
      <c r="R94" s="91">
        <v>302082.2</v>
      </c>
      <c r="S94" s="91">
        <v>2483.2399999999907</v>
      </c>
    </row>
    <row r="95" spans="1:19" s="91" customFormat="1">
      <c r="A95" s="91" t="s">
        <v>588</v>
      </c>
      <c r="B95" s="91" t="s">
        <v>481</v>
      </c>
      <c r="C95" s="91" t="s">
        <v>1055</v>
      </c>
      <c r="D95" s="234">
        <v>5.25</v>
      </c>
      <c r="E95" s="92">
        <v>41477</v>
      </c>
      <c r="F95" s="93"/>
      <c r="G95" s="235">
        <f t="shared" si="2"/>
        <v>2000</v>
      </c>
      <c r="H95" s="235">
        <f t="shared" si="2"/>
        <v>1998.2945300000001</v>
      </c>
      <c r="I95" s="235">
        <f t="shared" si="2"/>
        <v>2102.4832200000001</v>
      </c>
      <c r="J95" s="235">
        <f t="shared" si="2"/>
        <v>104.18869000000018</v>
      </c>
      <c r="K95" s="93"/>
      <c r="L95" s="236" t="s">
        <v>204</v>
      </c>
      <c r="M95" s="236" t="s">
        <v>200</v>
      </c>
      <c r="N95" s="236" t="s">
        <v>200</v>
      </c>
      <c r="P95" s="91">
        <v>2000000</v>
      </c>
      <c r="Q95" s="91">
        <v>1998294.53</v>
      </c>
      <c r="R95" s="91">
        <v>2102483.2200000002</v>
      </c>
      <c r="S95" s="91">
        <v>104188.69000000018</v>
      </c>
    </row>
    <row r="96" spans="1:19" s="91" customFormat="1">
      <c r="A96" s="91" t="s">
        <v>589</v>
      </c>
      <c r="B96" s="91" t="s">
        <v>469</v>
      </c>
      <c r="C96" s="91" t="s">
        <v>1055</v>
      </c>
      <c r="D96" s="234">
        <v>5.75</v>
      </c>
      <c r="E96" s="92">
        <v>43031</v>
      </c>
      <c r="F96" s="93"/>
      <c r="G96" s="235">
        <f t="shared" si="2"/>
        <v>500</v>
      </c>
      <c r="H96" s="235">
        <f t="shared" si="2"/>
        <v>564.54283999999996</v>
      </c>
      <c r="I96" s="235">
        <f t="shared" si="2"/>
        <v>593.62953000000005</v>
      </c>
      <c r="J96" s="235">
        <f t="shared" si="2"/>
        <v>29.086690000000061</v>
      </c>
      <c r="K96" s="93"/>
      <c r="L96" s="236" t="s">
        <v>195</v>
      </c>
      <c r="M96" s="236" t="s">
        <v>206</v>
      </c>
      <c r="N96" s="236" t="s">
        <v>206</v>
      </c>
      <c r="P96" s="91">
        <v>500000</v>
      </c>
      <c r="Q96" s="91">
        <v>564542.84</v>
      </c>
      <c r="R96" s="91">
        <v>593629.53</v>
      </c>
      <c r="S96" s="91">
        <v>29086.690000000061</v>
      </c>
    </row>
    <row r="97" spans="1:19" s="91" customFormat="1">
      <c r="A97" s="91" t="s">
        <v>590</v>
      </c>
      <c r="B97" s="91" t="s">
        <v>388</v>
      </c>
      <c r="C97" s="91" t="s">
        <v>1051</v>
      </c>
      <c r="D97" s="234">
        <v>4.5999999999999996</v>
      </c>
      <c r="E97" s="92">
        <v>44242</v>
      </c>
      <c r="F97" s="93"/>
      <c r="G97" s="235">
        <f t="shared" si="2"/>
        <v>4000</v>
      </c>
      <c r="H97" s="235">
        <f t="shared" si="2"/>
        <v>4115.9160900000006</v>
      </c>
      <c r="I97" s="235">
        <f t="shared" si="2"/>
        <v>4158.91021</v>
      </c>
      <c r="J97" s="235">
        <f t="shared" si="2"/>
        <v>42.99412000000023</v>
      </c>
      <c r="K97" s="93"/>
      <c r="L97" s="236" t="s">
        <v>199</v>
      </c>
      <c r="M97" s="236" t="s">
        <v>66</v>
      </c>
      <c r="N97" s="236" t="s">
        <v>208</v>
      </c>
      <c r="P97" s="91">
        <v>4000000</v>
      </c>
      <c r="Q97" s="91">
        <v>4115916.0900000003</v>
      </c>
      <c r="R97" s="91">
        <v>4158910.21</v>
      </c>
      <c r="S97" s="91">
        <v>42994.120000000228</v>
      </c>
    </row>
    <row r="98" spans="1:19" s="91" customFormat="1">
      <c r="A98" s="91" t="s">
        <v>591</v>
      </c>
      <c r="B98" s="91" t="s">
        <v>220</v>
      </c>
      <c r="C98" s="91" t="s">
        <v>1051</v>
      </c>
      <c r="D98" s="234">
        <v>5.7</v>
      </c>
      <c r="E98" s="92">
        <v>41169</v>
      </c>
      <c r="F98" s="93"/>
      <c r="G98" s="235">
        <f t="shared" si="2"/>
        <v>2750</v>
      </c>
      <c r="H98" s="235">
        <f t="shared" si="2"/>
        <v>2761.4504100000004</v>
      </c>
      <c r="I98" s="235">
        <f t="shared" si="2"/>
        <v>2842.2047499999999</v>
      </c>
      <c r="J98" s="235">
        <f t="shared" si="2"/>
        <v>80.754340000000084</v>
      </c>
      <c r="K98" s="93"/>
      <c r="L98" s="236" t="s">
        <v>199</v>
      </c>
      <c r="M98" s="236" t="s">
        <v>206</v>
      </c>
      <c r="N98" s="236" t="s">
        <v>200</v>
      </c>
      <c r="P98" s="91">
        <v>2750000</v>
      </c>
      <c r="Q98" s="91">
        <v>2761450.41</v>
      </c>
      <c r="R98" s="91">
        <v>2842204.75</v>
      </c>
      <c r="S98" s="91">
        <v>80754.340000000084</v>
      </c>
    </row>
    <row r="99" spans="1:19" s="91" customFormat="1">
      <c r="A99" s="91" t="s">
        <v>592</v>
      </c>
      <c r="B99" s="91" t="s">
        <v>593</v>
      </c>
      <c r="C99" s="91" t="s">
        <v>1051</v>
      </c>
      <c r="D99" s="234">
        <v>6.25</v>
      </c>
      <c r="E99" s="92">
        <v>41090</v>
      </c>
      <c r="F99" s="93"/>
      <c r="G99" s="235">
        <f t="shared" si="2"/>
        <v>1000</v>
      </c>
      <c r="H99" s="235">
        <f t="shared" si="2"/>
        <v>1003.11</v>
      </c>
      <c r="I99" s="235">
        <f t="shared" si="2"/>
        <v>1026.2829999999999</v>
      </c>
      <c r="J99" s="235">
        <f t="shared" si="2"/>
        <v>23.172999999999998</v>
      </c>
      <c r="K99" s="93"/>
      <c r="L99" s="236" t="s">
        <v>199</v>
      </c>
      <c r="M99" s="236" t="s">
        <v>206</v>
      </c>
      <c r="N99" s="236" t="s">
        <v>200</v>
      </c>
      <c r="P99" s="91">
        <v>1000000</v>
      </c>
      <c r="Q99" s="91">
        <v>1003110</v>
      </c>
      <c r="R99" s="91">
        <v>1026283</v>
      </c>
      <c r="S99" s="91">
        <v>23173</v>
      </c>
    </row>
    <row r="100" spans="1:19" s="91" customFormat="1">
      <c r="A100" s="91" t="s">
        <v>594</v>
      </c>
      <c r="B100" s="91" t="s">
        <v>593</v>
      </c>
      <c r="C100" s="91" t="s">
        <v>1051</v>
      </c>
      <c r="D100" s="234">
        <v>2.8792499999999999</v>
      </c>
      <c r="E100" s="92">
        <v>60905</v>
      </c>
      <c r="F100" s="93"/>
      <c r="G100" s="235">
        <f t="shared" si="2"/>
        <v>5390</v>
      </c>
      <c r="H100" s="235">
        <f t="shared" si="2"/>
        <v>5269.6937099999996</v>
      </c>
      <c r="I100" s="235">
        <f t="shared" si="2"/>
        <v>4529.5942999999997</v>
      </c>
      <c r="J100" s="235">
        <f t="shared" si="2"/>
        <v>-740.09940999999992</v>
      </c>
      <c r="K100" s="93"/>
      <c r="L100" s="236" t="s">
        <v>332</v>
      </c>
      <c r="M100" s="236" t="s">
        <v>66</v>
      </c>
      <c r="N100" s="236" t="s">
        <v>208</v>
      </c>
      <c r="P100" s="91">
        <v>5390000</v>
      </c>
      <c r="Q100" s="91">
        <v>5269693.71</v>
      </c>
      <c r="R100" s="91">
        <v>4529594.3</v>
      </c>
      <c r="S100" s="91">
        <v>-740099.40999999992</v>
      </c>
    </row>
    <row r="101" spans="1:19" s="91" customFormat="1">
      <c r="A101" s="91" t="s">
        <v>1057</v>
      </c>
      <c r="B101" s="91" t="s">
        <v>1020</v>
      </c>
      <c r="C101" s="91" t="s">
        <v>1051</v>
      </c>
      <c r="D101" s="234">
        <v>4.25</v>
      </c>
      <c r="E101" s="92">
        <v>44150</v>
      </c>
      <c r="F101" s="93"/>
      <c r="G101" s="235">
        <f t="shared" si="2"/>
        <v>5000</v>
      </c>
      <c r="H101" s="235">
        <f t="shared" si="2"/>
        <v>5035.7587000000003</v>
      </c>
      <c r="I101" s="235">
        <f t="shared" si="2"/>
        <v>5197.1157000000003</v>
      </c>
      <c r="J101" s="235">
        <f t="shared" si="2"/>
        <v>161.357</v>
      </c>
      <c r="K101" s="93"/>
      <c r="L101" s="236" t="s">
        <v>332</v>
      </c>
      <c r="M101" s="236" t="s">
        <v>66</v>
      </c>
      <c r="N101" s="236" t="s">
        <v>66</v>
      </c>
      <c r="P101" s="91">
        <v>5000000</v>
      </c>
      <c r="Q101" s="91">
        <v>5035758.7</v>
      </c>
      <c r="R101" s="91">
        <v>5197115.7</v>
      </c>
      <c r="S101" s="91">
        <v>161357</v>
      </c>
    </row>
    <row r="102" spans="1:19" s="91" customFormat="1">
      <c r="A102" s="91" t="s">
        <v>1019</v>
      </c>
      <c r="B102" s="91" t="s">
        <v>1020</v>
      </c>
      <c r="C102" s="91" t="s">
        <v>1051</v>
      </c>
      <c r="D102" s="234">
        <v>2.5</v>
      </c>
      <c r="E102" s="92">
        <v>42415</v>
      </c>
      <c r="F102" s="93"/>
      <c r="G102" s="235">
        <f t="shared" si="2"/>
        <v>2000</v>
      </c>
      <c r="H102" s="235">
        <f t="shared" si="2"/>
        <v>1993.31268</v>
      </c>
      <c r="I102" s="235">
        <f t="shared" si="2"/>
        <v>2012.5277800000001</v>
      </c>
      <c r="J102" s="235">
        <f t="shared" si="2"/>
        <v>19.215100000000092</v>
      </c>
      <c r="K102" s="93"/>
      <c r="L102" s="236" t="s">
        <v>332</v>
      </c>
      <c r="M102" s="236" t="s">
        <v>66</v>
      </c>
      <c r="N102" s="236" t="s">
        <v>66</v>
      </c>
      <c r="P102" s="91">
        <v>2000000</v>
      </c>
      <c r="Q102" s="91">
        <v>1993312.68</v>
      </c>
      <c r="R102" s="91">
        <v>2012527.78</v>
      </c>
      <c r="S102" s="91">
        <v>19215.100000000093</v>
      </c>
    </row>
    <row r="103" spans="1:19" s="91" customFormat="1">
      <c r="A103" s="91" t="s">
        <v>595</v>
      </c>
      <c r="B103" s="91" t="s">
        <v>461</v>
      </c>
      <c r="C103" s="91" t="s">
        <v>1055</v>
      </c>
      <c r="D103" s="234">
        <v>7.25</v>
      </c>
      <c r="E103" s="92">
        <v>42262</v>
      </c>
      <c r="F103" s="93"/>
      <c r="G103" s="235">
        <f t="shared" si="2"/>
        <v>2000</v>
      </c>
      <c r="H103" s="235">
        <f t="shared" si="2"/>
        <v>2033.665</v>
      </c>
      <c r="I103" s="235">
        <f t="shared" si="2"/>
        <v>1600</v>
      </c>
      <c r="J103" s="235">
        <f t="shared" si="2"/>
        <v>-433.66500000000002</v>
      </c>
      <c r="K103" s="93"/>
      <c r="L103" s="236" t="s">
        <v>332</v>
      </c>
      <c r="M103" s="236" t="s">
        <v>66</v>
      </c>
      <c r="N103" s="236" t="s">
        <v>65</v>
      </c>
      <c r="P103" s="91">
        <v>2000000</v>
      </c>
      <c r="Q103" s="91">
        <v>2033665</v>
      </c>
      <c r="R103" s="91">
        <v>1600000</v>
      </c>
      <c r="S103" s="91">
        <v>-433665</v>
      </c>
    </row>
    <row r="104" spans="1:19" s="91" customFormat="1">
      <c r="A104" s="91" t="s">
        <v>596</v>
      </c>
      <c r="B104" s="91" t="s">
        <v>221</v>
      </c>
      <c r="C104" s="91" t="s">
        <v>1051</v>
      </c>
      <c r="D104" s="234">
        <v>6.25</v>
      </c>
      <c r="E104" s="92">
        <v>40923</v>
      </c>
      <c r="F104" s="93"/>
      <c r="G104" s="235">
        <f t="shared" si="2"/>
        <v>6000</v>
      </c>
      <c r="H104" s="235">
        <f t="shared" si="2"/>
        <v>6001.3357500000011</v>
      </c>
      <c r="I104" s="235">
        <f t="shared" si="2"/>
        <v>6009.5460000000003</v>
      </c>
      <c r="J104" s="235">
        <f t="shared" si="2"/>
        <v>8.210249999999883</v>
      </c>
      <c r="K104" s="93"/>
      <c r="L104" s="236" t="s">
        <v>195</v>
      </c>
      <c r="M104" s="236" t="s">
        <v>206</v>
      </c>
      <c r="N104" s="236" t="s">
        <v>179</v>
      </c>
      <c r="P104" s="91">
        <v>6000000</v>
      </c>
      <c r="Q104" s="91">
        <v>6001335.7500000009</v>
      </c>
      <c r="R104" s="91">
        <v>6009546</v>
      </c>
      <c r="S104" s="91">
        <v>8210.2499999998836</v>
      </c>
    </row>
    <row r="105" spans="1:19" s="91" customFormat="1">
      <c r="A105" s="91" t="s">
        <v>597</v>
      </c>
      <c r="B105" s="91" t="s">
        <v>373</v>
      </c>
      <c r="C105" s="91" t="s">
        <v>1051</v>
      </c>
      <c r="D105" s="234">
        <v>7.375</v>
      </c>
      <c r="E105" s="92">
        <v>42050</v>
      </c>
      <c r="F105" s="93"/>
      <c r="G105" s="235">
        <f t="shared" si="2"/>
        <v>500</v>
      </c>
      <c r="H105" s="235">
        <f t="shared" si="2"/>
        <v>556.77609999999993</v>
      </c>
      <c r="I105" s="235">
        <f t="shared" si="2"/>
        <v>551.75300000000004</v>
      </c>
      <c r="J105" s="235">
        <f t="shared" si="2"/>
        <v>-5.0230999999999764</v>
      </c>
      <c r="K105" s="93"/>
      <c r="L105" s="236" t="s">
        <v>199</v>
      </c>
      <c r="M105" s="236" t="s">
        <v>208</v>
      </c>
      <c r="N105" s="236" t="s">
        <v>208</v>
      </c>
      <c r="P105" s="91">
        <v>500000</v>
      </c>
      <c r="Q105" s="91">
        <v>556776.1</v>
      </c>
      <c r="R105" s="91">
        <v>551753</v>
      </c>
      <c r="S105" s="91">
        <v>-5023.0999999999767</v>
      </c>
    </row>
    <row r="106" spans="1:19" s="91" customFormat="1">
      <c r="A106" s="91" t="s">
        <v>986</v>
      </c>
      <c r="B106" s="91" t="s">
        <v>373</v>
      </c>
      <c r="C106" s="91" t="s">
        <v>1051</v>
      </c>
      <c r="D106" s="234">
        <v>6.75</v>
      </c>
      <c r="E106" s="92">
        <v>43905</v>
      </c>
      <c r="F106" s="93"/>
      <c r="G106" s="235">
        <f t="shared" si="2"/>
        <v>1500</v>
      </c>
      <c r="H106" s="235">
        <f t="shared" si="2"/>
        <v>1655.0516399999999</v>
      </c>
      <c r="I106" s="235">
        <f t="shared" si="2"/>
        <v>1650.81</v>
      </c>
      <c r="J106" s="235">
        <f t="shared" si="2"/>
        <v>-4.2416399999998973</v>
      </c>
      <c r="K106" s="93"/>
      <c r="L106" s="236" t="s">
        <v>199</v>
      </c>
      <c r="M106" s="236" t="s">
        <v>208</v>
      </c>
      <c r="N106" s="236" t="s">
        <v>208</v>
      </c>
      <c r="P106" s="91">
        <v>1500000</v>
      </c>
      <c r="Q106" s="91">
        <v>1655051.64</v>
      </c>
      <c r="R106" s="91">
        <v>1650810</v>
      </c>
      <c r="S106" s="91">
        <v>-4241.6399999998976</v>
      </c>
    </row>
    <row r="107" spans="1:19" s="91" customFormat="1">
      <c r="A107" s="91" t="s">
        <v>598</v>
      </c>
      <c r="B107" s="91" t="s">
        <v>221</v>
      </c>
      <c r="C107" s="91" t="s">
        <v>1051</v>
      </c>
      <c r="D107" s="234">
        <v>4.3</v>
      </c>
      <c r="E107" s="92">
        <v>43997</v>
      </c>
      <c r="F107" s="93"/>
      <c r="G107" s="235">
        <f t="shared" si="2"/>
        <v>2000</v>
      </c>
      <c r="H107" s="235">
        <f t="shared" si="2"/>
        <v>2055.8448899999999</v>
      </c>
      <c r="I107" s="235">
        <f t="shared" si="2"/>
        <v>2252.6239999999998</v>
      </c>
      <c r="J107" s="235">
        <f t="shared" si="2"/>
        <v>196.77911000000012</v>
      </c>
      <c r="K107" s="93"/>
      <c r="L107" s="236" t="s">
        <v>194</v>
      </c>
      <c r="M107" s="236" t="s">
        <v>65</v>
      </c>
      <c r="N107" s="236" t="s">
        <v>179</v>
      </c>
      <c r="P107" s="91">
        <v>2000000</v>
      </c>
      <c r="Q107" s="91">
        <v>2055844.89</v>
      </c>
      <c r="R107" s="91">
        <v>2252624</v>
      </c>
      <c r="S107" s="91">
        <v>196779.1100000001</v>
      </c>
    </row>
    <row r="108" spans="1:19" s="91" customFormat="1">
      <c r="A108" s="91" t="s">
        <v>599</v>
      </c>
      <c r="B108" s="91" t="s">
        <v>334</v>
      </c>
      <c r="C108" s="91" t="s">
        <v>1055</v>
      </c>
      <c r="D108" s="234">
        <v>5.5</v>
      </c>
      <c r="E108" s="92">
        <v>41665</v>
      </c>
      <c r="F108" s="93"/>
      <c r="G108" s="235">
        <f t="shared" si="2"/>
        <v>500</v>
      </c>
      <c r="H108" s="235">
        <f t="shared" si="2"/>
        <v>539.62974999999994</v>
      </c>
      <c r="I108" s="235">
        <f t="shared" si="2"/>
        <v>533.98299999999995</v>
      </c>
      <c r="J108" s="235">
        <f t="shared" si="2"/>
        <v>-5.6467499999999999</v>
      </c>
      <c r="K108" s="93"/>
      <c r="L108" s="236" t="s">
        <v>188</v>
      </c>
      <c r="M108" s="236" t="s">
        <v>171</v>
      </c>
      <c r="N108" s="236" t="s">
        <v>121</v>
      </c>
      <c r="P108" s="91">
        <v>500000</v>
      </c>
      <c r="Q108" s="91">
        <v>539629.75</v>
      </c>
      <c r="R108" s="91">
        <v>533983</v>
      </c>
      <c r="S108" s="91">
        <v>-5646.75</v>
      </c>
    </row>
    <row r="109" spans="1:19" s="91" customFormat="1">
      <c r="A109" s="91" t="s">
        <v>600</v>
      </c>
      <c r="B109" s="91" t="s">
        <v>222</v>
      </c>
      <c r="C109" s="91" t="s">
        <v>1051</v>
      </c>
      <c r="D109" s="234">
        <v>6.375</v>
      </c>
      <c r="E109" s="92">
        <v>43023</v>
      </c>
      <c r="F109" s="93"/>
      <c r="G109" s="235">
        <f t="shared" si="2"/>
        <v>8450</v>
      </c>
      <c r="H109" s="235">
        <f t="shared" si="2"/>
        <v>9583.0537599999989</v>
      </c>
      <c r="I109" s="235">
        <f t="shared" si="2"/>
        <v>9764.422849999999</v>
      </c>
      <c r="J109" s="235">
        <f t="shared" si="2"/>
        <v>181.3690899999998</v>
      </c>
      <c r="K109" s="93"/>
      <c r="L109" s="236" t="s">
        <v>204</v>
      </c>
      <c r="M109" s="236" t="s">
        <v>200</v>
      </c>
      <c r="N109" s="236" t="s">
        <v>179</v>
      </c>
      <c r="P109" s="91">
        <v>8450000</v>
      </c>
      <c r="Q109" s="91">
        <v>9583053.7599999998</v>
      </c>
      <c r="R109" s="91">
        <v>9764422.8499999996</v>
      </c>
      <c r="S109" s="91">
        <v>181369.08999999979</v>
      </c>
    </row>
    <row r="110" spans="1:19" s="91" customFormat="1">
      <c r="A110" s="91" t="s">
        <v>1144</v>
      </c>
      <c r="B110" s="91" t="s">
        <v>1145</v>
      </c>
      <c r="C110" s="91" t="s">
        <v>1051</v>
      </c>
      <c r="D110" s="234">
        <v>4.3499999999999996</v>
      </c>
      <c r="E110" s="92">
        <v>44538</v>
      </c>
      <c r="F110" s="93"/>
      <c r="G110" s="235">
        <f t="shared" si="2"/>
        <v>1025</v>
      </c>
      <c r="H110" s="235">
        <f t="shared" si="2"/>
        <v>1024.3473899999999</v>
      </c>
      <c r="I110" s="235">
        <f t="shared" si="2"/>
        <v>1099.9146400000002</v>
      </c>
      <c r="J110" s="235">
        <f t="shared" si="2"/>
        <v>75.567250000000001</v>
      </c>
      <c r="K110" s="93"/>
      <c r="L110" s="236" t="s">
        <v>204</v>
      </c>
      <c r="M110" s="236" t="s">
        <v>200</v>
      </c>
      <c r="N110" s="236" t="s">
        <v>179</v>
      </c>
      <c r="P110" s="91">
        <v>1025000</v>
      </c>
      <c r="Q110" s="91">
        <v>1024347.3899999999</v>
      </c>
      <c r="R110" s="91">
        <v>1099914.6400000001</v>
      </c>
      <c r="S110" s="91">
        <v>75567.25</v>
      </c>
    </row>
    <row r="111" spans="1:19" s="91" customFormat="1">
      <c r="A111" s="91" t="s">
        <v>601</v>
      </c>
      <c r="B111" s="91" t="s">
        <v>223</v>
      </c>
      <c r="C111" s="91" t="s">
        <v>1051</v>
      </c>
      <c r="D111" s="234">
        <v>5.625</v>
      </c>
      <c r="E111" s="92">
        <v>41593</v>
      </c>
      <c r="F111" s="93"/>
      <c r="G111" s="235">
        <f t="shared" si="2"/>
        <v>625</v>
      </c>
      <c r="H111" s="235">
        <f t="shared" si="2"/>
        <v>632.42802000000006</v>
      </c>
      <c r="I111" s="235">
        <f t="shared" si="2"/>
        <v>682.80554000000006</v>
      </c>
      <c r="J111" s="235">
        <f t="shared" si="2"/>
        <v>50.377520000000018</v>
      </c>
      <c r="K111" s="93"/>
      <c r="L111" s="236" t="s">
        <v>183</v>
      </c>
      <c r="M111" s="236" t="s">
        <v>65</v>
      </c>
      <c r="N111" s="236" t="s">
        <v>179</v>
      </c>
      <c r="P111" s="91">
        <v>625000</v>
      </c>
      <c r="Q111" s="91">
        <v>632428.02</v>
      </c>
      <c r="R111" s="91">
        <v>682805.54</v>
      </c>
      <c r="S111" s="91">
        <v>50377.520000000019</v>
      </c>
    </row>
    <row r="112" spans="1:19" s="91" customFormat="1">
      <c r="A112" s="91" t="s">
        <v>1067</v>
      </c>
      <c r="B112" s="91" t="s">
        <v>1068</v>
      </c>
      <c r="C112" s="91" t="s">
        <v>1055</v>
      </c>
      <c r="D112" s="234">
        <v>5.9</v>
      </c>
      <c r="E112" s="92">
        <v>43070</v>
      </c>
      <c r="F112" s="93"/>
      <c r="G112" s="235">
        <f t="shared" si="2"/>
        <v>1000</v>
      </c>
      <c r="H112" s="235">
        <f t="shared" si="2"/>
        <v>1158.7804900000001</v>
      </c>
      <c r="I112" s="235">
        <f t="shared" si="2"/>
        <v>1136.41426</v>
      </c>
      <c r="J112" s="235">
        <f t="shared" si="2"/>
        <v>-22.36622999999998</v>
      </c>
      <c r="K112" s="93"/>
      <c r="L112" s="236" t="s">
        <v>199</v>
      </c>
      <c r="M112" s="236" t="s">
        <v>200</v>
      </c>
      <c r="N112" s="236" t="s">
        <v>179</v>
      </c>
      <c r="P112" s="91">
        <v>1000000</v>
      </c>
      <c r="Q112" s="91">
        <v>1158780.49</v>
      </c>
      <c r="R112" s="91">
        <v>1136414.26</v>
      </c>
      <c r="S112" s="91">
        <v>-22366.229999999981</v>
      </c>
    </row>
    <row r="113" spans="1:19" s="91" customFormat="1">
      <c r="A113" s="91" t="s">
        <v>1069</v>
      </c>
      <c r="B113" s="91" t="s">
        <v>389</v>
      </c>
      <c r="C113" s="91" t="s">
        <v>1051</v>
      </c>
      <c r="D113" s="234">
        <v>6.3</v>
      </c>
      <c r="E113" s="92">
        <v>42993</v>
      </c>
      <c r="F113" s="93"/>
      <c r="G113" s="235">
        <f t="shared" si="2"/>
        <v>3866</v>
      </c>
      <c r="H113" s="235">
        <f t="shared" si="2"/>
        <v>4484.8651399999999</v>
      </c>
      <c r="I113" s="235">
        <f t="shared" si="2"/>
        <v>4510.74442</v>
      </c>
      <c r="J113" s="235">
        <f t="shared" si="2"/>
        <v>25.879280000000026</v>
      </c>
      <c r="K113" s="93"/>
      <c r="L113" s="236" t="s">
        <v>332</v>
      </c>
      <c r="M113" s="236" t="s">
        <v>208</v>
      </c>
      <c r="N113" s="236" t="s">
        <v>208</v>
      </c>
      <c r="P113" s="91">
        <v>3866000</v>
      </c>
      <c r="Q113" s="91">
        <v>4484865.1399999997</v>
      </c>
      <c r="R113" s="91">
        <v>4510744.42</v>
      </c>
      <c r="S113" s="91">
        <v>25879.280000000028</v>
      </c>
    </row>
    <row r="114" spans="1:19" s="91" customFormat="1">
      <c r="A114" s="91" t="s">
        <v>602</v>
      </c>
      <c r="B114" s="91" t="s">
        <v>389</v>
      </c>
      <c r="C114" s="91" t="s">
        <v>1051</v>
      </c>
      <c r="D114" s="234">
        <v>5.65</v>
      </c>
      <c r="E114" s="92">
        <v>41365</v>
      </c>
      <c r="F114" s="93"/>
      <c r="G114" s="235">
        <f t="shared" si="2"/>
        <v>703</v>
      </c>
      <c r="H114" s="235">
        <f t="shared" si="2"/>
        <v>735.38468999999998</v>
      </c>
      <c r="I114" s="235">
        <f t="shared" si="2"/>
        <v>737.02519999999993</v>
      </c>
      <c r="J114" s="235">
        <f t="shared" si="2"/>
        <v>1.6405100000000092</v>
      </c>
      <c r="K114" s="93"/>
      <c r="L114" s="236" t="s">
        <v>332</v>
      </c>
      <c r="M114" s="236" t="s">
        <v>208</v>
      </c>
      <c r="N114" s="236" t="s">
        <v>208</v>
      </c>
      <c r="P114" s="91">
        <v>703000</v>
      </c>
      <c r="Q114" s="91">
        <v>735384.69</v>
      </c>
      <c r="R114" s="91">
        <v>737025.2</v>
      </c>
      <c r="S114" s="91">
        <v>1640.5100000000093</v>
      </c>
    </row>
    <row r="115" spans="1:19" s="91" customFormat="1">
      <c r="A115" s="91" t="s">
        <v>603</v>
      </c>
      <c r="B115" s="91" t="s">
        <v>389</v>
      </c>
      <c r="C115" s="91" t="s">
        <v>1051</v>
      </c>
      <c r="D115" s="234">
        <v>5.2</v>
      </c>
      <c r="E115" s="92">
        <v>44075</v>
      </c>
      <c r="F115" s="93"/>
      <c r="G115" s="235">
        <f t="shared" si="2"/>
        <v>3875</v>
      </c>
      <c r="H115" s="235">
        <f t="shared" si="2"/>
        <v>4189.7099899999994</v>
      </c>
      <c r="I115" s="235">
        <f t="shared" si="2"/>
        <v>4276.45</v>
      </c>
      <c r="J115" s="235">
        <f t="shared" si="2"/>
        <v>86.740009999999899</v>
      </c>
      <c r="K115" s="93"/>
      <c r="L115" s="236" t="s">
        <v>332</v>
      </c>
      <c r="M115" s="236" t="s">
        <v>208</v>
      </c>
      <c r="N115" s="236" t="s">
        <v>208</v>
      </c>
      <c r="P115" s="91">
        <v>3875000</v>
      </c>
      <c r="Q115" s="91">
        <v>4189709.9899999993</v>
      </c>
      <c r="R115" s="91">
        <v>4276450</v>
      </c>
      <c r="S115" s="91">
        <v>86740.009999999893</v>
      </c>
    </row>
    <row r="116" spans="1:19" s="91" customFormat="1">
      <c r="A116" s="91" t="s">
        <v>604</v>
      </c>
      <c r="B116" s="91" t="s">
        <v>478</v>
      </c>
      <c r="C116" s="91" t="s">
        <v>1051</v>
      </c>
      <c r="D116" s="234">
        <v>7.7</v>
      </c>
      <c r="E116" s="92">
        <v>42339</v>
      </c>
      <c r="F116" s="93"/>
      <c r="G116" s="235">
        <f t="shared" si="2"/>
        <v>1000</v>
      </c>
      <c r="H116" s="235">
        <f t="shared" si="2"/>
        <v>1058.4265</v>
      </c>
      <c r="I116" s="235">
        <f t="shared" si="2"/>
        <v>1110.1310000000001</v>
      </c>
      <c r="J116" s="235">
        <f t="shared" si="2"/>
        <v>51.704500000000003</v>
      </c>
      <c r="K116" s="93"/>
      <c r="L116" s="236" t="s">
        <v>183</v>
      </c>
      <c r="M116" s="236" t="s">
        <v>65</v>
      </c>
      <c r="N116" s="236" t="s">
        <v>65</v>
      </c>
      <c r="P116" s="91">
        <v>1000000</v>
      </c>
      <c r="Q116" s="91">
        <v>1058426.5</v>
      </c>
      <c r="R116" s="91">
        <v>1110131</v>
      </c>
      <c r="S116" s="91">
        <v>51704.5</v>
      </c>
    </row>
    <row r="117" spans="1:19" s="91" customFormat="1">
      <c r="A117" s="91" t="s">
        <v>145</v>
      </c>
      <c r="B117" s="91" t="s">
        <v>473</v>
      </c>
      <c r="C117" s="91" t="s">
        <v>1053</v>
      </c>
      <c r="D117" s="234">
        <v>5.56</v>
      </c>
      <c r="E117" s="92">
        <v>49150</v>
      </c>
      <c r="F117" s="93"/>
      <c r="G117" s="235">
        <f t="shared" si="2"/>
        <v>312.65959999999995</v>
      </c>
      <c r="H117" s="235">
        <f t="shared" si="2"/>
        <v>125.71123</v>
      </c>
      <c r="I117" s="235">
        <f t="shared" si="2"/>
        <v>125.59355000000001</v>
      </c>
      <c r="J117" s="235">
        <f t="shared" si="2"/>
        <v>-0.11767999999999301</v>
      </c>
      <c r="K117" s="93"/>
      <c r="L117" s="236" t="s">
        <v>474</v>
      </c>
      <c r="M117" s="236" t="s">
        <v>197</v>
      </c>
      <c r="N117" s="236" t="s">
        <v>70</v>
      </c>
      <c r="P117" s="91">
        <v>312659.59999999998</v>
      </c>
      <c r="Q117" s="91">
        <v>125711.23</v>
      </c>
      <c r="R117" s="91">
        <v>125593.55</v>
      </c>
      <c r="S117" s="91">
        <v>-117.67999999999302</v>
      </c>
    </row>
    <row r="118" spans="1:19" s="91" customFormat="1">
      <c r="A118" s="91" t="s">
        <v>1146</v>
      </c>
      <c r="B118" s="91" t="s">
        <v>1147</v>
      </c>
      <c r="C118" s="91" t="s">
        <v>1051</v>
      </c>
      <c r="D118" s="234">
        <v>4.25</v>
      </c>
      <c r="E118" s="92">
        <v>42644</v>
      </c>
      <c r="F118" s="93"/>
      <c r="G118" s="235">
        <f t="shared" si="2"/>
        <v>3500</v>
      </c>
      <c r="H118" s="235">
        <f t="shared" si="2"/>
        <v>3539.83833</v>
      </c>
      <c r="I118" s="235">
        <f t="shared" si="2"/>
        <v>3508.8148900000001</v>
      </c>
      <c r="J118" s="235">
        <f t="shared" si="2"/>
        <v>-31.023439999999944</v>
      </c>
      <c r="K118" s="93"/>
      <c r="L118" s="236" t="s">
        <v>332</v>
      </c>
      <c r="M118" s="236" t="s">
        <v>66</v>
      </c>
      <c r="N118" s="236" t="s">
        <v>200</v>
      </c>
      <c r="P118" s="91">
        <v>3500000</v>
      </c>
      <c r="Q118" s="91">
        <v>3539838.33</v>
      </c>
      <c r="R118" s="91">
        <v>3508814.89</v>
      </c>
      <c r="S118" s="91">
        <v>-31023.439999999944</v>
      </c>
    </row>
    <row r="119" spans="1:19" s="91" customFormat="1">
      <c r="A119" s="91" t="s">
        <v>973</v>
      </c>
      <c r="B119" s="91" t="s">
        <v>974</v>
      </c>
      <c r="C119" s="91" t="s">
        <v>1051</v>
      </c>
      <c r="D119" s="234">
        <v>3.125</v>
      </c>
      <c r="E119" s="92">
        <v>42505</v>
      </c>
      <c r="F119" s="93"/>
      <c r="G119" s="235">
        <f t="shared" si="2"/>
        <v>2000</v>
      </c>
      <c r="H119" s="235">
        <f t="shared" si="2"/>
        <v>1992.9477999999999</v>
      </c>
      <c r="I119" s="235">
        <f t="shared" si="2"/>
        <v>2010.9964</v>
      </c>
      <c r="J119" s="235">
        <f t="shared" si="2"/>
        <v>18.04860000000021</v>
      </c>
      <c r="K119" s="93"/>
      <c r="L119" s="236" t="s">
        <v>332</v>
      </c>
      <c r="M119" s="236" t="s">
        <v>200</v>
      </c>
      <c r="N119" s="236" t="s">
        <v>66</v>
      </c>
      <c r="P119" s="91">
        <v>2000000</v>
      </c>
      <c r="Q119" s="91">
        <v>1992947.7999999998</v>
      </c>
      <c r="R119" s="91">
        <v>2010996.4</v>
      </c>
      <c r="S119" s="91">
        <v>18048.60000000021</v>
      </c>
    </row>
    <row r="120" spans="1:19" s="91" customFormat="1">
      <c r="A120" s="91" t="s">
        <v>1070</v>
      </c>
      <c r="B120" s="91" t="s">
        <v>1071</v>
      </c>
      <c r="C120" s="91" t="s">
        <v>1051</v>
      </c>
      <c r="D120" s="234">
        <v>3.75</v>
      </c>
      <c r="E120" s="92">
        <v>42614</v>
      </c>
      <c r="F120" s="93"/>
      <c r="G120" s="235">
        <f t="shared" si="2"/>
        <v>4000</v>
      </c>
      <c r="H120" s="235">
        <f t="shared" si="2"/>
        <v>3999.9919199999999</v>
      </c>
      <c r="I120" s="235">
        <f t="shared" si="2"/>
        <v>4026.5079999999998</v>
      </c>
      <c r="J120" s="235">
        <f t="shared" si="2"/>
        <v>26.516080000000073</v>
      </c>
      <c r="K120" s="93"/>
      <c r="L120" s="236" t="s">
        <v>332</v>
      </c>
      <c r="M120" s="236" t="s">
        <v>208</v>
      </c>
      <c r="N120" s="236" t="s">
        <v>179</v>
      </c>
      <c r="P120" s="91">
        <v>4000000</v>
      </c>
      <c r="Q120" s="91">
        <v>3999991.92</v>
      </c>
      <c r="R120" s="91">
        <v>4026508</v>
      </c>
      <c r="S120" s="91">
        <v>26516.080000000075</v>
      </c>
    </row>
    <row r="121" spans="1:19" s="91" customFormat="1">
      <c r="A121" s="91" t="s">
        <v>605</v>
      </c>
      <c r="B121" s="91" t="s">
        <v>606</v>
      </c>
      <c r="C121" s="91" t="s">
        <v>1051</v>
      </c>
      <c r="D121" s="234">
        <v>6.3499999046325684</v>
      </c>
      <c r="E121" s="92">
        <v>60906</v>
      </c>
      <c r="F121" s="93"/>
      <c r="G121" s="235">
        <f t="shared" si="2"/>
        <v>2225</v>
      </c>
      <c r="H121" s="235">
        <f t="shared" si="2"/>
        <v>2191.9652299999998</v>
      </c>
      <c r="I121" s="235">
        <f t="shared" si="2"/>
        <v>2213.875</v>
      </c>
      <c r="J121" s="235">
        <f t="shared" si="2"/>
        <v>21.90977000000002</v>
      </c>
      <c r="K121" s="93"/>
      <c r="L121" s="236" t="s">
        <v>199</v>
      </c>
      <c r="M121" s="236" t="s">
        <v>66</v>
      </c>
      <c r="N121" s="236" t="s">
        <v>66</v>
      </c>
      <c r="P121" s="91">
        <v>2225000</v>
      </c>
      <c r="Q121" s="91">
        <v>2191965.23</v>
      </c>
      <c r="R121" s="91">
        <v>2213875</v>
      </c>
      <c r="S121" s="91">
        <v>21909.770000000019</v>
      </c>
    </row>
    <row r="122" spans="1:19" s="91" customFormat="1">
      <c r="A122" s="91" t="s">
        <v>607</v>
      </c>
      <c r="B122" s="91" t="s">
        <v>606</v>
      </c>
      <c r="C122" s="91" t="s">
        <v>1051</v>
      </c>
      <c r="D122" s="234">
        <v>6.65</v>
      </c>
      <c r="E122" s="92">
        <v>61163</v>
      </c>
      <c r="F122" s="93"/>
      <c r="G122" s="235">
        <f t="shared" si="2"/>
        <v>6000</v>
      </c>
      <c r="H122" s="235">
        <f t="shared" si="2"/>
        <v>6008.7408599999999</v>
      </c>
      <c r="I122" s="235">
        <f t="shared" si="2"/>
        <v>6030</v>
      </c>
      <c r="J122" s="235">
        <f t="shared" si="2"/>
        <v>21.259139999999665</v>
      </c>
      <c r="K122" s="93"/>
      <c r="L122" s="236" t="s">
        <v>199</v>
      </c>
      <c r="M122" s="236" t="s">
        <v>66</v>
      </c>
      <c r="N122" s="236" t="s">
        <v>66</v>
      </c>
      <c r="P122" s="91">
        <v>6000000</v>
      </c>
      <c r="Q122" s="91">
        <v>6008740.8600000003</v>
      </c>
      <c r="R122" s="91">
        <v>6030000</v>
      </c>
      <c r="S122" s="91">
        <v>21259.139999999665</v>
      </c>
    </row>
    <row r="123" spans="1:19" s="91" customFormat="1">
      <c r="A123" s="91" t="s">
        <v>608</v>
      </c>
      <c r="B123" s="91" t="s">
        <v>396</v>
      </c>
      <c r="C123" s="91" t="s">
        <v>1056</v>
      </c>
      <c r="D123" s="234">
        <v>6</v>
      </c>
      <c r="E123" s="92">
        <v>46235</v>
      </c>
      <c r="F123" s="93"/>
      <c r="G123" s="235">
        <f t="shared" si="2"/>
        <v>3.1104499999999997</v>
      </c>
      <c r="H123" s="235">
        <f t="shared" si="2"/>
        <v>3.0442199999999997</v>
      </c>
      <c r="I123" s="235">
        <f t="shared" si="2"/>
        <v>3.4590700000000001</v>
      </c>
      <c r="J123" s="235">
        <f t="shared" si="2"/>
        <v>0.41485000000000039</v>
      </c>
      <c r="K123" s="93"/>
      <c r="L123" s="236" t="s">
        <v>189</v>
      </c>
      <c r="M123" s="236" t="s">
        <v>122</v>
      </c>
      <c r="N123" s="236" t="s">
        <v>63</v>
      </c>
      <c r="P123" s="91">
        <v>3110.45</v>
      </c>
      <c r="Q123" s="91">
        <v>3044.22</v>
      </c>
      <c r="R123" s="91">
        <v>3459.07</v>
      </c>
      <c r="S123" s="91">
        <v>414.85000000000036</v>
      </c>
    </row>
    <row r="124" spans="1:19" s="91" customFormat="1">
      <c r="A124" s="91" t="s">
        <v>609</v>
      </c>
      <c r="B124" s="91" t="s">
        <v>396</v>
      </c>
      <c r="C124" s="91" t="s">
        <v>1056</v>
      </c>
      <c r="D124" s="234">
        <v>5.5</v>
      </c>
      <c r="E124" s="92">
        <v>49279</v>
      </c>
      <c r="F124" s="93"/>
      <c r="G124" s="235">
        <f t="shared" si="2"/>
        <v>2155.2373700000003</v>
      </c>
      <c r="H124" s="235">
        <f t="shared" si="2"/>
        <v>2307.2535200000002</v>
      </c>
      <c r="I124" s="235">
        <f t="shared" si="2"/>
        <v>2347.83302</v>
      </c>
      <c r="J124" s="235">
        <f t="shared" si="2"/>
        <v>40.579499999999889</v>
      </c>
      <c r="K124" s="93"/>
      <c r="L124" s="236" t="s">
        <v>189</v>
      </c>
      <c r="M124" s="236" t="s">
        <v>122</v>
      </c>
      <c r="N124" s="236" t="s">
        <v>63</v>
      </c>
      <c r="P124" s="91">
        <v>2155237.37</v>
      </c>
      <c r="Q124" s="91">
        <v>2307253.52</v>
      </c>
      <c r="R124" s="91">
        <v>2347833.02</v>
      </c>
      <c r="S124" s="91">
        <v>40579.499999999891</v>
      </c>
    </row>
    <row r="125" spans="1:19" s="91" customFormat="1">
      <c r="A125" s="91" t="s">
        <v>610</v>
      </c>
      <c r="B125" s="91" t="s">
        <v>397</v>
      </c>
      <c r="C125" s="91" t="s">
        <v>1056</v>
      </c>
      <c r="D125" s="234">
        <v>5.5</v>
      </c>
      <c r="E125" s="92">
        <v>43009</v>
      </c>
      <c r="F125" s="93"/>
      <c r="G125" s="235">
        <f t="shared" si="2"/>
        <v>403.74139000000002</v>
      </c>
      <c r="H125" s="235">
        <f t="shared" si="2"/>
        <v>407.26008000000002</v>
      </c>
      <c r="I125" s="235">
        <f t="shared" si="2"/>
        <v>435.74261999999999</v>
      </c>
      <c r="J125" s="235">
        <f t="shared" si="2"/>
        <v>28.482539999999993</v>
      </c>
      <c r="K125" s="93"/>
      <c r="L125" s="236" t="s">
        <v>189</v>
      </c>
      <c r="M125" s="236" t="s">
        <v>122</v>
      </c>
      <c r="N125" s="236" t="s">
        <v>63</v>
      </c>
      <c r="P125" s="91">
        <v>403741.39</v>
      </c>
      <c r="Q125" s="91">
        <v>407260.08</v>
      </c>
      <c r="R125" s="91">
        <v>435742.62</v>
      </c>
      <c r="S125" s="91">
        <v>28482.539999999994</v>
      </c>
    </row>
    <row r="126" spans="1:19" s="91" customFormat="1">
      <c r="A126" s="91" t="s">
        <v>611</v>
      </c>
      <c r="B126" s="91" t="s">
        <v>397</v>
      </c>
      <c r="C126" s="91" t="s">
        <v>1056</v>
      </c>
      <c r="D126" s="234">
        <v>5.5</v>
      </c>
      <c r="E126" s="92">
        <v>43040</v>
      </c>
      <c r="F126" s="93"/>
      <c r="G126" s="235">
        <f t="shared" si="2"/>
        <v>320.87314000000003</v>
      </c>
      <c r="H126" s="235">
        <f t="shared" si="2"/>
        <v>327.78282000000002</v>
      </c>
      <c r="I126" s="235">
        <f t="shared" si="2"/>
        <v>346.30609000000004</v>
      </c>
      <c r="J126" s="235">
        <f t="shared" si="2"/>
        <v>18.523270000000018</v>
      </c>
      <c r="K126" s="93"/>
      <c r="L126" s="236" t="s">
        <v>189</v>
      </c>
      <c r="M126" s="236" t="s">
        <v>122</v>
      </c>
      <c r="N126" s="236" t="s">
        <v>63</v>
      </c>
      <c r="P126" s="91">
        <v>320873.14</v>
      </c>
      <c r="Q126" s="91">
        <v>327782.82</v>
      </c>
      <c r="R126" s="91">
        <v>346306.09</v>
      </c>
      <c r="S126" s="91">
        <v>18523.270000000019</v>
      </c>
    </row>
    <row r="127" spans="1:19" s="91" customFormat="1">
      <c r="A127" s="91" t="s">
        <v>612</v>
      </c>
      <c r="B127" s="91" t="s">
        <v>397</v>
      </c>
      <c r="C127" s="91" t="s">
        <v>1056</v>
      </c>
      <c r="D127" s="234">
        <v>5</v>
      </c>
      <c r="E127" s="92">
        <v>43040</v>
      </c>
      <c r="F127" s="93"/>
      <c r="G127" s="235">
        <f t="shared" si="2"/>
        <v>134.07835999999998</v>
      </c>
      <c r="H127" s="235">
        <f t="shared" si="2"/>
        <v>134.536</v>
      </c>
      <c r="I127" s="235">
        <f t="shared" si="2"/>
        <v>143.50118000000001</v>
      </c>
      <c r="J127" s="235">
        <f t="shared" si="2"/>
        <v>8.965179999999993</v>
      </c>
      <c r="K127" s="93"/>
      <c r="L127" s="236" t="s">
        <v>189</v>
      </c>
      <c r="M127" s="236" t="s">
        <v>122</v>
      </c>
      <c r="N127" s="236" t="s">
        <v>63</v>
      </c>
      <c r="P127" s="91">
        <v>134078.35999999999</v>
      </c>
      <c r="Q127" s="91">
        <v>134536</v>
      </c>
      <c r="R127" s="91">
        <v>143501.18</v>
      </c>
      <c r="S127" s="91">
        <v>8965.179999999993</v>
      </c>
    </row>
    <row r="128" spans="1:19" s="91" customFormat="1">
      <c r="A128" s="91" t="s">
        <v>613</v>
      </c>
      <c r="B128" s="91" t="s">
        <v>396</v>
      </c>
      <c r="C128" s="91" t="s">
        <v>1056</v>
      </c>
      <c r="D128" s="234">
        <v>6</v>
      </c>
      <c r="E128" s="92">
        <v>50345</v>
      </c>
      <c r="F128" s="93"/>
      <c r="G128" s="235">
        <f t="shared" si="2"/>
        <v>962.95</v>
      </c>
      <c r="H128" s="235">
        <f t="shared" si="2"/>
        <v>966.13493000000005</v>
      </c>
      <c r="I128" s="235">
        <f t="shared" si="2"/>
        <v>1058.6747600000001</v>
      </c>
      <c r="J128" s="235">
        <f t="shared" si="2"/>
        <v>92.539829999999952</v>
      </c>
      <c r="K128" s="93"/>
      <c r="L128" s="236" t="s">
        <v>189</v>
      </c>
      <c r="M128" s="236" t="s">
        <v>122</v>
      </c>
      <c r="N128" s="236" t="s">
        <v>63</v>
      </c>
      <c r="P128" s="91">
        <v>962950</v>
      </c>
      <c r="Q128" s="91">
        <v>966134.93</v>
      </c>
      <c r="R128" s="91">
        <v>1058674.76</v>
      </c>
      <c r="S128" s="91">
        <v>92539.829999999958</v>
      </c>
    </row>
    <row r="129" spans="1:19" s="91" customFormat="1">
      <c r="A129" s="91" t="s">
        <v>1072</v>
      </c>
      <c r="B129" s="91" t="s">
        <v>396</v>
      </c>
      <c r="C129" s="91" t="s">
        <v>1056</v>
      </c>
      <c r="D129" s="234">
        <v>4</v>
      </c>
      <c r="E129" s="92">
        <v>51044</v>
      </c>
      <c r="F129" s="93"/>
      <c r="G129" s="235">
        <f t="shared" si="2"/>
        <v>5234.0231400000002</v>
      </c>
      <c r="H129" s="235">
        <f t="shared" si="2"/>
        <v>5248.5273299999999</v>
      </c>
      <c r="I129" s="235">
        <f t="shared" si="2"/>
        <v>5491.8169900000003</v>
      </c>
      <c r="J129" s="235">
        <f t="shared" si="2"/>
        <v>243.2896599999998</v>
      </c>
      <c r="K129" s="93"/>
      <c r="L129" s="236" t="s">
        <v>189</v>
      </c>
      <c r="M129" s="236" t="s">
        <v>122</v>
      </c>
      <c r="N129" s="236" t="s">
        <v>63</v>
      </c>
      <c r="P129" s="91">
        <v>5234023.1400000006</v>
      </c>
      <c r="Q129" s="91">
        <v>5248527.33</v>
      </c>
      <c r="R129" s="91">
        <v>5491816.9900000002</v>
      </c>
      <c r="S129" s="91">
        <v>243289.6599999998</v>
      </c>
    </row>
    <row r="130" spans="1:19" s="91" customFormat="1">
      <c r="A130" s="91" t="s">
        <v>1073</v>
      </c>
      <c r="B130" s="91" t="s">
        <v>396</v>
      </c>
      <c r="C130" s="91" t="s">
        <v>1056</v>
      </c>
      <c r="D130" s="234">
        <v>4</v>
      </c>
      <c r="E130" s="92">
        <v>51653</v>
      </c>
      <c r="F130" s="93"/>
      <c r="G130" s="235">
        <f t="shared" si="2"/>
        <v>4992.6404099999991</v>
      </c>
      <c r="H130" s="235">
        <f t="shared" si="2"/>
        <v>5231.9871400000002</v>
      </c>
      <c r="I130" s="235">
        <f t="shared" si="2"/>
        <v>5283.4227499999997</v>
      </c>
      <c r="J130" s="235">
        <f t="shared" si="2"/>
        <v>51.435609999999926</v>
      </c>
      <c r="K130" s="93"/>
      <c r="L130" s="236" t="s">
        <v>189</v>
      </c>
      <c r="M130" s="236" t="s">
        <v>122</v>
      </c>
      <c r="N130" s="236" t="s">
        <v>63</v>
      </c>
      <c r="P130" s="91">
        <v>4992640.4099999992</v>
      </c>
      <c r="Q130" s="91">
        <v>5231987.1400000006</v>
      </c>
      <c r="R130" s="91">
        <v>5283422.75</v>
      </c>
      <c r="S130" s="91">
        <v>51435.609999999928</v>
      </c>
    </row>
    <row r="131" spans="1:19" s="91" customFormat="1">
      <c r="A131" s="91" t="s">
        <v>614</v>
      </c>
      <c r="B131" s="91" t="s">
        <v>398</v>
      </c>
      <c r="C131" s="91" t="s">
        <v>1056</v>
      </c>
      <c r="D131" s="234">
        <v>5.7160000000000002</v>
      </c>
      <c r="E131" s="92">
        <v>50253</v>
      </c>
      <c r="F131" s="93"/>
      <c r="G131" s="235">
        <f t="shared" si="2"/>
        <v>1438.0503600000002</v>
      </c>
      <c r="H131" s="235">
        <f t="shared" si="2"/>
        <v>1429.6522</v>
      </c>
      <c r="I131" s="235">
        <f t="shared" si="2"/>
        <v>1521.1035200000001</v>
      </c>
      <c r="J131" s="235">
        <f t="shared" si="2"/>
        <v>91.451320000000067</v>
      </c>
      <c r="K131" s="93"/>
      <c r="L131" s="236" t="s">
        <v>189</v>
      </c>
      <c r="M131" s="236" t="s">
        <v>122</v>
      </c>
      <c r="N131" s="236" t="s">
        <v>63</v>
      </c>
      <c r="P131" s="91">
        <v>1438050.36</v>
      </c>
      <c r="Q131" s="91">
        <v>1429652.2</v>
      </c>
      <c r="R131" s="91">
        <v>1521103.52</v>
      </c>
      <c r="S131" s="91">
        <v>91451.320000000065</v>
      </c>
    </row>
    <row r="132" spans="1:19" s="91" customFormat="1">
      <c r="A132" s="91" t="s">
        <v>615</v>
      </c>
      <c r="B132" s="91" t="s">
        <v>398</v>
      </c>
      <c r="C132" s="91" t="s">
        <v>1056</v>
      </c>
      <c r="D132" s="234">
        <v>2.5649999999999999</v>
      </c>
      <c r="E132" s="92">
        <v>49888</v>
      </c>
      <c r="F132" s="93"/>
      <c r="G132" s="235">
        <f t="shared" si="2"/>
        <v>368.62723999999997</v>
      </c>
      <c r="H132" s="235">
        <f t="shared" si="2"/>
        <v>366.55667999999997</v>
      </c>
      <c r="I132" s="235">
        <f t="shared" si="2"/>
        <v>385.04664000000002</v>
      </c>
      <c r="J132" s="235">
        <f t="shared" si="2"/>
        <v>18.489960000000021</v>
      </c>
      <c r="K132" s="93"/>
      <c r="L132" s="236" t="s">
        <v>189</v>
      </c>
      <c r="M132" s="236" t="s">
        <v>122</v>
      </c>
      <c r="N132" s="236" t="s">
        <v>63</v>
      </c>
      <c r="P132" s="91">
        <v>368627.24</v>
      </c>
      <c r="Q132" s="91">
        <v>366556.68</v>
      </c>
      <c r="R132" s="91">
        <v>385046.64</v>
      </c>
      <c r="S132" s="91">
        <v>18489.960000000021</v>
      </c>
    </row>
    <row r="133" spans="1:19" s="91" customFormat="1">
      <c r="A133" s="91" t="s">
        <v>616</v>
      </c>
      <c r="B133" s="91" t="s">
        <v>224</v>
      </c>
      <c r="C133" s="91" t="s">
        <v>1058</v>
      </c>
      <c r="D133" s="234">
        <v>5</v>
      </c>
      <c r="E133" s="92">
        <v>41956</v>
      </c>
      <c r="F133" s="93"/>
      <c r="G133" s="235">
        <f t="shared" si="2"/>
        <v>3000</v>
      </c>
      <c r="H133" s="235">
        <f t="shared" si="2"/>
        <v>2996.4420099999998</v>
      </c>
      <c r="I133" s="235">
        <f t="shared" si="2"/>
        <v>3372.02979</v>
      </c>
      <c r="J133" s="235">
        <f t="shared" ref="J133:J196" si="3">S133/1000</f>
        <v>375.58778000000024</v>
      </c>
      <c r="K133" s="93"/>
      <c r="L133" s="236" t="s">
        <v>189</v>
      </c>
      <c r="M133" s="236" t="s">
        <v>122</v>
      </c>
      <c r="N133" s="236" t="s">
        <v>63</v>
      </c>
      <c r="P133" s="91">
        <v>3000000</v>
      </c>
      <c r="Q133" s="91">
        <v>2996442.01</v>
      </c>
      <c r="R133" s="91">
        <v>3372029.79</v>
      </c>
      <c r="S133" s="91">
        <v>375587.78000000026</v>
      </c>
    </row>
    <row r="134" spans="1:19" s="91" customFormat="1">
      <c r="A134" s="91" t="s">
        <v>617</v>
      </c>
      <c r="B134" s="91" t="s">
        <v>224</v>
      </c>
      <c r="C134" s="91" t="s">
        <v>1056</v>
      </c>
      <c r="D134" s="234">
        <v>8.5</v>
      </c>
      <c r="E134" s="92">
        <v>44362</v>
      </c>
      <c r="F134" s="93"/>
      <c r="G134" s="235">
        <f t="shared" ref="G134:J197" si="4">P134/1000</f>
        <v>6.1215099999999998</v>
      </c>
      <c r="H134" s="235">
        <f t="shared" si="4"/>
        <v>6.1215099999999998</v>
      </c>
      <c r="I134" s="235">
        <f t="shared" si="4"/>
        <v>7.1378399999999997</v>
      </c>
      <c r="J134" s="235">
        <f t="shared" si="3"/>
        <v>1.01633</v>
      </c>
      <c r="K134" s="93"/>
      <c r="L134" s="236" t="s">
        <v>189</v>
      </c>
      <c r="M134" s="236" t="s">
        <v>122</v>
      </c>
      <c r="N134" s="236" t="s">
        <v>63</v>
      </c>
      <c r="P134" s="91">
        <v>6121.51</v>
      </c>
      <c r="Q134" s="91">
        <v>6121.51</v>
      </c>
      <c r="R134" s="91">
        <v>7137.84</v>
      </c>
      <c r="S134" s="91">
        <v>1016.3299999999999</v>
      </c>
    </row>
    <row r="135" spans="1:19" s="91" customFormat="1">
      <c r="A135" s="91" t="s">
        <v>618</v>
      </c>
      <c r="B135" s="91" t="s">
        <v>224</v>
      </c>
      <c r="C135" s="91" t="s">
        <v>1056</v>
      </c>
      <c r="D135" s="234">
        <v>8.25</v>
      </c>
      <c r="E135" s="92">
        <v>44727</v>
      </c>
      <c r="F135" s="93"/>
      <c r="G135" s="235">
        <f t="shared" si="4"/>
        <v>52.148919999999997</v>
      </c>
      <c r="H135" s="235">
        <f t="shared" si="4"/>
        <v>52.802430000000001</v>
      </c>
      <c r="I135" s="235">
        <f t="shared" si="4"/>
        <v>60.707500000000003</v>
      </c>
      <c r="J135" s="235">
        <f t="shared" si="3"/>
        <v>7.9050699999999994</v>
      </c>
      <c r="K135" s="93"/>
      <c r="L135" s="236" t="s">
        <v>189</v>
      </c>
      <c r="M135" s="236" t="s">
        <v>122</v>
      </c>
      <c r="N135" s="236" t="s">
        <v>63</v>
      </c>
      <c r="P135" s="91">
        <v>52148.92</v>
      </c>
      <c r="Q135" s="91">
        <v>52802.43</v>
      </c>
      <c r="R135" s="91">
        <v>60707.5</v>
      </c>
      <c r="S135" s="91">
        <v>7905.07</v>
      </c>
    </row>
    <row r="136" spans="1:19" s="91" customFormat="1">
      <c r="A136" s="91" t="s">
        <v>619</v>
      </c>
      <c r="B136" s="91" t="s">
        <v>396</v>
      </c>
      <c r="C136" s="91" t="s">
        <v>1056</v>
      </c>
      <c r="D136" s="234">
        <v>6</v>
      </c>
      <c r="E136" s="92">
        <v>47058</v>
      </c>
      <c r="F136" s="93"/>
      <c r="G136" s="235">
        <f t="shared" si="4"/>
        <v>44.247330000000005</v>
      </c>
      <c r="H136" s="235">
        <f t="shared" si="4"/>
        <v>44.047750000000001</v>
      </c>
      <c r="I136" s="235">
        <f t="shared" si="4"/>
        <v>49.285110000000003</v>
      </c>
      <c r="J136" s="235">
        <f t="shared" si="3"/>
        <v>5.2373600000000007</v>
      </c>
      <c r="K136" s="93"/>
      <c r="L136" s="236" t="s">
        <v>189</v>
      </c>
      <c r="M136" s="236" t="s">
        <v>122</v>
      </c>
      <c r="N136" s="236" t="s">
        <v>63</v>
      </c>
      <c r="P136" s="91">
        <v>44247.33</v>
      </c>
      <c r="Q136" s="91">
        <v>44047.75</v>
      </c>
      <c r="R136" s="91">
        <v>49285.11</v>
      </c>
      <c r="S136" s="91">
        <v>5237.3600000000006</v>
      </c>
    </row>
    <row r="137" spans="1:19" s="91" customFormat="1">
      <c r="A137" s="91" t="s">
        <v>620</v>
      </c>
      <c r="B137" s="91" t="s">
        <v>396</v>
      </c>
      <c r="C137" s="91" t="s">
        <v>1056</v>
      </c>
      <c r="D137" s="234">
        <v>5</v>
      </c>
      <c r="E137" s="92">
        <v>51410</v>
      </c>
      <c r="F137" s="93"/>
      <c r="G137" s="235">
        <f t="shared" si="4"/>
        <v>2589.58142</v>
      </c>
      <c r="H137" s="235">
        <f t="shared" si="4"/>
        <v>2744.1834100000001</v>
      </c>
      <c r="I137" s="235">
        <f t="shared" si="4"/>
        <v>2801.97741</v>
      </c>
      <c r="J137" s="235">
        <f t="shared" si="3"/>
        <v>57.79399999999977</v>
      </c>
      <c r="K137" s="93"/>
      <c r="L137" s="236" t="s">
        <v>189</v>
      </c>
      <c r="M137" s="236" t="s">
        <v>122</v>
      </c>
      <c r="N137" s="236" t="s">
        <v>63</v>
      </c>
      <c r="P137" s="91">
        <v>2589581.42</v>
      </c>
      <c r="Q137" s="91">
        <v>2744183.41</v>
      </c>
      <c r="R137" s="91">
        <v>2801977.41</v>
      </c>
      <c r="S137" s="91">
        <v>57793.999999999767</v>
      </c>
    </row>
    <row r="138" spans="1:19" s="91" customFormat="1">
      <c r="A138" s="91" t="s">
        <v>1074</v>
      </c>
      <c r="B138" s="91" t="s">
        <v>396</v>
      </c>
      <c r="C138" s="91" t="s">
        <v>1056</v>
      </c>
      <c r="D138" s="234">
        <v>4</v>
      </c>
      <c r="E138" s="92">
        <v>50952</v>
      </c>
      <c r="F138" s="93"/>
      <c r="G138" s="235">
        <f t="shared" si="4"/>
        <v>987.8528</v>
      </c>
      <c r="H138" s="235">
        <f t="shared" si="4"/>
        <v>1034.23164</v>
      </c>
      <c r="I138" s="235">
        <f t="shared" si="4"/>
        <v>1045.38752</v>
      </c>
      <c r="J138" s="235">
        <f t="shared" si="3"/>
        <v>11.155880000000064</v>
      </c>
      <c r="K138" s="93"/>
      <c r="L138" s="236" t="s">
        <v>189</v>
      </c>
      <c r="M138" s="236" t="s">
        <v>122</v>
      </c>
      <c r="N138" s="236" t="s">
        <v>63</v>
      </c>
      <c r="P138" s="91">
        <v>987852.80000000005</v>
      </c>
      <c r="Q138" s="91">
        <v>1034231.6399999999</v>
      </c>
      <c r="R138" s="91">
        <v>1045387.52</v>
      </c>
      <c r="S138" s="91">
        <v>11155.880000000063</v>
      </c>
    </row>
    <row r="139" spans="1:19" s="91" customFormat="1">
      <c r="A139" s="91" t="s">
        <v>621</v>
      </c>
      <c r="B139" s="91" t="s">
        <v>396</v>
      </c>
      <c r="C139" s="91" t="s">
        <v>1056</v>
      </c>
      <c r="D139" s="234">
        <v>5</v>
      </c>
      <c r="E139" s="92">
        <v>50983</v>
      </c>
      <c r="F139" s="93"/>
      <c r="G139" s="235">
        <f t="shared" si="4"/>
        <v>594.36610999999994</v>
      </c>
      <c r="H139" s="235">
        <f t="shared" si="4"/>
        <v>601.73964000000001</v>
      </c>
      <c r="I139" s="235">
        <f t="shared" si="4"/>
        <v>640.20587</v>
      </c>
      <c r="J139" s="235">
        <f t="shared" si="3"/>
        <v>38.466229999999982</v>
      </c>
      <c r="K139" s="93"/>
      <c r="L139" s="236" t="s">
        <v>189</v>
      </c>
      <c r="M139" s="236" t="s">
        <v>122</v>
      </c>
      <c r="N139" s="236" t="s">
        <v>63</v>
      </c>
      <c r="P139" s="91">
        <v>594366.11</v>
      </c>
      <c r="Q139" s="91">
        <v>601739.64</v>
      </c>
      <c r="R139" s="91">
        <v>640205.87</v>
      </c>
      <c r="S139" s="91">
        <v>38466.229999999981</v>
      </c>
    </row>
    <row r="140" spans="1:19" s="91" customFormat="1">
      <c r="A140" s="91" t="s">
        <v>1075</v>
      </c>
      <c r="B140" s="91" t="s">
        <v>396</v>
      </c>
      <c r="C140" s="91" t="s">
        <v>1056</v>
      </c>
      <c r="D140" s="234">
        <v>4</v>
      </c>
      <c r="E140" s="92">
        <v>51349</v>
      </c>
      <c r="F140" s="93"/>
      <c r="G140" s="235">
        <f t="shared" si="4"/>
        <v>1255.59013</v>
      </c>
      <c r="H140" s="235">
        <f t="shared" si="4"/>
        <v>1314.5009200000002</v>
      </c>
      <c r="I140" s="235">
        <f t="shared" si="4"/>
        <v>1328.7184600000001</v>
      </c>
      <c r="J140" s="235">
        <f t="shared" si="3"/>
        <v>14.21753999999995</v>
      </c>
      <c r="K140" s="93"/>
      <c r="L140" s="236" t="s">
        <v>189</v>
      </c>
      <c r="M140" s="236" t="s">
        <v>122</v>
      </c>
      <c r="N140" s="236" t="s">
        <v>63</v>
      </c>
      <c r="P140" s="91">
        <v>1255590.1300000001</v>
      </c>
      <c r="Q140" s="91">
        <v>1314500.9200000002</v>
      </c>
      <c r="R140" s="91">
        <v>1328718.46</v>
      </c>
      <c r="S140" s="91">
        <v>14217.53999999995</v>
      </c>
    </row>
    <row r="141" spans="1:19" s="91" customFormat="1">
      <c r="A141" s="91" t="s">
        <v>622</v>
      </c>
      <c r="B141" s="91" t="s">
        <v>396</v>
      </c>
      <c r="C141" s="91" t="s">
        <v>1056</v>
      </c>
      <c r="D141" s="234">
        <v>5</v>
      </c>
      <c r="E141" s="92">
        <v>51380</v>
      </c>
      <c r="F141" s="93"/>
      <c r="G141" s="235">
        <f t="shared" si="4"/>
        <v>831.90317999999991</v>
      </c>
      <c r="H141" s="235">
        <f t="shared" si="4"/>
        <v>882.01981000000001</v>
      </c>
      <c r="I141" s="235">
        <f t="shared" si="4"/>
        <v>900.13540999999998</v>
      </c>
      <c r="J141" s="235">
        <f t="shared" si="3"/>
        <v>18.115600000000036</v>
      </c>
      <c r="K141" s="93"/>
      <c r="L141" s="236" t="s">
        <v>189</v>
      </c>
      <c r="M141" s="236" t="s">
        <v>122</v>
      </c>
      <c r="N141" s="236" t="s">
        <v>63</v>
      </c>
      <c r="P141" s="91">
        <v>831903.17999999993</v>
      </c>
      <c r="Q141" s="91">
        <v>882019.81</v>
      </c>
      <c r="R141" s="91">
        <v>900135.41</v>
      </c>
      <c r="S141" s="91">
        <v>18115.600000000035</v>
      </c>
    </row>
    <row r="142" spans="1:19" s="91" customFormat="1">
      <c r="A142" s="91" t="s">
        <v>1076</v>
      </c>
      <c r="B142" s="91" t="s">
        <v>396</v>
      </c>
      <c r="C142" s="91" t="s">
        <v>1056</v>
      </c>
      <c r="D142" s="234">
        <v>4</v>
      </c>
      <c r="E142" s="92">
        <v>51380</v>
      </c>
      <c r="F142" s="93"/>
      <c r="G142" s="235">
        <f t="shared" si="4"/>
        <v>1632.0684800000001</v>
      </c>
      <c r="H142" s="235">
        <f t="shared" si="4"/>
        <v>1708.7120500000003</v>
      </c>
      <c r="I142" s="235">
        <f t="shared" si="4"/>
        <v>1727.12373</v>
      </c>
      <c r="J142" s="235">
        <f t="shared" si="3"/>
        <v>18.411680000000022</v>
      </c>
      <c r="K142" s="93"/>
      <c r="L142" s="236" t="s">
        <v>189</v>
      </c>
      <c r="M142" s="236" t="s">
        <v>122</v>
      </c>
      <c r="N142" s="236" t="s">
        <v>63</v>
      </c>
      <c r="P142" s="91">
        <v>1632068.4800000002</v>
      </c>
      <c r="Q142" s="91">
        <v>1708712.0500000003</v>
      </c>
      <c r="R142" s="91">
        <v>1727123.73</v>
      </c>
      <c r="S142" s="91">
        <v>18411.680000000022</v>
      </c>
    </row>
    <row r="143" spans="1:19" s="91" customFormat="1">
      <c r="A143" s="91" t="s">
        <v>623</v>
      </c>
      <c r="B143" s="91" t="s">
        <v>396</v>
      </c>
      <c r="C143" s="91" t="s">
        <v>1056</v>
      </c>
      <c r="D143" s="234">
        <v>5</v>
      </c>
      <c r="E143" s="92">
        <v>51410</v>
      </c>
      <c r="F143" s="93"/>
      <c r="G143" s="235">
        <f t="shared" si="4"/>
        <v>2103.15915</v>
      </c>
      <c r="H143" s="235">
        <f t="shared" si="4"/>
        <v>2229.6322599999999</v>
      </c>
      <c r="I143" s="235">
        <f t="shared" si="4"/>
        <v>2275.65906</v>
      </c>
      <c r="J143" s="235">
        <f t="shared" si="3"/>
        <v>46.026800000000044</v>
      </c>
      <c r="K143" s="93"/>
      <c r="L143" s="236" t="s">
        <v>189</v>
      </c>
      <c r="M143" s="236" t="s">
        <v>122</v>
      </c>
      <c r="N143" s="236" t="s">
        <v>63</v>
      </c>
      <c r="P143" s="91">
        <v>2103159.15</v>
      </c>
      <c r="Q143" s="91">
        <v>2229632.2599999998</v>
      </c>
      <c r="R143" s="91">
        <v>2275659.06</v>
      </c>
      <c r="S143" s="91">
        <v>46026.800000000047</v>
      </c>
    </row>
    <row r="144" spans="1:19" s="91" customFormat="1">
      <c r="A144" s="91" t="s">
        <v>1077</v>
      </c>
      <c r="B144" s="91" t="s">
        <v>396</v>
      </c>
      <c r="C144" s="91" t="s">
        <v>1056</v>
      </c>
      <c r="D144" s="234">
        <v>4</v>
      </c>
      <c r="E144" s="92">
        <v>51441</v>
      </c>
      <c r="F144" s="93"/>
      <c r="G144" s="235">
        <f t="shared" si="4"/>
        <v>415.83649999999994</v>
      </c>
      <c r="H144" s="235">
        <f t="shared" si="4"/>
        <v>435.36008999999996</v>
      </c>
      <c r="I144" s="235">
        <f t="shared" si="4"/>
        <v>440.05573000000004</v>
      </c>
      <c r="J144" s="235">
        <f t="shared" si="3"/>
        <v>4.6956400000000063</v>
      </c>
      <c r="K144" s="93"/>
      <c r="L144" s="236" t="s">
        <v>189</v>
      </c>
      <c r="M144" s="236" t="s">
        <v>122</v>
      </c>
      <c r="N144" s="236" t="s">
        <v>63</v>
      </c>
      <c r="P144" s="91">
        <v>415836.49999999994</v>
      </c>
      <c r="Q144" s="91">
        <v>435360.08999999997</v>
      </c>
      <c r="R144" s="91">
        <v>440055.73000000004</v>
      </c>
      <c r="S144" s="91">
        <v>4695.6400000000067</v>
      </c>
    </row>
    <row r="145" spans="1:19" s="91" customFormat="1">
      <c r="A145" s="91" t="s">
        <v>998</v>
      </c>
      <c r="B145" s="91" t="s">
        <v>396</v>
      </c>
      <c r="C145" s="91" t="s">
        <v>1056</v>
      </c>
      <c r="D145" s="234">
        <v>3.5</v>
      </c>
      <c r="E145" s="92">
        <v>51502</v>
      </c>
      <c r="F145" s="93"/>
      <c r="G145" s="235">
        <f t="shared" si="4"/>
        <v>3260.3715200000006</v>
      </c>
      <c r="H145" s="235">
        <f t="shared" si="4"/>
        <v>3122.6105000000007</v>
      </c>
      <c r="I145" s="235">
        <f t="shared" si="4"/>
        <v>3351.5595400000002</v>
      </c>
      <c r="J145" s="235">
        <f t="shared" si="3"/>
        <v>228.94904000000022</v>
      </c>
      <c r="K145" s="93"/>
      <c r="L145" s="236" t="s">
        <v>189</v>
      </c>
      <c r="M145" s="236" t="s">
        <v>122</v>
      </c>
      <c r="N145" s="236" t="s">
        <v>63</v>
      </c>
      <c r="P145" s="91">
        <v>3260371.5200000005</v>
      </c>
      <c r="Q145" s="91">
        <v>3122610.5000000005</v>
      </c>
      <c r="R145" s="91">
        <v>3351559.54</v>
      </c>
      <c r="S145" s="91">
        <v>228949.04000000021</v>
      </c>
    </row>
    <row r="146" spans="1:19" s="91" customFormat="1">
      <c r="A146" s="91" t="s">
        <v>624</v>
      </c>
      <c r="B146" s="91" t="s">
        <v>397</v>
      </c>
      <c r="C146" s="91" t="s">
        <v>1056</v>
      </c>
      <c r="D146" s="234">
        <v>5.5</v>
      </c>
      <c r="E146" s="92">
        <v>43040</v>
      </c>
      <c r="F146" s="93"/>
      <c r="G146" s="235">
        <f t="shared" si="4"/>
        <v>211.53816</v>
      </c>
      <c r="H146" s="235">
        <f t="shared" si="4"/>
        <v>213.36751999999998</v>
      </c>
      <c r="I146" s="235">
        <f t="shared" si="4"/>
        <v>228.30504000000002</v>
      </c>
      <c r="J146" s="235">
        <f t="shared" si="3"/>
        <v>14.937520000000019</v>
      </c>
      <c r="K146" s="93"/>
      <c r="L146" s="236" t="s">
        <v>189</v>
      </c>
      <c r="M146" s="236" t="s">
        <v>122</v>
      </c>
      <c r="N146" s="236" t="s">
        <v>63</v>
      </c>
      <c r="P146" s="91">
        <v>211538.16</v>
      </c>
      <c r="Q146" s="91">
        <v>213367.52</v>
      </c>
      <c r="R146" s="91">
        <v>228305.04</v>
      </c>
      <c r="S146" s="91">
        <v>14937.520000000019</v>
      </c>
    </row>
    <row r="147" spans="1:19" s="91" customFormat="1">
      <c r="A147" s="91" t="s">
        <v>625</v>
      </c>
      <c r="B147" s="91" t="s">
        <v>396</v>
      </c>
      <c r="C147" s="91" t="s">
        <v>1056</v>
      </c>
      <c r="D147" s="234">
        <v>5.5</v>
      </c>
      <c r="E147" s="92">
        <v>48945</v>
      </c>
      <c r="F147" s="93"/>
      <c r="G147" s="235">
        <f t="shared" si="4"/>
        <v>1058.44245</v>
      </c>
      <c r="H147" s="235">
        <f t="shared" si="4"/>
        <v>1063.3514100000002</v>
      </c>
      <c r="I147" s="235">
        <f t="shared" si="4"/>
        <v>1153.02665</v>
      </c>
      <c r="J147" s="235">
        <f t="shared" si="3"/>
        <v>89.675239999999931</v>
      </c>
      <c r="K147" s="93"/>
      <c r="L147" s="236" t="s">
        <v>189</v>
      </c>
      <c r="M147" s="236" t="s">
        <v>122</v>
      </c>
      <c r="N147" s="236" t="s">
        <v>63</v>
      </c>
      <c r="P147" s="91">
        <v>1058442.45</v>
      </c>
      <c r="Q147" s="91">
        <v>1063351.4100000001</v>
      </c>
      <c r="R147" s="91">
        <v>1153026.6499999999</v>
      </c>
      <c r="S147" s="91">
        <v>89675.239999999932</v>
      </c>
    </row>
    <row r="148" spans="1:19" s="91" customFormat="1">
      <c r="A148" s="91" t="s">
        <v>626</v>
      </c>
      <c r="B148" s="91" t="s">
        <v>396</v>
      </c>
      <c r="C148" s="91" t="s">
        <v>1056</v>
      </c>
      <c r="D148" s="234">
        <v>6</v>
      </c>
      <c r="E148" s="92">
        <v>49157</v>
      </c>
      <c r="F148" s="93"/>
      <c r="G148" s="235">
        <f t="shared" si="4"/>
        <v>261.52474000000001</v>
      </c>
      <c r="H148" s="235">
        <f t="shared" si="4"/>
        <v>262.56689</v>
      </c>
      <c r="I148" s="235">
        <f t="shared" si="4"/>
        <v>290.76203999999996</v>
      </c>
      <c r="J148" s="235">
        <f t="shared" si="3"/>
        <v>28.195149999999966</v>
      </c>
      <c r="K148" s="93"/>
      <c r="L148" s="236" t="s">
        <v>189</v>
      </c>
      <c r="M148" s="236" t="s">
        <v>122</v>
      </c>
      <c r="N148" s="236" t="s">
        <v>63</v>
      </c>
      <c r="P148" s="91">
        <v>261524.74</v>
      </c>
      <c r="Q148" s="91">
        <v>262566.89</v>
      </c>
      <c r="R148" s="91">
        <v>290762.03999999998</v>
      </c>
      <c r="S148" s="91">
        <v>28195.149999999965</v>
      </c>
    </row>
    <row r="149" spans="1:19" s="91" customFormat="1">
      <c r="A149" s="91" t="s">
        <v>627</v>
      </c>
      <c r="B149" s="91" t="s">
        <v>396</v>
      </c>
      <c r="C149" s="91" t="s">
        <v>1056</v>
      </c>
      <c r="D149" s="234">
        <v>5</v>
      </c>
      <c r="E149" s="92">
        <v>49310</v>
      </c>
      <c r="F149" s="93"/>
      <c r="G149" s="235">
        <f t="shared" si="4"/>
        <v>1627.4548500000001</v>
      </c>
      <c r="H149" s="235">
        <f t="shared" si="4"/>
        <v>1624.7995100000001</v>
      </c>
      <c r="I149" s="235">
        <f t="shared" si="4"/>
        <v>1753.1336199999998</v>
      </c>
      <c r="J149" s="235">
        <f t="shared" si="3"/>
        <v>128.33410999999987</v>
      </c>
      <c r="K149" s="93"/>
      <c r="L149" s="236" t="s">
        <v>189</v>
      </c>
      <c r="M149" s="236" t="s">
        <v>122</v>
      </c>
      <c r="N149" s="236" t="s">
        <v>63</v>
      </c>
      <c r="P149" s="91">
        <v>1627454.85</v>
      </c>
      <c r="Q149" s="91">
        <v>1624799.51</v>
      </c>
      <c r="R149" s="91">
        <v>1753133.6199999999</v>
      </c>
      <c r="S149" s="91">
        <v>128334.10999999987</v>
      </c>
    </row>
    <row r="150" spans="1:19" s="91" customFormat="1">
      <c r="A150" s="91" t="s">
        <v>989</v>
      </c>
      <c r="B150" s="91" t="s">
        <v>396</v>
      </c>
      <c r="C150" s="91" t="s">
        <v>1056</v>
      </c>
      <c r="D150" s="234">
        <v>4</v>
      </c>
      <c r="E150" s="92">
        <v>51592</v>
      </c>
      <c r="F150" s="93"/>
      <c r="G150" s="235">
        <f t="shared" si="4"/>
        <v>3112.8704600000001</v>
      </c>
      <c r="H150" s="235">
        <f t="shared" si="4"/>
        <v>3102.9562399999991</v>
      </c>
      <c r="I150" s="235">
        <f t="shared" si="4"/>
        <v>3271.77468</v>
      </c>
      <c r="J150" s="235">
        <f t="shared" si="3"/>
        <v>168.81844000000012</v>
      </c>
      <c r="K150" s="93"/>
      <c r="L150" s="236" t="s">
        <v>189</v>
      </c>
      <c r="M150" s="236" t="s">
        <v>122</v>
      </c>
      <c r="N150" s="236" t="s">
        <v>63</v>
      </c>
      <c r="P150" s="91">
        <v>3112870.46</v>
      </c>
      <c r="Q150" s="91">
        <v>3102956.2399999993</v>
      </c>
      <c r="R150" s="91">
        <v>3271774.68</v>
      </c>
      <c r="S150" s="91">
        <v>168818.44000000012</v>
      </c>
    </row>
    <row r="151" spans="1:19" s="91" customFormat="1">
      <c r="A151" s="91" t="s">
        <v>628</v>
      </c>
      <c r="B151" s="91" t="s">
        <v>390</v>
      </c>
      <c r="C151" s="91" t="s">
        <v>1051</v>
      </c>
      <c r="D151" s="234">
        <v>7.15</v>
      </c>
      <c r="E151" s="92">
        <v>41180</v>
      </c>
      <c r="F151" s="93"/>
      <c r="G151" s="235">
        <f t="shared" si="4"/>
        <v>1.08047</v>
      </c>
      <c r="H151" s="235">
        <f t="shared" si="4"/>
        <v>1.0800999999999998</v>
      </c>
      <c r="I151" s="235">
        <f t="shared" si="4"/>
        <v>1.1195899999999999</v>
      </c>
      <c r="J151" s="235">
        <f t="shared" si="3"/>
        <v>3.9490000000000011E-2</v>
      </c>
      <c r="K151" s="93"/>
      <c r="L151" s="236" t="s">
        <v>204</v>
      </c>
      <c r="M151" s="236" t="s">
        <v>66</v>
      </c>
      <c r="N151" s="236" t="s">
        <v>179</v>
      </c>
      <c r="P151" s="91">
        <v>1080.47</v>
      </c>
      <c r="Q151" s="91">
        <v>1080.0999999999999</v>
      </c>
      <c r="R151" s="91">
        <v>1119.5899999999999</v>
      </c>
      <c r="S151" s="91">
        <v>39.490000000000009</v>
      </c>
    </row>
    <row r="152" spans="1:19" s="91" customFormat="1">
      <c r="A152" s="91" t="s">
        <v>629</v>
      </c>
      <c r="B152" s="91" t="s">
        <v>390</v>
      </c>
      <c r="C152" s="91" t="s">
        <v>1051</v>
      </c>
      <c r="D152" s="234">
        <v>6.72</v>
      </c>
      <c r="E152" s="92">
        <v>45122</v>
      </c>
      <c r="F152" s="93"/>
      <c r="G152" s="235">
        <f t="shared" si="4"/>
        <v>1258.2378999999999</v>
      </c>
      <c r="H152" s="235">
        <f t="shared" si="4"/>
        <v>1258.2205899999999</v>
      </c>
      <c r="I152" s="235">
        <f t="shared" si="4"/>
        <v>1437.82556</v>
      </c>
      <c r="J152" s="235">
        <f t="shared" si="3"/>
        <v>179.60497000000009</v>
      </c>
      <c r="K152" s="93"/>
      <c r="L152" s="236" t="s">
        <v>183</v>
      </c>
      <c r="M152" s="236" t="s">
        <v>206</v>
      </c>
      <c r="N152" s="236" t="s">
        <v>179</v>
      </c>
      <c r="P152" s="91">
        <v>1258237.8999999999</v>
      </c>
      <c r="Q152" s="91">
        <v>1258220.5899999999</v>
      </c>
      <c r="R152" s="91">
        <v>1437825.56</v>
      </c>
      <c r="S152" s="91">
        <v>179604.97000000009</v>
      </c>
    </row>
    <row r="153" spans="1:19" s="91" customFormat="1">
      <c r="A153" s="91" t="s">
        <v>630</v>
      </c>
      <c r="B153" s="91" t="s">
        <v>224</v>
      </c>
      <c r="C153" s="91" t="s">
        <v>1056</v>
      </c>
      <c r="D153" s="234">
        <v>6.5</v>
      </c>
      <c r="E153" s="92">
        <v>48044</v>
      </c>
      <c r="F153" s="93"/>
      <c r="G153" s="235">
        <f t="shared" si="4"/>
        <v>3053.8365100000001</v>
      </c>
      <c r="H153" s="235">
        <f t="shared" si="4"/>
        <v>2892.39363</v>
      </c>
      <c r="I153" s="235">
        <f t="shared" si="4"/>
        <v>3458.6585700000005</v>
      </c>
      <c r="J153" s="235">
        <f t="shared" si="3"/>
        <v>566.26493999999991</v>
      </c>
      <c r="K153" s="93"/>
      <c r="L153" s="236" t="s">
        <v>189</v>
      </c>
      <c r="M153" s="236" t="s">
        <v>122</v>
      </c>
      <c r="N153" s="236" t="s">
        <v>63</v>
      </c>
      <c r="P153" s="91">
        <v>3053836.5100000002</v>
      </c>
      <c r="Q153" s="91">
        <v>2892393.63</v>
      </c>
      <c r="R153" s="91">
        <v>3458658.5700000003</v>
      </c>
      <c r="S153" s="91">
        <v>566264.93999999994</v>
      </c>
    </row>
    <row r="154" spans="1:19" s="91" customFormat="1">
      <c r="A154" s="91" t="s">
        <v>631</v>
      </c>
      <c r="B154" s="91" t="s">
        <v>225</v>
      </c>
      <c r="C154" s="91" t="s">
        <v>1058</v>
      </c>
      <c r="D154" s="234">
        <v>5.25</v>
      </c>
      <c r="E154" s="92">
        <v>41808</v>
      </c>
      <c r="F154" s="93"/>
      <c r="G154" s="235">
        <f t="shared" si="4"/>
        <v>100</v>
      </c>
      <c r="H154" s="235">
        <f t="shared" si="4"/>
        <v>99.521590000000003</v>
      </c>
      <c r="I154" s="235">
        <f t="shared" si="4"/>
        <v>111.521</v>
      </c>
      <c r="J154" s="235">
        <f t="shared" si="3"/>
        <v>11.999410000000003</v>
      </c>
      <c r="K154" s="93"/>
      <c r="L154" s="236" t="s">
        <v>189</v>
      </c>
      <c r="M154" s="236" t="s">
        <v>122</v>
      </c>
      <c r="N154" s="236" t="s">
        <v>63</v>
      </c>
      <c r="P154" s="91">
        <v>100000</v>
      </c>
      <c r="Q154" s="91">
        <v>99521.59</v>
      </c>
      <c r="R154" s="91">
        <v>111521</v>
      </c>
      <c r="S154" s="91">
        <v>11999.410000000003</v>
      </c>
    </row>
    <row r="155" spans="1:19" s="91" customFormat="1">
      <c r="A155" s="91" t="s">
        <v>632</v>
      </c>
      <c r="B155" s="91" t="s">
        <v>224</v>
      </c>
      <c r="C155" s="91" t="s">
        <v>1056</v>
      </c>
      <c r="D155" s="234">
        <v>9.5</v>
      </c>
      <c r="E155" s="92">
        <v>43966</v>
      </c>
      <c r="F155" s="93"/>
      <c r="G155" s="235">
        <f t="shared" si="4"/>
        <v>9.032020000000001</v>
      </c>
      <c r="H155" s="235">
        <f t="shared" si="4"/>
        <v>9.032020000000001</v>
      </c>
      <c r="I155" s="235">
        <f t="shared" si="4"/>
        <v>10.51559</v>
      </c>
      <c r="J155" s="235">
        <f t="shared" si="3"/>
        <v>1.4835699999999996</v>
      </c>
      <c r="K155" s="93"/>
      <c r="L155" s="236" t="s">
        <v>189</v>
      </c>
      <c r="M155" s="236" t="s">
        <v>122</v>
      </c>
      <c r="N155" s="236" t="s">
        <v>63</v>
      </c>
      <c r="P155" s="91">
        <v>9032.02</v>
      </c>
      <c r="Q155" s="91">
        <v>9032.02</v>
      </c>
      <c r="R155" s="91">
        <v>10515.59</v>
      </c>
      <c r="S155" s="91">
        <v>1483.5699999999997</v>
      </c>
    </row>
    <row r="156" spans="1:19" s="91" customFormat="1">
      <c r="A156" s="91" t="s">
        <v>633</v>
      </c>
      <c r="B156" s="91" t="s">
        <v>226</v>
      </c>
      <c r="C156" s="91" t="s">
        <v>1056</v>
      </c>
      <c r="D156" s="234">
        <v>8.9499999999999993</v>
      </c>
      <c r="E156" s="92">
        <v>44129</v>
      </c>
      <c r="F156" s="93"/>
      <c r="G156" s="235">
        <f t="shared" si="4"/>
        <v>4.5408200000000001</v>
      </c>
      <c r="H156" s="235">
        <f t="shared" si="4"/>
        <v>4.6673</v>
      </c>
      <c r="I156" s="235">
        <f t="shared" si="4"/>
        <v>5.2493599999999994</v>
      </c>
      <c r="J156" s="235">
        <f t="shared" si="3"/>
        <v>0.58205999999999947</v>
      </c>
      <c r="K156" s="93"/>
      <c r="L156" s="236" t="s">
        <v>189</v>
      </c>
      <c r="M156" s="236" t="s">
        <v>122</v>
      </c>
      <c r="N156" s="236" t="s">
        <v>63</v>
      </c>
      <c r="P156" s="91">
        <v>4540.82</v>
      </c>
      <c r="Q156" s="91">
        <v>4667.3</v>
      </c>
      <c r="R156" s="91">
        <v>5249.36</v>
      </c>
      <c r="S156" s="91">
        <v>582.05999999999949</v>
      </c>
    </row>
    <row r="157" spans="1:19" s="91" customFormat="1">
      <c r="A157" s="91" t="s">
        <v>634</v>
      </c>
      <c r="B157" s="91" t="s">
        <v>226</v>
      </c>
      <c r="C157" s="91" t="s">
        <v>1056</v>
      </c>
      <c r="D157" s="234">
        <v>7.5</v>
      </c>
      <c r="E157" s="92">
        <v>44767</v>
      </c>
      <c r="F157" s="93"/>
      <c r="G157" s="235">
        <f t="shared" si="4"/>
        <v>40.071239999999996</v>
      </c>
      <c r="H157" s="235">
        <f t="shared" si="4"/>
        <v>40.183589999999995</v>
      </c>
      <c r="I157" s="235">
        <f t="shared" si="4"/>
        <v>45.697470000000003</v>
      </c>
      <c r="J157" s="235">
        <f t="shared" si="3"/>
        <v>5.5138800000000048</v>
      </c>
      <c r="K157" s="93"/>
      <c r="L157" s="236" t="s">
        <v>189</v>
      </c>
      <c r="M157" s="236" t="s">
        <v>122</v>
      </c>
      <c r="N157" s="236" t="s">
        <v>63</v>
      </c>
      <c r="P157" s="91">
        <v>40071.24</v>
      </c>
      <c r="Q157" s="91">
        <v>40183.589999999997</v>
      </c>
      <c r="R157" s="91">
        <v>45697.47</v>
      </c>
      <c r="S157" s="91">
        <v>5513.8800000000047</v>
      </c>
    </row>
    <row r="158" spans="1:19" s="91" customFormat="1">
      <c r="A158" s="91" t="s">
        <v>635</v>
      </c>
      <c r="B158" s="91" t="s">
        <v>226</v>
      </c>
      <c r="C158" s="91" t="s">
        <v>1058</v>
      </c>
      <c r="D158" s="234">
        <v>4.625</v>
      </c>
      <c r="E158" s="92">
        <v>41395</v>
      </c>
      <c r="F158" s="93"/>
      <c r="G158" s="235">
        <f t="shared" si="4"/>
        <v>1000</v>
      </c>
      <c r="H158" s="235">
        <f t="shared" si="4"/>
        <v>990.37884999999994</v>
      </c>
      <c r="I158" s="235">
        <f t="shared" si="4"/>
        <v>1051.92993</v>
      </c>
      <c r="J158" s="235">
        <f t="shared" si="3"/>
        <v>61.551079999999956</v>
      </c>
      <c r="K158" s="93"/>
      <c r="L158" s="236" t="s">
        <v>181</v>
      </c>
      <c r="M158" s="236" t="s">
        <v>65</v>
      </c>
      <c r="N158" s="236" t="s">
        <v>171</v>
      </c>
      <c r="P158" s="91">
        <v>1000000</v>
      </c>
      <c r="Q158" s="91">
        <v>990378.85</v>
      </c>
      <c r="R158" s="91">
        <v>1051929.93</v>
      </c>
      <c r="S158" s="91">
        <v>61551.079999999958</v>
      </c>
    </row>
    <row r="159" spans="1:19" s="91" customFormat="1">
      <c r="A159" s="91" t="s">
        <v>636</v>
      </c>
      <c r="B159" s="91" t="s">
        <v>226</v>
      </c>
      <c r="C159" s="91" t="s">
        <v>1058</v>
      </c>
      <c r="D159" s="234">
        <v>5.25</v>
      </c>
      <c r="E159" s="92">
        <v>42628</v>
      </c>
      <c r="F159" s="93"/>
      <c r="G159" s="235">
        <f t="shared" si="4"/>
        <v>500</v>
      </c>
      <c r="H159" s="235">
        <f t="shared" si="4"/>
        <v>525.93027000000006</v>
      </c>
      <c r="I159" s="235">
        <f t="shared" si="4"/>
        <v>595.08003000000008</v>
      </c>
      <c r="J159" s="235">
        <f t="shared" si="3"/>
        <v>69.149760000000015</v>
      </c>
      <c r="K159" s="93"/>
      <c r="L159" s="236" t="s">
        <v>189</v>
      </c>
      <c r="M159" s="236" t="s">
        <v>122</v>
      </c>
      <c r="N159" s="236" t="s">
        <v>63</v>
      </c>
      <c r="P159" s="91">
        <v>500000</v>
      </c>
      <c r="Q159" s="91">
        <v>525930.27</v>
      </c>
      <c r="R159" s="91">
        <v>595080.03</v>
      </c>
      <c r="S159" s="91">
        <v>69149.760000000009</v>
      </c>
    </row>
    <row r="160" spans="1:19" s="91" customFormat="1">
      <c r="A160" s="91" t="s">
        <v>637</v>
      </c>
      <c r="B160" s="91" t="s">
        <v>226</v>
      </c>
      <c r="C160" s="91" t="s">
        <v>1056</v>
      </c>
      <c r="D160" s="234">
        <v>9.25</v>
      </c>
      <c r="E160" s="92">
        <v>43398</v>
      </c>
      <c r="F160" s="93"/>
      <c r="G160" s="235">
        <f t="shared" si="4"/>
        <v>1.2637100000000001</v>
      </c>
      <c r="H160" s="235">
        <f t="shared" si="4"/>
        <v>1.28363</v>
      </c>
      <c r="I160" s="235">
        <f t="shared" si="4"/>
        <v>1.4313099999999999</v>
      </c>
      <c r="J160" s="235">
        <f t="shared" si="3"/>
        <v>0.14767999999999984</v>
      </c>
      <c r="K160" s="93"/>
      <c r="L160" s="236" t="s">
        <v>189</v>
      </c>
      <c r="M160" s="236" t="s">
        <v>122</v>
      </c>
      <c r="N160" s="236" t="s">
        <v>63</v>
      </c>
      <c r="P160" s="91">
        <v>1263.71</v>
      </c>
      <c r="Q160" s="91">
        <v>1283.6300000000001</v>
      </c>
      <c r="R160" s="91">
        <v>1431.31</v>
      </c>
      <c r="S160" s="91">
        <v>147.67999999999984</v>
      </c>
    </row>
    <row r="161" spans="1:19" s="91" customFormat="1">
      <c r="A161" s="91" t="s">
        <v>638</v>
      </c>
      <c r="B161" s="91" t="s">
        <v>399</v>
      </c>
      <c r="C161" s="91" t="s">
        <v>1056</v>
      </c>
      <c r="D161" s="234">
        <v>6</v>
      </c>
      <c r="E161" s="92">
        <v>45200</v>
      </c>
      <c r="F161" s="93"/>
      <c r="G161" s="235">
        <f t="shared" si="4"/>
        <v>34.53989</v>
      </c>
      <c r="H161" s="235">
        <f t="shared" si="4"/>
        <v>34.263829999999999</v>
      </c>
      <c r="I161" s="235">
        <f t="shared" si="4"/>
        <v>38.12753</v>
      </c>
      <c r="J161" s="235">
        <f t="shared" si="3"/>
        <v>3.863699999999997</v>
      </c>
      <c r="K161" s="93"/>
      <c r="L161" s="236" t="s">
        <v>189</v>
      </c>
      <c r="M161" s="236" t="s">
        <v>122</v>
      </c>
      <c r="N161" s="236" t="s">
        <v>63</v>
      </c>
      <c r="P161" s="91">
        <v>34539.89</v>
      </c>
      <c r="Q161" s="91">
        <v>34263.83</v>
      </c>
      <c r="R161" s="91">
        <v>38127.53</v>
      </c>
      <c r="S161" s="91">
        <v>3863.6999999999971</v>
      </c>
    </row>
    <row r="162" spans="1:19" s="91" customFormat="1">
      <c r="A162" s="91" t="s">
        <v>639</v>
      </c>
      <c r="B162" s="91" t="s">
        <v>454</v>
      </c>
      <c r="C162" s="91" t="s">
        <v>1056</v>
      </c>
      <c r="D162" s="234">
        <v>9</v>
      </c>
      <c r="E162" s="92">
        <v>42767</v>
      </c>
      <c r="F162" s="93"/>
      <c r="G162" s="235">
        <f t="shared" si="4"/>
        <v>4.2170100000000001</v>
      </c>
      <c r="H162" s="235">
        <f t="shared" si="4"/>
        <v>0.58789999999999998</v>
      </c>
      <c r="I162" s="235">
        <f t="shared" si="4"/>
        <v>0.68658000000000008</v>
      </c>
      <c r="J162" s="235">
        <f t="shared" si="3"/>
        <v>9.8680000000000059E-2</v>
      </c>
      <c r="K162" s="93"/>
      <c r="L162" s="236" t="s">
        <v>189</v>
      </c>
      <c r="M162" s="236" t="s">
        <v>122</v>
      </c>
      <c r="N162" s="236" t="s">
        <v>63</v>
      </c>
      <c r="P162" s="91">
        <v>4217.01</v>
      </c>
      <c r="Q162" s="91">
        <v>587.9</v>
      </c>
      <c r="R162" s="91">
        <v>686.58</v>
      </c>
      <c r="S162" s="91">
        <v>98.680000000000064</v>
      </c>
    </row>
    <row r="163" spans="1:19" s="91" customFormat="1">
      <c r="A163" s="91" t="s">
        <v>640</v>
      </c>
      <c r="B163" s="91" t="s">
        <v>454</v>
      </c>
      <c r="C163" s="91" t="s">
        <v>1056</v>
      </c>
      <c r="D163" s="234">
        <v>9.5</v>
      </c>
      <c r="E163" s="92">
        <v>43101</v>
      </c>
      <c r="F163" s="93"/>
      <c r="G163" s="235">
        <f t="shared" si="4"/>
        <v>0.48924000000000001</v>
      </c>
      <c r="H163" s="235">
        <f t="shared" si="4"/>
        <v>5.8349999999999999E-2</v>
      </c>
      <c r="I163" s="235">
        <f t="shared" si="4"/>
        <v>9.6010000000000012E-2</v>
      </c>
      <c r="J163" s="235">
        <f t="shared" si="3"/>
        <v>3.7660000000000006E-2</v>
      </c>
      <c r="K163" s="93"/>
      <c r="L163" s="236" t="s">
        <v>189</v>
      </c>
      <c r="M163" s="236" t="s">
        <v>122</v>
      </c>
      <c r="N163" s="236" t="s">
        <v>63</v>
      </c>
      <c r="P163" s="91">
        <v>489.24</v>
      </c>
      <c r="Q163" s="91">
        <v>58.35</v>
      </c>
      <c r="R163" s="91">
        <v>96.01</v>
      </c>
      <c r="S163" s="91">
        <v>37.660000000000004</v>
      </c>
    </row>
    <row r="164" spans="1:19" s="91" customFormat="1">
      <c r="A164" s="91" t="s">
        <v>641</v>
      </c>
      <c r="B164" s="91" t="s">
        <v>454</v>
      </c>
      <c r="C164" s="91" t="s">
        <v>1056</v>
      </c>
      <c r="D164" s="234">
        <v>9</v>
      </c>
      <c r="E164" s="92">
        <v>43070</v>
      </c>
      <c r="F164" s="93"/>
      <c r="G164" s="235">
        <f t="shared" si="4"/>
        <v>3.4161199999999998</v>
      </c>
      <c r="H164" s="235">
        <f t="shared" si="4"/>
        <v>0.39067000000000002</v>
      </c>
      <c r="I164" s="235">
        <f t="shared" si="4"/>
        <v>0.58928999999999998</v>
      </c>
      <c r="J164" s="235">
        <f t="shared" si="3"/>
        <v>0.19861999999999994</v>
      </c>
      <c r="K164" s="93"/>
      <c r="L164" s="236" t="s">
        <v>189</v>
      </c>
      <c r="M164" s="236" t="s">
        <v>122</v>
      </c>
      <c r="N164" s="236" t="s">
        <v>63</v>
      </c>
      <c r="P164" s="91">
        <v>3416.12</v>
      </c>
      <c r="Q164" s="91">
        <v>390.67</v>
      </c>
      <c r="R164" s="91">
        <v>589.29</v>
      </c>
      <c r="S164" s="91">
        <v>198.61999999999995</v>
      </c>
    </row>
    <row r="165" spans="1:19" s="91" customFormat="1">
      <c r="A165" s="91" t="s">
        <v>642</v>
      </c>
      <c r="B165" s="91" t="s">
        <v>226</v>
      </c>
      <c r="C165" s="91" t="s">
        <v>1058</v>
      </c>
      <c r="D165" s="234">
        <v>5.24</v>
      </c>
      <c r="E165" s="92">
        <v>43319</v>
      </c>
      <c r="F165" s="93"/>
      <c r="G165" s="235">
        <f t="shared" si="4"/>
        <v>3000</v>
      </c>
      <c r="H165" s="235">
        <f t="shared" si="4"/>
        <v>2937.58862</v>
      </c>
      <c r="I165" s="235">
        <f t="shared" si="4"/>
        <v>3214.6889999999999</v>
      </c>
      <c r="J165" s="235">
        <f t="shared" si="3"/>
        <v>277.10037999999992</v>
      </c>
      <c r="K165" s="93"/>
      <c r="L165" s="236" t="s">
        <v>189</v>
      </c>
      <c r="M165" s="236" t="s">
        <v>122</v>
      </c>
      <c r="N165" s="236" t="s">
        <v>63</v>
      </c>
      <c r="P165" s="91">
        <v>3000000</v>
      </c>
      <c r="Q165" s="91">
        <v>2937588.62</v>
      </c>
      <c r="R165" s="91">
        <v>3214689</v>
      </c>
      <c r="S165" s="91">
        <v>277100.37999999989</v>
      </c>
    </row>
    <row r="166" spans="1:19" s="91" customFormat="1">
      <c r="A166" s="91" t="s">
        <v>643</v>
      </c>
      <c r="B166" s="91" t="s">
        <v>399</v>
      </c>
      <c r="C166" s="91" t="s">
        <v>1056</v>
      </c>
      <c r="D166" s="234">
        <v>6</v>
      </c>
      <c r="E166" s="92">
        <v>45231</v>
      </c>
      <c r="F166" s="93"/>
      <c r="G166" s="235">
        <f t="shared" si="4"/>
        <v>33.5822</v>
      </c>
      <c r="H166" s="235">
        <f t="shared" si="4"/>
        <v>33.368569999999998</v>
      </c>
      <c r="I166" s="235">
        <f t="shared" si="4"/>
        <v>37.070370000000004</v>
      </c>
      <c r="J166" s="235">
        <f t="shared" si="3"/>
        <v>3.7018000000000031</v>
      </c>
      <c r="K166" s="93"/>
      <c r="L166" s="236" t="s">
        <v>189</v>
      </c>
      <c r="M166" s="236" t="s">
        <v>122</v>
      </c>
      <c r="N166" s="236" t="s">
        <v>63</v>
      </c>
      <c r="P166" s="91">
        <v>33582.199999999997</v>
      </c>
      <c r="Q166" s="91">
        <v>33368.57</v>
      </c>
      <c r="R166" s="91">
        <v>37070.370000000003</v>
      </c>
      <c r="S166" s="91">
        <v>3701.8000000000029</v>
      </c>
    </row>
    <row r="167" spans="1:19" s="91" customFormat="1">
      <c r="A167" s="91" t="s">
        <v>644</v>
      </c>
      <c r="B167" s="91" t="s">
        <v>399</v>
      </c>
      <c r="C167" s="91" t="s">
        <v>1056</v>
      </c>
      <c r="D167" s="234">
        <v>6.5</v>
      </c>
      <c r="E167" s="92">
        <v>48183</v>
      </c>
      <c r="F167" s="93"/>
      <c r="G167" s="235">
        <f t="shared" si="4"/>
        <v>181.27703</v>
      </c>
      <c r="H167" s="235">
        <f t="shared" si="4"/>
        <v>182.80135999999999</v>
      </c>
      <c r="I167" s="235">
        <f t="shared" si="4"/>
        <v>205.18947</v>
      </c>
      <c r="J167" s="235">
        <f t="shared" si="3"/>
        <v>22.388110000000015</v>
      </c>
      <c r="K167" s="93"/>
      <c r="L167" s="236" t="s">
        <v>189</v>
      </c>
      <c r="M167" s="236" t="s">
        <v>122</v>
      </c>
      <c r="N167" s="236" t="s">
        <v>63</v>
      </c>
      <c r="P167" s="91">
        <v>181277.03</v>
      </c>
      <c r="Q167" s="91">
        <v>182801.36</v>
      </c>
      <c r="R167" s="91">
        <v>205189.47</v>
      </c>
      <c r="S167" s="91">
        <v>22388.110000000015</v>
      </c>
    </row>
    <row r="168" spans="1:19" s="91" customFormat="1">
      <c r="A168" s="91" t="s">
        <v>645</v>
      </c>
      <c r="B168" s="91" t="s">
        <v>399</v>
      </c>
      <c r="C168" s="91" t="s">
        <v>1056</v>
      </c>
      <c r="D168" s="234">
        <v>5.5</v>
      </c>
      <c r="E168" s="92">
        <v>43009</v>
      </c>
      <c r="F168" s="93"/>
      <c r="G168" s="235">
        <f t="shared" si="4"/>
        <v>120.68752000000001</v>
      </c>
      <c r="H168" s="235">
        <f t="shared" si="4"/>
        <v>121.79555000000001</v>
      </c>
      <c r="I168" s="235">
        <f t="shared" si="4"/>
        <v>131.06236999999999</v>
      </c>
      <c r="J168" s="235">
        <f t="shared" si="3"/>
        <v>9.2668199999999921</v>
      </c>
      <c r="K168" s="93"/>
      <c r="L168" s="236" t="s">
        <v>189</v>
      </c>
      <c r="M168" s="236" t="s">
        <v>122</v>
      </c>
      <c r="N168" s="236" t="s">
        <v>63</v>
      </c>
      <c r="P168" s="91">
        <v>120687.52</v>
      </c>
      <c r="Q168" s="91">
        <v>121795.55</v>
      </c>
      <c r="R168" s="91">
        <v>131062.37</v>
      </c>
      <c r="S168" s="91">
        <v>9266.8199999999924</v>
      </c>
    </row>
    <row r="169" spans="1:19" s="91" customFormat="1">
      <c r="A169" s="91" t="s">
        <v>646</v>
      </c>
      <c r="B169" s="91" t="s">
        <v>399</v>
      </c>
      <c r="C169" s="91" t="s">
        <v>1056</v>
      </c>
      <c r="D169" s="234">
        <v>5.5</v>
      </c>
      <c r="E169" s="92">
        <v>48427</v>
      </c>
      <c r="F169" s="93"/>
      <c r="G169" s="235">
        <f t="shared" si="4"/>
        <v>173.34485999999998</v>
      </c>
      <c r="H169" s="235">
        <f t="shared" si="4"/>
        <v>173.10483000000002</v>
      </c>
      <c r="I169" s="235">
        <f t="shared" si="4"/>
        <v>189.65404000000001</v>
      </c>
      <c r="J169" s="235">
        <f t="shared" si="3"/>
        <v>16.549210000000006</v>
      </c>
      <c r="K169" s="93"/>
      <c r="L169" s="236" t="s">
        <v>189</v>
      </c>
      <c r="M169" s="236" t="s">
        <v>122</v>
      </c>
      <c r="N169" s="236" t="s">
        <v>63</v>
      </c>
      <c r="P169" s="91">
        <v>173344.86</v>
      </c>
      <c r="Q169" s="91">
        <v>173104.83000000002</v>
      </c>
      <c r="R169" s="91">
        <v>189654.04</v>
      </c>
      <c r="S169" s="91">
        <v>16549.210000000006</v>
      </c>
    </row>
    <row r="170" spans="1:19" s="91" customFormat="1">
      <c r="A170" s="91" t="s">
        <v>647</v>
      </c>
      <c r="B170" s="91" t="s">
        <v>399</v>
      </c>
      <c r="C170" s="91" t="s">
        <v>1056</v>
      </c>
      <c r="D170" s="234">
        <v>6</v>
      </c>
      <c r="E170" s="92">
        <v>48458</v>
      </c>
      <c r="F170" s="93"/>
      <c r="G170" s="235">
        <f t="shared" si="4"/>
        <v>126.40788000000001</v>
      </c>
      <c r="H170" s="235">
        <f t="shared" si="4"/>
        <v>126.99227999999999</v>
      </c>
      <c r="I170" s="235">
        <f t="shared" si="4"/>
        <v>140.76709</v>
      </c>
      <c r="J170" s="235">
        <f t="shared" si="3"/>
        <v>13.774809999999997</v>
      </c>
      <c r="K170" s="93"/>
      <c r="L170" s="236" t="s">
        <v>189</v>
      </c>
      <c r="M170" s="236" t="s">
        <v>122</v>
      </c>
      <c r="N170" s="236" t="s">
        <v>63</v>
      </c>
      <c r="P170" s="91">
        <v>126407.88</v>
      </c>
      <c r="Q170" s="91">
        <v>126992.28</v>
      </c>
      <c r="R170" s="91">
        <v>140767.09</v>
      </c>
      <c r="S170" s="91">
        <v>13774.809999999998</v>
      </c>
    </row>
    <row r="171" spans="1:19" s="91" customFormat="1">
      <c r="A171" s="91" t="s">
        <v>648</v>
      </c>
      <c r="B171" s="91" t="s">
        <v>399</v>
      </c>
      <c r="C171" s="91" t="s">
        <v>1056</v>
      </c>
      <c r="D171" s="234">
        <v>6</v>
      </c>
      <c r="E171" s="92">
        <v>44896</v>
      </c>
      <c r="F171" s="93"/>
      <c r="G171" s="235">
        <f t="shared" si="4"/>
        <v>220.11360000000002</v>
      </c>
      <c r="H171" s="235">
        <f t="shared" si="4"/>
        <v>222.04926999999998</v>
      </c>
      <c r="I171" s="235">
        <f t="shared" si="4"/>
        <v>243.40172999999999</v>
      </c>
      <c r="J171" s="235">
        <f t="shared" si="3"/>
        <v>21.352460000000008</v>
      </c>
      <c r="K171" s="93"/>
      <c r="L171" s="236" t="s">
        <v>189</v>
      </c>
      <c r="M171" s="236" t="s">
        <v>122</v>
      </c>
      <c r="N171" s="236" t="s">
        <v>63</v>
      </c>
      <c r="P171" s="91">
        <v>220113.6</v>
      </c>
      <c r="Q171" s="91">
        <v>222049.27</v>
      </c>
      <c r="R171" s="91">
        <v>243401.72999999998</v>
      </c>
      <c r="S171" s="91">
        <v>21352.460000000006</v>
      </c>
    </row>
    <row r="172" spans="1:19" s="91" customFormat="1">
      <c r="A172" s="91" t="s">
        <v>649</v>
      </c>
      <c r="B172" s="91" t="s">
        <v>399</v>
      </c>
      <c r="C172" s="91" t="s">
        <v>1056</v>
      </c>
      <c r="D172" s="234">
        <v>5.5</v>
      </c>
      <c r="E172" s="92">
        <v>48823</v>
      </c>
      <c r="F172" s="93"/>
      <c r="G172" s="235">
        <f t="shared" si="4"/>
        <v>680.37463000000002</v>
      </c>
      <c r="H172" s="235">
        <f t="shared" si="4"/>
        <v>679.11297000000002</v>
      </c>
      <c r="I172" s="235">
        <f t="shared" si="4"/>
        <v>744.73564999999985</v>
      </c>
      <c r="J172" s="235">
        <f t="shared" si="3"/>
        <v>65.622679999999988</v>
      </c>
      <c r="K172" s="93"/>
      <c r="L172" s="236" t="s">
        <v>189</v>
      </c>
      <c r="M172" s="236" t="s">
        <v>122</v>
      </c>
      <c r="N172" s="236" t="s">
        <v>63</v>
      </c>
      <c r="P172" s="91">
        <v>680374.63</v>
      </c>
      <c r="Q172" s="91">
        <v>679112.97</v>
      </c>
      <c r="R172" s="91">
        <v>744735.64999999991</v>
      </c>
      <c r="S172" s="91">
        <v>65622.679999999993</v>
      </c>
    </row>
    <row r="173" spans="1:19" s="91" customFormat="1">
      <c r="A173" s="91" t="s">
        <v>650</v>
      </c>
      <c r="B173" s="91" t="s">
        <v>399</v>
      </c>
      <c r="C173" s="91" t="s">
        <v>1056</v>
      </c>
      <c r="D173" s="234">
        <v>6</v>
      </c>
      <c r="E173" s="92">
        <v>47362</v>
      </c>
      <c r="F173" s="93"/>
      <c r="G173" s="235">
        <f t="shared" si="4"/>
        <v>49.202280000000002</v>
      </c>
      <c r="H173" s="235">
        <f t="shared" si="4"/>
        <v>47.836680000000001</v>
      </c>
      <c r="I173" s="235">
        <f t="shared" si="4"/>
        <v>54.824750000000002</v>
      </c>
      <c r="J173" s="235">
        <f t="shared" si="3"/>
        <v>6.9880699999999996</v>
      </c>
      <c r="K173" s="93"/>
      <c r="L173" s="236" t="s">
        <v>189</v>
      </c>
      <c r="M173" s="236" t="s">
        <v>122</v>
      </c>
      <c r="N173" s="236" t="s">
        <v>63</v>
      </c>
      <c r="P173" s="91">
        <v>49202.28</v>
      </c>
      <c r="Q173" s="91">
        <v>47836.68</v>
      </c>
      <c r="R173" s="91">
        <v>54824.75</v>
      </c>
      <c r="S173" s="91">
        <v>6988.07</v>
      </c>
    </row>
    <row r="174" spans="1:19" s="91" customFormat="1">
      <c r="A174" s="91" t="s">
        <v>651</v>
      </c>
      <c r="B174" s="91" t="s">
        <v>399</v>
      </c>
      <c r="C174" s="91" t="s">
        <v>1056</v>
      </c>
      <c r="D174" s="234">
        <v>6.5</v>
      </c>
      <c r="E174" s="92">
        <v>46753</v>
      </c>
      <c r="F174" s="93"/>
      <c r="G174" s="235">
        <f t="shared" si="4"/>
        <v>51.310949999999998</v>
      </c>
      <c r="H174" s="235">
        <f t="shared" si="4"/>
        <v>49.598930000000003</v>
      </c>
      <c r="I174" s="235">
        <f t="shared" si="4"/>
        <v>57.52881</v>
      </c>
      <c r="J174" s="235">
        <f t="shared" si="3"/>
        <v>7.9298799999999972</v>
      </c>
      <c r="K174" s="93"/>
      <c r="L174" s="236" t="s">
        <v>189</v>
      </c>
      <c r="M174" s="236" t="s">
        <v>122</v>
      </c>
      <c r="N174" s="236" t="s">
        <v>63</v>
      </c>
      <c r="P174" s="91">
        <v>51310.95</v>
      </c>
      <c r="Q174" s="91">
        <v>49598.93</v>
      </c>
      <c r="R174" s="91">
        <v>57528.81</v>
      </c>
      <c r="S174" s="91">
        <v>7929.8799999999974</v>
      </c>
    </row>
    <row r="175" spans="1:19" s="91" customFormat="1">
      <c r="A175" s="91" t="s">
        <v>652</v>
      </c>
      <c r="B175" s="91" t="s">
        <v>413</v>
      </c>
      <c r="C175" s="91" t="s">
        <v>1056</v>
      </c>
      <c r="D175" s="234">
        <v>4.3330000000000002</v>
      </c>
      <c r="E175" s="92">
        <v>44129</v>
      </c>
      <c r="F175" s="93"/>
      <c r="G175" s="235">
        <f t="shared" si="4"/>
        <v>2475</v>
      </c>
      <c r="H175" s="235">
        <f t="shared" si="4"/>
        <v>2497.1498199999996</v>
      </c>
      <c r="I175" s="235">
        <f t="shared" si="4"/>
        <v>2775.3934800000002</v>
      </c>
      <c r="J175" s="235">
        <f t="shared" si="3"/>
        <v>278.24365999999992</v>
      </c>
      <c r="K175" s="93"/>
      <c r="L175" s="236" t="s">
        <v>189</v>
      </c>
      <c r="M175" s="236" t="s">
        <v>122</v>
      </c>
      <c r="N175" s="236" t="s">
        <v>63</v>
      </c>
      <c r="P175" s="91">
        <v>2475000</v>
      </c>
      <c r="Q175" s="91">
        <v>2497149.8199999998</v>
      </c>
      <c r="R175" s="91">
        <v>2775393.48</v>
      </c>
      <c r="S175" s="91">
        <v>278243.65999999992</v>
      </c>
    </row>
    <row r="176" spans="1:19" s="91" customFormat="1">
      <c r="A176" s="91" t="s">
        <v>653</v>
      </c>
      <c r="B176" s="91" t="s">
        <v>413</v>
      </c>
      <c r="C176" s="91" t="s">
        <v>1056</v>
      </c>
      <c r="D176" s="234">
        <v>3.8820000000000001</v>
      </c>
      <c r="E176" s="92">
        <v>43064</v>
      </c>
      <c r="F176" s="93"/>
      <c r="G176" s="235">
        <f t="shared" si="4"/>
        <v>4500</v>
      </c>
      <c r="H176" s="235">
        <f t="shared" si="4"/>
        <v>4538.6257399999995</v>
      </c>
      <c r="I176" s="235">
        <f t="shared" si="4"/>
        <v>4916.2333499999995</v>
      </c>
      <c r="J176" s="235">
        <f t="shared" si="3"/>
        <v>377.60760999999991</v>
      </c>
      <c r="K176" s="93"/>
      <c r="L176" s="236" t="s">
        <v>189</v>
      </c>
      <c r="M176" s="236" t="s">
        <v>122</v>
      </c>
      <c r="N176" s="236" t="s">
        <v>63</v>
      </c>
      <c r="P176" s="91">
        <v>4500000</v>
      </c>
      <c r="Q176" s="91">
        <v>4538625.7399999993</v>
      </c>
      <c r="R176" s="91">
        <v>4916233.3499999996</v>
      </c>
      <c r="S176" s="91">
        <v>377607.60999999993</v>
      </c>
    </row>
    <row r="177" spans="1:19" s="91" customFormat="1">
      <c r="A177" s="91" t="s">
        <v>1078</v>
      </c>
      <c r="B177" s="91" t="s">
        <v>224</v>
      </c>
      <c r="C177" s="91" t="s">
        <v>1056</v>
      </c>
      <c r="D177" s="234">
        <v>2.6989999999999998</v>
      </c>
      <c r="E177" s="92">
        <v>43245</v>
      </c>
      <c r="F177" s="93"/>
      <c r="G177" s="235">
        <f t="shared" si="4"/>
        <v>2000</v>
      </c>
      <c r="H177" s="235">
        <f t="shared" si="4"/>
        <v>2018.98819</v>
      </c>
      <c r="I177" s="235">
        <f t="shared" si="4"/>
        <v>2067.4088000000002</v>
      </c>
      <c r="J177" s="235">
        <f t="shared" si="3"/>
        <v>48.420610000000103</v>
      </c>
      <c r="K177" s="93"/>
      <c r="L177" s="236" t="s">
        <v>189</v>
      </c>
      <c r="M177" s="236" t="s">
        <v>122</v>
      </c>
      <c r="N177" s="236" t="s">
        <v>63</v>
      </c>
      <c r="P177" s="91">
        <v>2000000</v>
      </c>
      <c r="Q177" s="91">
        <v>2018988.19</v>
      </c>
      <c r="R177" s="91">
        <v>2067408.8</v>
      </c>
      <c r="S177" s="91">
        <v>48420.610000000102</v>
      </c>
    </row>
    <row r="178" spans="1:19" s="91" customFormat="1">
      <c r="A178" s="91" t="s">
        <v>654</v>
      </c>
      <c r="B178" s="91" t="s">
        <v>224</v>
      </c>
      <c r="C178" s="91" t="s">
        <v>1058</v>
      </c>
      <c r="D178" s="234">
        <v>3.75</v>
      </c>
      <c r="E178" s="92">
        <v>43551</v>
      </c>
      <c r="F178" s="93"/>
      <c r="G178" s="235">
        <f t="shared" si="4"/>
        <v>2500</v>
      </c>
      <c r="H178" s="235">
        <f t="shared" si="4"/>
        <v>2405.4908999999998</v>
      </c>
      <c r="I178" s="235">
        <f t="shared" si="4"/>
        <v>2855.8000499999998</v>
      </c>
      <c r="J178" s="235">
        <f t="shared" si="3"/>
        <v>450.3091500000001</v>
      </c>
      <c r="K178" s="93"/>
      <c r="L178" s="236" t="s">
        <v>189</v>
      </c>
      <c r="M178" s="236" t="s">
        <v>122</v>
      </c>
      <c r="N178" s="236" t="s">
        <v>63</v>
      </c>
      <c r="P178" s="91">
        <v>2500000</v>
      </c>
      <c r="Q178" s="91">
        <v>2405490.9</v>
      </c>
      <c r="R178" s="91">
        <v>2855800.05</v>
      </c>
      <c r="S178" s="91">
        <v>450309.15000000008</v>
      </c>
    </row>
    <row r="179" spans="1:19" s="91" customFormat="1">
      <c r="A179" s="91" t="s">
        <v>655</v>
      </c>
      <c r="B179" s="91" t="s">
        <v>399</v>
      </c>
      <c r="C179" s="91" t="s">
        <v>1056</v>
      </c>
      <c r="D179" s="234">
        <v>6.5</v>
      </c>
      <c r="E179" s="92">
        <v>47088</v>
      </c>
      <c r="F179" s="93"/>
      <c r="G179" s="235">
        <f t="shared" si="4"/>
        <v>323.22965999999997</v>
      </c>
      <c r="H179" s="235">
        <f t="shared" si="4"/>
        <v>335.90151000000003</v>
      </c>
      <c r="I179" s="235">
        <f t="shared" si="4"/>
        <v>367.50221999999997</v>
      </c>
      <c r="J179" s="235">
        <f t="shared" si="3"/>
        <v>31.600709999999964</v>
      </c>
      <c r="K179" s="93"/>
      <c r="L179" s="236" t="s">
        <v>189</v>
      </c>
      <c r="M179" s="236" t="s">
        <v>122</v>
      </c>
      <c r="N179" s="236" t="s">
        <v>63</v>
      </c>
      <c r="P179" s="91">
        <v>323229.65999999997</v>
      </c>
      <c r="Q179" s="91">
        <v>335901.51</v>
      </c>
      <c r="R179" s="91">
        <v>367502.22</v>
      </c>
      <c r="S179" s="91">
        <v>31600.709999999963</v>
      </c>
    </row>
    <row r="180" spans="1:19" s="91" customFormat="1">
      <c r="A180" s="91" t="s">
        <v>984</v>
      </c>
      <c r="B180" s="91" t="s">
        <v>433</v>
      </c>
      <c r="C180" s="91" t="s">
        <v>1056</v>
      </c>
      <c r="D180" s="234">
        <v>3.27</v>
      </c>
      <c r="E180" s="92">
        <v>44105</v>
      </c>
      <c r="F180" s="93"/>
      <c r="G180" s="235">
        <f t="shared" si="4"/>
        <v>1000</v>
      </c>
      <c r="H180" s="235">
        <f t="shared" si="4"/>
        <v>954.15135999999995</v>
      </c>
      <c r="I180" s="235">
        <f t="shared" si="4"/>
        <v>1046.6861200000001</v>
      </c>
      <c r="J180" s="235">
        <f t="shared" si="3"/>
        <v>92.534760000000006</v>
      </c>
      <c r="K180" s="93"/>
      <c r="L180" s="236" t="s">
        <v>189</v>
      </c>
      <c r="M180" s="236" t="s">
        <v>122</v>
      </c>
      <c r="N180" s="236" t="s">
        <v>63</v>
      </c>
      <c r="P180" s="91">
        <v>1000000</v>
      </c>
      <c r="Q180" s="91">
        <v>954151.36</v>
      </c>
      <c r="R180" s="91">
        <v>1046686.12</v>
      </c>
      <c r="S180" s="91">
        <v>92534.760000000009</v>
      </c>
    </row>
    <row r="181" spans="1:19" s="91" customFormat="1">
      <c r="A181" s="91" t="s">
        <v>967</v>
      </c>
      <c r="B181" s="91" t="s">
        <v>399</v>
      </c>
      <c r="C181" s="91" t="s">
        <v>1056</v>
      </c>
      <c r="D181" s="234">
        <v>3.07</v>
      </c>
      <c r="E181" s="92">
        <v>43070</v>
      </c>
      <c r="F181" s="93"/>
      <c r="G181" s="235">
        <f t="shared" si="4"/>
        <v>984.13684000000001</v>
      </c>
      <c r="H181" s="235">
        <f t="shared" si="4"/>
        <v>967.91120000000001</v>
      </c>
      <c r="I181" s="235">
        <f t="shared" si="4"/>
        <v>1029.37843</v>
      </c>
      <c r="J181" s="235">
        <f t="shared" si="3"/>
        <v>61.4672300000001</v>
      </c>
      <c r="K181" s="93"/>
      <c r="L181" s="236" t="s">
        <v>189</v>
      </c>
      <c r="M181" s="236" t="s">
        <v>122</v>
      </c>
      <c r="N181" s="236" t="s">
        <v>63</v>
      </c>
      <c r="P181" s="91">
        <v>984136.84</v>
      </c>
      <c r="Q181" s="91">
        <v>967911.2</v>
      </c>
      <c r="R181" s="91">
        <v>1029378.43</v>
      </c>
      <c r="S181" s="91">
        <v>61467.230000000098</v>
      </c>
    </row>
    <row r="182" spans="1:19" s="91" customFormat="1">
      <c r="A182" s="91" t="s">
        <v>1079</v>
      </c>
      <c r="B182" s="91" t="s">
        <v>433</v>
      </c>
      <c r="C182" s="91" t="s">
        <v>1056</v>
      </c>
      <c r="D182" s="234">
        <v>4.01</v>
      </c>
      <c r="E182" s="92">
        <v>44440</v>
      </c>
      <c r="F182" s="93"/>
      <c r="G182" s="235">
        <f t="shared" si="4"/>
        <v>597.96542999999997</v>
      </c>
      <c r="H182" s="235">
        <f t="shared" si="4"/>
        <v>641.95802000000003</v>
      </c>
      <c r="I182" s="235">
        <f t="shared" si="4"/>
        <v>652.09103000000005</v>
      </c>
      <c r="J182" s="235">
        <f t="shared" si="3"/>
        <v>10.133009999999951</v>
      </c>
      <c r="K182" s="93"/>
      <c r="L182" s="236" t="s">
        <v>189</v>
      </c>
      <c r="M182" s="236" t="s">
        <v>122</v>
      </c>
      <c r="N182" s="236" t="s">
        <v>63</v>
      </c>
      <c r="P182" s="91">
        <v>597965.42999999993</v>
      </c>
      <c r="Q182" s="91">
        <v>641958.02</v>
      </c>
      <c r="R182" s="91">
        <v>652091.03</v>
      </c>
      <c r="S182" s="91">
        <v>10133.009999999951</v>
      </c>
    </row>
    <row r="183" spans="1:19" s="91" customFormat="1">
      <c r="A183" s="91" t="s">
        <v>1080</v>
      </c>
      <c r="B183" s="91" t="s">
        <v>433</v>
      </c>
      <c r="C183" s="91" t="s">
        <v>1056</v>
      </c>
      <c r="D183" s="234">
        <v>3.83</v>
      </c>
      <c r="E183" s="92">
        <v>44378</v>
      </c>
      <c r="F183" s="93"/>
      <c r="G183" s="235">
        <f t="shared" si="4"/>
        <v>400</v>
      </c>
      <c r="H183" s="235">
        <f t="shared" si="4"/>
        <v>423.17622999999998</v>
      </c>
      <c r="I183" s="235">
        <f t="shared" si="4"/>
        <v>431.71823000000001</v>
      </c>
      <c r="J183" s="235">
        <f t="shared" si="3"/>
        <v>8.5419999999999998</v>
      </c>
      <c r="K183" s="93"/>
      <c r="L183" s="236" t="s">
        <v>189</v>
      </c>
      <c r="M183" s="236" t="s">
        <v>122</v>
      </c>
      <c r="N183" s="236" t="s">
        <v>63</v>
      </c>
      <c r="P183" s="91">
        <v>400000</v>
      </c>
      <c r="Q183" s="91">
        <v>423176.23</v>
      </c>
      <c r="R183" s="91">
        <v>431718.23</v>
      </c>
      <c r="S183" s="91">
        <v>8542</v>
      </c>
    </row>
    <row r="184" spans="1:19" s="91" customFormat="1">
      <c r="A184" s="91" t="s">
        <v>1081</v>
      </c>
      <c r="B184" s="91" t="s">
        <v>433</v>
      </c>
      <c r="C184" s="91" t="s">
        <v>1056</v>
      </c>
      <c r="D184" s="234">
        <v>3.84</v>
      </c>
      <c r="E184" s="92">
        <v>44378</v>
      </c>
      <c r="F184" s="93"/>
      <c r="G184" s="235">
        <f t="shared" si="4"/>
        <v>500</v>
      </c>
      <c r="H184" s="235">
        <f t="shared" si="4"/>
        <v>529.80453</v>
      </c>
      <c r="I184" s="235">
        <f t="shared" si="4"/>
        <v>540.12565000000006</v>
      </c>
      <c r="J184" s="235">
        <f t="shared" si="3"/>
        <v>10.321120000000054</v>
      </c>
      <c r="K184" s="93"/>
      <c r="L184" s="236" t="s">
        <v>189</v>
      </c>
      <c r="M184" s="236" t="s">
        <v>122</v>
      </c>
      <c r="N184" s="236" t="s">
        <v>63</v>
      </c>
      <c r="P184" s="91">
        <v>500000</v>
      </c>
      <c r="Q184" s="91">
        <v>529804.53</v>
      </c>
      <c r="R184" s="91">
        <v>540125.65</v>
      </c>
      <c r="S184" s="91">
        <v>10321.120000000054</v>
      </c>
    </row>
    <row r="185" spans="1:19" s="91" customFormat="1">
      <c r="A185" s="91" t="s">
        <v>656</v>
      </c>
      <c r="B185" s="91" t="s">
        <v>399</v>
      </c>
      <c r="C185" s="91" t="s">
        <v>1056</v>
      </c>
      <c r="D185" s="234">
        <v>7</v>
      </c>
      <c r="E185" s="92">
        <v>47453</v>
      </c>
      <c r="F185" s="93"/>
      <c r="G185" s="235">
        <f t="shared" si="4"/>
        <v>10.39007</v>
      </c>
      <c r="H185" s="235">
        <f t="shared" si="4"/>
        <v>10.194709999999999</v>
      </c>
      <c r="I185" s="235">
        <f t="shared" si="4"/>
        <v>12.041840000000001</v>
      </c>
      <c r="J185" s="235">
        <f t="shared" si="3"/>
        <v>1.847130000000001</v>
      </c>
      <c r="K185" s="93"/>
      <c r="L185" s="236" t="s">
        <v>189</v>
      </c>
      <c r="M185" s="236" t="s">
        <v>122</v>
      </c>
      <c r="N185" s="236" t="s">
        <v>63</v>
      </c>
      <c r="P185" s="91">
        <v>10390.07</v>
      </c>
      <c r="Q185" s="91">
        <v>10194.709999999999</v>
      </c>
      <c r="R185" s="91">
        <v>12041.84</v>
      </c>
      <c r="S185" s="91">
        <v>1847.130000000001</v>
      </c>
    </row>
    <row r="186" spans="1:19" s="91" customFormat="1">
      <c r="A186" s="91" t="s">
        <v>657</v>
      </c>
      <c r="B186" s="91" t="s">
        <v>399</v>
      </c>
      <c r="C186" s="91" t="s">
        <v>1056</v>
      </c>
      <c r="D186" s="234">
        <v>8.5</v>
      </c>
      <c r="E186" s="92">
        <v>47696</v>
      </c>
      <c r="F186" s="93"/>
      <c r="G186" s="235">
        <f t="shared" si="4"/>
        <v>6.9727899999999998</v>
      </c>
      <c r="H186" s="235">
        <f t="shared" si="4"/>
        <v>6.99939</v>
      </c>
      <c r="I186" s="235">
        <f t="shared" si="4"/>
        <v>8.4977099999999997</v>
      </c>
      <c r="J186" s="235">
        <f t="shared" si="3"/>
        <v>1.4983199999999988</v>
      </c>
      <c r="K186" s="93"/>
      <c r="L186" s="236" t="s">
        <v>189</v>
      </c>
      <c r="M186" s="236" t="s">
        <v>122</v>
      </c>
      <c r="N186" s="236" t="s">
        <v>63</v>
      </c>
      <c r="P186" s="91">
        <v>6972.79</v>
      </c>
      <c r="Q186" s="91">
        <v>6999.39</v>
      </c>
      <c r="R186" s="91">
        <v>8497.7099999999991</v>
      </c>
      <c r="S186" s="91">
        <v>1498.3199999999988</v>
      </c>
    </row>
    <row r="187" spans="1:19" s="91" customFormat="1">
      <c r="A187" s="91" t="s">
        <v>658</v>
      </c>
      <c r="B187" s="91" t="s">
        <v>399</v>
      </c>
      <c r="C187" s="91" t="s">
        <v>1056</v>
      </c>
      <c r="D187" s="234">
        <v>6</v>
      </c>
      <c r="E187" s="92">
        <v>48335</v>
      </c>
      <c r="F187" s="93"/>
      <c r="G187" s="235">
        <f t="shared" si="4"/>
        <v>475.76474999999999</v>
      </c>
      <c r="H187" s="235">
        <f t="shared" si="4"/>
        <v>475.49380999999994</v>
      </c>
      <c r="I187" s="235">
        <f t="shared" si="4"/>
        <v>529.80889000000002</v>
      </c>
      <c r="J187" s="235">
        <f t="shared" si="3"/>
        <v>54.315079999999988</v>
      </c>
      <c r="K187" s="93"/>
      <c r="L187" s="236" t="s">
        <v>189</v>
      </c>
      <c r="M187" s="236" t="s">
        <v>122</v>
      </c>
      <c r="N187" s="236" t="s">
        <v>63</v>
      </c>
      <c r="P187" s="91">
        <v>475764.75</v>
      </c>
      <c r="Q187" s="91">
        <v>475493.80999999994</v>
      </c>
      <c r="R187" s="91">
        <v>529808.89</v>
      </c>
      <c r="S187" s="91">
        <v>54315.079999999987</v>
      </c>
    </row>
    <row r="188" spans="1:19" s="91" customFormat="1">
      <c r="A188" s="91" t="s">
        <v>659</v>
      </c>
      <c r="B188" s="91" t="s">
        <v>399</v>
      </c>
      <c r="C188" s="91" t="s">
        <v>1056</v>
      </c>
      <c r="D188" s="234">
        <v>7</v>
      </c>
      <c r="E188" s="92">
        <v>47757</v>
      </c>
      <c r="F188" s="93"/>
      <c r="G188" s="235">
        <f t="shared" si="4"/>
        <v>2.2854000000000001</v>
      </c>
      <c r="H188" s="235">
        <f t="shared" si="4"/>
        <v>2.2590299999999996</v>
      </c>
      <c r="I188" s="235">
        <f t="shared" si="4"/>
        <v>2.6490299999999998</v>
      </c>
      <c r="J188" s="235">
        <f t="shared" si="3"/>
        <v>0.39</v>
      </c>
      <c r="K188" s="93"/>
      <c r="L188" s="236" t="s">
        <v>189</v>
      </c>
      <c r="M188" s="236" t="s">
        <v>122</v>
      </c>
      <c r="N188" s="236" t="s">
        <v>63</v>
      </c>
      <c r="P188" s="91">
        <v>2285.4</v>
      </c>
      <c r="Q188" s="91">
        <v>2259.0299999999997</v>
      </c>
      <c r="R188" s="91">
        <v>2649.0299999999997</v>
      </c>
      <c r="S188" s="91">
        <v>390</v>
      </c>
    </row>
    <row r="189" spans="1:19" s="91" customFormat="1">
      <c r="A189" s="91" t="s">
        <v>660</v>
      </c>
      <c r="B189" s="91" t="s">
        <v>399</v>
      </c>
      <c r="C189" s="91" t="s">
        <v>1056</v>
      </c>
      <c r="D189" s="234">
        <v>6.5</v>
      </c>
      <c r="E189" s="92">
        <v>48214</v>
      </c>
      <c r="F189" s="93"/>
      <c r="G189" s="235">
        <f t="shared" si="4"/>
        <v>53.257630000000006</v>
      </c>
      <c r="H189" s="235">
        <f t="shared" si="4"/>
        <v>53.230319999999999</v>
      </c>
      <c r="I189" s="235">
        <f t="shared" si="4"/>
        <v>60.291210000000007</v>
      </c>
      <c r="J189" s="235">
        <f t="shared" si="3"/>
        <v>7.0608900000000032</v>
      </c>
      <c r="K189" s="93"/>
      <c r="L189" s="236" t="s">
        <v>189</v>
      </c>
      <c r="M189" s="236" t="s">
        <v>122</v>
      </c>
      <c r="N189" s="236" t="s">
        <v>63</v>
      </c>
      <c r="P189" s="91">
        <v>53257.630000000005</v>
      </c>
      <c r="Q189" s="91">
        <v>53230.32</v>
      </c>
      <c r="R189" s="91">
        <v>60291.210000000006</v>
      </c>
      <c r="S189" s="91">
        <v>7060.8900000000031</v>
      </c>
    </row>
    <row r="190" spans="1:19" s="91" customFormat="1">
      <c r="A190" s="91" t="s">
        <v>661</v>
      </c>
      <c r="B190" s="91" t="s">
        <v>399</v>
      </c>
      <c r="C190" s="91" t="s">
        <v>1056</v>
      </c>
      <c r="D190" s="234">
        <v>6.5</v>
      </c>
      <c r="E190" s="92">
        <v>48335</v>
      </c>
      <c r="F190" s="93"/>
      <c r="G190" s="235">
        <f t="shared" si="4"/>
        <v>83.758359999999996</v>
      </c>
      <c r="H190" s="235">
        <f t="shared" si="4"/>
        <v>84.218740000000011</v>
      </c>
      <c r="I190" s="235">
        <f t="shared" si="4"/>
        <v>94.820070000000001</v>
      </c>
      <c r="J190" s="235">
        <f t="shared" si="3"/>
        <v>10.601330000000003</v>
      </c>
      <c r="K190" s="93"/>
      <c r="L190" s="236" t="s">
        <v>189</v>
      </c>
      <c r="M190" s="236" t="s">
        <v>122</v>
      </c>
      <c r="N190" s="236" t="s">
        <v>63</v>
      </c>
      <c r="P190" s="91">
        <v>83758.36</v>
      </c>
      <c r="Q190" s="91">
        <v>84218.74</v>
      </c>
      <c r="R190" s="91">
        <v>94820.07</v>
      </c>
      <c r="S190" s="91">
        <v>10601.330000000002</v>
      </c>
    </row>
    <row r="191" spans="1:19" s="91" customFormat="1">
      <c r="A191" s="91" t="s">
        <v>662</v>
      </c>
      <c r="B191" s="91" t="s">
        <v>399</v>
      </c>
      <c r="C191" s="91" t="s">
        <v>1056</v>
      </c>
      <c r="D191" s="234">
        <v>4</v>
      </c>
      <c r="E191" s="92">
        <v>51471</v>
      </c>
      <c r="F191" s="93"/>
      <c r="G191" s="235">
        <f t="shared" si="4"/>
        <v>1169.7241799999999</v>
      </c>
      <c r="H191" s="235">
        <f t="shared" si="4"/>
        <v>1158.5225600000001</v>
      </c>
      <c r="I191" s="235">
        <f t="shared" si="4"/>
        <v>1234.6987300000001</v>
      </c>
      <c r="J191" s="235">
        <f t="shared" si="3"/>
        <v>76.176170000000027</v>
      </c>
      <c r="K191" s="93"/>
      <c r="L191" s="236" t="s">
        <v>189</v>
      </c>
      <c r="M191" s="236" t="s">
        <v>122</v>
      </c>
      <c r="N191" s="236" t="s">
        <v>63</v>
      </c>
      <c r="P191" s="91">
        <v>1169724.18</v>
      </c>
      <c r="Q191" s="91">
        <v>1158522.56</v>
      </c>
      <c r="R191" s="91">
        <v>1234698.73</v>
      </c>
      <c r="S191" s="91">
        <v>76176.170000000027</v>
      </c>
    </row>
    <row r="192" spans="1:19" s="91" customFormat="1">
      <c r="A192" s="91" t="s">
        <v>663</v>
      </c>
      <c r="B192" s="91" t="s">
        <v>399</v>
      </c>
      <c r="C192" s="91" t="s">
        <v>1056</v>
      </c>
      <c r="D192" s="234">
        <v>4</v>
      </c>
      <c r="E192" s="92">
        <v>51471</v>
      </c>
      <c r="F192" s="93"/>
      <c r="G192" s="235">
        <f t="shared" si="4"/>
        <v>2080.2965899999999</v>
      </c>
      <c r="H192" s="235">
        <f t="shared" si="4"/>
        <v>2060.3871300000001</v>
      </c>
      <c r="I192" s="235">
        <f t="shared" si="4"/>
        <v>2195.8506100000004</v>
      </c>
      <c r="J192" s="235">
        <f t="shared" si="3"/>
        <v>135.46348000000006</v>
      </c>
      <c r="K192" s="93"/>
      <c r="L192" s="236" t="s">
        <v>189</v>
      </c>
      <c r="M192" s="236" t="s">
        <v>122</v>
      </c>
      <c r="N192" s="236" t="s">
        <v>63</v>
      </c>
      <c r="P192" s="91">
        <v>2080296.5899999999</v>
      </c>
      <c r="Q192" s="91">
        <v>2060387.1300000001</v>
      </c>
      <c r="R192" s="91">
        <v>2195850.6100000003</v>
      </c>
      <c r="S192" s="91">
        <v>135463.48000000007</v>
      </c>
    </row>
    <row r="193" spans="1:19" s="91" customFormat="1">
      <c r="A193" s="91" t="s">
        <v>664</v>
      </c>
      <c r="B193" s="91" t="s">
        <v>399</v>
      </c>
      <c r="C193" s="91" t="s">
        <v>1056</v>
      </c>
      <c r="D193" s="234">
        <v>4</v>
      </c>
      <c r="E193" s="92">
        <v>51471</v>
      </c>
      <c r="F193" s="93"/>
      <c r="G193" s="235">
        <f t="shared" si="4"/>
        <v>860.99312999999995</v>
      </c>
      <c r="H193" s="235">
        <f t="shared" si="4"/>
        <v>852.74917000000005</v>
      </c>
      <c r="I193" s="235">
        <f t="shared" si="4"/>
        <v>908.81862000000001</v>
      </c>
      <c r="J193" s="235">
        <f t="shared" si="3"/>
        <v>56.06945000000001</v>
      </c>
      <c r="K193" s="93"/>
      <c r="L193" s="236" t="s">
        <v>189</v>
      </c>
      <c r="M193" s="236" t="s">
        <v>122</v>
      </c>
      <c r="N193" s="236" t="s">
        <v>63</v>
      </c>
      <c r="P193" s="91">
        <v>860993.13</v>
      </c>
      <c r="Q193" s="91">
        <v>852749.17</v>
      </c>
      <c r="R193" s="91">
        <v>908818.62</v>
      </c>
      <c r="S193" s="91">
        <v>56069.450000000012</v>
      </c>
    </row>
    <row r="194" spans="1:19" s="91" customFormat="1">
      <c r="A194" s="91" t="s">
        <v>665</v>
      </c>
      <c r="B194" s="91" t="s">
        <v>399</v>
      </c>
      <c r="C194" s="91" t="s">
        <v>1056</v>
      </c>
      <c r="D194" s="234">
        <v>4</v>
      </c>
      <c r="E194" s="92">
        <v>51471</v>
      </c>
      <c r="F194" s="93"/>
      <c r="G194" s="235">
        <f t="shared" si="4"/>
        <v>1546.1238000000001</v>
      </c>
      <c r="H194" s="235">
        <f t="shared" si="4"/>
        <v>1531.3241099999998</v>
      </c>
      <c r="I194" s="235">
        <f t="shared" si="4"/>
        <v>1632.0061700000001</v>
      </c>
      <c r="J194" s="235">
        <f t="shared" si="3"/>
        <v>100.68206000000006</v>
      </c>
      <c r="K194" s="93"/>
      <c r="L194" s="236" t="s">
        <v>189</v>
      </c>
      <c r="M194" s="236" t="s">
        <v>122</v>
      </c>
      <c r="N194" s="236" t="s">
        <v>63</v>
      </c>
      <c r="P194" s="91">
        <v>1546123.8</v>
      </c>
      <c r="Q194" s="91">
        <v>1531324.1099999999</v>
      </c>
      <c r="R194" s="91">
        <v>1632006.1700000002</v>
      </c>
      <c r="S194" s="91">
        <v>100682.06000000007</v>
      </c>
    </row>
    <row r="195" spans="1:19" s="91" customFormat="1">
      <c r="A195" s="91" t="s">
        <v>666</v>
      </c>
      <c r="B195" s="91" t="s">
        <v>399</v>
      </c>
      <c r="C195" s="91" t="s">
        <v>1056</v>
      </c>
      <c r="D195" s="234">
        <v>4</v>
      </c>
      <c r="E195" s="92">
        <v>51471</v>
      </c>
      <c r="F195" s="93"/>
      <c r="G195" s="235">
        <f t="shared" si="4"/>
        <v>1320.7994199999998</v>
      </c>
      <c r="H195" s="235">
        <f t="shared" si="4"/>
        <v>1308.1114100000004</v>
      </c>
      <c r="I195" s="235">
        <f t="shared" si="4"/>
        <v>1394.1657299999999</v>
      </c>
      <c r="J195" s="235">
        <f t="shared" si="3"/>
        <v>86.054320000000004</v>
      </c>
      <c r="K195" s="93"/>
      <c r="L195" s="236" t="s">
        <v>189</v>
      </c>
      <c r="M195" s="236" t="s">
        <v>122</v>
      </c>
      <c r="N195" s="236" t="s">
        <v>63</v>
      </c>
      <c r="P195" s="91">
        <v>1320799.42</v>
      </c>
      <c r="Q195" s="91">
        <v>1308111.4100000004</v>
      </c>
      <c r="R195" s="91">
        <v>1394165.73</v>
      </c>
      <c r="S195" s="91">
        <v>86054.32</v>
      </c>
    </row>
    <row r="196" spans="1:19" s="91" customFormat="1">
      <c r="A196" s="91" t="s">
        <v>667</v>
      </c>
      <c r="B196" s="91" t="s">
        <v>399</v>
      </c>
      <c r="C196" s="91" t="s">
        <v>1056</v>
      </c>
      <c r="D196" s="234">
        <v>4.5</v>
      </c>
      <c r="E196" s="92">
        <v>51471</v>
      </c>
      <c r="F196" s="93"/>
      <c r="G196" s="235">
        <f t="shared" si="4"/>
        <v>11688.092339999997</v>
      </c>
      <c r="H196" s="235">
        <f t="shared" si="4"/>
        <v>11993.282459999997</v>
      </c>
      <c r="I196" s="235">
        <f t="shared" si="4"/>
        <v>12444.4647</v>
      </c>
      <c r="J196" s="235">
        <f t="shared" si="3"/>
        <v>451.18223999999969</v>
      </c>
      <c r="K196" s="93"/>
      <c r="L196" s="236" t="s">
        <v>189</v>
      </c>
      <c r="M196" s="236" t="s">
        <v>122</v>
      </c>
      <c r="N196" s="236" t="s">
        <v>63</v>
      </c>
      <c r="P196" s="91">
        <v>11688092.339999998</v>
      </c>
      <c r="Q196" s="91">
        <v>11993282.459999997</v>
      </c>
      <c r="R196" s="91">
        <v>12444464.700000001</v>
      </c>
      <c r="S196" s="91">
        <v>451182.2399999997</v>
      </c>
    </row>
    <row r="197" spans="1:19" s="91" customFormat="1">
      <c r="A197" s="91" t="s">
        <v>668</v>
      </c>
      <c r="B197" s="91" t="s">
        <v>399</v>
      </c>
      <c r="C197" s="91" t="s">
        <v>1056</v>
      </c>
      <c r="D197" s="234">
        <v>4</v>
      </c>
      <c r="E197" s="92">
        <v>51471</v>
      </c>
      <c r="F197" s="93"/>
      <c r="G197" s="235">
        <f t="shared" si="4"/>
        <v>2231.7789999999995</v>
      </c>
      <c r="H197" s="235">
        <f t="shared" si="4"/>
        <v>2210.4048299999999</v>
      </c>
      <c r="I197" s="235">
        <f t="shared" si="4"/>
        <v>2355.7474099999995</v>
      </c>
      <c r="J197" s="235">
        <f t="shared" si="4"/>
        <v>145.34257999999988</v>
      </c>
      <c r="K197" s="93"/>
      <c r="L197" s="236" t="s">
        <v>189</v>
      </c>
      <c r="M197" s="236" t="s">
        <v>122</v>
      </c>
      <c r="N197" s="236" t="s">
        <v>63</v>
      </c>
      <c r="P197" s="91">
        <v>2231778.9999999995</v>
      </c>
      <c r="Q197" s="91">
        <v>2210404.83</v>
      </c>
      <c r="R197" s="91">
        <v>2355747.4099999997</v>
      </c>
      <c r="S197" s="91">
        <v>145342.57999999987</v>
      </c>
    </row>
    <row r="198" spans="1:19" s="91" customFormat="1">
      <c r="A198" s="91" t="s">
        <v>669</v>
      </c>
      <c r="B198" s="91" t="s">
        <v>399</v>
      </c>
      <c r="C198" s="91" t="s">
        <v>1056</v>
      </c>
      <c r="D198" s="234">
        <v>4</v>
      </c>
      <c r="E198" s="92">
        <v>51471</v>
      </c>
      <c r="F198" s="93"/>
      <c r="G198" s="235">
        <f t="shared" ref="G198:J261" si="5">P198/1000</f>
        <v>109.19328000000002</v>
      </c>
      <c r="H198" s="235">
        <f t="shared" si="5"/>
        <v>108.14568000000001</v>
      </c>
      <c r="I198" s="235">
        <f t="shared" si="5"/>
        <v>115.25863000000001</v>
      </c>
      <c r="J198" s="235">
        <f t="shared" si="5"/>
        <v>7.1129500000000041</v>
      </c>
      <c r="K198" s="93"/>
      <c r="L198" s="236" t="s">
        <v>189</v>
      </c>
      <c r="M198" s="236" t="s">
        <v>122</v>
      </c>
      <c r="N198" s="236" t="s">
        <v>63</v>
      </c>
      <c r="P198" s="91">
        <v>109193.28000000001</v>
      </c>
      <c r="Q198" s="91">
        <v>108145.68000000001</v>
      </c>
      <c r="R198" s="91">
        <v>115258.63</v>
      </c>
      <c r="S198" s="91">
        <v>7112.9500000000044</v>
      </c>
    </row>
    <row r="199" spans="1:19" s="91" customFormat="1">
      <c r="A199" s="91" t="s">
        <v>670</v>
      </c>
      <c r="B199" s="91" t="s">
        <v>399</v>
      </c>
      <c r="C199" s="91" t="s">
        <v>1056</v>
      </c>
      <c r="D199" s="234">
        <v>4</v>
      </c>
      <c r="E199" s="92">
        <v>51471</v>
      </c>
      <c r="F199" s="93"/>
      <c r="G199" s="235">
        <f t="shared" si="5"/>
        <v>800.83832999999993</v>
      </c>
      <c r="H199" s="235">
        <f t="shared" si="5"/>
        <v>825.45170999999993</v>
      </c>
      <c r="I199" s="235">
        <f t="shared" si="5"/>
        <v>841.58497999999997</v>
      </c>
      <c r="J199" s="235">
        <f t="shared" si="5"/>
        <v>16.133270000000017</v>
      </c>
      <c r="K199" s="93"/>
      <c r="L199" s="236" t="s">
        <v>189</v>
      </c>
      <c r="M199" s="236" t="s">
        <v>122</v>
      </c>
      <c r="N199" s="236" t="s">
        <v>63</v>
      </c>
      <c r="P199" s="91">
        <v>800838.33</v>
      </c>
      <c r="Q199" s="91">
        <v>825451.71</v>
      </c>
      <c r="R199" s="91">
        <v>841584.98</v>
      </c>
      <c r="S199" s="91">
        <v>16133.270000000019</v>
      </c>
    </row>
    <row r="200" spans="1:19" s="91" customFormat="1">
      <c r="A200" s="91" t="s">
        <v>671</v>
      </c>
      <c r="B200" s="91" t="s">
        <v>399</v>
      </c>
      <c r="C200" s="91" t="s">
        <v>1056</v>
      </c>
      <c r="D200" s="234">
        <v>4</v>
      </c>
      <c r="E200" s="92">
        <v>51471</v>
      </c>
      <c r="F200" s="93"/>
      <c r="G200" s="235">
        <f t="shared" si="5"/>
        <v>2291.7632299999996</v>
      </c>
      <c r="H200" s="235">
        <f t="shared" si="5"/>
        <v>2269.8303100000003</v>
      </c>
      <c r="I200" s="235">
        <f t="shared" si="5"/>
        <v>2419.06358</v>
      </c>
      <c r="J200" s="235">
        <f t="shared" si="5"/>
        <v>149.23326999999995</v>
      </c>
      <c r="K200" s="93"/>
      <c r="L200" s="236" t="s">
        <v>189</v>
      </c>
      <c r="M200" s="236" t="s">
        <v>122</v>
      </c>
      <c r="N200" s="236" t="s">
        <v>63</v>
      </c>
      <c r="P200" s="91">
        <v>2291763.2299999995</v>
      </c>
      <c r="Q200" s="91">
        <v>2269830.31</v>
      </c>
      <c r="R200" s="91">
        <v>2419063.58</v>
      </c>
      <c r="S200" s="91">
        <v>149233.26999999996</v>
      </c>
    </row>
    <row r="201" spans="1:19" s="91" customFormat="1">
      <c r="A201" s="91" t="s">
        <v>672</v>
      </c>
      <c r="B201" s="91" t="s">
        <v>399</v>
      </c>
      <c r="C201" s="91" t="s">
        <v>1056</v>
      </c>
      <c r="D201" s="234">
        <v>4</v>
      </c>
      <c r="E201" s="92">
        <v>51502</v>
      </c>
      <c r="F201" s="93"/>
      <c r="G201" s="235">
        <f t="shared" si="5"/>
        <v>809.6807399999999</v>
      </c>
      <c r="H201" s="235">
        <f t="shared" si="5"/>
        <v>801.93214999999998</v>
      </c>
      <c r="I201" s="235">
        <f t="shared" si="5"/>
        <v>854.65599999999984</v>
      </c>
      <c r="J201" s="235">
        <f t="shared" si="5"/>
        <v>52.723849999999956</v>
      </c>
      <c r="K201" s="93"/>
      <c r="L201" s="236" t="s">
        <v>189</v>
      </c>
      <c r="M201" s="236" t="s">
        <v>122</v>
      </c>
      <c r="N201" s="236" t="s">
        <v>63</v>
      </c>
      <c r="P201" s="91">
        <v>809680.73999999987</v>
      </c>
      <c r="Q201" s="91">
        <v>801932.15</v>
      </c>
      <c r="R201" s="91">
        <v>854655.99999999988</v>
      </c>
      <c r="S201" s="91">
        <v>52723.849999999955</v>
      </c>
    </row>
    <row r="202" spans="1:19" s="91" customFormat="1">
      <c r="A202" s="91" t="s">
        <v>999</v>
      </c>
      <c r="B202" s="91" t="s">
        <v>399</v>
      </c>
      <c r="C202" s="91" t="s">
        <v>1056</v>
      </c>
      <c r="D202" s="234">
        <v>3.5</v>
      </c>
      <c r="E202" s="92">
        <v>51533</v>
      </c>
      <c r="F202" s="93"/>
      <c r="G202" s="235">
        <f t="shared" si="5"/>
        <v>969.82788000000005</v>
      </c>
      <c r="H202" s="235">
        <f t="shared" si="5"/>
        <v>931.42729999999995</v>
      </c>
      <c r="I202" s="235">
        <f t="shared" si="5"/>
        <v>999.94558000000006</v>
      </c>
      <c r="J202" s="235">
        <f t="shared" si="5"/>
        <v>68.518279999999976</v>
      </c>
      <c r="K202" s="93"/>
      <c r="L202" s="236" t="s">
        <v>189</v>
      </c>
      <c r="M202" s="236" t="s">
        <v>122</v>
      </c>
      <c r="N202" s="236" t="s">
        <v>63</v>
      </c>
      <c r="P202" s="91">
        <v>969827.88</v>
      </c>
      <c r="Q202" s="91">
        <v>931427.29999999993</v>
      </c>
      <c r="R202" s="91">
        <v>999945.58000000007</v>
      </c>
      <c r="S202" s="91">
        <v>68518.27999999997</v>
      </c>
    </row>
    <row r="203" spans="1:19" s="91" customFormat="1">
      <c r="A203" s="91" t="s">
        <v>990</v>
      </c>
      <c r="B203" s="91" t="s">
        <v>399</v>
      </c>
      <c r="C203" s="91" t="s">
        <v>1056</v>
      </c>
      <c r="D203" s="234">
        <v>4</v>
      </c>
      <c r="E203" s="92">
        <v>51561</v>
      </c>
      <c r="F203" s="93"/>
      <c r="G203" s="235">
        <f t="shared" si="5"/>
        <v>3080.5719000000004</v>
      </c>
      <c r="H203" s="235">
        <f t="shared" si="5"/>
        <v>3074.5325399999997</v>
      </c>
      <c r="I203" s="235">
        <f t="shared" si="5"/>
        <v>3240.9152400000003</v>
      </c>
      <c r="J203" s="235">
        <f t="shared" si="5"/>
        <v>166.38269999999989</v>
      </c>
      <c r="K203" s="93"/>
      <c r="L203" s="236" t="s">
        <v>189</v>
      </c>
      <c r="M203" s="236" t="s">
        <v>122</v>
      </c>
      <c r="N203" s="236" t="s">
        <v>63</v>
      </c>
      <c r="P203" s="91">
        <v>3080571.9000000004</v>
      </c>
      <c r="Q203" s="91">
        <v>3074532.5399999996</v>
      </c>
      <c r="R203" s="91">
        <v>3240915.24</v>
      </c>
      <c r="S203" s="91">
        <v>166382.6999999999</v>
      </c>
    </row>
    <row r="204" spans="1:19" s="91" customFormat="1">
      <c r="A204" s="91" t="s">
        <v>1082</v>
      </c>
      <c r="B204" s="91" t="s">
        <v>399</v>
      </c>
      <c r="C204" s="91" t="s">
        <v>1056</v>
      </c>
      <c r="D204" s="234">
        <v>4</v>
      </c>
      <c r="E204" s="92">
        <v>51714</v>
      </c>
      <c r="F204" s="93"/>
      <c r="G204" s="235">
        <f t="shared" si="5"/>
        <v>13224.654029999998</v>
      </c>
      <c r="H204" s="235">
        <f t="shared" si="5"/>
        <v>13849.316840000001</v>
      </c>
      <c r="I204" s="235">
        <f t="shared" si="5"/>
        <v>13959.242570000002</v>
      </c>
      <c r="J204" s="235">
        <f t="shared" si="5"/>
        <v>109.92572999999986</v>
      </c>
      <c r="K204" s="93"/>
      <c r="L204" s="236" t="s">
        <v>189</v>
      </c>
      <c r="M204" s="236" t="s">
        <v>122</v>
      </c>
      <c r="N204" s="236" t="s">
        <v>63</v>
      </c>
      <c r="P204" s="91">
        <v>13224654.029999997</v>
      </c>
      <c r="Q204" s="91">
        <v>13849316.840000002</v>
      </c>
      <c r="R204" s="91">
        <v>13959242.570000002</v>
      </c>
      <c r="S204" s="91">
        <v>109925.72999999986</v>
      </c>
    </row>
    <row r="205" spans="1:19" s="91" customFormat="1">
      <c r="A205" s="91" t="s">
        <v>1148</v>
      </c>
      <c r="B205" s="91" t="s">
        <v>399</v>
      </c>
      <c r="C205" s="91" t="s">
        <v>1056</v>
      </c>
      <c r="D205" s="234">
        <v>4</v>
      </c>
      <c r="E205" s="92">
        <v>51806</v>
      </c>
      <c r="F205" s="93"/>
      <c r="G205" s="235">
        <f t="shared" si="5"/>
        <v>5690.73758</v>
      </c>
      <c r="H205" s="235">
        <f t="shared" si="5"/>
        <v>5934.6516099999999</v>
      </c>
      <c r="I205" s="235">
        <f t="shared" si="5"/>
        <v>5999.7269800000004</v>
      </c>
      <c r="J205" s="235">
        <f t="shared" si="5"/>
        <v>65.075369999999822</v>
      </c>
      <c r="K205" s="93"/>
      <c r="L205" s="236" t="s">
        <v>189</v>
      </c>
      <c r="M205" s="236" t="s">
        <v>122</v>
      </c>
      <c r="N205" s="236" t="s">
        <v>63</v>
      </c>
      <c r="P205" s="91">
        <v>5690737.5800000001</v>
      </c>
      <c r="Q205" s="91">
        <v>5934651.6100000003</v>
      </c>
      <c r="R205" s="91">
        <v>5999726.9800000004</v>
      </c>
      <c r="S205" s="91">
        <v>65075.369999999821</v>
      </c>
    </row>
    <row r="206" spans="1:19" s="91" customFormat="1">
      <c r="A206" s="91" t="s">
        <v>1149</v>
      </c>
      <c r="B206" s="91" t="s">
        <v>399</v>
      </c>
      <c r="C206" s="91" t="s">
        <v>1056</v>
      </c>
      <c r="D206" s="234">
        <v>4</v>
      </c>
      <c r="E206" s="92">
        <v>51806</v>
      </c>
      <c r="F206" s="93"/>
      <c r="G206" s="235">
        <f t="shared" si="5"/>
        <v>10811.05077</v>
      </c>
      <c r="H206" s="235">
        <f t="shared" si="5"/>
        <v>11344.60252</v>
      </c>
      <c r="I206" s="235">
        <f t="shared" si="5"/>
        <v>11373.764449999999</v>
      </c>
      <c r="J206" s="235">
        <f t="shared" si="5"/>
        <v>29.161929999998769</v>
      </c>
      <c r="K206" s="93"/>
      <c r="L206" s="236" t="s">
        <v>189</v>
      </c>
      <c r="M206" s="236" t="s">
        <v>122</v>
      </c>
      <c r="N206" s="236" t="s">
        <v>63</v>
      </c>
      <c r="P206" s="91">
        <v>10811050.77</v>
      </c>
      <c r="Q206" s="91">
        <v>11344602.52</v>
      </c>
      <c r="R206" s="91">
        <v>11373764.449999999</v>
      </c>
      <c r="S206" s="91">
        <v>29161.929999998771</v>
      </c>
    </row>
    <row r="207" spans="1:19" s="91" customFormat="1">
      <c r="A207" s="91" t="s">
        <v>979</v>
      </c>
      <c r="B207" s="91" t="s">
        <v>433</v>
      </c>
      <c r="C207" s="91" t="s">
        <v>1056</v>
      </c>
      <c r="D207" s="234">
        <v>4</v>
      </c>
      <c r="E207" s="92">
        <v>51592</v>
      </c>
      <c r="F207" s="93"/>
      <c r="G207" s="235">
        <f t="shared" si="5"/>
        <v>2813.2042099999999</v>
      </c>
      <c r="H207" s="235">
        <f t="shared" si="5"/>
        <v>2792.6963099999998</v>
      </c>
      <c r="I207" s="235">
        <f t="shared" si="5"/>
        <v>2980.0184900000004</v>
      </c>
      <c r="J207" s="235">
        <f t="shared" si="5"/>
        <v>187.32218000000023</v>
      </c>
      <c r="K207" s="93"/>
      <c r="L207" s="236" t="s">
        <v>189</v>
      </c>
      <c r="M207" s="236" t="s">
        <v>122</v>
      </c>
      <c r="N207" s="236" t="s">
        <v>63</v>
      </c>
      <c r="P207" s="91">
        <v>2813204.21</v>
      </c>
      <c r="Q207" s="91">
        <v>2792696.3099999996</v>
      </c>
      <c r="R207" s="91">
        <v>2980018.49</v>
      </c>
      <c r="S207" s="91">
        <v>187322.18000000023</v>
      </c>
    </row>
    <row r="208" spans="1:19" s="91" customFormat="1">
      <c r="A208" s="91" t="s">
        <v>673</v>
      </c>
      <c r="B208" s="91" t="s">
        <v>399</v>
      </c>
      <c r="C208" s="91" t="s">
        <v>1056</v>
      </c>
      <c r="D208" s="234">
        <v>6.5</v>
      </c>
      <c r="E208" s="92">
        <v>48305</v>
      </c>
      <c r="F208" s="93"/>
      <c r="G208" s="235">
        <f t="shared" si="5"/>
        <v>268.10120000000001</v>
      </c>
      <c r="H208" s="235">
        <f t="shared" si="5"/>
        <v>271.14555999999999</v>
      </c>
      <c r="I208" s="235">
        <f t="shared" si="5"/>
        <v>303.50851</v>
      </c>
      <c r="J208" s="235">
        <f t="shared" si="5"/>
        <v>32.362950000000012</v>
      </c>
      <c r="K208" s="93"/>
      <c r="L208" s="236" t="s">
        <v>189</v>
      </c>
      <c r="M208" s="236" t="s">
        <v>122</v>
      </c>
      <c r="N208" s="236" t="s">
        <v>63</v>
      </c>
      <c r="P208" s="91">
        <v>268101.2</v>
      </c>
      <c r="Q208" s="91">
        <v>271145.56</v>
      </c>
      <c r="R208" s="91">
        <v>303508.51</v>
      </c>
      <c r="S208" s="91">
        <v>32362.950000000012</v>
      </c>
    </row>
    <row r="209" spans="1:19" s="91" customFormat="1">
      <c r="A209" s="91" t="s">
        <v>674</v>
      </c>
      <c r="B209" s="91" t="s">
        <v>399</v>
      </c>
      <c r="C209" s="91" t="s">
        <v>1056</v>
      </c>
      <c r="D209" s="234">
        <v>6</v>
      </c>
      <c r="E209" s="92">
        <v>48458</v>
      </c>
      <c r="F209" s="93"/>
      <c r="G209" s="235">
        <f t="shared" si="5"/>
        <v>308.67412999999999</v>
      </c>
      <c r="H209" s="235">
        <f t="shared" si="5"/>
        <v>310.03983999999997</v>
      </c>
      <c r="I209" s="235">
        <f t="shared" si="5"/>
        <v>343.73773</v>
      </c>
      <c r="J209" s="235">
        <f t="shared" si="5"/>
        <v>33.697890000000015</v>
      </c>
      <c r="K209" s="93"/>
      <c r="L209" s="236" t="s">
        <v>189</v>
      </c>
      <c r="M209" s="236" t="s">
        <v>122</v>
      </c>
      <c r="N209" s="236" t="s">
        <v>63</v>
      </c>
      <c r="P209" s="91">
        <v>308674.13</v>
      </c>
      <c r="Q209" s="91">
        <v>310039.83999999997</v>
      </c>
      <c r="R209" s="91">
        <v>343737.73</v>
      </c>
      <c r="S209" s="91">
        <v>33697.890000000014</v>
      </c>
    </row>
    <row r="210" spans="1:19" s="91" customFormat="1">
      <c r="A210" s="91" t="s">
        <v>675</v>
      </c>
      <c r="B210" s="91" t="s">
        <v>399</v>
      </c>
      <c r="C210" s="91" t="s">
        <v>1056</v>
      </c>
      <c r="D210" s="234">
        <v>6</v>
      </c>
      <c r="E210" s="92">
        <v>48519</v>
      </c>
      <c r="F210" s="93"/>
      <c r="G210" s="235">
        <f t="shared" si="5"/>
        <v>159.76089999999999</v>
      </c>
      <c r="H210" s="235">
        <f t="shared" si="5"/>
        <v>160.60626000000002</v>
      </c>
      <c r="I210" s="235">
        <f t="shared" si="5"/>
        <v>177.90882000000002</v>
      </c>
      <c r="J210" s="235">
        <f t="shared" si="5"/>
        <v>17.302559999999996</v>
      </c>
      <c r="K210" s="93"/>
      <c r="L210" s="236" t="s">
        <v>189</v>
      </c>
      <c r="M210" s="236" t="s">
        <v>122</v>
      </c>
      <c r="N210" s="236" t="s">
        <v>63</v>
      </c>
      <c r="P210" s="91">
        <v>159760.9</v>
      </c>
      <c r="Q210" s="91">
        <v>160606.26</v>
      </c>
      <c r="R210" s="91">
        <v>177908.82</v>
      </c>
      <c r="S210" s="91">
        <v>17302.559999999998</v>
      </c>
    </row>
    <row r="211" spans="1:19" s="91" customFormat="1">
      <c r="A211" s="91" t="s">
        <v>676</v>
      </c>
      <c r="B211" s="91" t="s">
        <v>399</v>
      </c>
      <c r="C211" s="91" t="s">
        <v>1056</v>
      </c>
      <c r="D211" s="234">
        <v>5.5</v>
      </c>
      <c r="E211" s="92">
        <v>48580</v>
      </c>
      <c r="F211" s="93"/>
      <c r="G211" s="235">
        <f t="shared" si="5"/>
        <v>246.12810000000002</v>
      </c>
      <c r="H211" s="235">
        <f t="shared" si="5"/>
        <v>246.17598000000001</v>
      </c>
      <c r="I211" s="235">
        <f t="shared" si="5"/>
        <v>269.41093999999998</v>
      </c>
      <c r="J211" s="235">
        <f t="shared" si="5"/>
        <v>23.23495999999999</v>
      </c>
      <c r="K211" s="93"/>
      <c r="L211" s="236" t="s">
        <v>189</v>
      </c>
      <c r="M211" s="236" t="s">
        <v>122</v>
      </c>
      <c r="N211" s="236" t="s">
        <v>63</v>
      </c>
      <c r="P211" s="91">
        <v>246128.1</v>
      </c>
      <c r="Q211" s="91">
        <v>246175.98</v>
      </c>
      <c r="R211" s="91">
        <v>269410.94</v>
      </c>
      <c r="S211" s="91">
        <v>23234.959999999992</v>
      </c>
    </row>
    <row r="212" spans="1:19" s="91" customFormat="1">
      <c r="A212" s="91" t="s">
        <v>677</v>
      </c>
      <c r="B212" s="91" t="s">
        <v>226</v>
      </c>
      <c r="C212" s="91" t="s">
        <v>1056</v>
      </c>
      <c r="D212" s="234">
        <v>6.5</v>
      </c>
      <c r="E212" s="92">
        <v>48116</v>
      </c>
      <c r="F212" s="93"/>
      <c r="G212" s="235">
        <f t="shared" si="5"/>
        <v>137.01352</v>
      </c>
      <c r="H212" s="235">
        <f t="shared" si="5"/>
        <v>131.96337</v>
      </c>
      <c r="I212" s="235">
        <f t="shared" si="5"/>
        <v>153.57014999999998</v>
      </c>
      <c r="J212" s="235">
        <f t="shared" si="5"/>
        <v>21.606780000000001</v>
      </c>
      <c r="K212" s="93"/>
      <c r="L212" s="236" t="s">
        <v>189</v>
      </c>
      <c r="M212" s="236" t="s">
        <v>122</v>
      </c>
      <c r="N212" s="236" t="s">
        <v>63</v>
      </c>
      <c r="P212" s="91">
        <v>137013.51999999999</v>
      </c>
      <c r="Q212" s="91">
        <v>131963.37</v>
      </c>
      <c r="R212" s="91">
        <v>153570.15</v>
      </c>
      <c r="S212" s="91">
        <v>21606.78</v>
      </c>
    </row>
    <row r="213" spans="1:19" s="91" customFormat="1">
      <c r="A213" s="91" t="s">
        <v>678</v>
      </c>
      <c r="B213" s="91" t="s">
        <v>226</v>
      </c>
      <c r="C213" s="91" t="s">
        <v>1056</v>
      </c>
      <c r="D213" s="234">
        <v>5</v>
      </c>
      <c r="E213" s="92">
        <v>44920</v>
      </c>
      <c r="F213" s="93"/>
      <c r="G213" s="235">
        <f t="shared" si="5"/>
        <v>920.22871999999995</v>
      </c>
      <c r="H213" s="235">
        <f t="shared" si="5"/>
        <v>911.46976000000006</v>
      </c>
      <c r="I213" s="235">
        <f t="shared" si="5"/>
        <v>943.85383999999999</v>
      </c>
      <c r="J213" s="235">
        <f t="shared" si="5"/>
        <v>32.384079999999955</v>
      </c>
      <c r="K213" s="93"/>
      <c r="L213" s="236" t="s">
        <v>189</v>
      </c>
      <c r="M213" s="236" t="s">
        <v>122</v>
      </c>
      <c r="N213" s="236" t="s">
        <v>63</v>
      </c>
      <c r="P213" s="91">
        <v>920228.72</v>
      </c>
      <c r="Q213" s="91">
        <v>911469.76</v>
      </c>
      <c r="R213" s="91">
        <v>943853.84</v>
      </c>
      <c r="S213" s="91">
        <v>32384.079999999958</v>
      </c>
    </row>
    <row r="214" spans="1:19" s="91" customFormat="1">
      <c r="A214" s="91" t="s">
        <v>679</v>
      </c>
      <c r="B214" s="91" t="s">
        <v>224</v>
      </c>
      <c r="C214" s="91" t="s">
        <v>1056</v>
      </c>
      <c r="D214" s="234">
        <v>5.5</v>
      </c>
      <c r="E214" s="92">
        <v>48106</v>
      </c>
      <c r="F214" s="93"/>
      <c r="G214" s="235">
        <f t="shared" si="5"/>
        <v>39.321839999999995</v>
      </c>
      <c r="H214" s="235">
        <f t="shared" si="5"/>
        <v>39.187570000000001</v>
      </c>
      <c r="I214" s="235">
        <f t="shared" si="5"/>
        <v>39.319870000000002</v>
      </c>
      <c r="J214" s="235">
        <f t="shared" si="5"/>
        <v>0.13230000000000292</v>
      </c>
      <c r="K214" s="93"/>
      <c r="L214" s="236" t="s">
        <v>189</v>
      </c>
      <c r="M214" s="236" t="s">
        <v>122</v>
      </c>
      <c r="N214" s="236" t="s">
        <v>63</v>
      </c>
      <c r="P214" s="91">
        <v>39321.839999999997</v>
      </c>
      <c r="Q214" s="91">
        <v>39187.57</v>
      </c>
      <c r="R214" s="91">
        <v>39319.870000000003</v>
      </c>
      <c r="S214" s="91">
        <v>132.30000000000291</v>
      </c>
    </row>
    <row r="215" spans="1:19" s="91" customFormat="1">
      <c r="A215" s="91" t="s">
        <v>680</v>
      </c>
      <c r="B215" s="91" t="s">
        <v>224</v>
      </c>
      <c r="C215" s="91" t="s">
        <v>1056</v>
      </c>
      <c r="D215" s="234">
        <v>4.5</v>
      </c>
      <c r="E215" s="92">
        <v>43235</v>
      </c>
      <c r="F215" s="93"/>
      <c r="G215" s="235">
        <f t="shared" si="5"/>
        <v>968.79989999999998</v>
      </c>
      <c r="H215" s="235">
        <f t="shared" si="5"/>
        <v>947.97603000000004</v>
      </c>
      <c r="I215" s="235">
        <f t="shared" si="5"/>
        <v>1020.6466800000001</v>
      </c>
      <c r="J215" s="235">
        <f t="shared" si="5"/>
        <v>72.670650000000023</v>
      </c>
      <c r="K215" s="93"/>
      <c r="L215" s="236" t="s">
        <v>189</v>
      </c>
      <c r="M215" s="236" t="s">
        <v>122</v>
      </c>
      <c r="N215" s="236" t="s">
        <v>63</v>
      </c>
      <c r="P215" s="91">
        <v>968799.9</v>
      </c>
      <c r="Q215" s="91">
        <v>947976.03</v>
      </c>
      <c r="R215" s="91">
        <v>1020646.68</v>
      </c>
      <c r="S215" s="91">
        <v>72670.650000000023</v>
      </c>
    </row>
    <row r="216" spans="1:19" s="91" customFormat="1">
      <c r="A216" s="91" t="s">
        <v>681</v>
      </c>
      <c r="B216" s="91" t="s">
        <v>224</v>
      </c>
      <c r="C216" s="91" t="s">
        <v>1056</v>
      </c>
      <c r="D216" s="234">
        <v>4.5</v>
      </c>
      <c r="E216" s="92">
        <v>47771</v>
      </c>
      <c r="F216" s="93"/>
      <c r="G216" s="235">
        <f t="shared" si="5"/>
        <v>101.94686999999999</v>
      </c>
      <c r="H216" s="235">
        <f t="shared" si="5"/>
        <v>100.76939999999999</v>
      </c>
      <c r="I216" s="235">
        <f t="shared" si="5"/>
        <v>101.82016</v>
      </c>
      <c r="J216" s="235">
        <f t="shared" si="5"/>
        <v>1.0507600000000092</v>
      </c>
      <c r="K216" s="93"/>
      <c r="L216" s="236" t="s">
        <v>189</v>
      </c>
      <c r="M216" s="236" t="s">
        <v>122</v>
      </c>
      <c r="N216" s="236" t="s">
        <v>63</v>
      </c>
      <c r="P216" s="91">
        <v>101946.87</v>
      </c>
      <c r="Q216" s="91">
        <v>100769.4</v>
      </c>
      <c r="R216" s="91">
        <v>101820.16</v>
      </c>
      <c r="S216" s="91">
        <v>1050.7600000000093</v>
      </c>
    </row>
    <row r="217" spans="1:19" s="91" customFormat="1">
      <c r="A217" s="91" t="s">
        <v>682</v>
      </c>
      <c r="B217" s="91" t="s">
        <v>224</v>
      </c>
      <c r="C217" s="91" t="s">
        <v>1056</v>
      </c>
      <c r="D217" s="234">
        <v>4.5</v>
      </c>
      <c r="E217" s="92">
        <v>48106</v>
      </c>
      <c r="F217" s="93"/>
      <c r="G217" s="235">
        <f t="shared" si="5"/>
        <v>2439.17085</v>
      </c>
      <c r="H217" s="235">
        <f t="shared" si="5"/>
        <v>2395.7536700000001</v>
      </c>
      <c r="I217" s="235">
        <f t="shared" si="5"/>
        <v>2513.5097000000001</v>
      </c>
      <c r="J217" s="235">
        <f t="shared" si="5"/>
        <v>117.75603000000027</v>
      </c>
      <c r="K217" s="93"/>
      <c r="L217" s="236" t="s">
        <v>189</v>
      </c>
      <c r="M217" s="236" t="s">
        <v>122</v>
      </c>
      <c r="N217" s="236" t="s">
        <v>63</v>
      </c>
      <c r="P217" s="91">
        <v>2439170.85</v>
      </c>
      <c r="Q217" s="91">
        <v>2395753.67</v>
      </c>
      <c r="R217" s="91">
        <v>2513509.7000000002</v>
      </c>
      <c r="S217" s="91">
        <v>117756.03000000026</v>
      </c>
    </row>
    <row r="218" spans="1:19" s="91" customFormat="1">
      <c r="A218" s="91" t="s">
        <v>683</v>
      </c>
      <c r="B218" s="91" t="s">
        <v>224</v>
      </c>
      <c r="C218" s="91" t="s">
        <v>1056</v>
      </c>
      <c r="D218" s="234">
        <v>4.5</v>
      </c>
      <c r="E218" s="92">
        <v>43266</v>
      </c>
      <c r="F218" s="93"/>
      <c r="G218" s="235">
        <f t="shared" si="5"/>
        <v>4442.0169999999998</v>
      </c>
      <c r="H218" s="235">
        <f t="shared" si="5"/>
        <v>4332.7775799999999</v>
      </c>
      <c r="I218" s="235">
        <f t="shared" si="5"/>
        <v>4851.6224900000007</v>
      </c>
      <c r="J218" s="235">
        <f t="shared" si="5"/>
        <v>518.84491000000014</v>
      </c>
      <c r="K218" s="93"/>
      <c r="L218" s="236" t="s">
        <v>189</v>
      </c>
      <c r="M218" s="236" t="s">
        <v>122</v>
      </c>
      <c r="N218" s="236" t="s">
        <v>63</v>
      </c>
      <c r="P218" s="91">
        <v>4442017</v>
      </c>
      <c r="Q218" s="91">
        <v>4332777.58</v>
      </c>
      <c r="R218" s="91">
        <v>4851622.49</v>
      </c>
      <c r="S218" s="91">
        <v>518844.91000000015</v>
      </c>
    </row>
    <row r="219" spans="1:19" s="91" customFormat="1">
      <c r="A219" s="91" t="s">
        <v>684</v>
      </c>
      <c r="B219" s="91" t="s">
        <v>226</v>
      </c>
      <c r="C219" s="91" t="s">
        <v>1056</v>
      </c>
      <c r="D219" s="234">
        <v>4</v>
      </c>
      <c r="E219" s="92">
        <v>42941</v>
      </c>
      <c r="F219" s="93"/>
      <c r="G219" s="235">
        <f t="shared" si="5"/>
        <v>1500</v>
      </c>
      <c r="H219" s="235">
        <f t="shared" si="5"/>
        <v>1483.1983300000002</v>
      </c>
      <c r="I219" s="235">
        <f t="shared" si="5"/>
        <v>1522.3297500000001</v>
      </c>
      <c r="J219" s="235">
        <f t="shared" si="5"/>
        <v>39.131419999999927</v>
      </c>
      <c r="K219" s="93"/>
      <c r="L219" s="236" t="s">
        <v>189</v>
      </c>
      <c r="M219" s="236" t="s">
        <v>122</v>
      </c>
      <c r="N219" s="236" t="s">
        <v>63</v>
      </c>
      <c r="P219" s="91">
        <v>1500000</v>
      </c>
      <c r="Q219" s="91">
        <v>1483198.33</v>
      </c>
      <c r="R219" s="91">
        <v>1522329.75</v>
      </c>
      <c r="S219" s="91">
        <v>39131.419999999925</v>
      </c>
    </row>
    <row r="220" spans="1:19" s="91" customFormat="1">
      <c r="A220" s="91" t="s">
        <v>685</v>
      </c>
      <c r="B220" s="91" t="s">
        <v>226</v>
      </c>
      <c r="C220" s="91" t="s">
        <v>1056</v>
      </c>
      <c r="D220" s="234">
        <v>5</v>
      </c>
      <c r="E220" s="92">
        <v>45498</v>
      </c>
      <c r="F220" s="93"/>
      <c r="G220" s="235">
        <f t="shared" si="5"/>
        <v>1308.14915</v>
      </c>
      <c r="H220" s="235">
        <f t="shared" si="5"/>
        <v>1287.6983599999999</v>
      </c>
      <c r="I220" s="235">
        <f t="shared" si="5"/>
        <v>1407.84581</v>
      </c>
      <c r="J220" s="235">
        <f t="shared" si="5"/>
        <v>120.14745000000001</v>
      </c>
      <c r="K220" s="93"/>
      <c r="L220" s="236" t="s">
        <v>189</v>
      </c>
      <c r="M220" s="236" t="s">
        <v>122</v>
      </c>
      <c r="N220" s="236" t="s">
        <v>63</v>
      </c>
      <c r="P220" s="91">
        <v>1308149.1499999999</v>
      </c>
      <c r="Q220" s="91">
        <v>1287698.3599999999</v>
      </c>
      <c r="R220" s="91">
        <v>1407845.81</v>
      </c>
      <c r="S220" s="91">
        <v>120147.45000000001</v>
      </c>
    </row>
    <row r="221" spans="1:19" s="91" customFormat="1">
      <c r="A221" s="91" t="s">
        <v>686</v>
      </c>
      <c r="B221" s="91" t="s">
        <v>226</v>
      </c>
      <c r="C221" s="91" t="s">
        <v>1056</v>
      </c>
      <c r="D221" s="234">
        <v>4.5</v>
      </c>
      <c r="E221" s="92">
        <v>48238</v>
      </c>
      <c r="F221" s="93"/>
      <c r="G221" s="235">
        <f t="shared" si="5"/>
        <v>2000</v>
      </c>
      <c r="H221" s="235">
        <f t="shared" si="5"/>
        <v>1936.91498</v>
      </c>
      <c r="I221" s="235">
        <f t="shared" si="5"/>
        <v>2063.3953999999999</v>
      </c>
      <c r="J221" s="235">
        <f t="shared" si="5"/>
        <v>126.48041999999992</v>
      </c>
      <c r="K221" s="93"/>
      <c r="L221" s="236" t="s">
        <v>189</v>
      </c>
      <c r="M221" s="236" t="s">
        <v>122</v>
      </c>
      <c r="N221" s="236" t="s">
        <v>63</v>
      </c>
      <c r="P221" s="91">
        <v>2000000</v>
      </c>
      <c r="Q221" s="91">
        <v>1936914.98</v>
      </c>
      <c r="R221" s="91">
        <v>2063395.4</v>
      </c>
      <c r="S221" s="91">
        <v>126480.41999999993</v>
      </c>
    </row>
    <row r="222" spans="1:19" s="91" customFormat="1">
      <c r="A222" s="91" t="s">
        <v>687</v>
      </c>
      <c r="B222" s="91" t="s">
        <v>226</v>
      </c>
      <c r="C222" s="91" t="s">
        <v>1056</v>
      </c>
      <c r="D222" s="234">
        <v>4.5</v>
      </c>
      <c r="E222" s="92">
        <v>43337</v>
      </c>
      <c r="F222" s="93"/>
      <c r="G222" s="235">
        <f t="shared" si="5"/>
        <v>50.231610000000003</v>
      </c>
      <c r="H222" s="235">
        <f t="shared" si="5"/>
        <v>49.886230000000005</v>
      </c>
      <c r="I222" s="235">
        <f t="shared" si="5"/>
        <v>50.326320000000003</v>
      </c>
      <c r="J222" s="235">
        <f t="shared" si="5"/>
        <v>0.44008999999999648</v>
      </c>
      <c r="K222" s="93"/>
      <c r="L222" s="236" t="s">
        <v>189</v>
      </c>
      <c r="M222" s="236" t="s">
        <v>122</v>
      </c>
      <c r="N222" s="236" t="s">
        <v>63</v>
      </c>
      <c r="P222" s="91">
        <v>50231.61</v>
      </c>
      <c r="Q222" s="91">
        <v>49886.23</v>
      </c>
      <c r="R222" s="91">
        <v>50326.32</v>
      </c>
      <c r="S222" s="91">
        <v>440.08999999999651</v>
      </c>
    </row>
    <row r="223" spans="1:19" s="91" customFormat="1">
      <c r="A223" s="91" t="s">
        <v>688</v>
      </c>
      <c r="B223" s="91" t="s">
        <v>226</v>
      </c>
      <c r="C223" s="91" t="s">
        <v>1056</v>
      </c>
      <c r="D223" s="234">
        <v>4.75</v>
      </c>
      <c r="E223" s="92">
        <v>47812</v>
      </c>
      <c r="F223" s="93"/>
      <c r="G223" s="235">
        <f t="shared" si="5"/>
        <v>2000</v>
      </c>
      <c r="H223" s="235">
        <f t="shared" si="5"/>
        <v>1990.4816600000001</v>
      </c>
      <c r="I223" s="235">
        <f t="shared" si="5"/>
        <v>2031.4582</v>
      </c>
      <c r="J223" s="235">
        <f t="shared" si="5"/>
        <v>40.976539999999922</v>
      </c>
      <c r="K223" s="93"/>
      <c r="L223" s="236" t="s">
        <v>189</v>
      </c>
      <c r="M223" s="236" t="s">
        <v>122</v>
      </c>
      <c r="N223" s="236" t="s">
        <v>63</v>
      </c>
      <c r="P223" s="91">
        <v>2000000</v>
      </c>
      <c r="Q223" s="91">
        <v>1990481.6600000001</v>
      </c>
      <c r="R223" s="91">
        <v>2031458.2</v>
      </c>
      <c r="S223" s="91">
        <v>40976.539999999921</v>
      </c>
    </row>
    <row r="224" spans="1:19" s="91" customFormat="1">
      <c r="A224" s="91" t="s">
        <v>689</v>
      </c>
      <c r="B224" s="91" t="s">
        <v>226</v>
      </c>
      <c r="C224" s="91" t="s">
        <v>1056</v>
      </c>
      <c r="D224" s="234">
        <v>4.5</v>
      </c>
      <c r="E224" s="92">
        <v>48054</v>
      </c>
      <c r="F224" s="93"/>
      <c r="G224" s="235">
        <f t="shared" si="5"/>
        <v>2000</v>
      </c>
      <c r="H224" s="235">
        <f t="shared" si="5"/>
        <v>1934.4521399999999</v>
      </c>
      <c r="I224" s="235">
        <f t="shared" si="5"/>
        <v>2058.1179999999999</v>
      </c>
      <c r="J224" s="235">
        <f t="shared" si="5"/>
        <v>123.66586000000011</v>
      </c>
      <c r="K224" s="93"/>
      <c r="L224" s="236" t="s">
        <v>189</v>
      </c>
      <c r="M224" s="236" t="s">
        <v>122</v>
      </c>
      <c r="N224" s="236" t="s">
        <v>63</v>
      </c>
      <c r="P224" s="91">
        <v>2000000</v>
      </c>
      <c r="Q224" s="91">
        <v>1934452.14</v>
      </c>
      <c r="R224" s="91">
        <v>2058118</v>
      </c>
      <c r="S224" s="91">
        <v>123665.8600000001</v>
      </c>
    </row>
    <row r="225" spans="1:19" s="91" customFormat="1">
      <c r="A225" s="91" t="s">
        <v>690</v>
      </c>
      <c r="B225" s="91" t="s">
        <v>226</v>
      </c>
      <c r="C225" s="91" t="s">
        <v>1056</v>
      </c>
      <c r="D225" s="234">
        <v>5</v>
      </c>
      <c r="E225" s="92">
        <v>47720</v>
      </c>
      <c r="F225" s="93"/>
      <c r="G225" s="235">
        <f t="shared" si="5"/>
        <v>1000</v>
      </c>
      <c r="H225" s="235">
        <f t="shared" si="5"/>
        <v>998.45932999999991</v>
      </c>
      <c r="I225" s="235">
        <f t="shared" si="5"/>
        <v>1023.3043</v>
      </c>
      <c r="J225" s="235">
        <f t="shared" si="5"/>
        <v>24.844970000000089</v>
      </c>
      <c r="K225" s="93"/>
      <c r="L225" s="236" t="s">
        <v>189</v>
      </c>
      <c r="M225" s="236" t="s">
        <v>122</v>
      </c>
      <c r="N225" s="236" t="s">
        <v>63</v>
      </c>
      <c r="P225" s="91">
        <v>1000000</v>
      </c>
      <c r="Q225" s="91">
        <v>998459.33</v>
      </c>
      <c r="R225" s="91">
        <v>1023304.3</v>
      </c>
      <c r="S225" s="91">
        <v>24844.970000000088</v>
      </c>
    </row>
    <row r="226" spans="1:19" s="91" customFormat="1">
      <c r="A226" s="91" t="s">
        <v>691</v>
      </c>
      <c r="B226" s="91" t="s">
        <v>224</v>
      </c>
      <c r="C226" s="91" t="s">
        <v>1056</v>
      </c>
      <c r="D226" s="234">
        <v>5</v>
      </c>
      <c r="E226" s="92">
        <v>44607</v>
      </c>
      <c r="F226" s="93"/>
      <c r="G226" s="235">
        <f t="shared" si="5"/>
        <v>1500</v>
      </c>
      <c r="H226" s="235">
        <f t="shared" si="5"/>
        <v>1494.4539199999999</v>
      </c>
      <c r="I226" s="235">
        <f t="shared" si="5"/>
        <v>1535.44425</v>
      </c>
      <c r="J226" s="235">
        <f t="shared" si="5"/>
        <v>40.990330000000071</v>
      </c>
      <c r="K226" s="93"/>
      <c r="L226" s="236" t="s">
        <v>189</v>
      </c>
      <c r="M226" s="236" t="s">
        <v>122</v>
      </c>
      <c r="N226" s="236" t="s">
        <v>63</v>
      </c>
      <c r="P226" s="91">
        <v>1500000</v>
      </c>
      <c r="Q226" s="91">
        <v>1494453.92</v>
      </c>
      <c r="R226" s="91">
        <v>1535444.25</v>
      </c>
      <c r="S226" s="91">
        <v>40990.330000000075</v>
      </c>
    </row>
    <row r="227" spans="1:19" s="91" customFormat="1">
      <c r="A227" s="91" t="s">
        <v>692</v>
      </c>
      <c r="B227" s="91" t="s">
        <v>224</v>
      </c>
      <c r="C227" s="91" t="s">
        <v>1056</v>
      </c>
      <c r="D227" s="234">
        <v>4.5</v>
      </c>
      <c r="E227" s="92">
        <v>45214</v>
      </c>
      <c r="F227" s="93"/>
      <c r="G227" s="235">
        <f t="shared" si="5"/>
        <v>989.00297</v>
      </c>
      <c r="H227" s="235">
        <f t="shared" si="5"/>
        <v>949.15233999999998</v>
      </c>
      <c r="I227" s="235">
        <f t="shared" si="5"/>
        <v>1052.4580900000001</v>
      </c>
      <c r="J227" s="235">
        <f t="shared" si="5"/>
        <v>103.30575000000012</v>
      </c>
      <c r="K227" s="93"/>
      <c r="L227" s="236" t="s">
        <v>189</v>
      </c>
      <c r="M227" s="236" t="s">
        <v>122</v>
      </c>
      <c r="N227" s="236" t="s">
        <v>63</v>
      </c>
      <c r="P227" s="91">
        <v>989002.97</v>
      </c>
      <c r="Q227" s="91">
        <v>949152.34</v>
      </c>
      <c r="R227" s="91">
        <v>1052458.0900000001</v>
      </c>
      <c r="S227" s="91">
        <v>103305.75000000012</v>
      </c>
    </row>
    <row r="228" spans="1:19" s="91" customFormat="1">
      <c r="A228" s="91" t="s">
        <v>693</v>
      </c>
      <c r="B228" s="91" t="s">
        <v>224</v>
      </c>
      <c r="C228" s="91" t="s">
        <v>1056</v>
      </c>
      <c r="D228" s="234">
        <v>4</v>
      </c>
      <c r="E228" s="92">
        <v>43388</v>
      </c>
      <c r="F228" s="93"/>
      <c r="G228" s="235">
        <f t="shared" si="5"/>
        <v>952.04734999999994</v>
      </c>
      <c r="H228" s="235">
        <f t="shared" si="5"/>
        <v>928.1259399999999</v>
      </c>
      <c r="I228" s="235">
        <f t="shared" si="5"/>
        <v>994.36318999999992</v>
      </c>
      <c r="J228" s="235">
        <f t="shared" si="5"/>
        <v>66.237250000000003</v>
      </c>
      <c r="K228" s="93"/>
      <c r="L228" s="236" t="s">
        <v>189</v>
      </c>
      <c r="M228" s="236" t="s">
        <v>122</v>
      </c>
      <c r="N228" s="236" t="s">
        <v>63</v>
      </c>
      <c r="P228" s="91">
        <v>952047.35</v>
      </c>
      <c r="Q228" s="91">
        <v>928125.94</v>
      </c>
      <c r="R228" s="91">
        <v>994363.19</v>
      </c>
      <c r="S228" s="91">
        <v>66237.25</v>
      </c>
    </row>
    <row r="229" spans="1:19" s="91" customFormat="1">
      <c r="A229" s="91" t="s">
        <v>694</v>
      </c>
      <c r="B229" s="91" t="s">
        <v>224</v>
      </c>
      <c r="C229" s="91" t="s">
        <v>1056</v>
      </c>
      <c r="D229" s="234">
        <v>5.5</v>
      </c>
      <c r="E229" s="92">
        <v>48197</v>
      </c>
      <c r="F229" s="93"/>
      <c r="G229" s="235">
        <f t="shared" si="5"/>
        <v>8.8808100000000003</v>
      </c>
      <c r="H229" s="235">
        <f t="shared" si="5"/>
        <v>8.8648799999999994</v>
      </c>
      <c r="I229" s="235">
        <f t="shared" si="5"/>
        <v>8.8677700000000002</v>
      </c>
      <c r="J229" s="235">
        <f t="shared" si="5"/>
        <v>2.8900000000012371E-3</v>
      </c>
      <c r="K229" s="93"/>
      <c r="L229" s="236" t="s">
        <v>189</v>
      </c>
      <c r="M229" s="236" t="s">
        <v>122</v>
      </c>
      <c r="N229" s="236" t="s">
        <v>63</v>
      </c>
      <c r="P229" s="91">
        <v>8880.81</v>
      </c>
      <c r="Q229" s="91">
        <v>8864.8799999999992</v>
      </c>
      <c r="R229" s="91">
        <v>8867.77</v>
      </c>
      <c r="S229" s="91">
        <v>2.8900000000012369</v>
      </c>
    </row>
    <row r="230" spans="1:19" s="91" customFormat="1">
      <c r="A230" s="91" t="s">
        <v>695</v>
      </c>
      <c r="B230" s="91" t="s">
        <v>224</v>
      </c>
      <c r="C230" s="91" t="s">
        <v>1056</v>
      </c>
      <c r="D230" s="234">
        <v>4.5</v>
      </c>
      <c r="E230" s="92">
        <v>43235</v>
      </c>
      <c r="F230" s="93"/>
      <c r="G230" s="235">
        <f t="shared" si="5"/>
        <v>645.13306</v>
      </c>
      <c r="H230" s="235">
        <f t="shared" si="5"/>
        <v>639.14801</v>
      </c>
      <c r="I230" s="235">
        <f t="shared" si="5"/>
        <v>658.33318999999995</v>
      </c>
      <c r="J230" s="235">
        <f t="shared" si="5"/>
        <v>19.185179999999935</v>
      </c>
      <c r="K230" s="93"/>
      <c r="L230" s="236" t="s">
        <v>189</v>
      </c>
      <c r="M230" s="236" t="s">
        <v>122</v>
      </c>
      <c r="N230" s="236" t="s">
        <v>63</v>
      </c>
      <c r="P230" s="91">
        <v>645133.06000000006</v>
      </c>
      <c r="Q230" s="91">
        <v>639148.01</v>
      </c>
      <c r="R230" s="91">
        <v>658333.18999999994</v>
      </c>
      <c r="S230" s="91">
        <v>19185.179999999935</v>
      </c>
    </row>
    <row r="231" spans="1:19" s="91" customFormat="1">
      <c r="A231" s="91" t="s">
        <v>696</v>
      </c>
      <c r="B231" s="91" t="s">
        <v>224</v>
      </c>
      <c r="C231" s="91" t="s">
        <v>1056</v>
      </c>
      <c r="D231" s="234">
        <v>5</v>
      </c>
      <c r="E231" s="92">
        <v>45580</v>
      </c>
      <c r="F231" s="93"/>
      <c r="G231" s="235">
        <f t="shared" si="5"/>
        <v>348.18086999999997</v>
      </c>
      <c r="H231" s="235">
        <f t="shared" si="5"/>
        <v>343.07882000000001</v>
      </c>
      <c r="I231" s="235">
        <f t="shared" si="5"/>
        <v>360.57756999999998</v>
      </c>
      <c r="J231" s="235">
        <f t="shared" si="5"/>
        <v>17.498750000000001</v>
      </c>
      <c r="K231" s="93"/>
      <c r="L231" s="236" t="s">
        <v>189</v>
      </c>
      <c r="M231" s="236" t="s">
        <v>122</v>
      </c>
      <c r="N231" s="236" t="s">
        <v>63</v>
      </c>
      <c r="P231" s="91">
        <v>348180.87</v>
      </c>
      <c r="Q231" s="91">
        <v>343078.82</v>
      </c>
      <c r="R231" s="91">
        <v>360577.57</v>
      </c>
      <c r="S231" s="91">
        <v>17498.75</v>
      </c>
    </row>
    <row r="232" spans="1:19" s="91" customFormat="1">
      <c r="A232" s="91" t="s">
        <v>697</v>
      </c>
      <c r="B232" s="91" t="s">
        <v>224</v>
      </c>
      <c r="C232" s="91" t="s">
        <v>1056</v>
      </c>
      <c r="D232" s="234">
        <v>5.5</v>
      </c>
      <c r="E232" s="92">
        <v>48653</v>
      </c>
      <c r="F232" s="93"/>
      <c r="G232" s="235">
        <f t="shared" si="5"/>
        <v>1797.51612</v>
      </c>
      <c r="H232" s="235">
        <f t="shared" si="5"/>
        <v>1790.9503200000001</v>
      </c>
      <c r="I232" s="235">
        <f t="shared" si="5"/>
        <v>1834.99128</v>
      </c>
      <c r="J232" s="235">
        <f t="shared" si="5"/>
        <v>44.040959999999963</v>
      </c>
      <c r="K232" s="93"/>
      <c r="L232" s="236" t="s">
        <v>189</v>
      </c>
      <c r="M232" s="236" t="s">
        <v>122</v>
      </c>
      <c r="N232" s="236" t="s">
        <v>63</v>
      </c>
      <c r="P232" s="91">
        <v>1797516.12</v>
      </c>
      <c r="Q232" s="91">
        <v>1790950.32</v>
      </c>
      <c r="R232" s="91">
        <v>1834991.28</v>
      </c>
      <c r="S232" s="91">
        <v>44040.959999999963</v>
      </c>
    </row>
    <row r="233" spans="1:19" s="91" customFormat="1">
      <c r="A233" s="91" t="s">
        <v>698</v>
      </c>
      <c r="B233" s="91" t="s">
        <v>224</v>
      </c>
      <c r="C233" s="91" t="s">
        <v>1056</v>
      </c>
      <c r="D233" s="234">
        <v>5</v>
      </c>
      <c r="E233" s="92">
        <v>47529</v>
      </c>
      <c r="F233" s="93"/>
      <c r="G233" s="235">
        <f t="shared" si="5"/>
        <v>1500</v>
      </c>
      <c r="H233" s="235">
        <f t="shared" si="5"/>
        <v>1486.17173</v>
      </c>
      <c r="I233" s="235">
        <f t="shared" si="5"/>
        <v>1531.0521000000001</v>
      </c>
      <c r="J233" s="235">
        <f t="shared" si="5"/>
        <v>44.880369999999992</v>
      </c>
      <c r="K233" s="93"/>
      <c r="L233" s="236" t="s">
        <v>189</v>
      </c>
      <c r="M233" s="236" t="s">
        <v>122</v>
      </c>
      <c r="N233" s="236" t="s">
        <v>63</v>
      </c>
      <c r="P233" s="91">
        <v>1500000</v>
      </c>
      <c r="Q233" s="91">
        <v>1486171.73</v>
      </c>
      <c r="R233" s="91">
        <v>1531052.1</v>
      </c>
      <c r="S233" s="91">
        <v>44880.369999999995</v>
      </c>
    </row>
    <row r="234" spans="1:19" s="91" customFormat="1">
      <c r="A234" s="91" t="s">
        <v>699</v>
      </c>
      <c r="B234" s="91" t="s">
        <v>426</v>
      </c>
      <c r="C234" s="91" t="s">
        <v>1056</v>
      </c>
      <c r="D234" s="234">
        <v>5.5</v>
      </c>
      <c r="E234" s="92">
        <v>48380</v>
      </c>
      <c r="F234" s="93"/>
      <c r="G234" s="235">
        <f t="shared" si="5"/>
        <v>1215.3485600000001</v>
      </c>
      <c r="H234" s="235">
        <f t="shared" si="5"/>
        <v>1209.0838999999999</v>
      </c>
      <c r="I234" s="235">
        <f t="shared" si="5"/>
        <v>1233.8313400000002</v>
      </c>
      <c r="J234" s="235">
        <f t="shared" si="5"/>
        <v>24.747440000000061</v>
      </c>
      <c r="K234" s="93"/>
      <c r="L234" s="236" t="s">
        <v>189</v>
      </c>
      <c r="M234" s="236" t="s">
        <v>122</v>
      </c>
      <c r="N234" s="236" t="s">
        <v>63</v>
      </c>
      <c r="P234" s="91">
        <v>1215348.56</v>
      </c>
      <c r="Q234" s="91">
        <v>1209083.8999999999</v>
      </c>
      <c r="R234" s="91">
        <v>1233831.3400000001</v>
      </c>
      <c r="S234" s="91">
        <v>24747.440000000061</v>
      </c>
    </row>
    <row r="235" spans="1:19" s="91" customFormat="1">
      <c r="A235" s="91" t="s">
        <v>700</v>
      </c>
      <c r="B235" s="91" t="s">
        <v>414</v>
      </c>
      <c r="C235" s="91" t="s">
        <v>1056</v>
      </c>
      <c r="D235" s="234">
        <v>6</v>
      </c>
      <c r="E235" s="92">
        <v>50124</v>
      </c>
      <c r="F235" s="93"/>
      <c r="G235" s="235">
        <f t="shared" si="5"/>
        <v>686.44256999999993</v>
      </c>
      <c r="H235" s="235">
        <f t="shared" si="5"/>
        <v>686.50250000000005</v>
      </c>
      <c r="I235" s="235">
        <f t="shared" si="5"/>
        <v>705.70991000000004</v>
      </c>
      <c r="J235" s="235">
        <f t="shared" si="5"/>
        <v>19.207410000000031</v>
      </c>
      <c r="K235" s="93"/>
      <c r="L235" s="236" t="s">
        <v>189</v>
      </c>
      <c r="M235" s="236" t="s">
        <v>122</v>
      </c>
      <c r="N235" s="236" t="s">
        <v>63</v>
      </c>
      <c r="P235" s="91">
        <v>686442.57</v>
      </c>
      <c r="Q235" s="91">
        <v>686502.5</v>
      </c>
      <c r="R235" s="91">
        <v>705709.91</v>
      </c>
      <c r="S235" s="91">
        <v>19207.410000000033</v>
      </c>
    </row>
    <row r="236" spans="1:19" s="91" customFormat="1">
      <c r="A236" s="91" t="s">
        <v>701</v>
      </c>
      <c r="B236" s="91" t="s">
        <v>414</v>
      </c>
      <c r="C236" s="91" t="s">
        <v>1056</v>
      </c>
      <c r="D236" s="234">
        <v>5.45</v>
      </c>
      <c r="E236" s="92">
        <v>44190</v>
      </c>
      <c r="F236" s="93"/>
      <c r="G236" s="235">
        <f t="shared" si="5"/>
        <v>945.27076</v>
      </c>
      <c r="H236" s="235">
        <f t="shared" si="5"/>
        <v>944.29548999999997</v>
      </c>
      <c r="I236" s="235">
        <f t="shared" si="5"/>
        <v>990.97431999999992</v>
      </c>
      <c r="J236" s="235">
        <f t="shared" si="5"/>
        <v>46.678829999999955</v>
      </c>
      <c r="K236" s="93"/>
      <c r="L236" s="236" t="s">
        <v>189</v>
      </c>
      <c r="M236" s="236" t="s">
        <v>122</v>
      </c>
      <c r="N236" s="236" t="s">
        <v>63</v>
      </c>
      <c r="P236" s="91">
        <v>945270.76</v>
      </c>
      <c r="Q236" s="91">
        <v>944295.49</v>
      </c>
      <c r="R236" s="91">
        <v>990974.32</v>
      </c>
      <c r="S236" s="91">
        <v>46678.829999999958</v>
      </c>
    </row>
    <row r="237" spans="1:19" s="91" customFormat="1">
      <c r="A237" s="91" t="s">
        <v>702</v>
      </c>
      <c r="B237" s="91" t="s">
        <v>414</v>
      </c>
      <c r="C237" s="91" t="s">
        <v>1056</v>
      </c>
      <c r="D237" s="234">
        <v>5.5</v>
      </c>
      <c r="E237" s="92">
        <v>49638</v>
      </c>
      <c r="F237" s="93"/>
      <c r="G237" s="235">
        <f t="shared" si="5"/>
        <v>4000</v>
      </c>
      <c r="H237" s="235">
        <f t="shared" si="5"/>
        <v>3973.7102200000004</v>
      </c>
      <c r="I237" s="235">
        <f t="shared" si="5"/>
        <v>4338.1732000000002</v>
      </c>
      <c r="J237" s="235">
        <f t="shared" si="5"/>
        <v>364.46297999999996</v>
      </c>
      <c r="K237" s="93"/>
      <c r="L237" s="236" t="s">
        <v>189</v>
      </c>
      <c r="M237" s="236" t="s">
        <v>122</v>
      </c>
      <c r="N237" s="236" t="s">
        <v>63</v>
      </c>
      <c r="P237" s="91">
        <v>4000000</v>
      </c>
      <c r="Q237" s="91">
        <v>3973710.22</v>
      </c>
      <c r="R237" s="91">
        <v>4338173.2</v>
      </c>
      <c r="S237" s="91">
        <v>364462.98</v>
      </c>
    </row>
    <row r="238" spans="1:19" s="91" customFormat="1">
      <c r="A238" s="91" t="s">
        <v>703</v>
      </c>
      <c r="B238" s="91" t="s">
        <v>224</v>
      </c>
      <c r="C238" s="91" t="s">
        <v>1056</v>
      </c>
      <c r="D238" s="234">
        <v>5</v>
      </c>
      <c r="E238" s="92">
        <v>48533</v>
      </c>
      <c r="F238" s="93"/>
      <c r="G238" s="235">
        <f t="shared" si="5"/>
        <v>474.39976000000001</v>
      </c>
      <c r="H238" s="235">
        <f t="shared" si="5"/>
        <v>470.57481999999999</v>
      </c>
      <c r="I238" s="235">
        <f t="shared" si="5"/>
        <v>486.2561</v>
      </c>
      <c r="J238" s="235">
        <f t="shared" si="5"/>
        <v>15.681279999999969</v>
      </c>
      <c r="K238" s="93"/>
      <c r="L238" s="236" t="s">
        <v>189</v>
      </c>
      <c r="M238" s="236" t="s">
        <v>122</v>
      </c>
      <c r="N238" s="236" t="s">
        <v>63</v>
      </c>
      <c r="P238" s="91">
        <v>474399.76</v>
      </c>
      <c r="Q238" s="91">
        <v>470574.82</v>
      </c>
      <c r="R238" s="91">
        <v>486256.1</v>
      </c>
      <c r="S238" s="91">
        <v>15681.27999999997</v>
      </c>
    </row>
    <row r="239" spans="1:19" s="91" customFormat="1">
      <c r="A239" s="91" t="s">
        <v>704</v>
      </c>
      <c r="B239" s="91" t="s">
        <v>224</v>
      </c>
      <c r="C239" s="91" t="s">
        <v>1056</v>
      </c>
      <c r="D239" s="234">
        <v>5.5</v>
      </c>
      <c r="E239" s="92">
        <v>48806</v>
      </c>
      <c r="F239" s="93"/>
      <c r="G239" s="235">
        <f t="shared" si="5"/>
        <v>76.981960000000001</v>
      </c>
      <c r="H239" s="235">
        <f t="shared" si="5"/>
        <v>76.697539999999989</v>
      </c>
      <c r="I239" s="235">
        <f t="shared" si="5"/>
        <v>78.01379</v>
      </c>
      <c r="J239" s="235">
        <f t="shared" si="5"/>
        <v>1.3162499999999999</v>
      </c>
      <c r="K239" s="93"/>
      <c r="L239" s="236" t="s">
        <v>189</v>
      </c>
      <c r="M239" s="236" t="s">
        <v>122</v>
      </c>
      <c r="N239" s="236" t="s">
        <v>63</v>
      </c>
      <c r="P239" s="91">
        <v>76981.960000000006</v>
      </c>
      <c r="Q239" s="91">
        <v>76697.539999999994</v>
      </c>
      <c r="R239" s="91">
        <v>78013.789999999994</v>
      </c>
      <c r="S239" s="91">
        <v>1316.25</v>
      </c>
    </row>
    <row r="240" spans="1:19" s="91" customFormat="1">
      <c r="A240" s="91" t="s">
        <v>705</v>
      </c>
      <c r="B240" s="91" t="s">
        <v>224</v>
      </c>
      <c r="C240" s="91" t="s">
        <v>1056</v>
      </c>
      <c r="D240" s="234">
        <v>5.5</v>
      </c>
      <c r="E240" s="92">
        <v>48775</v>
      </c>
      <c r="F240" s="93"/>
      <c r="G240" s="235">
        <f t="shared" si="5"/>
        <v>2335</v>
      </c>
      <c r="H240" s="235">
        <f t="shared" si="5"/>
        <v>2310.1667400000001</v>
      </c>
      <c r="I240" s="235">
        <f t="shared" si="5"/>
        <v>2424.9252900000001</v>
      </c>
      <c r="J240" s="235">
        <f t="shared" si="5"/>
        <v>114.75854999999981</v>
      </c>
      <c r="K240" s="93"/>
      <c r="L240" s="236" t="s">
        <v>189</v>
      </c>
      <c r="M240" s="236" t="s">
        <v>122</v>
      </c>
      <c r="N240" s="236" t="s">
        <v>63</v>
      </c>
      <c r="P240" s="91">
        <v>2335000</v>
      </c>
      <c r="Q240" s="91">
        <v>2310166.7400000002</v>
      </c>
      <c r="R240" s="91">
        <v>2424925.29</v>
      </c>
      <c r="S240" s="91">
        <v>114758.54999999981</v>
      </c>
    </row>
    <row r="241" spans="1:19" s="91" customFormat="1">
      <c r="A241" s="91" t="s">
        <v>706</v>
      </c>
      <c r="B241" s="91" t="s">
        <v>224</v>
      </c>
      <c r="C241" s="91" t="s">
        <v>1056</v>
      </c>
      <c r="D241" s="234">
        <v>5.5</v>
      </c>
      <c r="E241" s="92">
        <v>48410</v>
      </c>
      <c r="F241" s="93"/>
      <c r="G241" s="235">
        <f t="shared" si="5"/>
        <v>3000</v>
      </c>
      <c r="H241" s="235">
        <f t="shared" si="5"/>
        <v>2975.73371</v>
      </c>
      <c r="I241" s="235">
        <f t="shared" si="5"/>
        <v>3091.6542000000004</v>
      </c>
      <c r="J241" s="235">
        <f t="shared" si="5"/>
        <v>115.92049000000023</v>
      </c>
      <c r="K241" s="93"/>
      <c r="L241" s="236" t="s">
        <v>189</v>
      </c>
      <c r="M241" s="236" t="s">
        <v>122</v>
      </c>
      <c r="N241" s="236" t="s">
        <v>63</v>
      </c>
      <c r="P241" s="91">
        <v>3000000</v>
      </c>
      <c r="Q241" s="91">
        <v>2975733.71</v>
      </c>
      <c r="R241" s="91">
        <v>3091654.2</v>
      </c>
      <c r="S241" s="91">
        <v>115920.49000000022</v>
      </c>
    </row>
    <row r="242" spans="1:19" s="91" customFormat="1">
      <c r="A242" s="91" t="s">
        <v>707</v>
      </c>
      <c r="B242" s="91" t="s">
        <v>226</v>
      </c>
      <c r="C242" s="91" t="s">
        <v>1056</v>
      </c>
      <c r="D242" s="234">
        <v>5.5</v>
      </c>
      <c r="E242" s="92">
        <v>46929</v>
      </c>
      <c r="F242" s="93"/>
      <c r="G242" s="235">
        <f t="shared" si="5"/>
        <v>483.38682</v>
      </c>
      <c r="H242" s="235">
        <f t="shared" si="5"/>
        <v>483.69130999999999</v>
      </c>
      <c r="I242" s="235">
        <f t="shared" si="5"/>
        <v>497.35689000000002</v>
      </c>
      <c r="J242" s="235">
        <f t="shared" si="5"/>
        <v>13.665580000000016</v>
      </c>
      <c r="K242" s="93"/>
      <c r="L242" s="236" t="s">
        <v>189</v>
      </c>
      <c r="M242" s="236" t="s">
        <v>122</v>
      </c>
      <c r="N242" s="236" t="s">
        <v>63</v>
      </c>
      <c r="P242" s="91">
        <v>483386.82</v>
      </c>
      <c r="Q242" s="91">
        <v>483691.31</v>
      </c>
      <c r="R242" s="91">
        <v>497356.89</v>
      </c>
      <c r="S242" s="91">
        <v>13665.580000000016</v>
      </c>
    </row>
    <row r="243" spans="1:19" s="91" customFormat="1">
      <c r="A243" s="91" t="s">
        <v>708</v>
      </c>
      <c r="B243" s="91" t="s">
        <v>426</v>
      </c>
      <c r="C243" s="91" t="s">
        <v>1056</v>
      </c>
      <c r="D243" s="234">
        <v>5.125</v>
      </c>
      <c r="E243" s="92">
        <v>43266</v>
      </c>
      <c r="F243" s="93"/>
      <c r="G243" s="235">
        <f t="shared" si="5"/>
        <v>549.53109999999992</v>
      </c>
      <c r="H243" s="235">
        <f t="shared" si="5"/>
        <v>548.50824</v>
      </c>
      <c r="I243" s="235">
        <f t="shared" si="5"/>
        <v>560.21809999999994</v>
      </c>
      <c r="J243" s="235">
        <f t="shared" si="5"/>
        <v>11.709859999999987</v>
      </c>
      <c r="K243" s="93"/>
      <c r="L243" s="236" t="s">
        <v>189</v>
      </c>
      <c r="M243" s="236" t="s">
        <v>122</v>
      </c>
      <c r="N243" s="236" t="s">
        <v>63</v>
      </c>
      <c r="P243" s="91">
        <v>549531.1</v>
      </c>
      <c r="Q243" s="91">
        <v>548508.24</v>
      </c>
      <c r="R243" s="91">
        <v>560218.1</v>
      </c>
      <c r="S243" s="91">
        <v>11709.859999999986</v>
      </c>
    </row>
    <row r="244" spans="1:19" s="91" customFormat="1">
      <c r="A244" s="91" t="s">
        <v>709</v>
      </c>
      <c r="B244" s="91" t="s">
        <v>226</v>
      </c>
      <c r="C244" s="91" t="s">
        <v>1058</v>
      </c>
      <c r="D244" s="234">
        <v>2.5</v>
      </c>
      <c r="E244" s="92">
        <v>41774</v>
      </c>
      <c r="F244" s="93"/>
      <c r="G244" s="235">
        <f t="shared" si="5"/>
        <v>1200</v>
      </c>
      <c r="H244" s="235">
        <f t="shared" si="5"/>
        <v>1180.7262599999999</v>
      </c>
      <c r="I244" s="235">
        <f t="shared" si="5"/>
        <v>1255.84799</v>
      </c>
      <c r="J244" s="235">
        <f t="shared" si="5"/>
        <v>75.121729999999957</v>
      </c>
      <c r="K244" s="93"/>
      <c r="L244" s="236" t="s">
        <v>189</v>
      </c>
      <c r="M244" s="236" t="s">
        <v>122</v>
      </c>
      <c r="N244" s="236" t="s">
        <v>63</v>
      </c>
      <c r="P244" s="91">
        <v>1200000</v>
      </c>
      <c r="Q244" s="91">
        <v>1180726.26</v>
      </c>
      <c r="R244" s="91">
        <v>1255847.99</v>
      </c>
      <c r="S244" s="91">
        <v>75121.729999999952</v>
      </c>
    </row>
    <row r="245" spans="1:19" s="91" customFormat="1">
      <c r="A245" s="91" t="s">
        <v>710</v>
      </c>
      <c r="B245" s="91" t="s">
        <v>226</v>
      </c>
      <c r="C245" s="91" t="s">
        <v>1058</v>
      </c>
      <c r="D245" s="234">
        <v>3</v>
      </c>
      <c r="E245" s="92">
        <v>41898</v>
      </c>
      <c r="F245" s="93"/>
      <c r="G245" s="235">
        <f t="shared" si="5"/>
        <v>6000</v>
      </c>
      <c r="H245" s="235">
        <f t="shared" si="5"/>
        <v>6049.3996200000001</v>
      </c>
      <c r="I245" s="235">
        <f t="shared" si="5"/>
        <v>6390.96036</v>
      </c>
      <c r="J245" s="235">
        <f t="shared" si="5"/>
        <v>341.56074000000024</v>
      </c>
      <c r="K245" s="93"/>
      <c r="L245" s="236" t="s">
        <v>189</v>
      </c>
      <c r="M245" s="236" t="s">
        <v>122</v>
      </c>
      <c r="N245" s="236" t="s">
        <v>63</v>
      </c>
      <c r="P245" s="91">
        <v>6000000</v>
      </c>
      <c r="Q245" s="91">
        <v>6049399.6200000001</v>
      </c>
      <c r="R245" s="91">
        <v>6390960.3600000003</v>
      </c>
      <c r="S245" s="91">
        <v>341560.74000000022</v>
      </c>
    </row>
    <row r="246" spans="1:19" s="91" customFormat="1">
      <c r="A246" s="91" t="s">
        <v>711</v>
      </c>
      <c r="B246" s="91" t="s">
        <v>399</v>
      </c>
      <c r="C246" s="91" t="s">
        <v>1056</v>
      </c>
      <c r="D246" s="234">
        <v>5.5</v>
      </c>
      <c r="E246" s="92">
        <v>48611</v>
      </c>
      <c r="F246" s="93"/>
      <c r="G246" s="235">
        <f t="shared" si="5"/>
        <v>227.0094</v>
      </c>
      <c r="H246" s="235">
        <f t="shared" si="5"/>
        <v>227.35104000000001</v>
      </c>
      <c r="I246" s="235">
        <f t="shared" si="5"/>
        <v>248.48367999999999</v>
      </c>
      <c r="J246" s="235">
        <f t="shared" si="5"/>
        <v>21.132639999999984</v>
      </c>
      <c r="K246" s="93"/>
      <c r="L246" s="236" t="s">
        <v>189</v>
      </c>
      <c r="M246" s="236" t="s">
        <v>122</v>
      </c>
      <c r="N246" s="236" t="s">
        <v>63</v>
      </c>
      <c r="P246" s="91">
        <v>227009.4</v>
      </c>
      <c r="Q246" s="91">
        <v>227351.04000000001</v>
      </c>
      <c r="R246" s="91">
        <v>248483.68</v>
      </c>
      <c r="S246" s="91">
        <v>21132.639999999985</v>
      </c>
    </row>
    <row r="247" spans="1:19" s="91" customFormat="1">
      <c r="A247" s="91" t="s">
        <v>712</v>
      </c>
      <c r="B247" s="91" t="s">
        <v>400</v>
      </c>
      <c r="C247" s="91" t="s">
        <v>1056</v>
      </c>
      <c r="D247" s="234">
        <v>5</v>
      </c>
      <c r="E247" s="92">
        <v>43160</v>
      </c>
      <c r="F247" s="93"/>
      <c r="G247" s="235">
        <f t="shared" si="5"/>
        <v>1301.5564399999998</v>
      </c>
      <c r="H247" s="235">
        <f t="shared" si="5"/>
        <v>1305.604</v>
      </c>
      <c r="I247" s="235">
        <f t="shared" si="5"/>
        <v>1405.36825</v>
      </c>
      <c r="J247" s="235">
        <f t="shared" si="5"/>
        <v>99.764249999999947</v>
      </c>
      <c r="K247" s="93"/>
      <c r="L247" s="236" t="s">
        <v>189</v>
      </c>
      <c r="M247" s="236" t="s">
        <v>122</v>
      </c>
      <c r="N247" s="236" t="s">
        <v>63</v>
      </c>
      <c r="P247" s="91">
        <v>1301556.44</v>
      </c>
      <c r="Q247" s="91">
        <v>1305604</v>
      </c>
      <c r="R247" s="91">
        <v>1405368.25</v>
      </c>
      <c r="S247" s="91">
        <v>99764.249999999942</v>
      </c>
    </row>
    <row r="248" spans="1:19" s="91" customFormat="1">
      <c r="A248" s="91" t="s">
        <v>713</v>
      </c>
      <c r="B248" s="91" t="s">
        <v>399</v>
      </c>
      <c r="C248" s="91" t="s">
        <v>1056</v>
      </c>
      <c r="D248" s="234">
        <v>5</v>
      </c>
      <c r="E248" s="92">
        <v>48761</v>
      </c>
      <c r="F248" s="93"/>
      <c r="G248" s="235">
        <f t="shared" si="5"/>
        <v>2458.0087000000003</v>
      </c>
      <c r="H248" s="235">
        <f t="shared" si="5"/>
        <v>2443.8142599999996</v>
      </c>
      <c r="I248" s="235">
        <f t="shared" si="5"/>
        <v>2655.7453000000005</v>
      </c>
      <c r="J248" s="235">
        <f t="shared" si="5"/>
        <v>211.93104</v>
      </c>
      <c r="K248" s="93"/>
      <c r="L248" s="236" t="s">
        <v>189</v>
      </c>
      <c r="M248" s="236" t="s">
        <v>122</v>
      </c>
      <c r="N248" s="236" t="s">
        <v>63</v>
      </c>
      <c r="P248" s="91">
        <v>2458008.7000000002</v>
      </c>
      <c r="Q248" s="91">
        <v>2443814.2599999998</v>
      </c>
      <c r="R248" s="91">
        <v>2655745.3000000003</v>
      </c>
      <c r="S248" s="91">
        <v>211931.04</v>
      </c>
    </row>
    <row r="249" spans="1:19" s="91" customFormat="1">
      <c r="A249" s="91" t="s">
        <v>714</v>
      </c>
      <c r="B249" s="91" t="s">
        <v>399</v>
      </c>
      <c r="C249" s="91" t="s">
        <v>1056</v>
      </c>
      <c r="D249" s="234">
        <v>5.5</v>
      </c>
      <c r="E249" s="92">
        <v>48823</v>
      </c>
      <c r="F249" s="93"/>
      <c r="G249" s="235">
        <f t="shared" si="5"/>
        <v>1364.5245600000001</v>
      </c>
      <c r="H249" s="235">
        <f t="shared" si="5"/>
        <v>1358.20911</v>
      </c>
      <c r="I249" s="235">
        <f t="shared" si="5"/>
        <v>1493.6037099999999</v>
      </c>
      <c r="J249" s="235">
        <f t="shared" si="5"/>
        <v>135.3946</v>
      </c>
      <c r="K249" s="93"/>
      <c r="L249" s="236" t="s">
        <v>189</v>
      </c>
      <c r="M249" s="236" t="s">
        <v>122</v>
      </c>
      <c r="N249" s="236" t="s">
        <v>63</v>
      </c>
      <c r="P249" s="91">
        <v>1364524.56</v>
      </c>
      <c r="Q249" s="91">
        <v>1358209.11</v>
      </c>
      <c r="R249" s="91">
        <v>1493603.71</v>
      </c>
      <c r="S249" s="91">
        <v>135394.6</v>
      </c>
    </row>
    <row r="250" spans="1:19" s="91" customFormat="1">
      <c r="A250" s="91" t="s">
        <v>715</v>
      </c>
      <c r="B250" s="91" t="s">
        <v>399</v>
      </c>
      <c r="C250" s="91" t="s">
        <v>1056</v>
      </c>
      <c r="D250" s="234">
        <v>5.5</v>
      </c>
      <c r="E250" s="92">
        <v>48823</v>
      </c>
      <c r="F250" s="93"/>
      <c r="G250" s="235">
        <f t="shared" si="5"/>
        <v>564.82656000000009</v>
      </c>
      <c r="H250" s="235">
        <f t="shared" si="5"/>
        <v>568.18147999999997</v>
      </c>
      <c r="I250" s="235">
        <f t="shared" si="5"/>
        <v>618.25712999999996</v>
      </c>
      <c r="J250" s="235">
        <f t="shared" si="5"/>
        <v>50.075649999999968</v>
      </c>
      <c r="K250" s="93"/>
      <c r="L250" s="236" t="s">
        <v>189</v>
      </c>
      <c r="M250" s="236" t="s">
        <v>122</v>
      </c>
      <c r="N250" s="236" t="s">
        <v>63</v>
      </c>
      <c r="P250" s="91">
        <v>564826.56000000006</v>
      </c>
      <c r="Q250" s="91">
        <v>568181.48</v>
      </c>
      <c r="R250" s="91">
        <v>618257.13</v>
      </c>
      <c r="S250" s="91">
        <v>50075.649999999965</v>
      </c>
    </row>
    <row r="251" spans="1:19" s="91" customFormat="1">
      <c r="A251" s="91" t="s">
        <v>716</v>
      </c>
      <c r="B251" s="91" t="s">
        <v>399</v>
      </c>
      <c r="C251" s="91" t="s">
        <v>1056</v>
      </c>
      <c r="D251" s="234">
        <v>5.5</v>
      </c>
      <c r="E251" s="92">
        <v>48914</v>
      </c>
      <c r="F251" s="93"/>
      <c r="G251" s="235">
        <f t="shared" si="5"/>
        <v>1724.46741</v>
      </c>
      <c r="H251" s="235">
        <f t="shared" si="5"/>
        <v>1731.84222</v>
      </c>
      <c r="I251" s="235">
        <f t="shared" si="5"/>
        <v>1887.5958700000001</v>
      </c>
      <c r="J251" s="235">
        <f t="shared" si="5"/>
        <v>155.75365000000014</v>
      </c>
      <c r="K251" s="93"/>
      <c r="L251" s="236" t="s">
        <v>189</v>
      </c>
      <c r="M251" s="236" t="s">
        <v>122</v>
      </c>
      <c r="N251" s="236" t="s">
        <v>63</v>
      </c>
      <c r="P251" s="91">
        <v>1724467.41</v>
      </c>
      <c r="Q251" s="91">
        <v>1731842.22</v>
      </c>
      <c r="R251" s="91">
        <v>1887595.87</v>
      </c>
      <c r="S251" s="91">
        <v>155753.65000000014</v>
      </c>
    </row>
    <row r="252" spans="1:19" s="91" customFormat="1">
      <c r="A252" s="91" t="s">
        <v>717</v>
      </c>
      <c r="B252" s="91" t="s">
        <v>399</v>
      </c>
      <c r="C252" s="91" t="s">
        <v>1056</v>
      </c>
      <c r="D252" s="234">
        <v>5</v>
      </c>
      <c r="E252" s="92">
        <v>49035</v>
      </c>
      <c r="F252" s="93"/>
      <c r="G252" s="235">
        <f t="shared" si="5"/>
        <v>2865.2835000000005</v>
      </c>
      <c r="H252" s="235">
        <f t="shared" si="5"/>
        <v>2843.9413999999997</v>
      </c>
      <c r="I252" s="235">
        <f t="shared" si="5"/>
        <v>3095.9252099999999</v>
      </c>
      <c r="J252" s="235">
        <f t="shared" si="5"/>
        <v>251.98380999999989</v>
      </c>
      <c r="K252" s="93"/>
      <c r="L252" s="236" t="s">
        <v>189</v>
      </c>
      <c r="M252" s="236" t="s">
        <v>122</v>
      </c>
      <c r="N252" s="236" t="s">
        <v>63</v>
      </c>
      <c r="P252" s="91">
        <v>2865283.5000000005</v>
      </c>
      <c r="Q252" s="91">
        <v>2843941.4</v>
      </c>
      <c r="R252" s="91">
        <v>3095925.21</v>
      </c>
      <c r="S252" s="91">
        <v>251983.80999999988</v>
      </c>
    </row>
    <row r="253" spans="1:19" s="91" customFormat="1">
      <c r="A253" s="91" t="s">
        <v>718</v>
      </c>
      <c r="B253" s="91" t="s">
        <v>399</v>
      </c>
      <c r="C253" s="91" t="s">
        <v>1056</v>
      </c>
      <c r="D253" s="234">
        <v>6</v>
      </c>
      <c r="E253" s="92">
        <v>49096</v>
      </c>
      <c r="F253" s="93"/>
      <c r="G253" s="235">
        <f t="shared" si="5"/>
        <v>173.26676999999998</v>
      </c>
      <c r="H253" s="235">
        <f t="shared" si="5"/>
        <v>173.84341000000001</v>
      </c>
      <c r="I253" s="235">
        <f t="shared" si="5"/>
        <v>192.93457000000001</v>
      </c>
      <c r="J253" s="235">
        <f t="shared" si="5"/>
        <v>19.091160000000002</v>
      </c>
      <c r="K253" s="93"/>
      <c r="L253" s="236" t="s">
        <v>189</v>
      </c>
      <c r="M253" s="236" t="s">
        <v>122</v>
      </c>
      <c r="N253" s="236" t="s">
        <v>63</v>
      </c>
      <c r="P253" s="91">
        <v>173266.77</v>
      </c>
      <c r="Q253" s="91">
        <v>173843.41</v>
      </c>
      <c r="R253" s="91">
        <v>192934.57</v>
      </c>
      <c r="S253" s="91">
        <v>19091.160000000003</v>
      </c>
    </row>
    <row r="254" spans="1:19" s="91" customFormat="1">
      <c r="A254" s="91" t="s">
        <v>719</v>
      </c>
      <c r="B254" s="91" t="s">
        <v>399</v>
      </c>
      <c r="C254" s="91" t="s">
        <v>1056</v>
      </c>
      <c r="D254" s="234">
        <v>5.5</v>
      </c>
      <c r="E254" s="92">
        <v>49279</v>
      </c>
      <c r="F254" s="93"/>
      <c r="G254" s="235">
        <f t="shared" si="5"/>
        <v>1447.5378000000001</v>
      </c>
      <c r="H254" s="235">
        <f t="shared" si="5"/>
        <v>1449.22956</v>
      </c>
      <c r="I254" s="235">
        <f t="shared" si="5"/>
        <v>1584.1250600000001</v>
      </c>
      <c r="J254" s="235">
        <f t="shared" si="5"/>
        <v>134.89550000000003</v>
      </c>
      <c r="K254" s="93"/>
      <c r="L254" s="236" t="s">
        <v>189</v>
      </c>
      <c r="M254" s="236" t="s">
        <v>122</v>
      </c>
      <c r="N254" s="236" t="s">
        <v>63</v>
      </c>
      <c r="P254" s="91">
        <v>1447537.8</v>
      </c>
      <c r="Q254" s="91">
        <v>1449229.56</v>
      </c>
      <c r="R254" s="91">
        <v>1584125.06</v>
      </c>
      <c r="S254" s="91">
        <v>134895.50000000003</v>
      </c>
    </row>
    <row r="255" spans="1:19" s="91" customFormat="1">
      <c r="A255" s="91" t="s">
        <v>720</v>
      </c>
      <c r="B255" s="91" t="s">
        <v>399</v>
      </c>
      <c r="C255" s="91" t="s">
        <v>1056</v>
      </c>
      <c r="D255" s="234">
        <v>5.5</v>
      </c>
      <c r="E255" s="92">
        <v>49430</v>
      </c>
      <c r="F255" s="93"/>
      <c r="G255" s="235">
        <f t="shared" si="5"/>
        <v>1100.9558400000001</v>
      </c>
      <c r="H255" s="235">
        <f t="shared" si="5"/>
        <v>1101.8297500000001</v>
      </c>
      <c r="I255" s="235">
        <f t="shared" si="5"/>
        <v>1198.96667</v>
      </c>
      <c r="J255" s="235">
        <f t="shared" si="5"/>
        <v>97.136919999999932</v>
      </c>
      <c r="K255" s="93"/>
      <c r="L255" s="236" t="s">
        <v>189</v>
      </c>
      <c r="M255" s="236" t="s">
        <v>122</v>
      </c>
      <c r="N255" s="236" t="s">
        <v>63</v>
      </c>
      <c r="P255" s="91">
        <v>1100955.8400000001</v>
      </c>
      <c r="Q255" s="91">
        <v>1101829.75</v>
      </c>
      <c r="R255" s="91">
        <v>1198966.67</v>
      </c>
      <c r="S255" s="91">
        <v>97136.919999999925</v>
      </c>
    </row>
    <row r="256" spans="1:19" s="91" customFormat="1">
      <c r="A256" s="91" t="s">
        <v>991</v>
      </c>
      <c r="B256" s="91" t="s">
        <v>399</v>
      </c>
      <c r="C256" s="91" t="s">
        <v>1056</v>
      </c>
      <c r="D256" s="234">
        <v>6</v>
      </c>
      <c r="E256" s="92">
        <v>50587</v>
      </c>
      <c r="F256" s="93"/>
      <c r="G256" s="235">
        <f t="shared" si="5"/>
        <v>4371.4156899999998</v>
      </c>
      <c r="H256" s="235">
        <f t="shared" si="5"/>
        <v>4796.784239999999</v>
      </c>
      <c r="I256" s="235">
        <f t="shared" si="5"/>
        <v>4815.3158700000013</v>
      </c>
      <c r="J256" s="235">
        <f t="shared" si="5"/>
        <v>18.531630000000266</v>
      </c>
      <c r="K256" s="93"/>
      <c r="L256" s="236" t="s">
        <v>189</v>
      </c>
      <c r="M256" s="236" t="s">
        <v>122</v>
      </c>
      <c r="N256" s="236" t="s">
        <v>63</v>
      </c>
      <c r="P256" s="91">
        <v>4371415.6899999995</v>
      </c>
      <c r="Q256" s="91">
        <v>4796784.2399999993</v>
      </c>
      <c r="R256" s="91">
        <v>4815315.870000001</v>
      </c>
      <c r="S256" s="91">
        <v>18531.630000000267</v>
      </c>
    </row>
    <row r="257" spans="1:19" s="91" customFormat="1">
      <c r="A257" s="91" t="s">
        <v>721</v>
      </c>
      <c r="B257" s="91" t="s">
        <v>399</v>
      </c>
      <c r="C257" s="91" t="s">
        <v>1056</v>
      </c>
      <c r="D257" s="234">
        <v>6</v>
      </c>
      <c r="E257" s="92">
        <v>49919</v>
      </c>
      <c r="F257" s="93"/>
      <c r="G257" s="235">
        <f t="shared" si="5"/>
        <v>1635.6716399999998</v>
      </c>
      <c r="H257" s="235">
        <f t="shared" si="5"/>
        <v>1631.52323</v>
      </c>
      <c r="I257" s="235">
        <f t="shared" si="5"/>
        <v>1805.62823</v>
      </c>
      <c r="J257" s="235">
        <f t="shared" si="5"/>
        <v>174.10499999999999</v>
      </c>
      <c r="K257" s="93"/>
      <c r="L257" s="236" t="s">
        <v>189</v>
      </c>
      <c r="M257" s="236" t="s">
        <v>122</v>
      </c>
      <c r="N257" s="236" t="s">
        <v>63</v>
      </c>
      <c r="P257" s="91">
        <v>1635671.64</v>
      </c>
      <c r="Q257" s="91">
        <v>1631523.23</v>
      </c>
      <c r="R257" s="91">
        <v>1805628.23</v>
      </c>
      <c r="S257" s="91">
        <v>174105</v>
      </c>
    </row>
    <row r="258" spans="1:19" s="91" customFormat="1">
      <c r="A258" s="91" t="s">
        <v>722</v>
      </c>
      <c r="B258" s="91" t="s">
        <v>399</v>
      </c>
      <c r="C258" s="91" t="s">
        <v>1056</v>
      </c>
      <c r="D258" s="234">
        <v>6</v>
      </c>
      <c r="E258" s="92">
        <v>50222</v>
      </c>
      <c r="F258" s="93"/>
      <c r="G258" s="235">
        <f t="shared" si="5"/>
        <v>4328.9184000000005</v>
      </c>
      <c r="H258" s="235">
        <f t="shared" si="5"/>
        <v>4314.4932699999999</v>
      </c>
      <c r="I258" s="235">
        <f t="shared" si="5"/>
        <v>4776.0147200000001</v>
      </c>
      <c r="J258" s="235">
        <f t="shared" si="5"/>
        <v>461.52145000000019</v>
      </c>
      <c r="K258" s="93"/>
      <c r="L258" s="236" t="s">
        <v>189</v>
      </c>
      <c r="M258" s="236" t="s">
        <v>122</v>
      </c>
      <c r="N258" s="236" t="s">
        <v>63</v>
      </c>
      <c r="P258" s="91">
        <v>4328918.4000000004</v>
      </c>
      <c r="Q258" s="91">
        <v>4314493.2699999996</v>
      </c>
      <c r="R258" s="91">
        <v>4776014.72</v>
      </c>
      <c r="S258" s="91">
        <v>461521.45000000019</v>
      </c>
    </row>
    <row r="259" spans="1:19" s="91" customFormat="1">
      <c r="A259" s="91" t="s">
        <v>723</v>
      </c>
      <c r="B259" s="91" t="s">
        <v>433</v>
      </c>
      <c r="C259" s="91" t="s">
        <v>1056</v>
      </c>
      <c r="D259" s="234">
        <v>5.6349999999999998</v>
      </c>
      <c r="E259" s="92">
        <v>50375</v>
      </c>
      <c r="F259" s="93"/>
      <c r="G259" s="235">
        <f t="shared" si="5"/>
        <v>495.82188000000002</v>
      </c>
      <c r="H259" s="235">
        <f t="shared" si="5"/>
        <v>495.77949999999998</v>
      </c>
      <c r="I259" s="235">
        <f t="shared" si="5"/>
        <v>534.08073999999999</v>
      </c>
      <c r="J259" s="235">
        <f t="shared" si="5"/>
        <v>38.301239999999993</v>
      </c>
      <c r="K259" s="93"/>
      <c r="L259" s="236" t="s">
        <v>189</v>
      </c>
      <c r="M259" s="236" t="s">
        <v>122</v>
      </c>
      <c r="N259" s="236" t="s">
        <v>63</v>
      </c>
      <c r="P259" s="91">
        <v>495821.88</v>
      </c>
      <c r="Q259" s="91">
        <v>495779.5</v>
      </c>
      <c r="R259" s="91">
        <v>534080.74</v>
      </c>
      <c r="S259" s="91">
        <v>38301.239999999991</v>
      </c>
    </row>
    <row r="260" spans="1:19" s="91" customFormat="1">
      <c r="A260" s="91" t="s">
        <v>980</v>
      </c>
      <c r="B260" s="91" t="s">
        <v>399</v>
      </c>
      <c r="C260" s="91" t="s">
        <v>1056</v>
      </c>
      <c r="D260" s="234">
        <v>4.5</v>
      </c>
      <c r="E260" s="92">
        <v>50618</v>
      </c>
      <c r="F260" s="93"/>
      <c r="G260" s="235">
        <f t="shared" si="5"/>
        <v>4393.2661600000001</v>
      </c>
      <c r="H260" s="235">
        <f t="shared" si="5"/>
        <v>4464.3128399999996</v>
      </c>
      <c r="I260" s="235">
        <f t="shared" si="5"/>
        <v>4678.0785999999998</v>
      </c>
      <c r="J260" s="235">
        <f t="shared" si="5"/>
        <v>213.76575999999983</v>
      </c>
      <c r="K260" s="93"/>
      <c r="L260" s="236" t="s">
        <v>189</v>
      </c>
      <c r="M260" s="236" t="s">
        <v>122</v>
      </c>
      <c r="N260" s="236" t="s">
        <v>63</v>
      </c>
      <c r="P260" s="91">
        <v>4393266.16</v>
      </c>
      <c r="Q260" s="91">
        <v>4464312.84</v>
      </c>
      <c r="R260" s="91">
        <v>4678078.5999999996</v>
      </c>
      <c r="S260" s="91">
        <v>213765.75999999983</v>
      </c>
    </row>
    <row r="261" spans="1:19" s="91" customFormat="1">
      <c r="A261" s="91" t="s">
        <v>724</v>
      </c>
      <c r="B261" s="91" t="s">
        <v>399</v>
      </c>
      <c r="C261" s="91" t="s">
        <v>1056</v>
      </c>
      <c r="D261" s="234">
        <v>4</v>
      </c>
      <c r="E261" s="92">
        <v>51349</v>
      </c>
      <c r="F261" s="93"/>
      <c r="G261" s="235">
        <f t="shared" si="5"/>
        <v>275.77643</v>
      </c>
      <c r="H261" s="235">
        <f t="shared" si="5"/>
        <v>283.00703999999996</v>
      </c>
      <c r="I261" s="235">
        <f t="shared" si="5"/>
        <v>289.80793</v>
      </c>
      <c r="J261" s="235">
        <f t="shared" ref="J261:J324" si="6">S261/1000</f>
        <v>6.8008900000000141</v>
      </c>
      <c r="K261" s="93"/>
      <c r="L261" s="236" t="s">
        <v>189</v>
      </c>
      <c r="M261" s="236" t="s">
        <v>122</v>
      </c>
      <c r="N261" s="236" t="s">
        <v>63</v>
      </c>
      <c r="P261" s="91">
        <v>275776.43</v>
      </c>
      <c r="Q261" s="91">
        <v>283007.03999999998</v>
      </c>
      <c r="R261" s="91">
        <v>289807.93</v>
      </c>
      <c r="S261" s="91">
        <v>6800.890000000014</v>
      </c>
    </row>
    <row r="262" spans="1:19" s="91" customFormat="1">
      <c r="A262" s="91" t="s">
        <v>725</v>
      </c>
      <c r="B262" s="91" t="s">
        <v>399</v>
      </c>
      <c r="C262" s="91" t="s">
        <v>1056</v>
      </c>
      <c r="D262" s="234">
        <v>5</v>
      </c>
      <c r="E262" s="92">
        <v>51349</v>
      </c>
      <c r="F262" s="93"/>
      <c r="G262" s="235">
        <f t="shared" ref="G262:J325" si="7">P262/1000</f>
        <v>320.79631999999998</v>
      </c>
      <c r="H262" s="235">
        <f t="shared" si="7"/>
        <v>330.54556000000002</v>
      </c>
      <c r="I262" s="235">
        <f t="shared" si="7"/>
        <v>348.51959999999997</v>
      </c>
      <c r="J262" s="235">
        <f t="shared" si="6"/>
        <v>17.974039999999977</v>
      </c>
      <c r="K262" s="93"/>
      <c r="L262" s="236" t="s">
        <v>189</v>
      </c>
      <c r="M262" s="236" t="s">
        <v>122</v>
      </c>
      <c r="N262" s="236" t="s">
        <v>63</v>
      </c>
      <c r="P262" s="91">
        <v>320796.32</v>
      </c>
      <c r="Q262" s="91">
        <v>330545.56</v>
      </c>
      <c r="R262" s="91">
        <v>348519.6</v>
      </c>
      <c r="S262" s="91">
        <v>17974.039999999979</v>
      </c>
    </row>
    <row r="263" spans="1:19" s="91" customFormat="1">
      <c r="A263" s="91" t="s">
        <v>996</v>
      </c>
      <c r="B263" s="91" t="s">
        <v>399</v>
      </c>
      <c r="C263" s="91" t="s">
        <v>1056</v>
      </c>
      <c r="D263" s="234">
        <v>3.5</v>
      </c>
      <c r="E263" s="92">
        <v>51441</v>
      </c>
      <c r="F263" s="93"/>
      <c r="G263" s="235">
        <f t="shared" si="7"/>
        <v>2466.9324399999996</v>
      </c>
      <c r="H263" s="235">
        <f t="shared" si="7"/>
        <v>2367.7381999999998</v>
      </c>
      <c r="I263" s="235">
        <f t="shared" si="7"/>
        <v>2539.3108200000001</v>
      </c>
      <c r="J263" s="235">
        <f t="shared" si="6"/>
        <v>171.57262000000017</v>
      </c>
      <c r="K263" s="93"/>
      <c r="L263" s="236" t="s">
        <v>189</v>
      </c>
      <c r="M263" s="236" t="s">
        <v>122</v>
      </c>
      <c r="N263" s="236" t="s">
        <v>63</v>
      </c>
      <c r="P263" s="91">
        <v>2466932.4399999995</v>
      </c>
      <c r="Q263" s="91">
        <v>2367738.1999999997</v>
      </c>
      <c r="R263" s="91">
        <v>2539310.8200000003</v>
      </c>
      <c r="S263" s="91">
        <v>171572.62000000017</v>
      </c>
    </row>
    <row r="264" spans="1:19" s="91" customFormat="1">
      <c r="A264" s="91" t="s">
        <v>726</v>
      </c>
      <c r="B264" s="91" t="s">
        <v>399</v>
      </c>
      <c r="C264" s="91" t="s">
        <v>1056</v>
      </c>
      <c r="D264" s="234">
        <v>4</v>
      </c>
      <c r="E264" s="92">
        <v>51349</v>
      </c>
      <c r="F264" s="93"/>
      <c r="G264" s="235">
        <f t="shared" si="7"/>
        <v>239.64064999999999</v>
      </c>
      <c r="H264" s="235">
        <f t="shared" si="7"/>
        <v>247.47073</v>
      </c>
      <c r="I264" s="235">
        <f t="shared" si="7"/>
        <v>251.83356000000001</v>
      </c>
      <c r="J264" s="235">
        <f t="shared" si="6"/>
        <v>4.3628299999999873</v>
      </c>
      <c r="K264" s="93"/>
      <c r="L264" s="236" t="s">
        <v>189</v>
      </c>
      <c r="M264" s="236" t="s">
        <v>122</v>
      </c>
      <c r="N264" s="236" t="s">
        <v>63</v>
      </c>
      <c r="P264" s="91">
        <v>239640.65</v>
      </c>
      <c r="Q264" s="91">
        <v>247470.73</v>
      </c>
      <c r="R264" s="91">
        <v>251833.56</v>
      </c>
      <c r="S264" s="91">
        <v>4362.8299999999872</v>
      </c>
    </row>
    <row r="265" spans="1:19" s="91" customFormat="1">
      <c r="A265" s="91" t="s">
        <v>727</v>
      </c>
      <c r="B265" s="91" t="s">
        <v>399</v>
      </c>
      <c r="C265" s="91" t="s">
        <v>1056</v>
      </c>
      <c r="D265" s="234">
        <v>4</v>
      </c>
      <c r="E265" s="92">
        <v>51380</v>
      </c>
      <c r="F265" s="93"/>
      <c r="G265" s="235">
        <f t="shared" si="7"/>
        <v>287.78755000000001</v>
      </c>
      <c r="H265" s="235">
        <f t="shared" si="7"/>
        <v>285.02863999999994</v>
      </c>
      <c r="I265" s="235">
        <f t="shared" si="7"/>
        <v>303.77325999999999</v>
      </c>
      <c r="J265" s="235">
        <f t="shared" si="6"/>
        <v>18.744619999999998</v>
      </c>
      <c r="K265" s="93"/>
      <c r="L265" s="236" t="s">
        <v>189</v>
      </c>
      <c r="M265" s="236" t="s">
        <v>122</v>
      </c>
      <c r="N265" s="236" t="s">
        <v>63</v>
      </c>
      <c r="P265" s="91">
        <v>287787.55</v>
      </c>
      <c r="Q265" s="91">
        <v>285028.63999999996</v>
      </c>
      <c r="R265" s="91">
        <v>303773.26</v>
      </c>
      <c r="S265" s="91">
        <v>18744.62</v>
      </c>
    </row>
    <row r="266" spans="1:19" s="91" customFormat="1">
      <c r="A266" s="91" t="s">
        <v>728</v>
      </c>
      <c r="B266" s="91" t="s">
        <v>400</v>
      </c>
      <c r="C266" s="91" t="s">
        <v>1056</v>
      </c>
      <c r="D266" s="234">
        <v>3.5</v>
      </c>
      <c r="E266" s="92">
        <v>45901</v>
      </c>
      <c r="F266" s="93"/>
      <c r="G266" s="235">
        <f t="shared" si="7"/>
        <v>346.95022999999998</v>
      </c>
      <c r="H266" s="235">
        <f t="shared" si="7"/>
        <v>349.27940999999998</v>
      </c>
      <c r="I266" s="235">
        <f t="shared" si="7"/>
        <v>362.93796999999995</v>
      </c>
      <c r="J266" s="235">
        <f t="shared" si="6"/>
        <v>13.658559999999998</v>
      </c>
      <c r="K266" s="93"/>
      <c r="L266" s="236" t="s">
        <v>189</v>
      </c>
      <c r="M266" s="236" t="s">
        <v>122</v>
      </c>
      <c r="N266" s="236" t="s">
        <v>63</v>
      </c>
      <c r="P266" s="91">
        <v>346950.23</v>
      </c>
      <c r="Q266" s="91">
        <v>349279.41</v>
      </c>
      <c r="R266" s="91">
        <v>362937.97</v>
      </c>
      <c r="S266" s="91">
        <v>13658.559999999998</v>
      </c>
    </row>
    <row r="267" spans="1:19" s="91" customFormat="1">
      <c r="A267" s="91" t="s">
        <v>729</v>
      </c>
      <c r="B267" s="91" t="s">
        <v>399</v>
      </c>
      <c r="C267" s="91" t="s">
        <v>1056</v>
      </c>
      <c r="D267" s="234">
        <v>5</v>
      </c>
      <c r="E267" s="92">
        <v>51014</v>
      </c>
      <c r="F267" s="93"/>
      <c r="G267" s="235">
        <f t="shared" si="7"/>
        <v>2310.7130699999998</v>
      </c>
      <c r="H267" s="235">
        <f t="shared" si="7"/>
        <v>2373.4456</v>
      </c>
      <c r="I267" s="235">
        <f t="shared" si="7"/>
        <v>2501.1067800000001</v>
      </c>
      <c r="J267" s="235">
        <f t="shared" si="6"/>
        <v>127.66118000000004</v>
      </c>
      <c r="K267" s="93"/>
      <c r="L267" s="236" t="s">
        <v>189</v>
      </c>
      <c r="M267" s="236" t="s">
        <v>122</v>
      </c>
      <c r="N267" s="236" t="s">
        <v>63</v>
      </c>
      <c r="P267" s="91">
        <v>2310713.0699999998</v>
      </c>
      <c r="Q267" s="91">
        <v>2373445.6</v>
      </c>
      <c r="R267" s="91">
        <v>2501106.7800000003</v>
      </c>
      <c r="S267" s="91">
        <v>127661.18000000005</v>
      </c>
    </row>
    <row r="268" spans="1:19" s="91" customFormat="1">
      <c r="A268" s="91" t="s">
        <v>730</v>
      </c>
      <c r="B268" s="91" t="s">
        <v>399</v>
      </c>
      <c r="C268" s="91" t="s">
        <v>1056</v>
      </c>
      <c r="D268" s="234">
        <v>5</v>
      </c>
      <c r="E268" s="92">
        <v>51044</v>
      </c>
      <c r="F268" s="93"/>
      <c r="G268" s="235">
        <f t="shared" si="7"/>
        <v>807.25035000000003</v>
      </c>
      <c r="H268" s="235">
        <f t="shared" si="7"/>
        <v>819.31085999999993</v>
      </c>
      <c r="I268" s="235">
        <f t="shared" si="7"/>
        <v>873.76462000000004</v>
      </c>
      <c r="J268" s="235">
        <f t="shared" si="6"/>
        <v>54.45376000000001</v>
      </c>
      <c r="K268" s="93"/>
      <c r="L268" s="236" t="s">
        <v>189</v>
      </c>
      <c r="M268" s="236" t="s">
        <v>122</v>
      </c>
      <c r="N268" s="236" t="s">
        <v>63</v>
      </c>
      <c r="P268" s="91">
        <v>807250.35</v>
      </c>
      <c r="Q268" s="91">
        <v>819310.86</v>
      </c>
      <c r="R268" s="91">
        <v>873764.62</v>
      </c>
      <c r="S268" s="91">
        <v>54453.760000000009</v>
      </c>
    </row>
    <row r="269" spans="1:19" s="91" customFormat="1">
      <c r="A269" s="91" t="s">
        <v>731</v>
      </c>
      <c r="B269" s="91" t="s">
        <v>399</v>
      </c>
      <c r="C269" s="91" t="s">
        <v>1056</v>
      </c>
      <c r="D269" s="234">
        <v>4</v>
      </c>
      <c r="E269" s="92">
        <v>51105</v>
      </c>
      <c r="F269" s="93"/>
      <c r="G269" s="235">
        <f t="shared" si="7"/>
        <v>289.28661</v>
      </c>
      <c r="H269" s="235">
        <f t="shared" si="7"/>
        <v>298.66528999999997</v>
      </c>
      <c r="I269" s="235">
        <f t="shared" si="7"/>
        <v>304.00551000000002</v>
      </c>
      <c r="J269" s="235">
        <f t="shared" si="6"/>
        <v>5.3402200000000306</v>
      </c>
      <c r="K269" s="93"/>
      <c r="L269" s="236" t="s">
        <v>189</v>
      </c>
      <c r="M269" s="236" t="s">
        <v>122</v>
      </c>
      <c r="N269" s="236" t="s">
        <v>63</v>
      </c>
      <c r="P269" s="91">
        <v>289286.61</v>
      </c>
      <c r="Q269" s="91">
        <v>298665.28999999998</v>
      </c>
      <c r="R269" s="91">
        <v>304005.51</v>
      </c>
      <c r="S269" s="91">
        <v>5340.2200000000303</v>
      </c>
    </row>
    <row r="270" spans="1:19" s="91" customFormat="1">
      <c r="A270" s="91" t="s">
        <v>732</v>
      </c>
      <c r="B270" s="91" t="s">
        <v>399</v>
      </c>
      <c r="C270" s="91" t="s">
        <v>1056</v>
      </c>
      <c r="D270" s="234">
        <v>4</v>
      </c>
      <c r="E270" s="92">
        <v>51044</v>
      </c>
      <c r="F270" s="93"/>
      <c r="G270" s="235">
        <f t="shared" si="7"/>
        <v>325.61897999999997</v>
      </c>
      <c r="H270" s="235">
        <f t="shared" si="7"/>
        <v>336.16845000000001</v>
      </c>
      <c r="I270" s="235">
        <f t="shared" si="7"/>
        <v>342.18646999999999</v>
      </c>
      <c r="J270" s="235">
        <f t="shared" si="6"/>
        <v>6.0180199999999608</v>
      </c>
      <c r="K270" s="93"/>
      <c r="L270" s="236" t="s">
        <v>189</v>
      </c>
      <c r="M270" s="236" t="s">
        <v>122</v>
      </c>
      <c r="N270" s="236" t="s">
        <v>63</v>
      </c>
      <c r="P270" s="91">
        <v>325618.98</v>
      </c>
      <c r="Q270" s="91">
        <v>336168.45</v>
      </c>
      <c r="R270" s="91">
        <v>342186.47</v>
      </c>
      <c r="S270" s="91">
        <v>6018.0199999999604</v>
      </c>
    </row>
    <row r="271" spans="1:19" s="91" customFormat="1">
      <c r="A271" s="91" t="s">
        <v>733</v>
      </c>
      <c r="B271" s="91" t="s">
        <v>399</v>
      </c>
      <c r="C271" s="91" t="s">
        <v>1056</v>
      </c>
      <c r="D271" s="234">
        <v>4.5</v>
      </c>
      <c r="E271" s="92">
        <v>51105</v>
      </c>
      <c r="F271" s="93"/>
      <c r="G271" s="235">
        <f t="shared" si="7"/>
        <v>985.8023300000001</v>
      </c>
      <c r="H271" s="235">
        <f t="shared" si="7"/>
        <v>1033.9141000000002</v>
      </c>
      <c r="I271" s="235">
        <f t="shared" si="7"/>
        <v>1066.3608200000001</v>
      </c>
      <c r="J271" s="235">
        <f t="shared" si="6"/>
        <v>32.446719999999971</v>
      </c>
      <c r="K271" s="93"/>
      <c r="L271" s="236" t="s">
        <v>189</v>
      </c>
      <c r="M271" s="236" t="s">
        <v>122</v>
      </c>
      <c r="N271" s="236" t="s">
        <v>63</v>
      </c>
      <c r="P271" s="91">
        <v>985802.33000000007</v>
      </c>
      <c r="Q271" s="91">
        <v>1033914.1000000001</v>
      </c>
      <c r="R271" s="91">
        <v>1066360.82</v>
      </c>
      <c r="S271" s="91">
        <v>32446.719999999972</v>
      </c>
    </row>
    <row r="272" spans="1:19" s="91" customFormat="1">
      <c r="A272" s="91" t="s">
        <v>734</v>
      </c>
      <c r="B272" s="91" t="s">
        <v>399</v>
      </c>
      <c r="C272" s="91" t="s">
        <v>1056</v>
      </c>
      <c r="D272" s="234">
        <v>4</v>
      </c>
      <c r="E272" s="92">
        <v>51075</v>
      </c>
      <c r="F272" s="93"/>
      <c r="G272" s="235">
        <f t="shared" si="7"/>
        <v>249.20076999999998</v>
      </c>
      <c r="H272" s="235">
        <f t="shared" si="7"/>
        <v>257.28492</v>
      </c>
      <c r="I272" s="235">
        <f t="shared" si="7"/>
        <v>261.88010000000003</v>
      </c>
      <c r="J272" s="235">
        <f t="shared" si="6"/>
        <v>4.5951799999999929</v>
      </c>
      <c r="K272" s="93"/>
      <c r="L272" s="236" t="s">
        <v>189</v>
      </c>
      <c r="M272" s="236" t="s">
        <v>122</v>
      </c>
      <c r="N272" s="236" t="s">
        <v>63</v>
      </c>
      <c r="P272" s="91">
        <v>249200.77</v>
      </c>
      <c r="Q272" s="91">
        <v>257284.92</v>
      </c>
      <c r="R272" s="91">
        <v>261880.1</v>
      </c>
      <c r="S272" s="91">
        <v>4595.179999999993</v>
      </c>
    </row>
    <row r="273" spans="1:19" s="91" customFormat="1">
      <c r="A273" s="91" t="s">
        <v>735</v>
      </c>
      <c r="B273" s="91" t="s">
        <v>399</v>
      </c>
      <c r="C273" s="91" t="s">
        <v>1056</v>
      </c>
      <c r="D273" s="234">
        <v>4</v>
      </c>
      <c r="E273" s="92">
        <v>51136</v>
      </c>
      <c r="F273" s="93"/>
      <c r="G273" s="235">
        <f t="shared" si="7"/>
        <v>325.64443999999997</v>
      </c>
      <c r="H273" s="235">
        <f t="shared" si="7"/>
        <v>336.25664</v>
      </c>
      <c r="I273" s="235">
        <f t="shared" si="7"/>
        <v>342.05930000000001</v>
      </c>
      <c r="J273" s="235">
        <f t="shared" si="6"/>
        <v>5.8026599999999746</v>
      </c>
      <c r="K273" s="93"/>
      <c r="L273" s="236" t="s">
        <v>189</v>
      </c>
      <c r="M273" s="236" t="s">
        <v>122</v>
      </c>
      <c r="N273" s="236" t="s">
        <v>63</v>
      </c>
      <c r="P273" s="91">
        <v>325644.44</v>
      </c>
      <c r="Q273" s="91">
        <v>336256.64</v>
      </c>
      <c r="R273" s="91">
        <v>342059.3</v>
      </c>
      <c r="S273" s="91">
        <v>5802.6599999999744</v>
      </c>
    </row>
    <row r="274" spans="1:19" s="91" customFormat="1">
      <c r="A274" s="91" t="s">
        <v>736</v>
      </c>
      <c r="B274" s="91" t="s">
        <v>399</v>
      </c>
      <c r="C274" s="91" t="s">
        <v>1056</v>
      </c>
      <c r="D274" s="234">
        <v>4</v>
      </c>
      <c r="E274" s="92">
        <v>51136</v>
      </c>
      <c r="F274" s="93"/>
      <c r="G274" s="235">
        <f t="shared" si="7"/>
        <v>305.65715999999998</v>
      </c>
      <c r="H274" s="235">
        <f t="shared" si="7"/>
        <v>315.57515999999998</v>
      </c>
      <c r="I274" s="235">
        <f t="shared" si="7"/>
        <v>321.20898999999997</v>
      </c>
      <c r="J274" s="235">
        <f t="shared" si="6"/>
        <v>5.6338300000000165</v>
      </c>
      <c r="K274" s="93"/>
      <c r="L274" s="236" t="s">
        <v>189</v>
      </c>
      <c r="M274" s="236" t="s">
        <v>122</v>
      </c>
      <c r="N274" s="236" t="s">
        <v>63</v>
      </c>
      <c r="P274" s="91">
        <v>305657.15999999997</v>
      </c>
      <c r="Q274" s="91">
        <v>315575.15999999997</v>
      </c>
      <c r="R274" s="91">
        <v>321208.99</v>
      </c>
      <c r="S274" s="91">
        <v>5633.8300000000163</v>
      </c>
    </row>
    <row r="275" spans="1:19" s="91" customFormat="1">
      <c r="A275" s="91" t="s">
        <v>737</v>
      </c>
      <c r="B275" s="91" t="s">
        <v>399</v>
      </c>
      <c r="C275" s="91" t="s">
        <v>1056</v>
      </c>
      <c r="D275" s="234">
        <v>4.5</v>
      </c>
      <c r="E275" s="92">
        <v>51136</v>
      </c>
      <c r="F275" s="93"/>
      <c r="G275" s="235">
        <f t="shared" si="7"/>
        <v>1670.73622</v>
      </c>
      <c r="H275" s="235">
        <f t="shared" si="7"/>
        <v>1755.0890099999999</v>
      </c>
      <c r="I275" s="235">
        <f t="shared" si="7"/>
        <v>1807.2666099999999</v>
      </c>
      <c r="J275" s="235">
        <f t="shared" si="6"/>
        <v>52.177599999999977</v>
      </c>
      <c r="K275" s="93"/>
      <c r="L275" s="236" t="s">
        <v>189</v>
      </c>
      <c r="M275" s="236" t="s">
        <v>122</v>
      </c>
      <c r="N275" s="236" t="s">
        <v>63</v>
      </c>
      <c r="P275" s="91">
        <v>1670736.22</v>
      </c>
      <c r="Q275" s="91">
        <v>1755089.01</v>
      </c>
      <c r="R275" s="91">
        <v>1807266.6099999999</v>
      </c>
      <c r="S275" s="91">
        <v>52177.599999999977</v>
      </c>
    </row>
    <row r="276" spans="1:19" s="91" customFormat="1">
      <c r="A276" s="91" t="s">
        <v>738</v>
      </c>
      <c r="B276" s="91" t="s">
        <v>399</v>
      </c>
      <c r="C276" s="91" t="s">
        <v>1056</v>
      </c>
      <c r="D276" s="234">
        <v>5</v>
      </c>
      <c r="E276" s="92">
        <v>51380</v>
      </c>
      <c r="F276" s="93"/>
      <c r="G276" s="235">
        <f t="shared" si="7"/>
        <v>1819.4572000000001</v>
      </c>
      <c r="H276" s="235">
        <f t="shared" si="7"/>
        <v>1918.17336</v>
      </c>
      <c r="I276" s="235">
        <f t="shared" si="7"/>
        <v>1976.6950400000001</v>
      </c>
      <c r="J276" s="235">
        <f t="shared" si="6"/>
        <v>58.521679999999932</v>
      </c>
      <c r="K276" s="93"/>
      <c r="L276" s="236" t="s">
        <v>189</v>
      </c>
      <c r="M276" s="236" t="s">
        <v>122</v>
      </c>
      <c r="N276" s="236" t="s">
        <v>63</v>
      </c>
      <c r="P276" s="91">
        <v>1819457.2</v>
      </c>
      <c r="Q276" s="91">
        <v>1918173.36</v>
      </c>
      <c r="R276" s="91">
        <v>1976695.04</v>
      </c>
      <c r="S276" s="91">
        <v>58521.679999999935</v>
      </c>
    </row>
    <row r="277" spans="1:19" s="91" customFormat="1">
      <c r="A277" s="91" t="s">
        <v>739</v>
      </c>
      <c r="B277" s="91" t="s">
        <v>399</v>
      </c>
      <c r="C277" s="91" t="s">
        <v>1056</v>
      </c>
      <c r="D277" s="234">
        <v>5.5</v>
      </c>
      <c r="E277" s="92">
        <v>50771</v>
      </c>
      <c r="F277" s="93"/>
      <c r="G277" s="235">
        <f t="shared" si="7"/>
        <v>5321.9391800000003</v>
      </c>
      <c r="H277" s="235">
        <f t="shared" si="7"/>
        <v>5697.49352</v>
      </c>
      <c r="I277" s="235">
        <f t="shared" si="7"/>
        <v>5793.6117399999994</v>
      </c>
      <c r="J277" s="235">
        <f t="shared" si="6"/>
        <v>96.118219999999852</v>
      </c>
      <c r="K277" s="93"/>
      <c r="L277" s="236" t="s">
        <v>189</v>
      </c>
      <c r="M277" s="236" t="s">
        <v>122</v>
      </c>
      <c r="N277" s="236" t="s">
        <v>63</v>
      </c>
      <c r="P277" s="91">
        <v>5321939.1800000006</v>
      </c>
      <c r="Q277" s="91">
        <v>5697493.5199999996</v>
      </c>
      <c r="R277" s="91">
        <v>5793611.7399999993</v>
      </c>
      <c r="S277" s="91">
        <v>96118.219999999856</v>
      </c>
    </row>
    <row r="278" spans="1:19" s="91" customFormat="1">
      <c r="A278" s="91" t="s">
        <v>740</v>
      </c>
      <c r="B278" s="91" t="s">
        <v>399</v>
      </c>
      <c r="C278" s="91" t="s">
        <v>1056</v>
      </c>
      <c r="D278" s="234">
        <v>4.5</v>
      </c>
      <c r="E278" s="92">
        <v>51167</v>
      </c>
      <c r="F278" s="93"/>
      <c r="G278" s="235">
        <f t="shared" si="7"/>
        <v>1638.5311200000001</v>
      </c>
      <c r="H278" s="235">
        <f t="shared" si="7"/>
        <v>1713.1333900000002</v>
      </c>
      <c r="I278" s="235">
        <f t="shared" si="7"/>
        <v>1744.5654999999999</v>
      </c>
      <c r="J278" s="235">
        <f t="shared" si="6"/>
        <v>31.432109999999987</v>
      </c>
      <c r="K278" s="93"/>
      <c r="L278" s="236" t="s">
        <v>189</v>
      </c>
      <c r="M278" s="236" t="s">
        <v>122</v>
      </c>
      <c r="N278" s="236" t="s">
        <v>63</v>
      </c>
      <c r="P278" s="91">
        <v>1638531.12</v>
      </c>
      <c r="Q278" s="91">
        <v>1713133.3900000001</v>
      </c>
      <c r="R278" s="91">
        <v>1744565.5</v>
      </c>
      <c r="S278" s="91">
        <v>31432.109999999986</v>
      </c>
    </row>
    <row r="279" spans="1:19" s="91" customFormat="1">
      <c r="A279" s="91" t="s">
        <v>741</v>
      </c>
      <c r="B279" s="91" t="s">
        <v>399</v>
      </c>
      <c r="C279" s="91" t="s">
        <v>1056</v>
      </c>
      <c r="D279" s="234">
        <v>5</v>
      </c>
      <c r="E279" s="92">
        <v>51380</v>
      </c>
      <c r="F279" s="93"/>
      <c r="G279" s="235">
        <f t="shared" si="7"/>
        <v>88.380119999999991</v>
      </c>
      <c r="H279" s="235">
        <f t="shared" si="7"/>
        <v>93.942759999999993</v>
      </c>
      <c r="I279" s="235">
        <f t="shared" si="7"/>
        <v>96.017939999999996</v>
      </c>
      <c r="J279" s="235">
        <f t="shared" si="6"/>
        <v>2.0751800000000076</v>
      </c>
      <c r="K279" s="93"/>
      <c r="L279" s="236" t="s">
        <v>189</v>
      </c>
      <c r="M279" s="236" t="s">
        <v>122</v>
      </c>
      <c r="N279" s="236" t="s">
        <v>63</v>
      </c>
      <c r="P279" s="91">
        <v>88380.12</v>
      </c>
      <c r="Q279" s="91">
        <v>93942.76</v>
      </c>
      <c r="R279" s="91">
        <v>96017.94</v>
      </c>
      <c r="S279" s="91">
        <v>2075.1800000000076</v>
      </c>
    </row>
    <row r="280" spans="1:19" s="91" customFormat="1">
      <c r="A280" s="91" t="s">
        <v>742</v>
      </c>
      <c r="B280" s="91" t="s">
        <v>399</v>
      </c>
      <c r="C280" s="91" t="s">
        <v>1056</v>
      </c>
      <c r="D280" s="234">
        <v>4.5</v>
      </c>
      <c r="E280" s="92">
        <v>51167</v>
      </c>
      <c r="F280" s="93"/>
      <c r="G280" s="235">
        <f t="shared" si="7"/>
        <v>1604.33971</v>
      </c>
      <c r="H280" s="235">
        <f t="shared" si="7"/>
        <v>1676.70866</v>
      </c>
      <c r="I280" s="235">
        <f t="shared" si="7"/>
        <v>1708.16146</v>
      </c>
      <c r="J280" s="235">
        <f t="shared" si="6"/>
        <v>31.452800000000046</v>
      </c>
      <c r="K280" s="93"/>
      <c r="L280" s="236" t="s">
        <v>189</v>
      </c>
      <c r="M280" s="236" t="s">
        <v>122</v>
      </c>
      <c r="N280" s="236" t="s">
        <v>63</v>
      </c>
      <c r="P280" s="91">
        <v>1604339.71</v>
      </c>
      <c r="Q280" s="91">
        <v>1676708.66</v>
      </c>
      <c r="R280" s="91">
        <v>1708161.46</v>
      </c>
      <c r="S280" s="91">
        <v>31452.800000000047</v>
      </c>
    </row>
    <row r="281" spans="1:19" s="91" customFormat="1">
      <c r="A281" s="91" t="s">
        <v>743</v>
      </c>
      <c r="B281" s="91" t="s">
        <v>399</v>
      </c>
      <c r="C281" s="91" t="s">
        <v>1056</v>
      </c>
      <c r="D281" s="234">
        <v>4</v>
      </c>
      <c r="E281" s="92">
        <v>51288</v>
      </c>
      <c r="F281" s="93"/>
      <c r="G281" s="235">
        <f t="shared" si="7"/>
        <v>266.11793999999998</v>
      </c>
      <c r="H281" s="235">
        <f t="shared" si="7"/>
        <v>274.74372</v>
      </c>
      <c r="I281" s="235">
        <f t="shared" si="7"/>
        <v>279.65802000000002</v>
      </c>
      <c r="J281" s="235">
        <f t="shared" si="6"/>
        <v>4.914300000000047</v>
      </c>
      <c r="K281" s="93"/>
      <c r="L281" s="236" t="s">
        <v>189</v>
      </c>
      <c r="M281" s="236" t="s">
        <v>122</v>
      </c>
      <c r="N281" s="236" t="s">
        <v>63</v>
      </c>
      <c r="P281" s="91">
        <v>266117.94</v>
      </c>
      <c r="Q281" s="91">
        <v>274743.71999999997</v>
      </c>
      <c r="R281" s="91">
        <v>279658.02</v>
      </c>
      <c r="S281" s="91">
        <v>4914.3000000000466</v>
      </c>
    </row>
    <row r="282" spans="1:19" s="91" customFormat="1">
      <c r="A282" s="91" t="s">
        <v>744</v>
      </c>
      <c r="B282" s="91" t="s">
        <v>399</v>
      </c>
      <c r="C282" s="91" t="s">
        <v>1056</v>
      </c>
      <c r="D282" s="234">
        <v>4.5</v>
      </c>
      <c r="E282" s="92">
        <v>51288</v>
      </c>
      <c r="F282" s="93"/>
      <c r="G282" s="235">
        <f t="shared" si="7"/>
        <v>1352.4361999999999</v>
      </c>
      <c r="H282" s="235">
        <f t="shared" si="7"/>
        <v>1418.84402</v>
      </c>
      <c r="I282" s="235">
        <f t="shared" si="7"/>
        <v>1462.9555399999999</v>
      </c>
      <c r="J282" s="235">
        <f t="shared" si="6"/>
        <v>44.111519999999899</v>
      </c>
      <c r="K282" s="93"/>
      <c r="L282" s="236" t="s">
        <v>189</v>
      </c>
      <c r="M282" s="236" t="s">
        <v>122</v>
      </c>
      <c r="N282" s="236" t="s">
        <v>63</v>
      </c>
      <c r="P282" s="91">
        <v>1352436.2</v>
      </c>
      <c r="Q282" s="91">
        <v>1418844.02</v>
      </c>
      <c r="R282" s="91">
        <v>1462955.54</v>
      </c>
      <c r="S282" s="91">
        <v>44111.519999999902</v>
      </c>
    </row>
    <row r="283" spans="1:19" s="91" customFormat="1">
      <c r="A283" s="91" t="s">
        <v>745</v>
      </c>
      <c r="B283" s="91" t="s">
        <v>399</v>
      </c>
      <c r="C283" s="91" t="s">
        <v>1056</v>
      </c>
      <c r="D283" s="234">
        <v>4</v>
      </c>
      <c r="E283" s="92">
        <v>51349</v>
      </c>
      <c r="F283" s="93"/>
      <c r="G283" s="235">
        <f t="shared" si="7"/>
        <v>279.86259999999999</v>
      </c>
      <c r="H283" s="235">
        <f t="shared" si="7"/>
        <v>288.53989000000001</v>
      </c>
      <c r="I283" s="235">
        <f t="shared" si="7"/>
        <v>294.10201000000001</v>
      </c>
      <c r="J283" s="235">
        <f t="shared" si="6"/>
        <v>5.5621199999999957</v>
      </c>
      <c r="K283" s="93"/>
      <c r="L283" s="236" t="s">
        <v>189</v>
      </c>
      <c r="M283" s="236" t="s">
        <v>122</v>
      </c>
      <c r="N283" s="236" t="s">
        <v>63</v>
      </c>
      <c r="P283" s="91">
        <v>279862.59999999998</v>
      </c>
      <c r="Q283" s="91">
        <v>288539.89</v>
      </c>
      <c r="R283" s="91">
        <v>294102.01</v>
      </c>
      <c r="S283" s="91">
        <v>5562.1199999999953</v>
      </c>
    </row>
    <row r="284" spans="1:19" s="91" customFormat="1">
      <c r="A284" s="91" t="s">
        <v>746</v>
      </c>
      <c r="B284" s="91" t="s">
        <v>399</v>
      </c>
      <c r="C284" s="91" t="s">
        <v>1056</v>
      </c>
      <c r="D284" s="234">
        <v>4.5</v>
      </c>
      <c r="E284" s="92">
        <v>51349</v>
      </c>
      <c r="F284" s="93"/>
      <c r="G284" s="235">
        <f t="shared" si="7"/>
        <v>1732.6086499999999</v>
      </c>
      <c r="H284" s="235">
        <f t="shared" si="7"/>
        <v>1811.2943199999997</v>
      </c>
      <c r="I284" s="235">
        <f t="shared" si="7"/>
        <v>1844.7310699999998</v>
      </c>
      <c r="J284" s="235">
        <f t="shared" si="6"/>
        <v>33.43674999999994</v>
      </c>
      <c r="K284" s="93"/>
      <c r="L284" s="236" t="s">
        <v>189</v>
      </c>
      <c r="M284" s="236" t="s">
        <v>122</v>
      </c>
      <c r="N284" s="236" t="s">
        <v>63</v>
      </c>
      <c r="P284" s="91">
        <v>1732608.65</v>
      </c>
      <c r="Q284" s="91">
        <v>1811294.3199999998</v>
      </c>
      <c r="R284" s="91">
        <v>1844731.0699999998</v>
      </c>
      <c r="S284" s="91">
        <v>33436.749999999942</v>
      </c>
    </row>
    <row r="285" spans="1:19" s="91" customFormat="1">
      <c r="A285" s="91" t="s">
        <v>747</v>
      </c>
      <c r="B285" s="91" t="s">
        <v>399</v>
      </c>
      <c r="C285" s="91" t="s">
        <v>1056</v>
      </c>
      <c r="D285" s="234">
        <v>5</v>
      </c>
      <c r="E285" s="92">
        <v>51380</v>
      </c>
      <c r="F285" s="93"/>
      <c r="G285" s="235">
        <f t="shared" si="7"/>
        <v>165.13162</v>
      </c>
      <c r="H285" s="235">
        <f t="shared" si="7"/>
        <v>175.44018</v>
      </c>
      <c r="I285" s="235">
        <f t="shared" si="7"/>
        <v>179.40232</v>
      </c>
      <c r="J285" s="235">
        <f t="shared" si="6"/>
        <v>3.962140000000014</v>
      </c>
      <c r="K285" s="93"/>
      <c r="L285" s="236" t="s">
        <v>189</v>
      </c>
      <c r="M285" s="236" t="s">
        <v>122</v>
      </c>
      <c r="N285" s="236" t="s">
        <v>63</v>
      </c>
      <c r="P285" s="91">
        <v>165131.62</v>
      </c>
      <c r="Q285" s="91">
        <v>175440.18</v>
      </c>
      <c r="R285" s="91">
        <v>179402.32</v>
      </c>
      <c r="S285" s="91">
        <v>3962.140000000014</v>
      </c>
    </row>
    <row r="286" spans="1:19" s="91" customFormat="1">
      <c r="A286" s="91" t="s">
        <v>748</v>
      </c>
      <c r="B286" s="91" t="s">
        <v>399</v>
      </c>
      <c r="C286" s="91" t="s">
        <v>1056</v>
      </c>
      <c r="D286" s="234">
        <v>5</v>
      </c>
      <c r="E286" s="92">
        <v>51380</v>
      </c>
      <c r="F286" s="93"/>
      <c r="G286" s="235">
        <f t="shared" si="7"/>
        <v>106.02582000000001</v>
      </c>
      <c r="H286" s="235">
        <f t="shared" si="7"/>
        <v>112.59902000000001</v>
      </c>
      <c r="I286" s="235">
        <f t="shared" si="7"/>
        <v>115.18860000000001</v>
      </c>
      <c r="J286" s="235">
        <f t="shared" si="6"/>
        <v>2.5895800000000015</v>
      </c>
      <c r="K286" s="93"/>
      <c r="L286" s="236" t="s">
        <v>189</v>
      </c>
      <c r="M286" s="236" t="s">
        <v>122</v>
      </c>
      <c r="N286" s="236" t="s">
        <v>63</v>
      </c>
      <c r="P286" s="91">
        <v>106025.82</v>
      </c>
      <c r="Q286" s="91">
        <v>112599.02</v>
      </c>
      <c r="R286" s="91">
        <v>115188.6</v>
      </c>
      <c r="S286" s="91">
        <v>2589.5800000000017</v>
      </c>
    </row>
    <row r="287" spans="1:19" s="91" customFormat="1">
      <c r="A287" s="91" t="s">
        <v>749</v>
      </c>
      <c r="B287" s="91" t="s">
        <v>399</v>
      </c>
      <c r="C287" s="91" t="s">
        <v>1056</v>
      </c>
      <c r="D287" s="234">
        <v>4</v>
      </c>
      <c r="E287" s="92">
        <v>51380</v>
      </c>
      <c r="F287" s="93"/>
      <c r="G287" s="235">
        <f t="shared" si="7"/>
        <v>228.04482000000002</v>
      </c>
      <c r="H287" s="235">
        <f t="shared" si="7"/>
        <v>235.12597</v>
      </c>
      <c r="I287" s="235">
        <f t="shared" si="7"/>
        <v>239.64774</v>
      </c>
      <c r="J287" s="235">
        <f t="shared" si="6"/>
        <v>4.5217699999999894</v>
      </c>
      <c r="K287" s="93"/>
      <c r="L287" s="236" t="s">
        <v>189</v>
      </c>
      <c r="M287" s="236" t="s">
        <v>122</v>
      </c>
      <c r="N287" s="236" t="s">
        <v>63</v>
      </c>
      <c r="P287" s="91">
        <v>228044.82</v>
      </c>
      <c r="Q287" s="91">
        <v>235125.97</v>
      </c>
      <c r="R287" s="91">
        <v>239647.74</v>
      </c>
      <c r="S287" s="91">
        <v>4521.7699999999895</v>
      </c>
    </row>
    <row r="288" spans="1:19" s="91" customFormat="1">
      <c r="A288" s="91" t="s">
        <v>750</v>
      </c>
      <c r="B288" s="91" t="s">
        <v>399</v>
      </c>
      <c r="C288" s="91" t="s">
        <v>1056</v>
      </c>
      <c r="D288" s="234">
        <v>4</v>
      </c>
      <c r="E288" s="92">
        <v>51380</v>
      </c>
      <c r="F288" s="93"/>
      <c r="G288" s="235">
        <f t="shared" si="7"/>
        <v>65.650240000000011</v>
      </c>
      <c r="H288" s="235">
        <f t="shared" si="7"/>
        <v>67.682570000000013</v>
      </c>
      <c r="I288" s="235">
        <f t="shared" si="7"/>
        <v>68.990520000000004</v>
      </c>
      <c r="J288" s="235">
        <f t="shared" si="6"/>
        <v>1.3079499999999971</v>
      </c>
      <c r="K288" s="93"/>
      <c r="L288" s="236" t="s">
        <v>189</v>
      </c>
      <c r="M288" s="236" t="s">
        <v>122</v>
      </c>
      <c r="N288" s="236" t="s">
        <v>63</v>
      </c>
      <c r="P288" s="91">
        <v>65650.240000000005</v>
      </c>
      <c r="Q288" s="91">
        <v>67682.570000000007</v>
      </c>
      <c r="R288" s="91">
        <v>68990.52</v>
      </c>
      <c r="S288" s="91">
        <v>1307.9499999999971</v>
      </c>
    </row>
    <row r="289" spans="1:19" s="91" customFormat="1">
      <c r="A289" s="91" t="s">
        <v>751</v>
      </c>
      <c r="B289" s="91" t="s">
        <v>399</v>
      </c>
      <c r="C289" s="91" t="s">
        <v>1056</v>
      </c>
      <c r="D289" s="234">
        <v>4.5</v>
      </c>
      <c r="E289" s="92">
        <v>51349</v>
      </c>
      <c r="F289" s="93"/>
      <c r="G289" s="235">
        <f t="shared" si="7"/>
        <v>7625.2752399999999</v>
      </c>
      <c r="H289" s="235">
        <f t="shared" si="7"/>
        <v>7972.2957800000004</v>
      </c>
      <c r="I289" s="235">
        <f t="shared" si="7"/>
        <v>8118.7302300000001</v>
      </c>
      <c r="J289" s="235">
        <f t="shared" si="6"/>
        <v>146.4344500000002</v>
      </c>
      <c r="K289" s="93"/>
      <c r="L289" s="236" t="s">
        <v>189</v>
      </c>
      <c r="M289" s="236" t="s">
        <v>122</v>
      </c>
      <c r="N289" s="236" t="s">
        <v>63</v>
      </c>
      <c r="P289" s="91">
        <v>7625275.2400000002</v>
      </c>
      <c r="Q289" s="91">
        <v>7972295.7800000003</v>
      </c>
      <c r="R289" s="91">
        <v>8118730.2300000004</v>
      </c>
      <c r="S289" s="91">
        <v>146434.45000000019</v>
      </c>
    </row>
    <row r="290" spans="1:19" s="91" customFormat="1">
      <c r="A290" s="91" t="s">
        <v>752</v>
      </c>
      <c r="B290" s="91" t="s">
        <v>399</v>
      </c>
      <c r="C290" s="91" t="s">
        <v>1056</v>
      </c>
      <c r="D290" s="234">
        <v>4</v>
      </c>
      <c r="E290" s="92">
        <v>51410</v>
      </c>
      <c r="F290" s="93"/>
      <c r="G290" s="235">
        <f t="shared" si="7"/>
        <v>323.48525000000001</v>
      </c>
      <c r="H290" s="235">
        <f t="shared" si="7"/>
        <v>332.01181000000003</v>
      </c>
      <c r="I290" s="235">
        <f t="shared" si="7"/>
        <v>339.94418000000002</v>
      </c>
      <c r="J290" s="235">
        <f t="shared" si="6"/>
        <v>7.9323699999999953</v>
      </c>
      <c r="K290" s="93"/>
      <c r="L290" s="236" t="s">
        <v>189</v>
      </c>
      <c r="M290" s="236" t="s">
        <v>122</v>
      </c>
      <c r="N290" s="236" t="s">
        <v>63</v>
      </c>
      <c r="P290" s="91">
        <v>323485.25</v>
      </c>
      <c r="Q290" s="91">
        <v>332011.81</v>
      </c>
      <c r="R290" s="91">
        <v>339944.18</v>
      </c>
      <c r="S290" s="91">
        <v>7932.3699999999953</v>
      </c>
    </row>
    <row r="291" spans="1:19" s="91" customFormat="1">
      <c r="A291" s="91" t="s">
        <v>753</v>
      </c>
      <c r="B291" s="91" t="s">
        <v>399</v>
      </c>
      <c r="C291" s="91" t="s">
        <v>1056</v>
      </c>
      <c r="D291" s="234">
        <v>4</v>
      </c>
      <c r="E291" s="92">
        <v>51380</v>
      </c>
      <c r="F291" s="93"/>
      <c r="G291" s="235">
        <f t="shared" si="7"/>
        <v>262.26621999999998</v>
      </c>
      <c r="H291" s="235">
        <f t="shared" si="7"/>
        <v>270.38751999999999</v>
      </c>
      <c r="I291" s="235">
        <f t="shared" si="7"/>
        <v>275.61032</v>
      </c>
      <c r="J291" s="235">
        <f t="shared" si="6"/>
        <v>5.2227999999999888</v>
      </c>
      <c r="K291" s="93"/>
      <c r="L291" s="236" t="s">
        <v>189</v>
      </c>
      <c r="M291" s="236" t="s">
        <v>122</v>
      </c>
      <c r="N291" s="236" t="s">
        <v>63</v>
      </c>
      <c r="P291" s="91">
        <v>262266.21999999997</v>
      </c>
      <c r="Q291" s="91">
        <v>270387.52</v>
      </c>
      <c r="R291" s="91">
        <v>275610.32</v>
      </c>
      <c r="S291" s="91">
        <v>5222.7999999999884</v>
      </c>
    </row>
    <row r="292" spans="1:19" s="91" customFormat="1">
      <c r="A292" s="91" t="s">
        <v>754</v>
      </c>
      <c r="B292" s="91" t="s">
        <v>399</v>
      </c>
      <c r="C292" s="91" t="s">
        <v>1056</v>
      </c>
      <c r="D292" s="234">
        <v>5</v>
      </c>
      <c r="E292" s="92">
        <v>51380</v>
      </c>
      <c r="F292" s="93"/>
      <c r="G292" s="235">
        <f t="shared" si="7"/>
        <v>1540.13465</v>
      </c>
      <c r="H292" s="235">
        <f t="shared" si="7"/>
        <v>1581.1143199999999</v>
      </c>
      <c r="I292" s="235">
        <f t="shared" si="7"/>
        <v>1673.2333799999999</v>
      </c>
      <c r="J292" s="235">
        <f t="shared" si="6"/>
        <v>92.119060000000061</v>
      </c>
      <c r="K292" s="93"/>
      <c r="L292" s="236" t="s">
        <v>189</v>
      </c>
      <c r="M292" s="236" t="s">
        <v>122</v>
      </c>
      <c r="N292" s="236" t="s">
        <v>63</v>
      </c>
      <c r="P292" s="91">
        <v>1540134.65</v>
      </c>
      <c r="Q292" s="91">
        <v>1581114.3199999998</v>
      </c>
      <c r="R292" s="91">
        <v>1673233.38</v>
      </c>
      <c r="S292" s="91">
        <v>92119.060000000056</v>
      </c>
    </row>
    <row r="293" spans="1:19" s="91" customFormat="1">
      <c r="A293" s="91" t="s">
        <v>755</v>
      </c>
      <c r="B293" s="91" t="s">
        <v>399</v>
      </c>
      <c r="C293" s="91" t="s">
        <v>1056</v>
      </c>
      <c r="D293" s="234">
        <v>4</v>
      </c>
      <c r="E293" s="92">
        <v>51380</v>
      </c>
      <c r="F293" s="93"/>
      <c r="G293" s="235">
        <f t="shared" si="7"/>
        <v>339.57345000000004</v>
      </c>
      <c r="H293" s="235">
        <f t="shared" si="7"/>
        <v>350.59553999999997</v>
      </c>
      <c r="I293" s="235">
        <f t="shared" si="7"/>
        <v>356.85093999999998</v>
      </c>
      <c r="J293" s="235">
        <f t="shared" si="6"/>
        <v>6.2554000000000229</v>
      </c>
      <c r="K293" s="93"/>
      <c r="L293" s="236" t="s">
        <v>189</v>
      </c>
      <c r="M293" s="236" t="s">
        <v>122</v>
      </c>
      <c r="N293" s="236" t="s">
        <v>63</v>
      </c>
      <c r="P293" s="91">
        <v>339573.45</v>
      </c>
      <c r="Q293" s="91">
        <v>350595.54</v>
      </c>
      <c r="R293" s="91">
        <v>356850.94</v>
      </c>
      <c r="S293" s="91">
        <v>6255.4000000000233</v>
      </c>
    </row>
    <row r="294" spans="1:19" s="91" customFormat="1">
      <c r="A294" s="91" t="s">
        <v>756</v>
      </c>
      <c r="B294" s="91" t="s">
        <v>399</v>
      </c>
      <c r="C294" s="91" t="s">
        <v>1056</v>
      </c>
      <c r="D294" s="234">
        <v>4</v>
      </c>
      <c r="E294" s="92">
        <v>51318</v>
      </c>
      <c r="F294" s="93"/>
      <c r="G294" s="235">
        <f t="shared" si="7"/>
        <v>248.31239000000002</v>
      </c>
      <c r="H294" s="235">
        <f t="shared" si="7"/>
        <v>255.98995000000002</v>
      </c>
      <c r="I294" s="235">
        <f t="shared" si="7"/>
        <v>260.82914999999997</v>
      </c>
      <c r="J294" s="235">
        <f t="shared" si="6"/>
        <v>4.8391999999999822</v>
      </c>
      <c r="K294" s="93"/>
      <c r="L294" s="236" t="s">
        <v>189</v>
      </c>
      <c r="M294" s="236" t="s">
        <v>122</v>
      </c>
      <c r="N294" s="236" t="s">
        <v>63</v>
      </c>
      <c r="P294" s="91">
        <v>248312.39</v>
      </c>
      <c r="Q294" s="91">
        <v>255989.95</v>
      </c>
      <c r="R294" s="91">
        <v>260829.15</v>
      </c>
      <c r="S294" s="91">
        <v>4839.1999999999825</v>
      </c>
    </row>
    <row r="295" spans="1:19" s="91" customFormat="1">
      <c r="A295" s="91" t="s">
        <v>757</v>
      </c>
      <c r="B295" s="91" t="s">
        <v>399</v>
      </c>
      <c r="C295" s="91" t="s">
        <v>1056</v>
      </c>
      <c r="D295" s="234">
        <v>4</v>
      </c>
      <c r="E295" s="92">
        <v>51349</v>
      </c>
      <c r="F295" s="93"/>
      <c r="G295" s="235">
        <f t="shared" si="7"/>
        <v>293.21608000000003</v>
      </c>
      <c r="H295" s="235">
        <f t="shared" si="7"/>
        <v>302.73715000000004</v>
      </c>
      <c r="I295" s="235">
        <f t="shared" si="7"/>
        <v>308.13490999999999</v>
      </c>
      <c r="J295" s="235">
        <f t="shared" si="6"/>
        <v>5.397759999999951</v>
      </c>
      <c r="K295" s="93"/>
      <c r="L295" s="236" t="s">
        <v>189</v>
      </c>
      <c r="M295" s="236" t="s">
        <v>122</v>
      </c>
      <c r="N295" s="236" t="s">
        <v>63</v>
      </c>
      <c r="P295" s="91">
        <v>293216.08</v>
      </c>
      <c r="Q295" s="91">
        <v>302737.15000000002</v>
      </c>
      <c r="R295" s="91">
        <v>308134.90999999997</v>
      </c>
      <c r="S295" s="91">
        <v>5397.7599999999511</v>
      </c>
    </row>
    <row r="296" spans="1:19" s="91" customFormat="1">
      <c r="A296" s="91" t="s">
        <v>758</v>
      </c>
      <c r="B296" s="91" t="s">
        <v>399</v>
      </c>
      <c r="C296" s="91" t="s">
        <v>1056</v>
      </c>
      <c r="D296" s="234">
        <v>4</v>
      </c>
      <c r="E296" s="92">
        <v>51349</v>
      </c>
      <c r="F296" s="93"/>
      <c r="G296" s="235">
        <f t="shared" si="7"/>
        <v>343.13418999999999</v>
      </c>
      <c r="H296" s="235">
        <f t="shared" si="7"/>
        <v>352.23308000000003</v>
      </c>
      <c r="I296" s="235">
        <f t="shared" si="7"/>
        <v>360.59285</v>
      </c>
      <c r="J296" s="235">
        <f t="shared" si="6"/>
        <v>8.3597699999999602</v>
      </c>
      <c r="K296" s="93"/>
      <c r="L296" s="236" t="s">
        <v>189</v>
      </c>
      <c r="M296" s="236" t="s">
        <v>122</v>
      </c>
      <c r="N296" s="236" t="s">
        <v>63</v>
      </c>
      <c r="P296" s="91">
        <v>343134.19</v>
      </c>
      <c r="Q296" s="91">
        <v>352233.08</v>
      </c>
      <c r="R296" s="91">
        <v>360592.85</v>
      </c>
      <c r="S296" s="91">
        <v>8359.7699999999604</v>
      </c>
    </row>
    <row r="297" spans="1:19" s="91" customFormat="1">
      <c r="A297" s="91" t="s">
        <v>759</v>
      </c>
      <c r="B297" s="91" t="s">
        <v>399</v>
      </c>
      <c r="C297" s="91" t="s">
        <v>1056</v>
      </c>
      <c r="D297" s="234">
        <v>5</v>
      </c>
      <c r="E297" s="92">
        <v>51380</v>
      </c>
      <c r="F297" s="93"/>
      <c r="G297" s="235">
        <f t="shared" si="7"/>
        <v>216.72904</v>
      </c>
      <c r="H297" s="235">
        <f t="shared" si="7"/>
        <v>229.90629999999999</v>
      </c>
      <c r="I297" s="235">
        <f t="shared" si="7"/>
        <v>235.4588</v>
      </c>
      <c r="J297" s="235">
        <f t="shared" si="6"/>
        <v>5.5525000000000002</v>
      </c>
      <c r="K297" s="93"/>
      <c r="L297" s="236" t="s">
        <v>189</v>
      </c>
      <c r="M297" s="236" t="s">
        <v>122</v>
      </c>
      <c r="N297" s="236" t="s">
        <v>63</v>
      </c>
      <c r="P297" s="91">
        <v>216729.04</v>
      </c>
      <c r="Q297" s="91">
        <v>229906.3</v>
      </c>
      <c r="R297" s="91">
        <v>235458.8</v>
      </c>
      <c r="S297" s="91">
        <v>5552.5</v>
      </c>
    </row>
    <row r="298" spans="1:19" s="91" customFormat="1">
      <c r="A298" s="91" t="s">
        <v>760</v>
      </c>
      <c r="B298" s="91" t="s">
        <v>399</v>
      </c>
      <c r="C298" s="91" t="s">
        <v>1056</v>
      </c>
      <c r="D298" s="234">
        <v>4</v>
      </c>
      <c r="E298" s="92">
        <v>51410</v>
      </c>
      <c r="F298" s="93"/>
      <c r="G298" s="235">
        <f t="shared" si="7"/>
        <v>736.87215999999989</v>
      </c>
      <c r="H298" s="235">
        <f t="shared" si="7"/>
        <v>729.80333999999993</v>
      </c>
      <c r="I298" s="235">
        <f t="shared" si="7"/>
        <v>777.80312000000004</v>
      </c>
      <c r="J298" s="235">
        <f t="shared" si="6"/>
        <v>47.999780000000001</v>
      </c>
      <c r="K298" s="93"/>
      <c r="L298" s="236" t="s">
        <v>189</v>
      </c>
      <c r="M298" s="236" t="s">
        <v>122</v>
      </c>
      <c r="N298" s="236" t="s">
        <v>63</v>
      </c>
      <c r="P298" s="91">
        <v>736872.15999999992</v>
      </c>
      <c r="Q298" s="91">
        <v>729803.34</v>
      </c>
      <c r="R298" s="91">
        <v>777803.12</v>
      </c>
      <c r="S298" s="91">
        <v>47999.78</v>
      </c>
    </row>
    <row r="299" spans="1:19" s="91" customFormat="1">
      <c r="A299" s="91" t="s">
        <v>761</v>
      </c>
      <c r="B299" s="91" t="s">
        <v>399</v>
      </c>
      <c r="C299" s="91" t="s">
        <v>1056</v>
      </c>
      <c r="D299" s="234">
        <v>4</v>
      </c>
      <c r="E299" s="92">
        <v>51441</v>
      </c>
      <c r="F299" s="93"/>
      <c r="G299" s="235">
        <f t="shared" si="7"/>
        <v>681.42966999999999</v>
      </c>
      <c r="H299" s="235">
        <f t="shared" si="7"/>
        <v>702.40996999999993</v>
      </c>
      <c r="I299" s="235">
        <f t="shared" si="7"/>
        <v>716.10080000000005</v>
      </c>
      <c r="J299" s="235">
        <f t="shared" si="6"/>
        <v>13.690830000000075</v>
      </c>
      <c r="K299" s="93"/>
      <c r="L299" s="236" t="s">
        <v>189</v>
      </c>
      <c r="M299" s="236" t="s">
        <v>122</v>
      </c>
      <c r="N299" s="236" t="s">
        <v>63</v>
      </c>
      <c r="P299" s="91">
        <v>681429.67</v>
      </c>
      <c r="Q299" s="91">
        <v>702409.97</v>
      </c>
      <c r="R299" s="91">
        <v>716100.8</v>
      </c>
      <c r="S299" s="91">
        <v>13690.830000000075</v>
      </c>
    </row>
    <row r="300" spans="1:19" s="91" customFormat="1">
      <c r="A300" s="91" t="s">
        <v>762</v>
      </c>
      <c r="B300" s="91" t="s">
        <v>399</v>
      </c>
      <c r="C300" s="91" t="s">
        <v>1056</v>
      </c>
      <c r="D300" s="234">
        <v>5</v>
      </c>
      <c r="E300" s="92">
        <v>51380</v>
      </c>
      <c r="F300" s="93"/>
      <c r="G300" s="235">
        <f t="shared" si="7"/>
        <v>465.20759999999996</v>
      </c>
      <c r="H300" s="235">
        <f t="shared" si="7"/>
        <v>493.15348</v>
      </c>
      <c r="I300" s="235">
        <f t="shared" si="7"/>
        <v>505.41091999999998</v>
      </c>
      <c r="J300" s="235">
        <f t="shared" si="6"/>
        <v>12.257440000000003</v>
      </c>
      <c r="K300" s="93"/>
      <c r="L300" s="236" t="s">
        <v>189</v>
      </c>
      <c r="M300" s="236" t="s">
        <v>122</v>
      </c>
      <c r="N300" s="236" t="s">
        <v>63</v>
      </c>
      <c r="P300" s="91">
        <v>465207.6</v>
      </c>
      <c r="Q300" s="91">
        <v>493153.48</v>
      </c>
      <c r="R300" s="91">
        <v>505410.92</v>
      </c>
      <c r="S300" s="91">
        <v>12257.440000000002</v>
      </c>
    </row>
    <row r="301" spans="1:19" s="91" customFormat="1">
      <c r="A301" s="91" t="s">
        <v>763</v>
      </c>
      <c r="B301" s="91" t="s">
        <v>399</v>
      </c>
      <c r="C301" s="91" t="s">
        <v>1056</v>
      </c>
      <c r="D301" s="234">
        <v>5</v>
      </c>
      <c r="E301" s="92">
        <v>51380</v>
      </c>
      <c r="F301" s="93"/>
      <c r="G301" s="235">
        <f t="shared" si="7"/>
        <v>84.130960000000002</v>
      </c>
      <c r="H301" s="235">
        <f t="shared" si="7"/>
        <v>89.436920000000001</v>
      </c>
      <c r="I301" s="235">
        <f t="shared" si="7"/>
        <v>91.401579999999996</v>
      </c>
      <c r="J301" s="235">
        <f t="shared" si="6"/>
        <v>1.9646600000000034</v>
      </c>
      <c r="K301" s="93"/>
      <c r="L301" s="236" t="s">
        <v>189</v>
      </c>
      <c r="M301" s="236" t="s">
        <v>122</v>
      </c>
      <c r="N301" s="236" t="s">
        <v>63</v>
      </c>
      <c r="P301" s="91">
        <v>84130.96</v>
      </c>
      <c r="Q301" s="91">
        <v>89436.92</v>
      </c>
      <c r="R301" s="91">
        <v>91401.58</v>
      </c>
      <c r="S301" s="91">
        <v>1964.6600000000035</v>
      </c>
    </row>
    <row r="302" spans="1:19" s="91" customFormat="1">
      <c r="A302" s="91" t="s">
        <v>997</v>
      </c>
      <c r="B302" s="91" t="s">
        <v>399</v>
      </c>
      <c r="C302" s="91" t="s">
        <v>1056</v>
      </c>
      <c r="D302" s="234">
        <v>3.5</v>
      </c>
      <c r="E302" s="92">
        <v>51380</v>
      </c>
      <c r="F302" s="93"/>
      <c r="G302" s="235">
        <f t="shared" si="7"/>
        <v>1868.01442</v>
      </c>
      <c r="H302" s="235">
        <f t="shared" si="7"/>
        <v>1792.9007799999999</v>
      </c>
      <c r="I302" s="235">
        <f t="shared" si="7"/>
        <v>1922.8208800000002</v>
      </c>
      <c r="J302" s="235">
        <f t="shared" si="6"/>
        <v>129.9201000000001</v>
      </c>
      <c r="K302" s="93"/>
      <c r="L302" s="236" t="s">
        <v>189</v>
      </c>
      <c r="M302" s="236" t="s">
        <v>122</v>
      </c>
      <c r="N302" s="236" t="s">
        <v>63</v>
      </c>
      <c r="P302" s="91">
        <v>1868014.42</v>
      </c>
      <c r="Q302" s="91">
        <v>1792900.78</v>
      </c>
      <c r="R302" s="91">
        <v>1922820.8800000001</v>
      </c>
      <c r="S302" s="91">
        <v>129920.10000000009</v>
      </c>
    </row>
    <row r="303" spans="1:19" s="91" customFormat="1">
      <c r="A303" s="91" t="s">
        <v>764</v>
      </c>
      <c r="B303" s="91" t="s">
        <v>399</v>
      </c>
      <c r="C303" s="91" t="s">
        <v>1056</v>
      </c>
      <c r="D303" s="234">
        <v>4</v>
      </c>
      <c r="E303" s="92">
        <v>51441</v>
      </c>
      <c r="F303" s="93"/>
      <c r="G303" s="235">
        <f t="shared" si="7"/>
        <v>571.40052000000003</v>
      </c>
      <c r="H303" s="235">
        <f t="shared" si="7"/>
        <v>588.94101999999998</v>
      </c>
      <c r="I303" s="235">
        <f t="shared" si="7"/>
        <v>600.47337000000005</v>
      </c>
      <c r="J303" s="235">
        <f t="shared" si="6"/>
        <v>11.532349999999976</v>
      </c>
      <c r="K303" s="93"/>
      <c r="L303" s="236" t="s">
        <v>189</v>
      </c>
      <c r="M303" s="236" t="s">
        <v>122</v>
      </c>
      <c r="N303" s="236" t="s">
        <v>63</v>
      </c>
      <c r="P303" s="91">
        <v>571400.52</v>
      </c>
      <c r="Q303" s="91">
        <v>588941.02</v>
      </c>
      <c r="R303" s="91">
        <v>600473.37</v>
      </c>
      <c r="S303" s="91">
        <v>11532.349999999977</v>
      </c>
    </row>
    <row r="304" spans="1:19" s="91" customFormat="1">
      <c r="A304" s="91" t="s">
        <v>765</v>
      </c>
      <c r="B304" s="91" t="s">
        <v>399</v>
      </c>
      <c r="C304" s="91" t="s">
        <v>1056</v>
      </c>
      <c r="D304" s="234">
        <v>4</v>
      </c>
      <c r="E304" s="92">
        <v>51471</v>
      </c>
      <c r="F304" s="93"/>
      <c r="G304" s="235">
        <f t="shared" si="7"/>
        <v>522.87860999999998</v>
      </c>
      <c r="H304" s="235">
        <f t="shared" si="7"/>
        <v>538.95381000000009</v>
      </c>
      <c r="I304" s="235">
        <f t="shared" si="7"/>
        <v>549.48266000000001</v>
      </c>
      <c r="J304" s="235">
        <f t="shared" si="6"/>
        <v>10.528849999999977</v>
      </c>
      <c r="K304" s="93"/>
      <c r="L304" s="236" t="s">
        <v>189</v>
      </c>
      <c r="M304" s="236" t="s">
        <v>122</v>
      </c>
      <c r="N304" s="236" t="s">
        <v>63</v>
      </c>
      <c r="P304" s="91">
        <v>522878.61</v>
      </c>
      <c r="Q304" s="91">
        <v>538953.81000000006</v>
      </c>
      <c r="R304" s="91">
        <v>549482.66</v>
      </c>
      <c r="S304" s="91">
        <v>10528.849999999977</v>
      </c>
    </row>
    <row r="305" spans="1:19" s="91" customFormat="1">
      <c r="A305" s="91" t="s">
        <v>766</v>
      </c>
      <c r="B305" s="91" t="s">
        <v>399</v>
      </c>
      <c r="C305" s="91" t="s">
        <v>1056</v>
      </c>
      <c r="D305" s="234">
        <v>4</v>
      </c>
      <c r="E305" s="92">
        <v>51410</v>
      </c>
      <c r="F305" s="93"/>
      <c r="G305" s="235">
        <f t="shared" si="7"/>
        <v>379.67176000000001</v>
      </c>
      <c r="H305" s="235">
        <f t="shared" si="7"/>
        <v>391.35009000000002</v>
      </c>
      <c r="I305" s="235">
        <f t="shared" si="7"/>
        <v>398.98946000000001</v>
      </c>
      <c r="J305" s="235">
        <f t="shared" si="6"/>
        <v>7.6393699999999951</v>
      </c>
      <c r="K305" s="93"/>
      <c r="L305" s="236" t="s">
        <v>189</v>
      </c>
      <c r="M305" s="236" t="s">
        <v>122</v>
      </c>
      <c r="N305" s="236" t="s">
        <v>63</v>
      </c>
      <c r="P305" s="91">
        <v>379671.76</v>
      </c>
      <c r="Q305" s="91">
        <v>391350.09</v>
      </c>
      <c r="R305" s="91">
        <v>398989.46</v>
      </c>
      <c r="S305" s="91">
        <v>7639.3699999999953</v>
      </c>
    </row>
    <row r="306" spans="1:19" s="91" customFormat="1">
      <c r="A306" s="91" t="s">
        <v>767</v>
      </c>
      <c r="B306" s="91" t="s">
        <v>399</v>
      </c>
      <c r="C306" s="91" t="s">
        <v>1056</v>
      </c>
      <c r="D306" s="234">
        <v>4</v>
      </c>
      <c r="E306" s="92">
        <v>51380</v>
      </c>
      <c r="F306" s="93"/>
      <c r="G306" s="235">
        <f t="shared" si="7"/>
        <v>865.85281000000009</v>
      </c>
      <c r="H306" s="235">
        <f t="shared" si="7"/>
        <v>888.65300000000002</v>
      </c>
      <c r="I306" s="235">
        <f t="shared" si="7"/>
        <v>909.90738999999996</v>
      </c>
      <c r="J306" s="235">
        <f t="shared" si="6"/>
        <v>21.254390000000015</v>
      </c>
      <c r="K306" s="93"/>
      <c r="L306" s="236" t="s">
        <v>189</v>
      </c>
      <c r="M306" s="236" t="s">
        <v>122</v>
      </c>
      <c r="N306" s="236" t="s">
        <v>63</v>
      </c>
      <c r="P306" s="91">
        <v>865852.81</v>
      </c>
      <c r="Q306" s="91">
        <v>888653</v>
      </c>
      <c r="R306" s="91">
        <v>909907.39</v>
      </c>
      <c r="S306" s="91">
        <v>21254.390000000014</v>
      </c>
    </row>
    <row r="307" spans="1:19" s="91" customFormat="1">
      <c r="A307" s="91" t="s">
        <v>768</v>
      </c>
      <c r="B307" s="91" t="s">
        <v>399</v>
      </c>
      <c r="C307" s="91" t="s">
        <v>1056</v>
      </c>
      <c r="D307" s="234">
        <v>4</v>
      </c>
      <c r="E307" s="92">
        <v>51441</v>
      </c>
      <c r="F307" s="93"/>
      <c r="G307" s="235">
        <f t="shared" si="7"/>
        <v>529.46361000000002</v>
      </c>
      <c r="H307" s="235">
        <f t="shared" si="7"/>
        <v>524.39701000000002</v>
      </c>
      <c r="I307" s="235">
        <f t="shared" si="7"/>
        <v>558.87367999999992</v>
      </c>
      <c r="J307" s="235">
        <f t="shared" si="6"/>
        <v>34.476669999999991</v>
      </c>
      <c r="K307" s="93"/>
      <c r="L307" s="236" t="s">
        <v>189</v>
      </c>
      <c r="M307" s="236" t="s">
        <v>122</v>
      </c>
      <c r="N307" s="236" t="s">
        <v>63</v>
      </c>
      <c r="P307" s="91">
        <v>529463.61</v>
      </c>
      <c r="Q307" s="91">
        <v>524397.01</v>
      </c>
      <c r="R307" s="91">
        <v>558873.67999999993</v>
      </c>
      <c r="S307" s="91">
        <v>34476.669999999991</v>
      </c>
    </row>
    <row r="308" spans="1:19" s="91" customFormat="1">
      <c r="A308" s="91" t="s">
        <v>769</v>
      </c>
      <c r="B308" s="91" t="s">
        <v>399</v>
      </c>
      <c r="C308" s="91" t="s">
        <v>1056</v>
      </c>
      <c r="D308" s="234">
        <v>4.5</v>
      </c>
      <c r="E308" s="92">
        <v>51410</v>
      </c>
      <c r="F308" s="93"/>
      <c r="G308" s="235">
        <f t="shared" si="7"/>
        <v>1048.4819399999999</v>
      </c>
      <c r="H308" s="235">
        <f t="shared" si="7"/>
        <v>1100.8394599999999</v>
      </c>
      <c r="I308" s="235">
        <f t="shared" si="7"/>
        <v>1134.1625300000001</v>
      </c>
      <c r="J308" s="235">
        <f t="shared" si="6"/>
        <v>33.323069999999952</v>
      </c>
      <c r="K308" s="93"/>
      <c r="L308" s="236" t="s">
        <v>189</v>
      </c>
      <c r="M308" s="236" t="s">
        <v>122</v>
      </c>
      <c r="N308" s="236" t="s">
        <v>63</v>
      </c>
      <c r="P308" s="91">
        <v>1048481.94</v>
      </c>
      <c r="Q308" s="91">
        <v>1100839.46</v>
      </c>
      <c r="R308" s="91">
        <v>1134162.53</v>
      </c>
      <c r="S308" s="91">
        <v>33323.069999999949</v>
      </c>
    </row>
    <row r="309" spans="1:19" s="91" customFormat="1">
      <c r="A309" s="91" t="s">
        <v>770</v>
      </c>
      <c r="B309" s="91" t="s">
        <v>399</v>
      </c>
      <c r="C309" s="91" t="s">
        <v>1056</v>
      </c>
      <c r="D309" s="234">
        <v>4.5</v>
      </c>
      <c r="E309" s="92">
        <v>51410</v>
      </c>
      <c r="F309" s="93"/>
      <c r="G309" s="235">
        <f t="shared" si="7"/>
        <v>1383.12462</v>
      </c>
      <c r="H309" s="235">
        <f t="shared" si="7"/>
        <v>1446.0856799999999</v>
      </c>
      <c r="I309" s="235">
        <f t="shared" si="7"/>
        <v>1472.6308600000002</v>
      </c>
      <c r="J309" s="235">
        <f t="shared" si="6"/>
        <v>26.545180000000169</v>
      </c>
      <c r="K309" s="93"/>
      <c r="L309" s="236" t="s">
        <v>189</v>
      </c>
      <c r="M309" s="236" t="s">
        <v>122</v>
      </c>
      <c r="N309" s="236" t="s">
        <v>63</v>
      </c>
      <c r="P309" s="91">
        <v>1383124.62</v>
      </c>
      <c r="Q309" s="91">
        <v>1446085.68</v>
      </c>
      <c r="R309" s="91">
        <v>1472630.86</v>
      </c>
      <c r="S309" s="91">
        <v>26545.180000000168</v>
      </c>
    </row>
    <row r="310" spans="1:19" s="91" customFormat="1">
      <c r="A310" s="91" t="s">
        <v>771</v>
      </c>
      <c r="B310" s="91" t="s">
        <v>399</v>
      </c>
      <c r="C310" s="91" t="s">
        <v>1056</v>
      </c>
      <c r="D310" s="234">
        <v>4</v>
      </c>
      <c r="E310" s="92">
        <v>51410</v>
      </c>
      <c r="F310" s="93"/>
      <c r="G310" s="235">
        <f t="shared" si="7"/>
        <v>321.82534999999996</v>
      </c>
      <c r="H310" s="235">
        <f t="shared" si="7"/>
        <v>331.79734999999999</v>
      </c>
      <c r="I310" s="235">
        <f t="shared" si="7"/>
        <v>338.19981999999999</v>
      </c>
      <c r="J310" s="235">
        <f t="shared" si="6"/>
        <v>6.4024700000000303</v>
      </c>
      <c r="K310" s="93"/>
      <c r="L310" s="236" t="s">
        <v>189</v>
      </c>
      <c r="M310" s="236" t="s">
        <v>122</v>
      </c>
      <c r="N310" s="236" t="s">
        <v>63</v>
      </c>
      <c r="P310" s="91">
        <v>321825.34999999998</v>
      </c>
      <c r="Q310" s="91">
        <v>331797.34999999998</v>
      </c>
      <c r="R310" s="91">
        <v>338199.82</v>
      </c>
      <c r="S310" s="91">
        <v>6402.4700000000303</v>
      </c>
    </row>
    <row r="311" spans="1:19" s="91" customFormat="1">
      <c r="A311" s="91" t="s">
        <v>772</v>
      </c>
      <c r="B311" s="91" t="s">
        <v>399</v>
      </c>
      <c r="C311" s="91" t="s">
        <v>1056</v>
      </c>
      <c r="D311" s="234">
        <v>4</v>
      </c>
      <c r="E311" s="92">
        <v>51471</v>
      </c>
      <c r="F311" s="93"/>
      <c r="G311" s="235">
        <f t="shared" si="7"/>
        <v>1347.22623</v>
      </c>
      <c r="H311" s="235">
        <f t="shared" si="7"/>
        <v>1334.3249499999999</v>
      </c>
      <c r="I311" s="235">
        <f t="shared" si="7"/>
        <v>1422.0604699999999</v>
      </c>
      <c r="J311" s="235">
        <f t="shared" si="6"/>
        <v>87.735520000000008</v>
      </c>
      <c r="K311" s="93"/>
      <c r="L311" s="236" t="s">
        <v>189</v>
      </c>
      <c r="M311" s="236" t="s">
        <v>122</v>
      </c>
      <c r="N311" s="236" t="s">
        <v>63</v>
      </c>
      <c r="P311" s="91">
        <v>1347226.23</v>
      </c>
      <c r="Q311" s="91">
        <v>1334324.95</v>
      </c>
      <c r="R311" s="91">
        <v>1422060.47</v>
      </c>
      <c r="S311" s="91">
        <v>87735.52</v>
      </c>
    </row>
    <row r="312" spans="1:19" s="91" customFormat="1">
      <c r="A312" s="91" t="s">
        <v>773</v>
      </c>
      <c r="B312" s="91" t="s">
        <v>399</v>
      </c>
      <c r="C312" s="91" t="s">
        <v>1056</v>
      </c>
      <c r="D312" s="234">
        <v>4</v>
      </c>
      <c r="E312" s="92">
        <v>51471</v>
      </c>
      <c r="F312" s="93"/>
      <c r="G312" s="235">
        <f t="shared" si="7"/>
        <v>2105.9204799999998</v>
      </c>
      <c r="H312" s="235">
        <f t="shared" si="7"/>
        <v>2085.7637500000001</v>
      </c>
      <c r="I312" s="235">
        <f t="shared" si="7"/>
        <v>2222.8978299999999</v>
      </c>
      <c r="J312" s="235">
        <f t="shared" si="6"/>
        <v>137.13407999999984</v>
      </c>
      <c r="K312" s="93"/>
      <c r="L312" s="236" t="s">
        <v>189</v>
      </c>
      <c r="M312" s="236" t="s">
        <v>122</v>
      </c>
      <c r="N312" s="236" t="s">
        <v>63</v>
      </c>
      <c r="P312" s="91">
        <v>2105920.48</v>
      </c>
      <c r="Q312" s="91">
        <v>2085763.75</v>
      </c>
      <c r="R312" s="91">
        <v>2222897.83</v>
      </c>
      <c r="S312" s="91">
        <v>137134.07999999984</v>
      </c>
    </row>
    <row r="313" spans="1:19" s="91" customFormat="1">
      <c r="A313" s="91" t="s">
        <v>774</v>
      </c>
      <c r="B313" s="91" t="s">
        <v>399</v>
      </c>
      <c r="C313" s="91" t="s">
        <v>1056</v>
      </c>
      <c r="D313" s="234">
        <v>4</v>
      </c>
      <c r="E313" s="92">
        <v>51441</v>
      </c>
      <c r="F313" s="93"/>
      <c r="G313" s="235">
        <f t="shared" si="7"/>
        <v>507.61195000000004</v>
      </c>
      <c r="H313" s="235">
        <f t="shared" si="7"/>
        <v>502.73583000000002</v>
      </c>
      <c r="I313" s="235">
        <f t="shared" si="7"/>
        <v>535.80822000000001</v>
      </c>
      <c r="J313" s="235">
        <f t="shared" si="6"/>
        <v>33.072390000000006</v>
      </c>
      <c r="K313" s="93"/>
      <c r="L313" s="236" t="s">
        <v>189</v>
      </c>
      <c r="M313" s="236" t="s">
        <v>122</v>
      </c>
      <c r="N313" s="236" t="s">
        <v>63</v>
      </c>
      <c r="P313" s="91">
        <v>507611.95</v>
      </c>
      <c r="Q313" s="91">
        <v>502735.83</v>
      </c>
      <c r="R313" s="91">
        <v>535808.22</v>
      </c>
      <c r="S313" s="91">
        <v>33072.390000000007</v>
      </c>
    </row>
    <row r="314" spans="1:19" s="91" customFormat="1">
      <c r="A314" s="91" t="s">
        <v>775</v>
      </c>
      <c r="B314" s="91" t="s">
        <v>399</v>
      </c>
      <c r="C314" s="91" t="s">
        <v>1056</v>
      </c>
      <c r="D314" s="234">
        <v>4</v>
      </c>
      <c r="E314" s="92">
        <v>51441</v>
      </c>
      <c r="F314" s="93"/>
      <c r="G314" s="235">
        <f t="shared" si="7"/>
        <v>1063.75405</v>
      </c>
      <c r="H314" s="235">
        <f t="shared" si="7"/>
        <v>1053.5746200000001</v>
      </c>
      <c r="I314" s="235">
        <f t="shared" si="7"/>
        <v>1122.8422799999998</v>
      </c>
      <c r="J314" s="235">
        <f t="shared" si="6"/>
        <v>69.267660000000063</v>
      </c>
      <c r="K314" s="93"/>
      <c r="L314" s="236" t="s">
        <v>189</v>
      </c>
      <c r="M314" s="236" t="s">
        <v>122</v>
      </c>
      <c r="N314" s="236" t="s">
        <v>63</v>
      </c>
      <c r="P314" s="91">
        <v>1063754.05</v>
      </c>
      <c r="Q314" s="91">
        <v>1053574.6200000001</v>
      </c>
      <c r="R314" s="91">
        <v>1122842.2799999998</v>
      </c>
      <c r="S314" s="91">
        <v>69267.660000000062</v>
      </c>
    </row>
    <row r="315" spans="1:19" s="91" customFormat="1">
      <c r="A315" s="91" t="s">
        <v>776</v>
      </c>
      <c r="B315" s="91" t="s">
        <v>399</v>
      </c>
      <c r="C315" s="91" t="s">
        <v>1056</v>
      </c>
      <c r="D315" s="234">
        <v>4</v>
      </c>
      <c r="E315" s="92">
        <v>51441</v>
      </c>
      <c r="F315" s="93"/>
      <c r="G315" s="235">
        <f t="shared" si="7"/>
        <v>1245.0367900000003</v>
      </c>
      <c r="H315" s="235">
        <f t="shared" si="7"/>
        <v>1233.1168299999999</v>
      </c>
      <c r="I315" s="235">
        <f t="shared" si="7"/>
        <v>1314.1947300000002</v>
      </c>
      <c r="J315" s="235">
        <f t="shared" si="6"/>
        <v>81.077899999999985</v>
      </c>
      <c r="K315" s="93"/>
      <c r="L315" s="236" t="s">
        <v>189</v>
      </c>
      <c r="M315" s="236" t="s">
        <v>122</v>
      </c>
      <c r="N315" s="236" t="s">
        <v>63</v>
      </c>
      <c r="P315" s="91">
        <v>1245036.7900000003</v>
      </c>
      <c r="Q315" s="91">
        <v>1233116.8299999998</v>
      </c>
      <c r="R315" s="91">
        <v>1314194.7300000002</v>
      </c>
      <c r="S315" s="91">
        <v>81077.89999999998</v>
      </c>
    </row>
    <row r="316" spans="1:19" s="91" customFormat="1">
      <c r="A316" s="91" t="s">
        <v>777</v>
      </c>
      <c r="B316" s="91" t="s">
        <v>427</v>
      </c>
      <c r="C316" s="91" t="s">
        <v>1051</v>
      </c>
      <c r="D316" s="234">
        <v>3.625</v>
      </c>
      <c r="E316" s="92">
        <v>42394</v>
      </c>
      <c r="F316" s="93"/>
      <c r="G316" s="235">
        <f t="shared" si="7"/>
        <v>4800</v>
      </c>
      <c r="H316" s="235">
        <f t="shared" si="7"/>
        <v>4795.3175499999998</v>
      </c>
      <c r="I316" s="235">
        <f t="shared" si="7"/>
        <v>4860.7734299999993</v>
      </c>
      <c r="J316" s="235">
        <f t="shared" si="6"/>
        <v>65.455880000000064</v>
      </c>
      <c r="K316" s="93"/>
      <c r="L316" s="236" t="s">
        <v>204</v>
      </c>
      <c r="M316" s="236" t="s">
        <v>66</v>
      </c>
      <c r="N316" s="236" t="s">
        <v>206</v>
      </c>
      <c r="P316" s="91">
        <v>4800000</v>
      </c>
      <c r="Q316" s="91">
        <v>4795317.55</v>
      </c>
      <c r="R316" s="91">
        <v>4860773.43</v>
      </c>
      <c r="S316" s="91">
        <v>65455.880000000063</v>
      </c>
    </row>
    <row r="317" spans="1:19" s="91" customFormat="1">
      <c r="A317" s="91" t="s">
        <v>778</v>
      </c>
      <c r="B317" s="91" t="s">
        <v>227</v>
      </c>
      <c r="C317" s="91" t="s">
        <v>1051</v>
      </c>
      <c r="D317" s="234">
        <v>6.55</v>
      </c>
      <c r="E317" s="92">
        <v>49597</v>
      </c>
      <c r="F317" s="93"/>
      <c r="G317" s="235">
        <f t="shared" si="7"/>
        <v>1000</v>
      </c>
      <c r="H317" s="235">
        <f t="shared" si="7"/>
        <v>1101.4818300000002</v>
      </c>
      <c r="I317" s="235">
        <f t="shared" si="7"/>
        <v>1051.1949999999999</v>
      </c>
      <c r="J317" s="235">
        <f t="shared" si="6"/>
        <v>-50.286830000000073</v>
      </c>
      <c r="K317" s="93"/>
      <c r="L317" s="236" t="s">
        <v>195</v>
      </c>
      <c r="M317" s="236" t="s">
        <v>65</v>
      </c>
      <c r="N317" s="236" t="s">
        <v>121</v>
      </c>
      <c r="P317" s="91">
        <v>1000000</v>
      </c>
      <c r="Q317" s="91">
        <v>1101481.83</v>
      </c>
      <c r="R317" s="91">
        <v>1051195</v>
      </c>
      <c r="S317" s="91">
        <v>-50286.830000000075</v>
      </c>
    </row>
    <row r="318" spans="1:19" s="91" customFormat="1">
      <c r="A318" s="91" t="s">
        <v>1010</v>
      </c>
      <c r="B318" s="91" t="s">
        <v>1011</v>
      </c>
      <c r="C318" s="91" t="s">
        <v>1051</v>
      </c>
      <c r="D318" s="234">
        <v>4.75</v>
      </c>
      <c r="E318" s="92">
        <v>44362</v>
      </c>
      <c r="F318" s="93"/>
      <c r="G318" s="235">
        <f t="shared" si="7"/>
        <v>1900</v>
      </c>
      <c r="H318" s="235">
        <f t="shared" si="7"/>
        <v>1893.8410800000001</v>
      </c>
      <c r="I318" s="235">
        <f t="shared" si="7"/>
        <v>1984.5861200000002</v>
      </c>
      <c r="J318" s="235">
        <f t="shared" si="6"/>
        <v>90.745040000000031</v>
      </c>
      <c r="K318" s="93"/>
      <c r="L318" s="236" t="s">
        <v>199</v>
      </c>
      <c r="M318" s="236" t="s">
        <v>208</v>
      </c>
      <c r="N318" s="236" t="s">
        <v>179</v>
      </c>
      <c r="P318" s="91">
        <v>1900000</v>
      </c>
      <c r="Q318" s="91">
        <v>1893841.08</v>
      </c>
      <c r="R318" s="91">
        <v>1984586.12</v>
      </c>
      <c r="S318" s="91">
        <v>90745.040000000037</v>
      </c>
    </row>
    <row r="319" spans="1:19" s="91" customFormat="1">
      <c r="A319" s="91" t="s">
        <v>779</v>
      </c>
      <c r="B319" s="91" t="s">
        <v>443</v>
      </c>
      <c r="C319" s="91" t="s">
        <v>1053</v>
      </c>
      <c r="D319" s="234">
        <v>1.51</v>
      </c>
      <c r="E319" s="92">
        <v>41654</v>
      </c>
      <c r="F319" s="93"/>
      <c r="G319" s="235">
        <f t="shared" si="7"/>
        <v>2080.7651599999999</v>
      </c>
      <c r="H319" s="235">
        <f t="shared" si="7"/>
        <v>2087.3937799999999</v>
      </c>
      <c r="I319" s="235">
        <f t="shared" si="7"/>
        <v>2086.12709</v>
      </c>
      <c r="J319" s="235">
        <f t="shared" si="6"/>
        <v>-1.2666900000000605</v>
      </c>
      <c r="K319" s="93"/>
      <c r="L319" s="236" t="s">
        <v>189</v>
      </c>
      <c r="M319" s="236" t="s">
        <v>63</v>
      </c>
      <c r="N319" s="236" t="s">
        <v>179</v>
      </c>
      <c r="P319" s="91">
        <v>2080765.16</v>
      </c>
      <c r="Q319" s="91">
        <v>2087393.78</v>
      </c>
      <c r="R319" s="91">
        <v>2086127.0899999999</v>
      </c>
      <c r="S319" s="91">
        <v>-1266.6900000000605</v>
      </c>
    </row>
    <row r="320" spans="1:19" s="91" customFormat="1">
      <c r="A320" s="91" t="s">
        <v>780</v>
      </c>
      <c r="B320" s="91" t="s">
        <v>1150</v>
      </c>
      <c r="C320" s="91" t="s">
        <v>1052</v>
      </c>
      <c r="D320" s="234">
        <v>5</v>
      </c>
      <c r="E320" s="92">
        <v>42781</v>
      </c>
      <c r="F320" s="93"/>
      <c r="G320" s="235">
        <f t="shared" si="7"/>
        <v>1150</v>
      </c>
      <c r="H320" s="235">
        <f t="shared" si="7"/>
        <v>1333.55927</v>
      </c>
      <c r="I320" s="235">
        <f t="shared" si="7"/>
        <v>1374.7215000000001</v>
      </c>
      <c r="J320" s="235">
        <f t="shared" si="6"/>
        <v>41.16222999999998</v>
      </c>
      <c r="K320" s="93"/>
      <c r="L320" s="236" t="s">
        <v>178</v>
      </c>
      <c r="M320" s="236" t="s">
        <v>64</v>
      </c>
      <c r="N320" s="236" t="s">
        <v>122</v>
      </c>
      <c r="P320" s="91">
        <v>1150000</v>
      </c>
      <c r="Q320" s="91">
        <v>1333559.27</v>
      </c>
      <c r="R320" s="91">
        <v>1374721.5</v>
      </c>
      <c r="S320" s="91">
        <v>41162.229999999981</v>
      </c>
    </row>
    <row r="321" spans="1:19" s="91" customFormat="1">
      <c r="A321" s="91" t="s">
        <v>781</v>
      </c>
      <c r="B321" s="91" t="s">
        <v>401</v>
      </c>
      <c r="C321" s="91" t="s">
        <v>1056</v>
      </c>
      <c r="D321" s="234">
        <v>5.5</v>
      </c>
      <c r="E321" s="92">
        <v>48594</v>
      </c>
      <c r="F321" s="93"/>
      <c r="G321" s="235">
        <f t="shared" si="7"/>
        <v>1198.1865700000001</v>
      </c>
      <c r="H321" s="235">
        <f t="shared" si="7"/>
        <v>1205.24973</v>
      </c>
      <c r="I321" s="235">
        <f t="shared" si="7"/>
        <v>1351.9616899999999</v>
      </c>
      <c r="J321" s="235">
        <f t="shared" si="6"/>
        <v>146.71196000000012</v>
      </c>
      <c r="K321" s="93"/>
      <c r="L321" s="236" t="s">
        <v>189</v>
      </c>
      <c r="M321" s="236" t="s">
        <v>122</v>
      </c>
      <c r="N321" s="236" t="s">
        <v>63</v>
      </c>
      <c r="P321" s="91">
        <v>1198186.57</v>
      </c>
      <c r="Q321" s="91">
        <v>1205249.73</v>
      </c>
      <c r="R321" s="91">
        <v>1351961.69</v>
      </c>
      <c r="S321" s="91">
        <v>146711.96000000011</v>
      </c>
    </row>
    <row r="322" spans="1:19" s="91" customFormat="1">
      <c r="A322" s="91" t="s">
        <v>782</v>
      </c>
      <c r="B322" s="91" t="s">
        <v>401</v>
      </c>
      <c r="C322" s="91" t="s">
        <v>1056</v>
      </c>
      <c r="D322" s="234">
        <v>6.5</v>
      </c>
      <c r="E322" s="92">
        <v>48228</v>
      </c>
      <c r="F322" s="93"/>
      <c r="G322" s="235">
        <f t="shared" si="7"/>
        <v>85.205079999999995</v>
      </c>
      <c r="H322" s="235">
        <f t="shared" si="7"/>
        <v>85.980329999999995</v>
      </c>
      <c r="I322" s="235">
        <f t="shared" si="7"/>
        <v>97.403390000000002</v>
      </c>
      <c r="J322" s="235">
        <f t="shared" si="6"/>
        <v>11.423059999999998</v>
      </c>
      <c r="K322" s="93"/>
      <c r="L322" s="236" t="s">
        <v>189</v>
      </c>
      <c r="M322" s="236" t="s">
        <v>122</v>
      </c>
      <c r="N322" s="236" t="s">
        <v>63</v>
      </c>
      <c r="P322" s="91">
        <v>85205.08</v>
      </c>
      <c r="Q322" s="91">
        <v>85980.33</v>
      </c>
      <c r="R322" s="91">
        <v>97403.39</v>
      </c>
      <c r="S322" s="91">
        <v>11423.059999999998</v>
      </c>
    </row>
    <row r="323" spans="1:19" s="91" customFormat="1">
      <c r="A323" s="91" t="s">
        <v>783</v>
      </c>
      <c r="B323" s="91" t="s">
        <v>401</v>
      </c>
      <c r="C323" s="91" t="s">
        <v>1056</v>
      </c>
      <c r="D323" s="234">
        <v>7</v>
      </c>
      <c r="E323" s="92">
        <v>45122</v>
      </c>
      <c r="F323" s="93"/>
      <c r="G323" s="235">
        <f t="shared" si="7"/>
        <v>93.052329999999998</v>
      </c>
      <c r="H323" s="235">
        <f t="shared" si="7"/>
        <v>91.744679999999988</v>
      </c>
      <c r="I323" s="235">
        <f t="shared" si="7"/>
        <v>110.09605999999999</v>
      </c>
      <c r="J323" s="235">
        <f t="shared" si="6"/>
        <v>18.351380000000006</v>
      </c>
      <c r="K323" s="93"/>
      <c r="L323" s="236" t="s">
        <v>189</v>
      </c>
      <c r="M323" s="236" t="s">
        <v>122</v>
      </c>
      <c r="N323" s="236" t="s">
        <v>63</v>
      </c>
      <c r="P323" s="91">
        <v>93052.33</v>
      </c>
      <c r="Q323" s="91">
        <v>91744.68</v>
      </c>
      <c r="R323" s="91">
        <v>110096.06</v>
      </c>
      <c r="S323" s="91">
        <v>18351.380000000005</v>
      </c>
    </row>
    <row r="324" spans="1:19" s="91" customFormat="1">
      <c r="A324" s="91" t="s">
        <v>784</v>
      </c>
      <c r="B324" s="91" t="s">
        <v>401</v>
      </c>
      <c r="C324" s="91" t="s">
        <v>1056</v>
      </c>
      <c r="D324" s="234">
        <v>7</v>
      </c>
      <c r="E324" s="92">
        <v>45153</v>
      </c>
      <c r="F324" s="93"/>
      <c r="G324" s="235">
        <f t="shared" si="7"/>
        <v>119.47201</v>
      </c>
      <c r="H324" s="235">
        <f t="shared" si="7"/>
        <v>117.84550999999999</v>
      </c>
      <c r="I324" s="235">
        <f t="shared" si="7"/>
        <v>141.35485</v>
      </c>
      <c r="J324" s="235">
        <f t="shared" si="6"/>
        <v>23.509340000000012</v>
      </c>
      <c r="K324" s="93"/>
      <c r="L324" s="236" t="s">
        <v>189</v>
      </c>
      <c r="M324" s="236" t="s">
        <v>122</v>
      </c>
      <c r="N324" s="236" t="s">
        <v>63</v>
      </c>
      <c r="P324" s="91">
        <v>119472.01</v>
      </c>
      <c r="Q324" s="91">
        <v>117845.51</v>
      </c>
      <c r="R324" s="91">
        <v>141354.85</v>
      </c>
      <c r="S324" s="91">
        <v>23509.340000000011</v>
      </c>
    </row>
    <row r="325" spans="1:19" s="91" customFormat="1">
      <c r="A325" s="91" t="s">
        <v>785</v>
      </c>
      <c r="B325" s="91" t="s">
        <v>401</v>
      </c>
      <c r="C325" s="91" t="s">
        <v>1056</v>
      </c>
      <c r="D325" s="234">
        <v>5</v>
      </c>
      <c r="E325" s="92">
        <v>51241</v>
      </c>
      <c r="F325" s="93"/>
      <c r="G325" s="235">
        <f t="shared" si="7"/>
        <v>5141.2352099999998</v>
      </c>
      <c r="H325" s="235">
        <f t="shared" si="7"/>
        <v>5470.5599499999998</v>
      </c>
      <c r="I325" s="235">
        <f t="shared" si="7"/>
        <v>5700.21587</v>
      </c>
      <c r="J325" s="235">
        <f t="shared" si="7"/>
        <v>229.65591999999972</v>
      </c>
      <c r="K325" s="93"/>
      <c r="L325" s="236" t="s">
        <v>189</v>
      </c>
      <c r="M325" s="236" t="s">
        <v>122</v>
      </c>
      <c r="N325" s="236" t="s">
        <v>63</v>
      </c>
      <c r="P325" s="91">
        <v>5141235.21</v>
      </c>
      <c r="Q325" s="91">
        <v>5470559.9500000002</v>
      </c>
      <c r="R325" s="91">
        <v>5700215.8700000001</v>
      </c>
      <c r="S325" s="91">
        <v>229655.91999999972</v>
      </c>
    </row>
    <row r="326" spans="1:19" s="91" customFormat="1">
      <c r="A326" s="91" t="s">
        <v>786</v>
      </c>
      <c r="B326" s="91" t="s">
        <v>401</v>
      </c>
      <c r="C326" s="91" t="s">
        <v>1056</v>
      </c>
      <c r="D326" s="234">
        <v>5</v>
      </c>
      <c r="E326" s="92">
        <v>51241</v>
      </c>
      <c r="F326" s="93"/>
      <c r="G326" s="235">
        <f t="shared" ref="G326:J389" si="8">P326/1000</f>
        <v>350.96454</v>
      </c>
      <c r="H326" s="235">
        <f t="shared" si="8"/>
        <v>373.30132000000003</v>
      </c>
      <c r="I326" s="235">
        <f t="shared" si="8"/>
        <v>389.12315000000001</v>
      </c>
      <c r="J326" s="235">
        <f t="shared" si="8"/>
        <v>15.821830000000016</v>
      </c>
      <c r="K326" s="93"/>
      <c r="L326" s="236" t="s">
        <v>189</v>
      </c>
      <c r="M326" s="236" t="s">
        <v>122</v>
      </c>
      <c r="N326" s="236" t="s">
        <v>63</v>
      </c>
      <c r="P326" s="91">
        <v>350964.54</v>
      </c>
      <c r="Q326" s="91">
        <v>373301.32</v>
      </c>
      <c r="R326" s="91">
        <v>389123.15</v>
      </c>
      <c r="S326" s="91">
        <v>15821.830000000016</v>
      </c>
    </row>
    <row r="327" spans="1:19" s="91" customFormat="1">
      <c r="A327" s="91" t="s">
        <v>787</v>
      </c>
      <c r="B327" s="91" t="s">
        <v>401</v>
      </c>
      <c r="C327" s="91" t="s">
        <v>1056</v>
      </c>
      <c r="D327" s="234">
        <v>4</v>
      </c>
      <c r="E327" s="92">
        <v>51394</v>
      </c>
      <c r="F327" s="93"/>
      <c r="G327" s="235">
        <f t="shared" si="8"/>
        <v>3082.6982699999999</v>
      </c>
      <c r="H327" s="235">
        <f t="shared" si="8"/>
        <v>3200.8362099999999</v>
      </c>
      <c r="I327" s="235">
        <f t="shared" si="8"/>
        <v>3312.5966899999999</v>
      </c>
      <c r="J327" s="235">
        <f t="shared" si="8"/>
        <v>111.76047999999999</v>
      </c>
      <c r="K327" s="93"/>
      <c r="L327" s="236" t="s">
        <v>189</v>
      </c>
      <c r="M327" s="236" t="s">
        <v>122</v>
      </c>
      <c r="N327" s="236" t="s">
        <v>63</v>
      </c>
      <c r="P327" s="91">
        <v>3082698.27</v>
      </c>
      <c r="Q327" s="91">
        <v>3200836.21</v>
      </c>
      <c r="R327" s="91">
        <v>3312596.69</v>
      </c>
      <c r="S327" s="91">
        <v>111760.47999999998</v>
      </c>
    </row>
    <row r="328" spans="1:19" s="91" customFormat="1">
      <c r="A328" s="91" t="s">
        <v>788</v>
      </c>
      <c r="B328" s="91" t="s">
        <v>401</v>
      </c>
      <c r="C328" s="91" t="s">
        <v>1056</v>
      </c>
      <c r="D328" s="234">
        <v>7</v>
      </c>
      <c r="E328" s="92">
        <v>47164</v>
      </c>
      <c r="F328" s="93"/>
      <c r="G328" s="235">
        <f t="shared" si="8"/>
        <v>32.089199999999998</v>
      </c>
      <c r="H328" s="235">
        <f t="shared" si="8"/>
        <v>32.458289999999998</v>
      </c>
      <c r="I328" s="235">
        <f t="shared" si="8"/>
        <v>37.773129999999995</v>
      </c>
      <c r="J328" s="235">
        <f t="shared" si="8"/>
        <v>5.3148399999999967</v>
      </c>
      <c r="K328" s="93"/>
      <c r="L328" s="236" t="s">
        <v>189</v>
      </c>
      <c r="M328" s="236" t="s">
        <v>122</v>
      </c>
      <c r="N328" s="236" t="s">
        <v>63</v>
      </c>
      <c r="P328" s="91">
        <v>32089.200000000001</v>
      </c>
      <c r="Q328" s="91">
        <v>32458.29</v>
      </c>
      <c r="R328" s="91">
        <v>37773.129999999997</v>
      </c>
      <c r="S328" s="91">
        <v>5314.8399999999965</v>
      </c>
    </row>
    <row r="329" spans="1:19" s="91" customFormat="1">
      <c r="A329" s="91" t="s">
        <v>789</v>
      </c>
      <c r="B329" s="91" t="s">
        <v>401</v>
      </c>
      <c r="C329" s="91" t="s">
        <v>1056</v>
      </c>
      <c r="D329" s="234">
        <v>6.5</v>
      </c>
      <c r="E329" s="92">
        <v>47164</v>
      </c>
      <c r="F329" s="93"/>
      <c r="G329" s="235">
        <f t="shared" si="8"/>
        <v>30.090419999999998</v>
      </c>
      <c r="H329" s="235">
        <f t="shared" si="8"/>
        <v>29.18899</v>
      </c>
      <c r="I329" s="235">
        <f t="shared" si="8"/>
        <v>34.678069999999998</v>
      </c>
      <c r="J329" s="235">
        <f t="shared" si="8"/>
        <v>5.4890799999999977</v>
      </c>
      <c r="K329" s="93"/>
      <c r="L329" s="236" t="s">
        <v>189</v>
      </c>
      <c r="M329" s="236" t="s">
        <v>122</v>
      </c>
      <c r="N329" s="236" t="s">
        <v>63</v>
      </c>
      <c r="P329" s="91">
        <v>30090.42</v>
      </c>
      <c r="Q329" s="91">
        <v>29188.99</v>
      </c>
      <c r="R329" s="91">
        <v>34678.07</v>
      </c>
      <c r="S329" s="91">
        <v>5489.0799999999981</v>
      </c>
    </row>
    <row r="330" spans="1:19" s="91" customFormat="1">
      <c r="A330" s="91" t="s">
        <v>790</v>
      </c>
      <c r="B330" s="91" t="s">
        <v>401</v>
      </c>
      <c r="C330" s="91" t="s">
        <v>1056</v>
      </c>
      <c r="D330" s="234">
        <v>6.5</v>
      </c>
      <c r="E330" s="92">
        <v>48410</v>
      </c>
      <c r="F330" s="93"/>
      <c r="G330" s="235">
        <f t="shared" si="8"/>
        <v>145.28907999999998</v>
      </c>
      <c r="H330" s="235">
        <f t="shared" si="8"/>
        <v>148.70588000000001</v>
      </c>
      <c r="I330" s="235">
        <f t="shared" si="8"/>
        <v>167.22776999999999</v>
      </c>
      <c r="J330" s="235">
        <f t="shared" si="8"/>
        <v>18.521889999999985</v>
      </c>
      <c r="K330" s="93"/>
      <c r="L330" s="236" t="s">
        <v>189</v>
      </c>
      <c r="M330" s="236" t="s">
        <v>122</v>
      </c>
      <c r="N330" s="236" t="s">
        <v>63</v>
      </c>
      <c r="P330" s="91">
        <v>145289.07999999999</v>
      </c>
      <c r="Q330" s="91">
        <v>148705.88</v>
      </c>
      <c r="R330" s="91">
        <v>167227.76999999999</v>
      </c>
      <c r="S330" s="91">
        <v>18521.889999999985</v>
      </c>
    </row>
    <row r="331" spans="1:19" s="91" customFormat="1">
      <c r="A331" s="91" t="s">
        <v>791</v>
      </c>
      <c r="B331" s="91" t="s">
        <v>401</v>
      </c>
      <c r="C331" s="91" t="s">
        <v>1056</v>
      </c>
      <c r="D331" s="234">
        <v>7</v>
      </c>
      <c r="E331" s="92">
        <v>45061</v>
      </c>
      <c r="F331" s="93"/>
      <c r="G331" s="235">
        <f t="shared" si="8"/>
        <v>24.562270000000002</v>
      </c>
      <c r="H331" s="235">
        <f t="shared" si="8"/>
        <v>24.242540000000002</v>
      </c>
      <c r="I331" s="235">
        <f t="shared" si="8"/>
        <v>29.061160000000001</v>
      </c>
      <c r="J331" s="235">
        <f t="shared" si="8"/>
        <v>4.8186199999999992</v>
      </c>
      <c r="K331" s="93"/>
      <c r="L331" s="236" t="s">
        <v>189</v>
      </c>
      <c r="M331" s="236" t="s">
        <v>122</v>
      </c>
      <c r="N331" s="236" t="s">
        <v>63</v>
      </c>
      <c r="P331" s="91">
        <v>24562.27</v>
      </c>
      <c r="Q331" s="91">
        <v>24242.54</v>
      </c>
      <c r="R331" s="91">
        <v>29061.16</v>
      </c>
      <c r="S331" s="91">
        <v>4818.619999999999</v>
      </c>
    </row>
    <row r="332" spans="1:19" s="91" customFormat="1">
      <c r="A332" s="91" t="s">
        <v>792</v>
      </c>
      <c r="B332" s="91" t="s">
        <v>402</v>
      </c>
      <c r="C332" s="91" t="s">
        <v>1056</v>
      </c>
      <c r="D332" s="234">
        <v>3.95</v>
      </c>
      <c r="E332" s="92">
        <v>45853</v>
      </c>
      <c r="F332" s="93"/>
      <c r="G332" s="235">
        <f t="shared" si="8"/>
        <v>466.31971000000004</v>
      </c>
      <c r="H332" s="235">
        <f t="shared" si="8"/>
        <v>466.86971</v>
      </c>
      <c r="I332" s="235">
        <f t="shared" si="8"/>
        <v>499.31369999999993</v>
      </c>
      <c r="J332" s="235">
        <f t="shared" si="8"/>
        <v>32.443989999999964</v>
      </c>
      <c r="K332" s="93"/>
      <c r="L332" s="236" t="s">
        <v>189</v>
      </c>
      <c r="M332" s="236" t="s">
        <v>122</v>
      </c>
      <c r="N332" s="236" t="s">
        <v>63</v>
      </c>
      <c r="P332" s="91">
        <v>466319.71</v>
      </c>
      <c r="Q332" s="91">
        <v>466869.71</v>
      </c>
      <c r="R332" s="91">
        <v>499313.69999999995</v>
      </c>
      <c r="S332" s="91">
        <v>32443.989999999962</v>
      </c>
    </row>
    <row r="333" spans="1:19" s="91" customFormat="1">
      <c r="A333" s="91" t="s">
        <v>793</v>
      </c>
      <c r="B333" s="91" t="s">
        <v>401</v>
      </c>
      <c r="C333" s="91" t="s">
        <v>1056</v>
      </c>
      <c r="D333" s="234">
        <v>4</v>
      </c>
      <c r="E333" s="92">
        <v>51363</v>
      </c>
      <c r="F333" s="93"/>
      <c r="G333" s="235">
        <f t="shared" si="8"/>
        <v>7352.1512299999995</v>
      </c>
      <c r="H333" s="235">
        <f t="shared" si="8"/>
        <v>7624.7274100000004</v>
      </c>
      <c r="I333" s="235">
        <f t="shared" si="8"/>
        <v>7900.452690000001</v>
      </c>
      <c r="J333" s="235">
        <f t="shared" si="8"/>
        <v>275.72528000000057</v>
      </c>
      <c r="K333" s="93"/>
      <c r="L333" s="236" t="s">
        <v>189</v>
      </c>
      <c r="M333" s="236" t="s">
        <v>122</v>
      </c>
      <c r="N333" s="236" t="s">
        <v>63</v>
      </c>
      <c r="P333" s="91">
        <v>7352151.2299999995</v>
      </c>
      <c r="Q333" s="91">
        <v>7624727.4100000001</v>
      </c>
      <c r="R333" s="91">
        <v>7900452.6900000013</v>
      </c>
      <c r="S333" s="91">
        <v>275725.28000000055</v>
      </c>
    </row>
    <row r="334" spans="1:19" s="91" customFormat="1">
      <c r="A334" s="91" t="s">
        <v>794</v>
      </c>
      <c r="B334" s="91" t="s">
        <v>468</v>
      </c>
      <c r="C334" s="91" t="s">
        <v>1056</v>
      </c>
      <c r="D334" s="234">
        <v>3.0989599999999999</v>
      </c>
      <c r="E334" s="92">
        <v>49181</v>
      </c>
      <c r="F334" s="93"/>
      <c r="G334" s="235">
        <f t="shared" si="8"/>
        <v>633.16859999999997</v>
      </c>
      <c r="H334" s="235">
        <f t="shared" si="8"/>
        <v>134.68084999999999</v>
      </c>
      <c r="I334" s="235">
        <f t="shared" si="8"/>
        <v>134.88422</v>
      </c>
      <c r="J334" s="235">
        <f t="shared" si="8"/>
        <v>0.20336999999999533</v>
      </c>
      <c r="K334" s="93"/>
      <c r="L334" s="236" t="s">
        <v>179</v>
      </c>
      <c r="M334" s="236" t="s">
        <v>179</v>
      </c>
      <c r="N334" s="236" t="s">
        <v>70</v>
      </c>
      <c r="P334" s="91">
        <v>633168.6</v>
      </c>
      <c r="Q334" s="91">
        <v>134680.85</v>
      </c>
      <c r="R334" s="91">
        <v>134884.22</v>
      </c>
      <c r="S334" s="91">
        <v>203.36999999999534</v>
      </c>
    </row>
    <row r="335" spans="1:19" s="91" customFormat="1">
      <c r="A335" s="91" t="s">
        <v>795</v>
      </c>
      <c r="B335" s="91" t="s">
        <v>445</v>
      </c>
      <c r="C335" s="91" t="s">
        <v>1054</v>
      </c>
      <c r="D335" s="234">
        <v>5.3085579999999997</v>
      </c>
      <c r="E335" s="92">
        <v>53276</v>
      </c>
      <c r="F335" s="93"/>
      <c r="G335" s="235">
        <f t="shared" si="8"/>
        <v>8400</v>
      </c>
      <c r="H335" s="235">
        <f t="shared" si="8"/>
        <v>9052.6858400000001</v>
      </c>
      <c r="I335" s="235">
        <f t="shared" si="8"/>
        <v>9235.1992399999999</v>
      </c>
      <c r="J335" s="235">
        <f t="shared" si="8"/>
        <v>182.51339999999968</v>
      </c>
      <c r="K335" s="93"/>
      <c r="L335" s="236" t="s">
        <v>189</v>
      </c>
      <c r="M335" s="236" t="s">
        <v>63</v>
      </c>
      <c r="N335" s="236" t="s">
        <v>179</v>
      </c>
      <c r="P335" s="91">
        <v>8400000</v>
      </c>
      <c r="Q335" s="91">
        <v>9052685.8399999999</v>
      </c>
      <c r="R335" s="91">
        <v>9235199.2400000002</v>
      </c>
      <c r="S335" s="91">
        <v>182513.39999999967</v>
      </c>
    </row>
    <row r="336" spans="1:19" s="91" customFormat="1">
      <c r="A336" s="91" t="s">
        <v>796</v>
      </c>
      <c r="B336" s="91" t="s">
        <v>228</v>
      </c>
      <c r="C336" s="91" t="s">
        <v>1051</v>
      </c>
      <c r="D336" s="234">
        <v>4.75</v>
      </c>
      <c r="E336" s="92">
        <v>42200</v>
      </c>
      <c r="F336" s="93"/>
      <c r="G336" s="235">
        <f t="shared" si="8"/>
        <v>3000</v>
      </c>
      <c r="H336" s="235">
        <f t="shared" si="8"/>
        <v>2986.5024900000003</v>
      </c>
      <c r="I336" s="235">
        <f t="shared" si="8"/>
        <v>3335.9694599999998</v>
      </c>
      <c r="J336" s="235">
        <f t="shared" si="8"/>
        <v>349.46696999999995</v>
      </c>
      <c r="K336" s="93"/>
      <c r="L336" s="236" t="s">
        <v>179</v>
      </c>
      <c r="M336" s="236" t="s">
        <v>171</v>
      </c>
      <c r="N336" s="236" t="s">
        <v>179</v>
      </c>
      <c r="P336" s="91">
        <v>3000000</v>
      </c>
      <c r="Q336" s="91">
        <v>2986502.49</v>
      </c>
      <c r="R336" s="91">
        <v>3335969.46</v>
      </c>
      <c r="S336" s="91">
        <v>349466.97</v>
      </c>
    </row>
    <row r="337" spans="1:19" s="91" customFormat="1">
      <c r="A337" s="91" t="s">
        <v>797</v>
      </c>
      <c r="B337" s="91" t="s">
        <v>391</v>
      </c>
      <c r="C337" s="91" t="s">
        <v>1051</v>
      </c>
      <c r="D337" s="234">
        <v>6.375</v>
      </c>
      <c r="E337" s="92">
        <v>61316</v>
      </c>
      <c r="F337" s="93"/>
      <c r="G337" s="235">
        <f t="shared" si="8"/>
        <v>8500</v>
      </c>
      <c r="H337" s="235">
        <f t="shared" si="8"/>
        <v>8447.5837499999998</v>
      </c>
      <c r="I337" s="235">
        <f t="shared" si="8"/>
        <v>8245</v>
      </c>
      <c r="J337" s="235">
        <f t="shared" si="8"/>
        <v>-202.58374999999975</v>
      </c>
      <c r="K337" s="93"/>
      <c r="L337" s="236" t="s">
        <v>188</v>
      </c>
      <c r="M337" s="236" t="s">
        <v>121</v>
      </c>
      <c r="N337" s="236" t="s">
        <v>179</v>
      </c>
      <c r="P337" s="91">
        <v>8500000</v>
      </c>
      <c r="Q337" s="91">
        <v>8447583.75</v>
      </c>
      <c r="R337" s="91">
        <v>8245000</v>
      </c>
      <c r="S337" s="91">
        <v>-202583.74999999977</v>
      </c>
    </row>
    <row r="338" spans="1:19" s="91" customFormat="1">
      <c r="A338" s="91" t="s">
        <v>798</v>
      </c>
      <c r="B338" s="91" t="s">
        <v>391</v>
      </c>
      <c r="C338" s="91" t="s">
        <v>1051</v>
      </c>
      <c r="D338" s="234">
        <v>5.875</v>
      </c>
      <c r="E338" s="92">
        <v>40954</v>
      </c>
      <c r="F338" s="93"/>
      <c r="G338" s="235">
        <f t="shared" si="8"/>
        <v>2000</v>
      </c>
      <c r="H338" s="235">
        <f t="shared" si="8"/>
        <v>1999.1427800000001</v>
      </c>
      <c r="I338" s="235">
        <f t="shared" si="8"/>
        <v>2012.1279999999999</v>
      </c>
      <c r="J338" s="235">
        <f t="shared" si="8"/>
        <v>12.985219999999972</v>
      </c>
      <c r="K338" s="93"/>
      <c r="L338" s="236" t="s">
        <v>181</v>
      </c>
      <c r="M338" s="236" t="s">
        <v>122</v>
      </c>
      <c r="N338" s="236" t="s">
        <v>179</v>
      </c>
      <c r="P338" s="91">
        <v>2000000</v>
      </c>
      <c r="Q338" s="91">
        <v>1999142.78</v>
      </c>
      <c r="R338" s="91">
        <v>2012128</v>
      </c>
      <c r="S338" s="91">
        <v>12985.219999999972</v>
      </c>
    </row>
    <row r="339" spans="1:19" s="91" customFormat="1">
      <c r="A339" s="91" t="s">
        <v>968</v>
      </c>
      <c r="B339" s="91" t="s">
        <v>464</v>
      </c>
      <c r="C339" s="91" t="s">
        <v>1051</v>
      </c>
      <c r="D339" s="234">
        <v>5.875</v>
      </c>
      <c r="E339" s="92">
        <v>41397</v>
      </c>
      <c r="F339" s="93"/>
      <c r="G339" s="235">
        <f t="shared" si="8"/>
        <v>2000</v>
      </c>
      <c r="H339" s="235">
        <f t="shared" si="8"/>
        <v>2083.5247199999999</v>
      </c>
      <c r="I339" s="235">
        <f t="shared" si="8"/>
        <v>2032.634</v>
      </c>
      <c r="J339" s="235">
        <f t="shared" si="8"/>
        <v>-50.890719999999973</v>
      </c>
      <c r="K339" s="93"/>
      <c r="L339" s="236" t="s">
        <v>183</v>
      </c>
      <c r="M339" s="236" t="s">
        <v>65</v>
      </c>
      <c r="N339" s="236" t="s">
        <v>179</v>
      </c>
      <c r="P339" s="91">
        <v>2000000</v>
      </c>
      <c r="Q339" s="91">
        <v>2083524.72</v>
      </c>
      <c r="R339" s="91">
        <v>2032634</v>
      </c>
      <c r="S339" s="91">
        <v>-50890.719999999972</v>
      </c>
    </row>
    <row r="340" spans="1:19" s="91" customFormat="1">
      <c r="A340" s="91" t="s">
        <v>799</v>
      </c>
      <c r="B340" s="91" t="s">
        <v>230</v>
      </c>
      <c r="C340" s="91" t="s">
        <v>1051</v>
      </c>
      <c r="D340" s="234">
        <v>4.375</v>
      </c>
      <c r="E340" s="92">
        <v>41744</v>
      </c>
      <c r="F340" s="93"/>
      <c r="G340" s="235">
        <f t="shared" si="8"/>
        <v>1000</v>
      </c>
      <c r="H340" s="235">
        <f t="shared" si="8"/>
        <v>997.95618000000002</v>
      </c>
      <c r="I340" s="235">
        <f t="shared" si="8"/>
        <v>1078.2600400000001</v>
      </c>
      <c r="J340" s="235">
        <f t="shared" si="8"/>
        <v>80.303859999999986</v>
      </c>
      <c r="K340" s="93"/>
      <c r="L340" s="236" t="s">
        <v>194</v>
      </c>
      <c r="M340" s="236" t="s">
        <v>121</v>
      </c>
      <c r="N340" s="236" t="s">
        <v>121</v>
      </c>
      <c r="P340" s="91">
        <v>1000000</v>
      </c>
      <c r="Q340" s="91">
        <v>997956.18</v>
      </c>
      <c r="R340" s="91">
        <v>1078260.04</v>
      </c>
      <c r="S340" s="91">
        <v>80303.859999999986</v>
      </c>
    </row>
    <row r="341" spans="1:19" s="91" customFormat="1">
      <c r="A341" s="91" t="s">
        <v>800</v>
      </c>
      <c r="B341" s="91" t="s">
        <v>801</v>
      </c>
      <c r="C341" s="91" t="s">
        <v>1051</v>
      </c>
      <c r="D341" s="234">
        <v>5.7930000000000001</v>
      </c>
      <c r="E341" s="92">
        <v>52383</v>
      </c>
      <c r="F341" s="93"/>
      <c r="G341" s="235">
        <f t="shared" si="8"/>
        <v>5000</v>
      </c>
      <c r="H341" s="235">
        <f t="shared" si="8"/>
        <v>4275</v>
      </c>
      <c r="I341" s="235">
        <f t="shared" si="8"/>
        <v>3062.5</v>
      </c>
      <c r="J341" s="235">
        <f t="shared" si="8"/>
        <v>-1212.5</v>
      </c>
      <c r="K341" s="93"/>
      <c r="L341" s="236" t="s">
        <v>199</v>
      </c>
      <c r="M341" s="236" t="s">
        <v>211</v>
      </c>
      <c r="N341" s="236" t="s">
        <v>200</v>
      </c>
      <c r="P341" s="91">
        <v>5000000</v>
      </c>
      <c r="Q341" s="91">
        <v>4275000</v>
      </c>
      <c r="R341" s="91">
        <v>3062500</v>
      </c>
      <c r="S341" s="91">
        <v>-1212500</v>
      </c>
    </row>
    <row r="342" spans="1:19" s="91" customFormat="1">
      <c r="A342" s="91" t="s">
        <v>802</v>
      </c>
      <c r="B342" s="91" t="s">
        <v>231</v>
      </c>
      <c r="C342" s="91" t="s">
        <v>1051</v>
      </c>
      <c r="D342" s="234">
        <v>6.25</v>
      </c>
      <c r="E342" s="92">
        <v>42979</v>
      </c>
      <c r="F342" s="93"/>
      <c r="G342" s="235">
        <f t="shared" si="8"/>
        <v>1500</v>
      </c>
      <c r="H342" s="235">
        <f t="shared" si="8"/>
        <v>1630.6150400000001</v>
      </c>
      <c r="I342" s="235">
        <f t="shared" si="8"/>
        <v>1558.4786299999998</v>
      </c>
      <c r="J342" s="235">
        <f t="shared" si="8"/>
        <v>-72.136409999999913</v>
      </c>
      <c r="K342" s="93"/>
      <c r="L342" s="236" t="s">
        <v>194</v>
      </c>
      <c r="M342" s="236" t="s">
        <v>206</v>
      </c>
      <c r="N342" s="236" t="s">
        <v>65</v>
      </c>
      <c r="P342" s="91">
        <v>1500000</v>
      </c>
      <c r="Q342" s="91">
        <v>1630615.04</v>
      </c>
      <c r="R342" s="91">
        <v>1558478.63</v>
      </c>
      <c r="S342" s="91">
        <v>-72136.409999999916</v>
      </c>
    </row>
    <row r="343" spans="1:19" s="91" customFormat="1">
      <c r="A343" s="91" t="s">
        <v>803</v>
      </c>
      <c r="B343" s="91" t="s">
        <v>419</v>
      </c>
      <c r="C343" s="91" t="s">
        <v>1056</v>
      </c>
      <c r="D343" s="234">
        <v>7.49</v>
      </c>
      <c r="E343" s="92">
        <v>42962</v>
      </c>
      <c r="F343" s="93"/>
      <c r="G343" s="235">
        <f t="shared" si="8"/>
        <v>302.90966000000003</v>
      </c>
      <c r="H343" s="235">
        <f t="shared" si="8"/>
        <v>302.90966000000003</v>
      </c>
      <c r="I343" s="235">
        <f t="shared" si="8"/>
        <v>371.51870000000002</v>
      </c>
      <c r="J343" s="235">
        <f t="shared" si="8"/>
        <v>68.609040000000007</v>
      </c>
      <c r="K343" s="93"/>
      <c r="L343" s="236" t="s">
        <v>183</v>
      </c>
      <c r="M343" s="236" t="s">
        <v>179</v>
      </c>
      <c r="N343" s="236" t="s">
        <v>179</v>
      </c>
      <c r="P343" s="91">
        <v>302909.66000000003</v>
      </c>
      <c r="Q343" s="91">
        <v>302909.66000000003</v>
      </c>
      <c r="R343" s="91">
        <v>371518.7</v>
      </c>
      <c r="S343" s="91">
        <v>68609.040000000008</v>
      </c>
    </row>
    <row r="344" spans="1:19" s="91" customFormat="1">
      <c r="A344" s="91" t="s">
        <v>804</v>
      </c>
      <c r="B344" s="91" t="s">
        <v>419</v>
      </c>
      <c r="C344" s="91" t="s">
        <v>1056</v>
      </c>
      <c r="D344" s="234">
        <v>7.49</v>
      </c>
      <c r="E344" s="92">
        <v>42870</v>
      </c>
      <c r="F344" s="93"/>
      <c r="G344" s="235">
        <f t="shared" si="8"/>
        <v>265.28853000000004</v>
      </c>
      <c r="H344" s="235">
        <f t="shared" si="8"/>
        <v>265.28853000000004</v>
      </c>
      <c r="I344" s="235">
        <f t="shared" si="8"/>
        <v>296.69868999999994</v>
      </c>
      <c r="J344" s="235">
        <f t="shared" si="8"/>
        <v>31.410159999999973</v>
      </c>
      <c r="K344" s="93"/>
      <c r="L344" s="236" t="s">
        <v>183</v>
      </c>
      <c r="M344" s="236" t="s">
        <v>179</v>
      </c>
      <c r="N344" s="236" t="s">
        <v>179</v>
      </c>
      <c r="P344" s="91">
        <v>265288.53000000003</v>
      </c>
      <c r="Q344" s="91">
        <v>265288.53000000003</v>
      </c>
      <c r="R344" s="91">
        <v>296698.68999999994</v>
      </c>
      <c r="S344" s="91">
        <v>31410.159999999974</v>
      </c>
    </row>
    <row r="345" spans="1:19" s="91" customFormat="1">
      <c r="A345" s="91" t="s">
        <v>805</v>
      </c>
      <c r="B345" s="91" t="s">
        <v>435</v>
      </c>
      <c r="C345" s="91" t="s">
        <v>1053</v>
      </c>
      <c r="D345" s="234">
        <v>7.65</v>
      </c>
      <c r="E345" s="92">
        <v>46280</v>
      </c>
      <c r="F345" s="93"/>
      <c r="G345" s="235">
        <f t="shared" si="8"/>
        <v>453.26767999999998</v>
      </c>
      <c r="H345" s="235">
        <f t="shared" si="8"/>
        <v>453.06205999999997</v>
      </c>
      <c r="I345" s="235">
        <f t="shared" si="8"/>
        <v>457.60677000000004</v>
      </c>
      <c r="J345" s="235">
        <f t="shared" si="8"/>
        <v>4.5447100000000207</v>
      </c>
      <c r="K345" s="93"/>
      <c r="L345" s="236" t="s">
        <v>188</v>
      </c>
      <c r="M345" s="236" t="s">
        <v>122</v>
      </c>
      <c r="N345" s="236" t="s">
        <v>64</v>
      </c>
      <c r="P345" s="91">
        <v>453267.68</v>
      </c>
      <c r="Q345" s="91">
        <v>453062.06</v>
      </c>
      <c r="R345" s="91">
        <v>457606.77</v>
      </c>
      <c r="S345" s="91">
        <v>4544.710000000021</v>
      </c>
    </row>
    <row r="346" spans="1:19" s="91" customFormat="1">
      <c r="A346" s="91" t="s">
        <v>806</v>
      </c>
      <c r="B346" s="91" t="s">
        <v>431</v>
      </c>
      <c r="C346" s="91" t="s">
        <v>1051</v>
      </c>
      <c r="D346" s="234">
        <v>3.75</v>
      </c>
      <c r="E346" s="92">
        <v>42401</v>
      </c>
      <c r="F346" s="93"/>
      <c r="G346" s="235">
        <f t="shared" si="8"/>
        <v>2000</v>
      </c>
      <c r="H346" s="235">
        <f t="shared" si="8"/>
        <v>1999.6323399999999</v>
      </c>
      <c r="I346" s="235">
        <f t="shared" si="8"/>
        <v>2046.4224099999999</v>
      </c>
      <c r="J346" s="235">
        <f t="shared" si="8"/>
        <v>46.790070000000064</v>
      </c>
      <c r="K346" s="93"/>
      <c r="L346" s="236" t="s">
        <v>199</v>
      </c>
      <c r="M346" s="236" t="s">
        <v>66</v>
      </c>
      <c r="N346" s="236" t="s">
        <v>200</v>
      </c>
      <c r="P346" s="91">
        <v>2000000</v>
      </c>
      <c r="Q346" s="91">
        <v>1999632.3399999999</v>
      </c>
      <c r="R346" s="91">
        <v>2046422.41</v>
      </c>
      <c r="S346" s="91">
        <v>46790.070000000065</v>
      </c>
    </row>
    <row r="347" spans="1:19" s="91" customFormat="1">
      <c r="A347" s="91" t="s">
        <v>985</v>
      </c>
      <c r="B347" s="91" t="s">
        <v>431</v>
      </c>
      <c r="C347" s="91" t="s">
        <v>1051</v>
      </c>
      <c r="D347" s="234">
        <v>5.375</v>
      </c>
      <c r="E347" s="92">
        <v>44228</v>
      </c>
      <c r="F347" s="93"/>
      <c r="G347" s="235">
        <f t="shared" si="8"/>
        <v>1500</v>
      </c>
      <c r="H347" s="235">
        <f t="shared" si="8"/>
        <v>1516.7951</v>
      </c>
      <c r="I347" s="235">
        <f t="shared" si="8"/>
        <v>1577.08043</v>
      </c>
      <c r="J347" s="235">
        <f t="shared" si="8"/>
        <v>60.285329999999959</v>
      </c>
      <c r="K347" s="93"/>
      <c r="L347" s="236" t="s">
        <v>199</v>
      </c>
      <c r="M347" s="236" t="s">
        <v>66</v>
      </c>
      <c r="N347" s="236" t="s">
        <v>200</v>
      </c>
      <c r="P347" s="91">
        <v>1500000</v>
      </c>
      <c r="Q347" s="91">
        <v>1516795.1</v>
      </c>
      <c r="R347" s="91">
        <v>1577080.43</v>
      </c>
      <c r="S347" s="91">
        <v>60285.329999999958</v>
      </c>
    </row>
    <row r="348" spans="1:19">
      <c r="A348" s="91" t="s">
        <v>807</v>
      </c>
      <c r="B348" s="91" t="s">
        <v>232</v>
      </c>
      <c r="C348" s="91" t="s">
        <v>1051</v>
      </c>
      <c r="D348" s="234">
        <v>5</v>
      </c>
      <c r="E348" s="92">
        <v>42185</v>
      </c>
      <c r="F348" s="93"/>
      <c r="G348" s="235">
        <f t="shared" si="8"/>
        <v>1000</v>
      </c>
      <c r="H348" s="235">
        <f t="shared" si="8"/>
        <v>967.83168000000001</v>
      </c>
      <c r="I348" s="235">
        <f t="shared" si="8"/>
        <v>1006.7071500000001</v>
      </c>
      <c r="J348" s="235">
        <f t="shared" si="8"/>
        <v>38.875469999999972</v>
      </c>
      <c r="K348" s="93"/>
      <c r="L348" s="236" t="s">
        <v>195</v>
      </c>
      <c r="M348" s="236" t="s">
        <v>65</v>
      </c>
      <c r="N348" s="236" t="s">
        <v>171</v>
      </c>
      <c r="P348" s="182">
        <v>1000000</v>
      </c>
      <c r="Q348" s="182">
        <v>967831.68</v>
      </c>
      <c r="R348" s="182">
        <v>1006707.15</v>
      </c>
      <c r="S348" s="182">
        <v>38875.469999999972</v>
      </c>
    </row>
    <row r="349" spans="1:19">
      <c r="A349" s="91" t="s">
        <v>963</v>
      </c>
      <c r="B349" s="91" t="s">
        <v>457</v>
      </c>
      <c r="C349" s="91" t="s">
        <v>1051</v>
      </c>
      <c r="D349" s="234">
        <v>3.875</v>
      </c>
      <c r="E349" s="92">
        <v>42444</v>
      </c>
      <c r="F349" s="93"/>
      <c r="G349" s="235">
        <f t="shared" si="8"/>
        <v>4000</v>
      </c>
      <c r="H349" s="235">
        <f t="shared" si="8"/>
        <v>4004.1634399999998</v>
      </c>
      <c r="I349" s="235">
        <f t="shared" si="8"/>
        <v>4143.6480000000001</v>
      </c>
      <c r="J349" s="235">
        <f t="shared" si="8"/>
        <v>139.48456000000004</v>
      </c>
      <c r="K349" s="93"/>
      <c r="L349" s="236" t="s">
        <v>204</v>
      </c>
      <c r="M349" s="236" t="s">
        <v>66</v>
      </c>
      <c r="N349" s="236" t="s">
        <v>200</v>
      </c>
      <c r="P349" s="182">
        <v>4000000</v>
      </c>
      <c r="Q349" s="182">
        <v>4004163.44</v>
      </c>
      <c r="R349" s="182">
        <v>4143648</v>
      </c>
      <c r="S349" s="182">
        <v>139484.56000000006</v>
      </c>
    </row>
    <row r="350" spans="1:19">
      <c r="A350" s="91" t="s">
        <v>1151</v>
      </c>
      <c r="B350" s="91" t="s">
        <v>1152</v>
      </c>
      <c r="C350" s="91" t="s">
        <v>1052</v>
      </c>
      <c r="D350" s="234">
        <v>5</v>
      </c>
      <c r="E350" s="92">
        <v>43070</v>
      </c>
      <c r="F350" s="93"/>
      <c r="G350" s="235">
        <f t="shared" si="8"/>
        <v>2000</v>
      </c>
      <c r="H350" s="235">
        <f t="shared" si="8"/>
        <v>2363.7956400000003</v>
      </c>
      <c r="I350" s="235">
        <f t="shared" si="8"/>
        <v>2429.6799999999998</v>
      </c>
      <c r="J350" s="235">
        <f t="shared" si="8"/>
        <v>65.884359999999987</v>
      </c>
      <c r="K350" s="93"/>
      <c r="L350" s="236" t="s">
        <v>181</v>
      </c>
      <c r="M350" s="236" t="s">
        <v>64</v>
      </c>
      <c r="N350" s="236" t="s">
        <v>64</v>
      </c>
      <c r="P350" s="182">
        <v>2000000</v>
      </c>
      <c r="Q350" s="182">
        <v>2363795.64</v>
      </c>
      <c r="R350" s="182">
        <v>2429680</v>
      </c>
      <c r="S350" s="182">
        <v>65884.359999999986</v>
      </c>
    </row>
    <row r="351" spans="1:19">
      <c r="A351" s="91" t="s">
        <v>808</v>
      </c>
      <c r="B351" s="91" t="s">
        <v>1153</v>
      </c>
      <c r="C351" s="91" t="s">
        <v>1052</v>
      </c>
      <c r="D351" s="234">
        <v>5</v>
      </c>
      <c r="E351" s="92">
        <v>42186</v>
      </c>
      <c r="F351" s="93"/>
      <c r="G351" s="235">
        <f t="shared" si="8"/>
        <v>645</v>
      </c>
      <c r="H351" s="235">
        <f t="shared" si="8"/>
        <v>726.86811</v>
      </c>
      <c r="I351" s="235">
        <f t="shared" si="8"/>
        <v>739.11194999999998</v>
      </c>
      <c r="J351" s="235">
        <f t="shared" si="8"/>
        <v>12.243839999999967</v>
      </c>
      <c r="K351" s="93"/>
      <c r="L351" s="236" t="s">
        <v>181</v>
      </c>
      <c r="M351" s="236" t="s">
        <v>122</v>
      </c>
      <c r="N351" s="236" t="s">
        <v>64</v>
      </c>
      <c r="P351" s="182">
        <v>645000</v>
      </c>
      <c r="Q351" s="182">
        <v>726868.11</v>
      </c>
      <c r="R351" s="182">
        <v>739111.95</v>
      </c>
      <c r="S351" s="182">
        <v>12243.839999999967</v>
      </c>
    </row>
    <row r="352" spans="1:19">
      <c r="A352" s="91" t="s">
        <v>975</v>
      </c>
      <c r="B352" s="91" t="s">
        <v>976</v>
      </c>
      <c r="C352" s="91" t="s">
        <v>1051</v>
      </c>
      <c r="D352" s="234">
        <v>6.5</v>
      </c>
      <c r="E352" s="92">
        <v>42752</v>
      </c>
      <c r="F352" s="93"/>
      <c r="G352" s="235">
        <f t="shared" si="8"/>
        <v>1500</v>
      </c>
      <c r="H352" s="235">
        <f t="shared" si="8"/>
        <v>1633.8905100000002</v>
      </c>
      <c r="I352" s="235">
        <f t="shared" si="8"/>
        <v>1615.3515</v>
      </c>
      <c r="J352" s="235">
        <f t="shared" si="8"/>
        <v>-18.539010000000125</v>
      </c>
      <c r="K352" s="93"/>
      <c r="L352" s="236" t="s">
        <v>332</v>
      </c>
      <c r="M352" s="236" t="s">
        <v>208</v>
      </c>
      <c r="N352" s="236" t="s">
        <v>208</v>
      </c>
      <c r="P352" s="182">
        <v>1500000</v>
      </c>
      <c r="Q352" s="182">
        <v>1633890.5100000002</v>
      </c>
      <c r="R352" s="182">
        <v>1615351.5</v>
      </c>
      <c r="S352" s="182">
        <v>-18539.010000000126</v>
      </c>
    </row>
    <row r="353" spans="1:19">
      <c r="A353" s="91" t="s">
        <v>809</v>
      </c>
      <c r="B353" s="91" t="s">
        <v>479</v>
      </c>
      <c r="C353" s="91" t="s">
        <v>1051</v>
      </c>
      <c r="D353" s="234">
        <v>6</v>
      </c>
      <c r="E353" s="92">
        <v>40983</v>
      </c>
      <c r="F353" s="93"/>
      <c r="G353" s="235">
        <f t="shared" si="8"/>
        <v>285</v>
      </c>
      <c r="H353" s="235">
        <f t="shared" si="8"/>
        <v>287.61379999999997</v>
      </c>
      <c r="I353" s="235">
        <f t="shared" si="8"/>
        <v>287.66075999999998</v>
      </c>
      <c r="J353" s="235">
        <f t="shared" si="8"/>
        <v>4.6960000000020957E-2</v>
      </c>
      <c r="K353" s="93"/>
      <c r="L353" s="236" t="s">
        <v>199</v>
      </c>
      <c r="M353" s="236" t="s">
        <v>200</v>
      </c>
      <c r="N353" s="236" t="s">
        <v>66</v>
      </c>
      <c r="P353" s="182">
        <v>285000</v>
      </c>
      <c r="Q353" s="182">
        <v>287613.8</v>
      </c>
      <c r="R353" s="182">
        <v>287660.76</v>
      </c>
      <c r="S353" s="182">
        <v>46.960000000020955</v>
      </c>
    </row>
    <row r="354" spans="1:19">
      <c r="A354" s="91" t="s">
        <v>810</v>
      </c>
      <c r="B354" s="91" t="s">
        <v>233</v>
      </c>
      <c r="C354" s="91" t="s">
        <v>1051</v>
      </c>
      <c r="D354" s="234">
        <v>4.5</v>
      </c>
      <c r="E354" s="92">
        <v>41334</v>
      </c>
      <c r="F354" s="93"/>
      <c r="G354" s="235">
        <f t="shared" si="8"/>
        <v>1000</v>
      </c>
      <c r="H354" s="235">
        <f t="shared" si="8"/>
        <v>1010.9267199999999</v>
      </c>
      <c r="I354" s="235">
        <f t="shared" si="8"/>
        <v>1029.8765600000002</v>
      </c>
      <c r="J354" s="235">
        <f t="shared" si="8"/>
        <v>18.949840000000084</v>
      </c>
      <c r="K354" s="93"/>
      <c r="L354" s="236" t="s">
        <v>183</v>
      </c>
      <c r="M354" s="236" t="s">
        <v>200</v>
      </c>
      <c r="N354" s="236" t="s">
        <v>65</v>
      </c>
      <c r="P354" s="182">
        <v>1000000</v>
      </c>
      <c r="Q354" s="182">
        <v>1010926.72</v>
      </c>
      <c r="R354" s="182">
        <v>1029876.56</v>
      </c>
      <c r="S354" s="182">
        <v>18949.840000000084</v>
      </c>
    </row>
    <row r="355" spans="1:19">
      <c r="A355" s="91" t="s">
        <v>1083</v>
      </c>
      <c r="B355" s="91" t="s">
        <v>233</v>
      </c>
      <c r="C355" s="91" t="s">
        <v>1051</v>
      </c>
      <c r="D355" s="234">
        <v>3</v>
      </c>
      <c r="E355" s="92">
        <v>42628</v>
      </c>
      <c r="F355" s="93"/>
      <c r="G355" s="235">
        <f t="shared" si="8"/>
        <v>9000</v>
      </c>
      <c r="H355" s="235">
        <f t="shared" si="8"/>
        <v>8981.5789299999997</v>
      </c>
      <c r="I355" s="235">
        <f t="shared" si="8"/>
        <v>9003.9448000000011</v>
      </c>
      <c r="J355" s="235">
        <f t="shared" si="8"/>
        <v>22.36586999999918</v>
      </c>
      <c r="K355" s="93"/>
      <c r="L355" s="236" t="s">
        <v>183</v>
      </c>
      <c r="M355" s="236" t="s">
        <v>200</v>
      </c>
      <c r="N355" s="236" t="s">
        <v>65</v>
      </c>
      <c r="P355" s="182">
        <v>9000000</v>
      </c>
      <c r="Q355" s="182">
        <v>8981578.9299999997</v>
      </c>
      <c r="R355" s="182">
        <v>9003944.8000000007</v>
      </c>
      <c r="S355" s="182">
        <v>22365.86999999918</v>
      </c>
    </row>
    <row r="356" spans="1:19">
      <c r="A356" s="91" t="s">
        <v>1084</v>
      </c>
      <c r="B356" s="91" t="s">
        <v>233</v>
      </c>
      <c r="C356" s="91" t="s">
        <v>1051</v>
      </c>
      <c r="D356" s="234">
        <v>4.375</v>
      </c>
      <c r="E356" s="92">
        <v>44454</v>
      </c>
      <c r="F356" s="93"/>
      <c r="G356" s="235">
        <f t="shared" si="8"/>
        <v>1900</v>
      </c>
      <c r="H356" s="235">
        <f t="shared" si="8"/>
        <v>1896.5786600000001</v>
      </c>
      <c r="I356" s="235">
        <f t="shared" si="8"/>
        <v>1960.82547</v>
      </c>
      <c r="J356" s="235">
        <f t="shared" si="8"/>
        <v>64.246809999999826</v>
      </c>
      <c r="K356" s="93"/>
      <c r="L356" s="236" t="s">
        <v>183</v>
      </c>
      <c r="M356" s="236" t="s">
        <v>200</v>
      </c>
      <c r="N356" s="236" t="s">
        <v>65</v>
      </c>
      <c r="P356" s="182">
        <v>1900000</v>
      </c>
      <c r="Q356" s="182">
        <v>1896578.6600000001</v>
      </c>
      <c r="R356" s="182">
        <v>1960825.47</v>
      </c>
      <c r="S356" s="182">
        <v>64246.809999999823</v>
      </c>
    </row>
    <row r="357" spans="1:19">
      <c r="A357" s="91" t="s">
        <v>811</v>
      </c>
      <c r="B357" s="91" t="s">
        <v>341</v>
      </c>
      <c r="C357" s="91" t="s">
        <v>1052</v>
      </c>
      <c r="D357" s="234">
        <v>5.25</v>
      </c>
      <c r="E357" s="92">
        <v>42186</v>
      </c>
      <c r="F357" s="93"/>
      <c r="G357" s="235">
        <f t="shared" si="8"/>
        <v>1750</v>
      </c>
      <c r="H357" s="235">
        <f t="shared" si="8"/>
        <v>1989.6225299999999</v>
      </c>
      <c r="I357" s="235">
        <f t="shared" si="8"/>
        <v>2019.115</v>
      </c>
      <c r="J357" s="235">
        <f t="shared" si="8"/>
        <v>29.49247000000009</v>
      </c>
      <c r="K357" s="93"/>
      <c r="L357" s="236" t="s">
        <v>178</v>
      </c>
      <c r="M357" s="236" t="s">
        <v>171</v>
      </c>
      <c r="N357" s="236" t="s">
        <v>122</v>
      </c>
      <c r="P357" s="182">
        <v>1750000</v>
      </c>
      <c r="Q357" s="182">
        <v>1989622.5299999998</v>
      </c>
      <c r="R357" s="182">
        <v>2019115</v>
      </c>
      <c r="S357" s="182">
        <v>29492.470000000088</v>
      </c>
    </row>
    <row r="358" spans="1:19">
      <c r="A358" s="91" t="s">
        <v>812</v>
      </c>
      <c r="B358" s="91" t="s">
        <v>232</v>
      </c>
      <c r="C358" s="91" t="s">
        <v>1051</v>
      </c>
      <c r="D358" s="234">
        <v>6.375</v>
      </c>
      <c r="E358" s="92">
        <v>41240</v>
      </c>
      <c r="F358" s="93"/>
      <c r="G358" s="235">
        <f t="shared" si="8"/>
        <v>1000</v>
      </c>
      <c r="H358" s="235">
        <f t="shared" si="8"/>
        <v>1007.1990400000001</v>
      </c>
      <c r="I358" s="235">
        <f t="shared" si="8"/>
        <v>1028.54</v>
      </c>
      <c r="J358" s="235">
        <f t="shared" si="8"/>
        <v>21.340959999999964</v>
      </c>
      <c r="K358" s="93"/>
      <c r="L358" s="236" t="s">
        <v>195</v>
      </c>
      <c r="M358" s="236" t="s">
        <v>65</v>
      </c>
      <c r="N358" s="236" t="s">
        <v>171</v>
      </c>
      <c r="P358" s="182">
        <v>1000000</v>
      </c>
      <c r="Q358" s="182">
        <v>1007199.04</v>
      </c>
      <c r="R358" s="182">
        <v>1028540</v>
      </c>
      <c r="S358" s="182">
        <v>21340.959999999963</v>
      </c>
    </row>
    <row r="359" spans="1:19">
      <c r="A359" s="91" t="s">
        <v>813</v>
      </c>
      <c r="B359" s="91" t="s">
        <v>232</v>
      </c>
      <c r="C359" s="91" t="s">
        <v>1051</v>
      </c>
      <c r="D359" s="234">
        <v>4.75</v>
      </c>
      <c r="E359" s="92">
        <v>41470</v>
      </c>
      <c r="F359" s="93"/>
      <c r="G359" s="235">
        <f t="shared" si="8"/>
        <v>4000</v>
      </c>
      <c r="H359" s="235">
        <f t="shared" si="8"/>
        <v>3755.6573600000002</v>
      </c>
      <c r="I359" s="235">
        <f t="shared" si="8"/>
        <v>4083.4683200000004</v>
      </c>
      <c r="J359" s="235">
        <f t="shared" si="8"/>
        <v>327.81096000000019</v>
      </c>
      <c r="K359" s="93"/>
      <c r="L359" s="236" t="s">
        <v>195</v>
      </c>
      <c r="M359" s="236" t="s">
        <v>65</v>
      </c>
      <c r="N359" s="236" t="s">
        <v>171</v>
      </c>
      <c r="P359" s="182">
        <v>4000000</v>
      </c>
      <c r="Q359" s="182">
        <v>3755657.3600000003</v>
      </c>
      <c r="R359" s="182">
        <v>4083468.3200000003</v>
      </c>
      <c r="S359" s="182">
        <v>327810.9600000002</v>
      </c>
    </row>
    <row r="360" spans="1:19">
      <c r="A360" s="91" t="s">
        <v>814</v>
      </c>
      <c r="B360" s="91" t="s">
        <v>1154</v>
      </c>
      <c r="C360" s="91" t="s">
        <v>1052</v>
      </c>
      <c r="D360" s="234">
        <v>4</v>
      </c>
      <c r="E360" s="92">
        <v>42689</v>
      </c>
      <c r="F360" s="93"/>
      <c r="G360" s="235">
        <f t="shared" si="8"/>
        <v>1450</v>
      </c>
      <c r="H360" s="235">
        <f t="shared" si="8"/>
        <v>1605.32446</v>
      </c>
      <c r="I360" s="235">
        <f t="shared" si="8"/>
        <v>1652.5940000000001</v>
      </c>
      <c r="J360" s="235">
        <f t="shared" si="8"/>
        <v>47.269540000000035</v>
      </c>
      <c r="K360" s="93"/>
      <c r="L360" s="236" t="s">
        <v>181</v>
      </c>
      <c r="M360" s="236" t="s">
        <v>64</v>
      </c>
      <c r="N360" s="236" t="s">
        <v>171</v>
      </c>
      <c r="P360" s="182">
        <v>1450000</v>
      </c>
      <c r="Q360" s="182">
        <v>1605324.46</v>
      </c>
      <c r="R360" s="182">
        <v>1652594</v>
      </c>
      <c r="S360" s="182">
        <v>47269.540000000037</v>
      </c>
    </row>
    <row r="361" spans="1:19">
      <c r="A361" s="91" t="s">
        <v>1085</v>
      </c>
      <c r="B361" s="91" t="s">
        <v>1086</v>
      </c>
      <c r="C361" s="91" t="s">
        <v>1051</v>
      </c>
      <c r="D361" s="234">
        <v>1.95</v>
      </c>
      <c r="E361" s="92">
        <v>42644</v>
      </c>
      <c r="F361" s="93"/>
      <c r="G361" s="235">
        <f t="shared" si="8"/>
        <v>2000</v>
      </c>
      <c r="H361" s="235">
        <f t="shared" si="8"/>
        <v>1997.1047100000001</v>
      </c>
      <c r="I361" s="235">
        <f t="shared" si="8"/>
        <v>2032.8483600000002</v>
      </c>
      <c r="J361" s="235">
        <f t="shared" si="8"/>
        <v>35.743650000000137</v>
      </c>
      <c r="K361" s="93"/>
      <c r="L361" s="236" t="s">
        <v>194</v>
      </c>
      <c r="M361" s="236" t="s">
        <v>121</v>
      </c>
      <c r="N361" s="236" t="s">
        <v>179</v>
      </c>
      <c r="P361" s="182">
        <v>2000000</v>
      </c>
      <c r="Q361" s="182">
        <v>1997104.71</v>
      </c>
      <c r="R361" s="182">
        <v>2032848.36</v>
      </c>
      <c r="S361" s="182">
        <v>35743.65000000014</v>
      </c>
    </row>
    <row r="362" spans="1:19">
      <c r="A362" s="91" t="s">
        <v>815</v>
      </c>
      <c r="B362" s="91" t="s">
        <v>480</v>
      </c>
      <c r="C362" s="91" t="s">
        <v>1051</v>
      </c>
      <c r="D362" s="234">
        <v>6.5</v>
      </c>
      <c r="E362" s="92">
        <v>41562</v>
      </c>
      <c r="F362" s="93"/>
      <c r="G362" s="235">
        <f t="shared" si="8"/>
        <v>1000</v>
      </c>
      <c r="H362" s="235">
        <f t="shared" si="8"/>
        <v>992.31146999999999</v>
      </c>
      <c r="I362" s="235">
        <f t="shared" si="8"/>
        <v>1100.14519</v>
      </c>
      <c r="J362" s="235">
        <f t="shared" si="8"/>
        <v>107.83371999999997</v>
      </c>
      <c r="K362" s="93"/>
      <c r="L362" s="236" t="s">
        <v>188</v>
      </c>
      <c r="M362" s="236" t="s">
        <v>121</v>
      </c>
      <c r="N362" s="236" t="s">
        <v>121</v>
      </c>
      <c r="P362" s="182">
        <v>1000000</v>
      </c>
      <c r="Q362" s="182">
        <v>992311.47</v>
      </c>
      <c r="R362" s="182">
        <v>1100145.19</v>
      </c>
      <c r="S362" s="182">
        <v>107833.71999999997</v>
      </c>
    </row>
    <row r="363" spans="1:19">
      <c r="A363" s="91" t="s">
        <v>816</v>
      </c>
      <c r="B363" s="91" t="s">
        <v>395</v>
      </c>
      <c r="C363" s="91" t="s">
        <v>1055</v>
      </c>
      <c r="D363" s="234">
        <v>2.375</v>
      </c>
      <c r="E363" s="92">
        <v>41264</v>
      </c>
      <c r="F363" s="93"/>
      <c r="G363" s="235">
        <f>P363/1000-94</f>
        <v>1506</v>
      </c>
      <c r="H363" s="235">
        <f>Q363/1000-94</f>
        <v>1506.0965700000002</v>
      </c>
      <c r="I363" s="235">
        <f>R363/1000</f>
        <v>1488.3679999999999</v>
      </c>
      <c r="J363" s="235">
        <f>S363/1000+94</f>
        <v>-17.728570000000033</v>
      </c>
      <c r="K363" s="93"/>
      <c r="L363" s="236" t="s">
        <v>183</v>
      </c>
      <c r="M363" s="236" t="s">
        <v>65</v>
      </c>
      <c r="N363" s="236" t="s">
        <v>65</v>
      </c>
      <c r="P363" s="182">
        <v>1600000</v>
      </c>
      <c r="Q363" s="182">
        <v>1600096.57</v>
      </c>
      <c r="R363" s="182">
        <v>1488368</v>
      </c>
      <c r="S363" s="182">
        <v>-111728.57000000004</v>
      </c>
    </row>
    <row r="364" spans="1:19">
      <c r="A364" s="91" t="s">
        <v>817</v>
      </c>
      <c r="B364" s="91" t="s">
        <v>439</v>
      </c>
      <c r="C364" s="91" t="s">
        <v>1052</v>
      </c>
      <c r="D364" s="234">
        <v>2.605</v>
      </c>
      <c r="E364" s="92">
        <v>41713</v>
      </c>
      <c r="F364" s="93"/>
      <c r="G364" s="235">
        <f t="shared" si="8"/>
        <v>3200</v>
      </c>
      <c r="H364" s="235">
        <f t="shared" si="8"/>
        <v>3269.7527200000004</v>
      </c>
      <c r="I364" s="235">
        <f t="shared" si="8"/>
        <v>3325.6</v>
      </c>
      <c r="J364" s="235">
        <f t="shared" si="8"/>
        <v>55.847279999999913</v>
      </c>
      <c r="K364" s="93"/>
      <c r="L364" s="236" t="s">
        <v>189</v>
      </c>
      <c r="M364" s="236" t="s">
        <v>122</v>
      </c>
      <c r="N364" s="236" t="s">
        <v>179</v>
      </c>
      <c r="P364" s="182">
        <v>3200000</v>
      </c>
      <c r="Q364" s="182">
        <v>3269752.72</v>
      </c>
      <c r="R364" s="182">
        <v>3325600</v>
      </c>
      <c r="S364" s="182">
        <v>55847.279999999912</v>
      </c>
    </row>
    <row r="365" spans="1:19">
      <c r="A365" s="91" t="s">
        <v>818</v>
      </c>
      <c r="B365" s="91" t="s">
        <v>234</v>
      </c>
      <c r="C365" s="91" t="s">
        <v>1055</v>
      </c>
      <c r="D365" s="234">
        <v>5.7</v>
      </c>
      <c r="E365" s="92">
        <v>41244</v>
      </c>
      <c r="F365" s="93"/>
      <c r="G365" s="235">
        <f t="shared" si="8"/>
        <v>25</v>
      </c>
      <c r="H365" s="235">
        <f t="shared" si="8"/>
        <v>25</v>
      </c>
      <c r="I365" s="235">
        <f t="shared" si="8"/>
        <v>25</v>
      </c>
      <c r="J365" s="235">
        <f t="shared" si="8"/>
        <v>0</v>
      </c>
      <c r="K365" s="93"/>
      <c r="L365" s="236" t="s">
        <v>179</v>
      </c>
      <c r="M365" s="236" t="s">
        <v>179</v>
      </c>
      <c r="N365" s="236" t="s">
        <v>121</v>
      </c>
      <c r="P365" s="182">
        <v>25000</v>
      </c>
      <c r="Q365" s="182">
        <v>25000</v>
      </c>
      <c r="R365" s="182">
        <v>25000</v>
      </c>
      <c r="S365" s="182">
        <v>0</v>
      </c>
    </row>
    <row r="366" spans="1:19">
      <c r="A366" s="91" t="s">
        <v>819</v>
      </c>
      <c r="B366" s="91" t="s">
        <v>234</v>
      </c>
      <c r="C366" s="91" t="s">
        <v>1055</v>
      </c>
      <c r="D366" s="234">
        <v>0</v>
      </c>
      <c r="E366" s="92">
        <v>41579</v>
      </c>
      <c r="F366" s="93"/>
      <c r="G366" s="235">
        <f t="shared" si="8"/>
        <v>48</v>
      </c>
      <c r="H366" s="235">
        <f t="shared" si="8"/>
        <v>43.100379999999994</v>
      </c>
      <c r="I366" s="235">
        <f t="shared" si="8"/>
        <v>46.503550000000004</v>
      </c>
      <c r="J366" s="235">
        <f t="shared" si="8"/>
        <v>3.4031700000000056</v>
      </c>
      <c r="K366" s="93"/>
      <c r="L366" s="236" t="s">
        <v>179</v>
      </c>
      <c r="M366" s="236" t="s">
        <v>179</v>
      </c>
      <c r="N366" s="236" t="s">
        <v>121</v>
      </c>
      <c r="P366" s="182">
        <v>48000</v>
      </c>
      <c r="Q366" s="182">
        <v>43100.38</v>
      </c>
      <c r="R366" s="182">
        <v>46503.55</v>
      </c>
      <c r="S366" s="182">
        <v>3403.1700000000055</v>
      </c>
    </row>
    <row r="367" spans="1:19">
      <c r="A367" s="91" t="s">
        <v>820</v>
      </c>
      <c r="B367" s="91" t="s">
        <v>234</v>
      </c>
      <c r="C367" s="91" t="s">
        <v>1055</v>
      </c>
      <c r="D367" s="234">
        <v>0.78400000000000003</v>
      </c>
      <c r="E367" s="92">
        <v>42339</v>
      </c>
      <c r="F367" s="93"/>
      <c r="G367" s="235">
        <f t="shared" si="8"/>
        <v>25</v>
      </c>
      <c r="H367" s="235">
        <f t="shared" si="8"/>
        <v>25</v>
      </c>
      <c r="I367" s="235">
        <f t="shared" si="8"/>
        <v>25</v>
      </c>
      <c r="J367" s="235">
        <f t="shared" si="8"/>
        <v>0</v>
      </c>
      <c r="K367" s="93"/>
      <c r="L367" s="236" t="s">
        <v>179</v>
      </c>
      <c r="M367" s="236" t="s">
        <v>179</v>
      </c>
      <c r="N367" s="236" t="s">
        <v>121</v>
      </c>
      <c r="P367" s="182">
        <v>25000</v>
      </c>
      <c r="Q367" s="182">
        <v>25000</v>
      </c>
      <c r="R367" s="182">
        <v>25000</v>
      </c>
      <c r="S367" s="182">
        <v>0</v>
      </c>
    </row>
    <row r="368" spans="1:19">
      <c r="A368" s="91" t="s">
        <v>821</v>
      </c>
      <c r="B368" s="91" t="s">
        <v>234</v>
      </c>
      <c r="C368" s="91" t="s">
        <v>1055</v>
      </c>
      <c r="D368" s="234">
        <v>2.11</v>
      </c>
      <c r="E368" s="92">
        <v>41244</v>
      </c>
      <c r="F368" s="93"/>
      <c r="G368" s="235">
        <f t="shared" si="8"/>
        <v>25</v>
      </c>
      <c r="H368" s="235">
        <f t="shared" si="8"/>
        <v>25</v>
      </c>
      <c r="I368" s="235">
        <f t="shared" si="8"/>
        <v>25.140430000000002</v>
      </c>
      <c r="J368" s="235">
        <f t="shared" si="8"/>
        <v>0.1404300000000003</v>
      </c>
      <c r="K368" s="93"/>
      <c r="L368" s="236" t="s">
        <v>179</v>
      </c>
      <c r="M368" s="236" t="s">
        <v>179</v>
      </c>
      <c r="N368" s="236" t="s">
        <v>121</v>
      </c>
      <c r="P368" s="182">
        <v>25000</v>
      </c>
      <c r="Q368" s="182">
        <v>25000</v>
      </c>
      <c r="R368" s="182">
        <v>25140.43</v>
      </c>
      <c r="S368" s="182">
        <v>140.43000000000029</v>
      </c>
    </row>
    <row r="369" spans="1:19">
      <c r="A369" s="91" t="s">
        <v>822</v>
      </c>
      <c r="B369" s="91" t="s">
        <v>234</v>
      </c>
      <c r="C369" s="91" t="s">
        <v>1055</v>
      </c>
      <c r="D369" s="234">
        <v>4.17</v>
      </c>
      <c r="E369" s="92">
        <v>41214</v>
      </c>
      <c r="F369" s="93"/>
      <c r="G369" s="235">
        <f t="shared" si="8"/>
        <v>25</v>
      </c>
      <c r="H369" s="235">
        <f t="shared" si="8"/>
        <v>25</v>
      </c>
      <c r="I369" s="235">
        <f t="shared" si="8"/>
        <v>25.548279999999998</v>
      </c>
      <c r="J369" s="235">
        <f t="shared" si="8"/>
        <v>0.54827999999999888</v>
      </c>
      <c r="K369" s="93"/>
      <c r="L369" s="236" t="s">
        <v>179</v>
      </c>
      <c r="M369" s="236" t="s">
        <v>179</v>
      </c>
      <c r="N369" s="236" t="s">
        <v>121</v>
      </c>
      <c r="P369" s="182">
        <v>25000</v>
      </c>
      <c r="Q369" s="182">
        <v>25000</v>
      </c>
      <c r="R369" s="182">
        <v>25548.28</v>
      </c>
      <c r="S369" s="182">
        <v>548.27999999999884</v>
      </c>
    </row>
    <row r="370" spans="1:19">
      <c r="A370" s="91" t="s">
        <v>823</v>
      </c>
      <c r="B370" s="91" t="s">
        <v>235</v>
      </c>
      <c r="C370" s="91" t="s">
        <v>1051</v>
      </c>
      <c r="D370" s="234">
        <v>5.25</v>
      </c>
      <c r="E370" s="92">
        <v>42125</v>
      </c>
      <c r="F370" s="93"/>
      <c r="G370" s="235">
        <f t="shared" si="8"/>
        <v>250</v>
      </c>
      <c r="H370" s="235">
        <f t="shared" si="8"/>
        <v>249.72062</v>
      </c>
      <c r="I370" s="235">
        <f t="shared" si="8"/>
        <v>260.92216000000002</v>
      </c>
      <c r="J370" s="235">
        <f t="shared" si="8"/>
        <v>11.201540000000008</v>
      </c>
      <c r="K370" s="93"/>
      <c r="L370" s="236" t="s">
        <v>194</v>
      </c>
      <c r="M370" s="236" t="s">
        <v>206</v>
      </c>
      <c r="N370" s="236" t="s">
        <v>171</v>
      </c>
      <c r="P370" s="182">
        <v>250000</v>
      </c>
      <c r="Q370" s="182">
        <v>249720.62</v>
      </c>
      <c r="R370" s="182">
        <v>260922.16</v>
      </c>
      <c r="S370" s="182">
        <v>11201.540000000008</v>
      </c>
    </row>
    <row r="371" spans="1:19">
      <c r="A371" s="91" t="s">
        <v>824</v>
      </c>
      <c r="B371" s="91" t="s">
        <v>1155</v>
      </c>
      <c r="C371" s="91" t="s">
        <v>1051</v>
      </c>
      <c r="D371" s="234">
        <v>7.9</v>
      </c>
      <c r="E371" s="92">
        <v>54542</v>
      </c>
      <c r="F371" s="93"/>
      <c r="G371" s="235">
        <f t="shared" si="8"/>
        <v>5000</v>
      </c>
      <c r="H371" s="235">
        <f t="shared" si="8"/>
        <v>5337.5</v>
      </c>
      <c r="I371" s="235">
        <f t="shared" si="8"/>
        <v>5323.45</v>
      </c>
      <c r="J371" s="235">
        <f t="shared" si="8"/>
        <v>-14.05</v>
      </c>
      <c r="K371" s="93"/>
      <c r="L371" s="236" t="s">
        <v>204</v>
      </c>
      <c r="M371" s="236" t="s">
        <v>66</v>
      </c>
      <c r="N371" s="236" t="s">
        <v>65</v>
      </c>
      <c r="P371" s="182">
        <v>5000000</v>
      </c>
      <c r="Q371" s="182">
        <v>5337500</v>
      </c>
      <c r="R371" s="182">
        <v>5323450</v>
      </c>
      <c r="S371" s="182">
        <v>-14050</v>
      </c>
    </row>
    <row r="372" spans="1:19">
      <c r="A372" s="91" t="s">
        <v>825</v>
      </c>
      <c r="B372" s="91" t="s">
        <v>455</v>
      </c>
      <c r="C372" s="91" t="s">
        <v>1054</v>
      </c>
      <c r="D372" s="234">
        <v>4.8780000000000001</v>
      </c>
      <c r="E372" s="92">
        <v>51881</v>
      </c>
      <c r="F372" s="93"/>
      <c r="G372" s="235">
        <f t="shared" si="8"/>
        <v>3750</v>
      </c>
      <c r="H372" s="235">
        <f t="shared" si="8"/>
        <v>3877.7959599999999</v>
      </c>
      <c r="I372" s="235">
        <f t="shared" si="8"/>
        <v>3999.7229600000001</v>
      </c>
      <c r="J372" s="235">
        <f t="shared" si="8"/>
        <v>121.92700000000001</v>
      </c>
      <c r="K372" s="93"/>
      <c r="L372" s="236" t="s">
        <v>189</v>
      </c>
      <c r="M372" s="236" t="s">
        <v>179</v>
      </c>
      <c r="N372" s="236" t="s">
        <v>63</v>
      </c>
      <c r="P372" s="182">
        <v>3750000</v>
      </c>
      <c r="Q372" s="182">
        <v>3877795.96</v>
      </c>
      <c r="R372" s="182">
        <v>3999722.96</v>
      </c>
      <c r="S372" s="182">
        <v>121927</v>
      </c>
    </row>
    <row r="373" spans="1:19">
      <c r="A373" s="91" t="s">
        <v>146</v>
      </c>
      <c r="B373" s="91" t="s">
        <v>407</v>
      </c>
      <c r="C373" s="91" t="s">
        <v>1053</v>
      </c>
      <c r="D373" s="234">
        <v>0.51359999999999995</v>
      </c>
      <c r="E373" s="92">
        <v>49881</v>
      </c>
      <c r="F373" s="93"/>
      <c r="G373" s="235">
        <f t="shared" si="8"/>
        <v>7000</v>
      </c>
      <c r="H373" s="235">
        <f t="shared" si="8"/>
        <v>7000</v>
      </c>
      <c r="I373" s="235">
        <f t="shared" si="8"/>
        <v>2087.7836000000002</v>
      </c>
      <c r="J373" s="235">
        <f t="shared" si="8"/>
        <v>-4912.2164000000002</v>
      </c>
      <c r="K373" s="93"/>
      <c r="L373" s="236" t="s">
        <v>308</v>
      </c>
      <c r="M373" s="236" t="s">
        <v>197</v>
      </c>
      <c r="N373" s="236" t="s">
        <v>70</v>
      </c>
      <c r="P373" s="182">
        <v>7000000</v>
      </c>
      <c r="Q373" s="182">
        <v>7000000</v>
      </c>
      <c r="R373" s="182">
        <v>2087783.6</v>
      </c>
      <c r="S373" s="182">
        <v>-4912216.4000000004</v>
      </c>
    </row>
    <row r="374" spans="1:19">
      <c r="A374" s="91" t="s">
        <v>826</v>
      </c>
      <c r="B374" s="91" t="s">
        <v>455</v>
      </c>
      <c r="C374" s="91" t="s">
        <v>1054</v>
      </c>
      <c r="D374" s="234">
        <v>2.7492999999999999</v>
      </c>
      <c r="E374" s="92">
        <v>52550</v>
      </c>
      <c r="F374" s="93"/>
      <c r="G374" s="235">
        <f t="shared" si="8"/>
        <v>3674.3013500000002</v>
      </c>
      <c r="H374" s="235">
        <f t="shared" si="8"/>
        <v>3703.2736399999999</v>
      </c>
      <c r="I374" s="235">
        <f t="shared" si="8"/>
        <v>3720.1382699999995</v>
      </c>
      <c r="J374" s="235">
        <f t="shared" si="8"/>
        <v>16.864629999999888</v>
      </c>
      <c r="K374" s="93"/>
      <c r="L374" s="236" t="s">
        <v>179</v>
      </c>
      <c r="M374" s="236" t="s">
        <v>63</v>
      </c>
      <c r="N374" s="236" t="s">
        <v>63</v>
      </c>
      <c r="P374" s="182">
        <v>3674301.35</v>
      </c>
      <c r="Q374" s="182">
        <v>3703273.6399999997</v>
      </c>
      <c r="R374" s="182">
        <v>3720138.2699999996</v>
      </c>
      <c r="S374" s="182">
        <v>16864.629999999888</v>
      </c>
    </row>
    <row r="375" spans="1:19">
      <c r="A375" s="91" t="s">
        <v>827</v>
      </c>
      <c r="B375" s="91" t="s">
        <v>1156</v>
      </c>
      <c r="C375" s="91" t="s">
        <v>1052</v>
      </c>
      <c r="D375" s="234">
        <v>5</v>
      </c>
      <c r="E375" s="92">
        <v>42644</v>
      </c>
      <c r="F375" s="93"/>
      <c r="G375" s="235">
        <f t="shared" si="8"/>
        <v>2000</v>
      </c>
      <c r="H375" s="235">
        <f t="shared" si="8"/>
        <v>2270.5467200000003</v>
      </c>
      <c r="I375" s="235">
        <f t="shared" si="8"/>
        <v>2339.14</v>
      </c>
      <c r="J375" s="235">
        <f t="shared" si="8"/>
        <v>68.593279999999794</v>
      </c>
      <c r="K375" s="93"/>
      <c r="L375" s="236" t="s">
        <v>181</v>
      </c>
      <c r="M375" s="236" t="s">
        <v>171</v>
      </c>
      <c r="N375" s="236" t="s">
        <v>64</v>
      </c>
      <c r="P375" s="182">
        <v>2000000</v>
      </c>
      <c r="Q375" s="182">
        <v>2270546.7200000002</v>
      </c>
      <c r="R375" s="182">
        <v>2339140</v>
      </c>
      <c r="S375" s="182">
        <v>68593.279999999795</v>
      </c>
    </row>
    <row r="376" spans="1:19">
      <c r="A376" s="91" t="s">
        <v>828</v>
      </c>
      <c r="B376" s="91" t="s">
        <v>392</v>
      </c>
      <c r="C376" s="91" t="s">
        <v>1051</v>
      </c>
      <c r="D376" s="234">
        <v>4.5999999999999996</v>
      </c>
      <c r="E376" s="92">
        <v>44270</v>
      </c>
      <c r="F376" s="93"/>
      <c r="G376" s="235">
        <f t="shared" si="8"/>
        <v>1300</v>
      </c>
      <c r="H376" s="235">
        <f t="shared" si="8"/>
        <v>1298.4565700000001</v>
      </c>
      <c r="I376" s="235">
        <f t="shared" si="8"/>
        <v>1377.6317300000001</v>
      </c>
      <c r="J376" s="235">
        <f t="shared" si="8"/>
        <v>79.175159999999863</v>
      </c>
      <c r="K376" s="93"/>
      <c r="L376" s="236" t="s">
        <v>199</v>
      </c>
      <c r="M376" s="236" t="s">
        <v>66</v>
      </c>
      <c r="N376" s="236" t="s">
        <v>179</v>
      </c>
      <c r="P376" s="182">
        <v>1300000</v>
      </c>
      <c r="Q376" s="182">
        <v>1298456.57</v>
      </c>
      <c r="R376" s="182">
        <v>1377631.73</v>
      </c>
      <c r="S376" s="182">
        <v>79175.159999999858</v>
      </c>
    </row>
    <row r="377" spans="1:19">
      <c r="A377" s="91" t="s">
        <v>829</v>
      </c>
      <c r="B377" s="91" t="s">
        <v>459</v>
      </c>
      <c r="C377" s="91" t="s">
        <v>1052</v>
      </c>
      <c r="D377" s="234">
        <v>5.25</v>
      </c>
      <c r="E377" s="92">
        <v>43009</v>
      </c>
      <c r="F377" s="93"/>
      <c r="G377" s="235">
        <f t="shared" si="8"/>
        <v>2350</v>
      </c>
      <c r="H377" s="235">
        <f t="shared" si="8"/>
        <v>2711.7488499999995</v>
      </c>
      <c r="I377" s="235">
        <f t="shared" si="8"/>
        <v>2812.7150000000001</v>
      </c>
      <c r="J377" s="235">
        <f t="shared" si="8"/>
        <v>100.96615000000014</v>
      </c>
      <c r="K377" s="93"/>
      <c r="L377" s="236" t="s">
        <v>188</v>
      </c>
      <c r="M377" s="236" t="s">
        <v>171</v>
      </c>
      <c r="N377" s="236" t="s">
        <v>171</v>
      </c>
      <c r="P377" s="182">
        <v>2350000</v>
      </c>
      <c r="Q377" s="182">
        <v>2711748.8499999996</v>
      </c>
      <c r="R377" s="182">
        <v>2812715</v>
      </c>
      <c r="S377" s="182">
        <v>100966.15000000014</v>
      </c>
    </row>
    <row r="378" spans="1:19">
      <c r="A378" s="91" t="s">
        <v>830</v>
      </c>
      <c r="B378" s="91" t="s">
        <v>236</v>
      </c>
      <c r="C378" s="91" t="s">
        <v>1051</v>
      </c>
      <c r="D378" s="234">
        <v>6.6760000000000002</v>
      </c>
      <c r="E378" s="92">
        <v>42582</v>
      </c>
      <c r="F378" s="93"/>
      <c r="G378" s="235">
        <f t="shared" si="8"/>
        <v>1009.15164</v>
      </c>
      <c r="H378" s="235">
        <f t="shared" si="8"/>
        <v>1009.15164</v>
      </c>
      <c r="I378" s="235">
        <f t="shared" si="8"/>
        <v>1140.97712</v>
      </c>
      <c r="J378" s="235">
        <f t="shared" si="8"/>
        <v>131.82547999999997</v>
      </c>
      <c r="K378" s="93"/>
      <c r="L378" s="236" t="s">
        <v>195</v>
      </c>
      <c r="M378" s="236" t="s">
        <v>206</v>
      </c>
      <c r="N378" s="236" t="s">
        <v>206</v>
      </c>
      <c r="P378" s="182">
        <v>1009151.64</v>
      </c>
      <c r="Q378" s="182">
        <v>1009151.64</v>
      </c>
      <c r="R378" s="182">
        <v>1140977.1200000001</v>
      </c>
      <c r="S378" s="182">
        <v>131825.47999999998</v>
      </c>
    </row>
    <row r="379" spans="1:19">
      <c r="A379" s="91" t="s">
        <v>831</v>
      </c>
      <c r="B379" s="91" t="s">
        <v>237</v>
      </c>
      <c r="C379" s="91" t="s">
        <v>1051</v>
      </c>
      <c r="D379" s="234">
        <v>7.125</v>
      </c>
      <c r="E379" s="92">
        <v>40983</v>
      </c>
      <c r="F379" s="93"/>
      <c r="G379" s="235">
        <f t="shared" si="8"/>
        <v>3000</v>
      </c>
      <c r="H379" s="235">
        <f t="shared" si="8"/>
        <v>3006.9447300000002</v>
      </c>
      <c r="I379" s="235">
        <f t="shared" si="8"/>
        <v>3034.2840000000001</v>
      </c>
      <c r="J379" s="235">
        <f t="shared" si="8"/>
        <v>27.339269999999903</v>
      </c>
      <c r="K379" s="93"/>
      <c r="L379" s="236" t="s">
        <v>199</v>
      </c>
      <c r="M379" s="236" t="s">
        <v>66</v>
      </c>
      <c r="N379" s="236" t="s">
        <v>66</v>
      </c>
      <c r="P379" s="182">
        <v>3000000</v>
      </c>
      <c r="Q379" s="182">
        <v>3006944.73</v>
      </c>
      <c r="R379" s="182">
        <v>3034284</v>
      </c>
      <c r="S379" s="182">
        <v>27339.269999999902</v>
      </c>
    </row>
    <row r="380" spans="1:19">
      <c r="A380" s="91" t="s">
        <v>832</v>
      </c>
      <c r="B380" s="91" t="s">
        <v>237</v>
      </c>
      <c r="C380" s="91" t="s">
        <v>1051</v>
      </c>
      <c r="D380" s="234">
        <v>5.95</v>
      </c>
      <c r="E380" s="92">
        <v>43146</v>
      </c>
      <c r="F380" s="93"/>
      <c r="G380" s="235">
        <f t="shared" si="8"/>
        <v>1000</v>
      </c>
      <c r="H380" s="235">
        <f t="shared" si="8"/>
        <v>1114.8818799999999</v>
      </c>
      <c r="I380" s="235">
        <f t="shared" si="8"/>
        <v>1132.52556</v>
      </c>
      <c r="J380" s="235">
        <f t="shared" si="8"/>
        <v>17.643680000000167</v>
      </c>
      <c r="K380" s="93"/>
      <c r="L380" s="236" t="s">
        <v>199</v>
      </c>
      <c r="M380" s="236" t="s">
        <v>66</v>
      </c>
      <c r="N380" s="236" t="s">
        <v>66</v>
      </c>
      <c r="P380" s="182">
        <v>1000000</v>
      </c>
      <c r="Q380" s="182">
        <v>1114881.8799999999</v>
      </c>
      <c r="R380" s="182">
        <v>1132525.56</v>
      </c>
      <c r="S380" s="182">
        <v>17643.680000000168</v>
      </c>
    </row>
    <row r="381" spans="1:19">
      <c r="A381" s="91" t="s">
        <v>833</v>
      </c>
      <c r="B381" s="91" t="s">
        <v>374</v>
      </c>
      <c r="C381" s="91" t="s">
        <v>1052</v>
      </c>
      <c r="D381" s="234">
        <v>4</v>
      </c>
      <c r="E381" s="92">
        <v>42826</v>
      </c>
      <c r="F381" s="93"/>
      <c r="G381" s="235">
        <f t="shared" si="8"/>
        <v>975</v>
      </c>
      <c r="H381" s="235">
        <f t="shared" si="8"/>
        <v>1081.973</v>
      </c>
      <c r="I381" s="235">
        <f t="shared" si="8"/>
        <v>1119.885</v>
      </c>
      <c r="J381" s="235">
        <f t="shared" si="8"/>
        <v>37.911999999999999</v>
      </c>
      <c r="K381" s="93"/>
      <c r="L381" s="236" t="s">
        <v>178</v>
      </c>
      <c r="M381" s="236" t="s">
        <v>122</v>
      </c>
      <c r="N381" s="236" t="s">
        <v>179</v>
      </c>
      <c r="P381" s="182">
        <v>975000</v>
      </c>
      <c r="Q381" s="182">
        <v>1081973</v>
      </c>
      <c r="R381" s="182">
        <v>1119885</v>
      </c>
      <c r="S381" s="182">
        <v>37912</v>
      </c>
    </row>
    <row r="382" spans="1:19">
      <c r="A382" s="91" t="s">
        <v>834</v>
      </c>
      <c r="B382" s="91" t="s">
        <v>238</v>
      </c>
      <c r="C382" s="91" t="s">
        <v>1051</v>
      </c>
      <c r="D382" s="234">
        <v>6.25</v>
      </c>
      <c r="E382" s="92">
        <v>41061</v>
      </c>
      <c r="F382" s="93"/>
      <c r="G382" s="235">
        <f t="shared" si="8"/>
        <v>1000</v>
      </c>
      <c r="H382" s="235">
        <f t="shared" si="8"/>
        <v>1003.08181</v>
      </c>
      <c r="I382" s="235">
        <f t="shared" si="8"/>
        <v>1022.149</v>
      </c>
      <c r="J382" s="235">
        <f t="shared" si="8"/>
        <v>19.067189999999943</v>
      </c>
      <c r="K382" s="93"/>
      <c r="L382" s="236" t="s">
        <v>199</v>
      </c>
      <c r="M382" s="236" t="s">
        <v>208</v>
      </c>
      <c r="N382" s="236" t="s">
        <v>208</v>
      </c>
      <c r="P382" s="182">
        <v>1000000</v>
      </c>
      <c r="Q382" s="182">
        <v>1003081.81</v>
      </c>
      <c r="R382" s="182">
        <v>1022149</v>
      </c>
      <c r="S382" s="182">
        <v>19067.189999999944</v>
      </c>
    </row>
    <row r="383" spans="1:19">
      <c r="A383" s="91" t="s">
        <v>1022</v>
      </c>
      <c r="B383" s="91" t="s">
        <v>238</v>
      </c>
      <c r="C383" s="91" t="s">
        <v>1051</v>
      </c>
      <c r="D383" s="234">
        <v>6.5</v>
      </c>
      <c r="E383" s="92">
        <v>42958</v>
      </c>
      <c r="F383" s="93"/>
      <c r="G383" s="235">
        <f t="shared" si="8"/>
        <v>5000</v>
      </c>
      <c r="H383" s="235">
        <f t="shared" si="8"/>
        <v>5846.6308999999992</v>
      </c>
      <c r="I383" s="235">
        <f t="shared" si="8"/>
        <v>5928.8549999999996</v>
      </c>
      <c r="J383" s="235">
        <f t="shared" si="8"/>
        <v>82.22410000000032</v>
      </c>
      <c r="K383" s="93"/>
      <c r="L383" s="236" t="s">
        <v>199</v>
      </c>
      <c r="M383" s="236" t="s">
        <v>208</v>
      </c>
      <c r="N383" s="236" t="s">
        <v>208</v>
      </c>
      <c r="P383" s="182">
        <v>5000000</v>
      </c>
      <c r="Q383" s="182">
        <v>5846630.8999999994</v>
      </c>
      <c r="R383" s="182">
        <v>5928855</v>
      </c>
      <c r="S383" s="182">
        <v>82224.100000000326</v>
      </c>
    </row>
    <row r="384" spans="1:19">
      <c r="A384" s="91" t="s">
        <v>835</v>
      </c>
      <c r="B384" s="91" t="s">
        <v>238</v>
      </c>
      <c r="C384" s="91" t="s">
        <v>1051</v>
      </c>
      <c r="D384" s="234">
        <v>6.125</v>
      </c>
      <c r="E384" s="92">
        <v>43335</v>
      </c>
      <c r="F384" s="93"/>
      <c r="G384" s="235">
        <f t="shared" si="8"/>
        <v>1500</v>
      </c>
      <c r="H384" s="235">
        <f t="shared" si="8"/>
        <v>1684.72883</v>
      </c>
      <c r="I384" s="235">
        <f t="shared" si="8"/>
        <v>1772.625</v>
      </c>
      <c r="J384" s="235">
        <f t="shared" si="8"/>
        <v>87.896169999999927</v>
      </c>
      <c r="K384" s="93"/>
      <c r="L384" s="236" t="s">
        <v>199</v>
      </c>
      <c r="M384" s="236" t="s">
        <v>208</v>
      </c>
      <c r="N384" s="236" t="s">
        <v>208</v>
      </c>
      <c r="P384" s="182">
        <v>1500000</v>
      </c>
      <c r="Q384" s="182">
        <v>1684728.83</v>
      </c>
      <c r="R384" s="182">
        <v>1772625</v>
      </c>
      <c r="S384" s="182">
        <v>87896.169999999925</v>
      </c>
    </row>
    <row r="385" spans="1:19">
      <c r="A385" s="91" t="s">
        <v>836</v>
      </c>
      <c r="B385" s="91" t="s">
        <v>415</v>
      </c>
      <c r="C385" s="91" t="s">
        <v>1054</v>
      </c>
      <c r="D385" s="234">
        <v>5.3719999999999999</v>
      </c>
      <c r="E385" s="92">
        <v>51028</v>
      </c>
      <c r="F385" s="93"/>
      <c r="G385" s="235">
        <f t="shared" si="8"/>
        <v>7900</v>
      </c>
      <c r="H385" s="235">
        <f t="shared" si="8"/>
        <v>8412.6987799999988</v>
      </c>
      <c r="I385" s="235">
        <f t="shared" si="8"/>
        <v>8755.9727399999992</v>
      </c>
      <c r="J385" s="235">
        <f t="shared" si="8"/>
        <v>343.27395999999976</v>
      </c>
      <c r="K385" s="93"/>
      <c r="L385" s="236" t="s">
        <v>189</v>
      </c>
      <c r="M385" s="236" t="s">
        <v>63</v>
      </c>
      <c r="N385" s="236" t="s">
        <v>179</v>
      </c>
      <c r="P385" s="182">
        <v>7900000</v>
      </c>
      <c r="Q385" s="182">
        <v>8412698.7799999993</v>
      </c>
      <c r="R385" s="182">
        <v>8755972.7399999984</v>
      </c>
      <c r="S385" s="182">
        <v>343273.95999999979</v>
      </c>
    </row>
    <row r="386" spans="1:19">
      <c r="A386" s="91" t="s">
        <v>837</v>
      </c>
      <c r="B386" s="91" t="s">
        <v>415</v>
      </c>
      <c r="C386" s="91" t="s">
        <v>1054</v>
      </c>
      <c r="D386" s="234">
        <v>5.3470000000000004</v>
      </c>
      <c r="E386" s="92">
        <v>50724</v>
      </c>
      <c r="F386" s="93"/>
      <c r="G386" s="235">
        <f t="shared" si="8"/>
        <v>1500</v>
      </c>
      <c r="H386" s="235">
        <f t="shared" si="8"/>
        <v>1569.1640199999999</v>
      </c>
      <c r="I386" s="235">
        <f t="shared" si="8"/>
        <v>1606.11798</v>
      </c>
      <c r="J386" s="235">
        <f t="shared" si="8"/>
        <v>36.95395999999996</v>
      </c>
      <c r="K386" s="93"/>
      <c r="L386" s="236" t="s">
        <v>179</v>
      </c>
      <c r="M386" s="236" t="s">
        <v>63</v>
      </c>
      <c r="N386" s="236" t="s">
        <v>63</v>
      </c>
      <c r="P386" s="182">
        <v>1500000</v>
      </c>
      <c r="Q386" s="182">
        <v>1569164.02</v>
      </c>
      <c r="R386" s="182">
        <v>1606117.98</v>
      </c>
      <c r="S386" s="182">
        <v>36953.959999999963</v>
      </c>
    </row>
    <row r="387" spans="1:19">
      <c r="A387" s="91" t="s">
        <v>1087</v>
      </c>
      <c r="B387" s="91" t="s">
        <v>983</v>
      </c>
      <c r="C387" s="91" t="s">
        <v>1051</v>
      </c>
      <c r="D387" s="234">
        <v>3.75</v>
      </c>
      <c r="E387" s="92">
        <v>44150</v>
      </c>
      <c r="F387" s="93"/>
      <c r="G387" s="235">
        <f t="shared" si="8"/>
        <v>1900</v>
      </c>
      <c r="H387" s="235">
        <f t="shared" si="8"/>
        <v>1780.0876899999998</v>
      </c>
      <c r="I387" s="235">
        <f t="shared" si="8"/>
        <v>1926.5201999999999</v>
      </c>
      <c r="J387" s="235">
        <f t="shared" si="8"/>
        <v>146.43251000000001</v>
      </c>
      <c r="K387" s="93"/>
      <c r="L387" s="236" t="s">
        <v>199</v>
      </c>
      <c r="M387" s="236" t="s">
        <v>208</v>
      </c>
      <c r="N387" s="236" t="s">
        <v>200</v>
      </c>
      <c r="P387" s="182">
        <v>1900000</v>
      </c>
      <c r="Q387" s="182">
        <v>1780087.69</v>
      </c>
      <c r="R387" s="182">
        <v>1926520.2</v>
      </c>
      <c r="S387" s="182">
        <v>146432.51</v>
      </c>
    </row>
    <row r="388" spans="1:19">
      <c r="A388" s="91" t="s">
        <v>838</v>
      </c>
      <c r="B388" s="91" t="s">
        <v>375</v>
      </c>
      <c r="C388" s="91" t="s">
        <v>1051</v>
      </c>
      <c r="D388" s="234">
        <v>4.625</v>
      </c>
      <c r="E388" s="92">
        <v>44150</v>
      </c>
      <c r="F388" s="93"/>
      <c r="G388" s="235">
        <f t="shared" si="8"/>
        <v>5000</v>
      </c>
      <c r="H388" s="235">
        <f t="shared" si="8"/>
        <v>4967.6985600000007</v>
      </c>
      <c r="I388" s="235">
        <f t="shared" si="8"/>
        <v>5279.5951999999997</v>
      </c>
      <c r="J388" s="235">
        <f t="shared" si="8"/>
        <v>311.8966400000001</v>
      </c>
      <c r="K388" s="93"/>
      <c r="L388" s="236" t="s">
        <v>199</v>
      </c>
      <c r="M388" s="236" t="s">
        <v>200</v>
      </c>
      <c r="N388" s="236" t="s">
        <v>179</v>
      </c>
      <c r="P388" s="182">
        <v>5000000</v>
      </c>
      <c r="Q388" s="182">
        <v>4967698.5600000005</v>
      </c>
      <c r="R388" s="182">
        <v>5279595.2</v>
      </c>
      <c r="S388" s="182">
        <v>311896.64000000013</v>
      </c>
    </row>
    <row r="389" spans="1:19">
      <c r="A389" s="91" t="s">
        <v>839</v>
      </c>
      <c r="B389" s="91" t="s">
        <v>260</v>
      </c>
      <c r="C389" s="91" t="s">
        <v>1051</v>
      </c>
      <c r="D389" s="234">
        <v>6</v>
      </c>
      <c r="E389" s="92">
        <v>40923</v>
      </c>
      <c r="F389" s="93"/>
      <c r="G389" s="235">
        <f t="shared" si="8"/>
        <v>2229</v>
      </c>
      <c r="H389" s="235">
        <f t="shared" si="8"/>
        <v>2228.6355600000002</v>
      </c>
      <c r="I389" s="235">
        <f t="shared" si="8"/>
        <v>2232.0314399999997</v>
      </c>
      <c r="J389" s="235">
        <f t="shared" si="8"/>
        <v>3.3958799999998881</v>
      </c>
      <c r="K389" s="93"/>
      <c r="L389" s="236" t="s">
        <v>183</v>
      </c>
      <c r="M389" s="236" t="s">
        <v>65</v>
      </c>
      <c r="N389" s="236" t="s">
        <v>179</v>
      </c>
      <c r="P389" s="182">
        <v>2229000</v>
      </c>
      <c r="Q389" s="182">
        <v>2228635.56</v>
      </c>
      <c r="R389" s="182">
        <v>2232031.44</v>
      </c>
      <c r="S389" s="182">
        <v>3395.8799999998882</v>
      </c>
    </row>
    <row r="390" spans="1:19">
      <c r="A390" s="91" t="s">
        <v>840</v>
      </c>
      <c r="B390" s="91" t="s">
        <v>415</v>
      </c>
      <c r="C390" s="91" t="s">
        <v>1054</v>
      </c>
      <c r="D390" s="234">
        <v>5.6829999999999998</v>
      </c>
      <c r="E390" s="92">
        <v>49505</v>
      </c>
      <c r="F390" s="93"/>
      <c r="G390" s="235">
        <f t="shared" ref="G390:J453" si="9">P390/1000</f>
        <v>780</v>
      </c>
      <c r="H390" s="235">
        <f t="shared" si="9"/>
        <v>724.67055000000005</v>
      </c>
      <c r="I390" s="235">
        <f t="shared" si="9"/>
        <v>711.49728000000005</v>
      </c>
      <c r="J390" s="235">
        <f t="shared" si="9"/>
        <v>-13.173270000000018</v>
      </c>
      <c r="K390" s="93"/>
      <c r="L390" s="236" t="s">
        <v>841</v>
      </c>
      <c r="M390" s="236" t="s">
        <v>1059</v>
      </c>
      <c r="N390" s="236" t="s">
        <v>179</v>
      </c>
      <c r="P390" s="182">
        <v>780000</v>
      </c>
      <c r="Q390" s="182">
        <v>724670.55</v>
      </c>
      <c r="R390" s="182">
        <v>711497.28</v>
      </c>
      <c r="S390" s="182">
        <v>-13173.270000000019</v>
      </c>
    </row>
    <row r="391" spans="1:19">
      <c r="A391" s="91" t="s">
        <v>842</v>
      </c>
      <c r="B391" s="91" t="s">
        <v>415</v>
      </c>
      <c r="C391" s="91" t="s">
        <v>1054</v>
      </c>
      <c r="D391" s="234">
        <v>5.1970000000000001</v>
      </c>
      <c r="E391" s="92">
        <v>47802</v>
      </c>
      <c r="F391" s="93"/>
      <c r="G391" s="235">
        <f t="shared" si="9"/>
        <v>4000</v>
      </c>
      <c r="H391" s="235">
        <f t="shared" si="9"/>
        <v>4308.8198800000009</v>
      </c>
      <c r="I391" s="235">
        <f t="shared" si="9"/>
        <v>4392.2091700000001</v>
      </c>
      <c r="J391" s="235">
        <f t="shared" si="9"/>
        <v>83.389290000000031</v>
      </c>
      <c r="K391" s="93"/>
      <c r="L391" s="236" t="s">
        <v>179</v>
      </c>
      <c r="M391" s="236" t="s">
        <v>63</v>
      </c>
      <c r="N391" s="236" t="s">
        <v>63</v>
      </c>
      <c r="P391" s="182">
        <v>4000000</v>
      </c>
      <c r="Q391" s="182">
        <v>4308819.8800000008</v>
      </c>
      <c r="R391" s="182">
        <v>4392209.17</v>
      </c>
      <c r="S391" s="182">
        <v>83389.290000000037</v>
      </c>
    </row>
    <row r="392" spans="1:19">
      <c r="A392" s="91" t="s">
        <v>843</v>
      </c>
      <c r="B392" s="91" t="s">
        <v>322</v>
      </c>
      <c r="C392" s="91" t="s">
        <v>1052</v>
      </c>
      <c r="D392" s="234">
        <v>0</v>
      </c>
      <c r="E392" s="92">
        <v>41866</v>
      </c>
      <c r="F392" s="93"/>
      <c r="G392" s="235">
        <f t="shared" si="9"/>
        <v>1100</v>
      </c>
      <c r="H392" s="235">
        <f t="shared" si="9"/>
        <v>1066.88024</v>
      </c>
      <c r="I392" s="235">
        <f t="shared" si="9"/>
        <v>1072.412</v>
      </c>
      <c r="J392" s="235">
        <f t="shared" si="9"/>
        <v>5.5317599999999514</v>
      </c>
      <c r="K392" s="93"/>
      <c r="L392" s="236" t="s">
        <v>179</v>
      </c>
      <c r="M392" s="236" t="s">
        <v>63</v>
      </c>
      <c r="N392" s="236" t="s">
        <v>63</v>
      </c>
      <c r="P392" s="182">
        <v>1100000</v>
      </c>
      <c r="Q392" s="182">
        <v>1066880.24</v>
      </c>
      <c r="R392" s="182">
        <v>1072412</v>
      </c>
      <c r="S392" s="182">
        <v>5531.7599999999511</v>
      </c>
    </row>
    <row r="393" spans="1:19">
      <c r="A393" s="91" t="s">
        <v>1025</v>
      </c>
      <c r="B393" s="91" t="s">
        <v>1026</v>
      </c>
      <c r="C393" s="91" t="s">
        <v>1051</v>
      </c>
      <c r="D393" s="234">
        <v>4.8499999999999996</v>
      </c>
      <c r="E393" s="92">
        <v>44371</v>
      </c>
      <c r="F393" s="93"/>
      <c r="G393" s="235">
        <f t="shared" si="9"/>
        <v>1875</v>
      </c>
      <c r="H393" s="235">
        <f t="shared" si="9"/>
        <v>1874.8092900000001</v>
      </c>
      <c r="I393" s="235">
        <f t="shared" si="9"/>
        <v>1885.7956499999998</v>
      </c>
      <c r="J393" s="235">
        <f t="shared" si="9"/>
        <v>10.986360000000102</v>
      </c>
      <c r="K393" s="93"/>
      <c r="L393" s="236" t="s">
        <v>199</v>
      </c>
      <c r="M393" s="236" t="s">
        <v>206</v>
      </c>
      <c r="N393" s="236" t="s">
        <v>200</v>
      </c>
      <c r="P393" s="182">
        <v>1875000</v>
      </c>
      <c r="Q393" s="182">
        <v>1874809.29</v>
      </c>
      <c r="R393" s="182">
        <v>1885795.65</v>
      </c>
      <c r="S393" s="182">
        <v>10986.360000000102</v>
      </c>
    </row>
    <row r="394" spans="1:19">
      <c r="A394" s="91" t="s">
        <v>844</v>
      </c>
      <c r="B394" s="91" t="s">
        <v>323</v>
      </c>
      <c r="C394" s="91" t="s">
        <v>1055</v>
      </c>
      <c r="D394" s="234">
        <v>4.875</v>
      </c>
      <c r="E394" s="92">
        <v>42390</v>
      </c>
      <c r="F394" s="93"/>
      <c r="G394" s="235">
        <f t="shared" si="9"/>
        <v>4000</v>
      </c>
      <c r="H394" s="235">
        <f t="shared" si="9"/>
        <v>3997.3802400000004</v>
      </c>
      <c r="I394" s="235">
        <f t="shared" si="9"/>
        <v>3904.5126399999999</v>
      </c>
      <c r="J394" s="235">
        <f t="shared" si="9"/>
        <v>-92.867600000000152</v>
      </c>
      <c r="K394" s="93"/>
      <c r="L394" s="236" t="s">
        <v>194</v>
      </c>
      <c r="M394" s="236" t="s">
        <v>65</v>
      </c>
      <c r="N394" s="236" t="s">
        <v>65</v>
      </c>
      <c r="P394" s="182">
        <v>4000000</v>
      </c>
      <c r="Q394" s="182">
        <v>3997380.24</v>
      </c>
      <c r="R394" s="182">
        <v>3904512.64</v>
      </c>
      <c r="S394" s="182">
        <v>-92867.600000000151</v>
      </c>
    </row>
    <row r="395" spans="1:19">
      <c r="A395" s="91" t="s">
        <v>845</v>
      </c>
      <c r="B395" s="91" t="s">
        <v>376</v>
      </c>
      <c r="C395" s="91" t="s">
        <v>1051</v>
      </c>
      <c r="D395" s="234">
        <v>4.25</v>
      </c>
      <c r="E395" s="92">
        <v>43784</v>
      </c>
      <c r="F395" s="93"/>
      <c r="G395" s="235">
        <f t="shared" si="9"/>
        <v>7500</v>
      </c>
      <c r="H395" s="235">
        <f t="shared" si="9"/>
        <v>7602.0358299999989</v>
      </c>
      <c r="I395" s="235">
        <f t="shared" si="9"/>
        <v>7950.84285</v>
      </c>
      <c r="J395" s="235">
        <f t="shared" si="9"/>
        <v>348.80702000000002</v>
      </c>
      <c r="K395" s="93"/>
      <c r="L395" s="236" t="s">
        <v>204</v>
      </c>
      <c r="M395" s="236" t="s">
        <v>206</v>
      </c>
      <c r="N395" s="236" t="s">
        <v>206</v>
      </c>
      <c r="P395" s="182">
        <v>7500000</v>
      </c>
      <c r="Q395" s="182">
        <v>7602035.8299999991</v>
      </c>
      <c r="R395" s="182">
        <v>7950842.8499999996</v>
      </c>
      <c r="S395" s="182">
        <v>348807.02</v>
      </c>
    </row>
    <row r="396" spans="1:19">
      <c r="A396" s="91" t="s">
        <v>1157</v>
      </c>
      <c r="B396" s="91" t="s">
        <v>1158</v>
      </c>
      <c r="C396" s="91" t="s">
        <v>1052</v>
      </c>
      <c r="D396" s="234">
        <v>5</v>
      </c>
      <c r="E396" s="92">
        <v>42917</v>
      </c>
      <c r="F396" s="93"/>
      <c r="G396" s="235">
        <f t="shared" si="9"/>
        <v>2445</v>
      </c>
      <c r="H396" s="235">
        <f t="shared" si="9"/>
        <v>2925.0791100000001</v>
      </c>
      <c r="I396" s="235">
        <f t="shared" si="9"/>
        <v>2952.9976499999998</v>
      </c>
      <c r="J396" s="235">
        <f t="shared" si="9"/>
        <v>27.918539999999922</v>
      </c>
      <c r="K396" s="93"/>
      <c r="L396" s="236" t="s">
        <v>181</v>
      </c>
      <c r="M396" s="236" t="s">
        <v>63</v>
      </c>
      <c r="N396" s="236" t="s">
        <v>179</v>
      </c>
      <c r="P396" s="182">
        <v>2445000</v>
      </c>
      <c r="Q396" s="182">
        <v>2925079.1100000003</v>
      </c>
      <c r="R396" s="182">
        <v>2952997.65</v>
      </c>
      <c r="S396" s="182">
        <v>27918.539999999921</v>
      </c>
    </row>
    <row r="397" spans="1:19">
      <c r="A397" s="91" t="s">
        <v>1088</v>
      </c>
      <c r="B397" s="91" t="s">
        <v>1089</v>
      </c>
      <c r="C397" s="91" t="s">
        <v>1051</v>
      </c>
      <c r="D397" s="234">
        <v>8.125</v>
      </c>
      <c r="E397" s="92">
        <v>42200</v>
      </c>
      <c r="F397" s="93"/>
      <c r="G397" s="235">
        <f t="shared" si="9"/>
        <v>3000</v>
      </c>
      <c r="H397" s="235">
        <f t="shared" si="9"/>
        <v>3525.1226900000006</v>
      </c>
      <c r="I397" s="235">
        <f t="shared" si="9"/>
        <v>3479.0250000000001</v>
      </c>
      <c r="J397" s="235">
        <f t="shared" si="9"/>
        <v>-46.097690000000178</v>
      </c>
      <c r="K397" s="93"/>
      <c r="L397" s="236" t="s">
        <v>1090</v>
      </c>
      <c r="M397" s="236" t="s">
        <v>208</v>
      </c>
      <c r="N397" s="236" t="s">
        <v>208</v>
      </c>
      <c r="P397" s="182">
        <v>3000000</v>
      </c>
      <c r="Q397" s="182">
        <v>3525122.6900000004</v>
      </c>
      <c r="R397" s="182">
        <v>3479025</v>
      </c>
      <c r="S397" s="182">
        <v>-46097.690000000177</v>
      </c>
    </row>
    <row r="398" spans="1:19">
      <c r="A398" s="91" t="s">
        <v>1159</v>
      </c>
      <c r="B398" s="91" t="s">
        <v>421</v>
      </c>
      <c r="C398" s="91" t="s">
        <v>1051</v>
      </c>
      <c r="D398" s="234">
        <v>5.125</v>
      </c>
      <c r="E398" s="92">
        <v>44256</v>
      </c>
      <c r="F398" s="93"/>
      <c r="G398" s="235">
        <f t="shared" si="9"/>
        <v>1525</v>
      </c>
      <c r="H398" s="235">
        <f t="shared" si="9"/>
        <v>1551.6086600000001</v>
      </c>
      <c r="I398" s="235">
        <f t="shared" si="9"/>
        <v>1598.9315200000001</v>
      </c>
      <c r="J398" s="235">
        <f t="shared" si="9"/>
        <v>47.322860000000027</v>
      </c>
      <c r="K398" s="93"/>
      <c r="L398" s="236" t="s">
        <v>199</v>
      </c>
      <c r="M398" s="236" t="s">
        <v>66</v>
      </c>
      <c r="N398" s="236" t="s">
        <v>179</v>
      </c>
      <c r="P398" s="182">
        <v>1525000</v>
      </c>
      <c r="Q398" s="182">
        <v>1551608.6600000001</v>
      </c>
      <c r="R398" s="182">
        <v>1598931.52</v>
      </c>
      <c r="S398" s="182">
        <v>47322.86000000003</v>
      </c>
    </row>
    <row r="399" spans="1:19">
      <c r="A399" s="91" t="s">
        <v>1160</v>
      </c>
      <c r="B399" s="91" t="s">
        <v>421</v>
      </c>
      <c r="C399" s="91" t="s">
        <v>1051</v>
      </c>
      <c r="D399" s="234">
        <v>3.5</v>
      </c>
      <c r="E399" s="92">
        <v>42430</v>
      </c>
      <c r="F399" s="93"/>
      <c r="G399" s="235">
        <f t="shared" si="9"/>
        <v>3500</v>
      </c>
      <c r="H399" s="235">
        <f t="shared" si="9"/>
        <v>3531.3261899999993</v>
      </c>
      <c r="I399" s="235">
        <f t="shared" si="9"/>
        <v>3508.0559899999998</v>
      </c>
      <c r="J399" s="235">
        <f t="shared" si="9"/>
        <v>-23.270199999999779</v>
      </c>
      <c r="K399" s="93"/>
      <c r="L399" s="236" t="s">
        <v>199</v>
      </c>
      <c r="M399" s="236" t="s">
        <v>66</v>
      </c>
      <c r="N399" s="236" t="s">
        <v>179</v>
      </c>
      <c r="P399" s="182">
        <v>3500000</v>
      </c>
      <c r="Q399" s="182">
        <v>3531326.1899999995</v>
      </c>
      <c r="R399" s="182">
        <v>3508055.9899999998</v>
      </c>
      <c r="S399" s="182">
        <v>-23270.199999999779</v>
      </c>
    </row>
    <row r="400" spans="1:19">
      <c r="A400" s="91" t="s">
        <v>846</v>
      </c>
      <c r="B400" s="91" t="s">
        <v>460</v>
      </c>
      <c r="C400" s="91" t="s">
        <v>1052</v>
      </c>
      <c r="D400" s="234">
        <v>5</v>
      </c>
      <c r="E400" s="92">
        <v>43282</v>
      </c>
      <c r="F400" s="93"/>
      <c r="G400" s="235">
        <f t="shared" si="9"/>
        <v>1500</v>
      </c>
      <c r="H400" s="235">
        <f t="shared" si="9"/>
        <v>1722.72138</v>
      </c>
      <c r="I400" s="235">
        <f t="shared" si="9"/>
        <v>1845.63</v>
      </c>
      <c r="J400" s="235">
        <f t="shared" si="9"/>
        <v>122.90862000000011</v>
      </c>
      <c r="K400" s="93"/>
      <c r="L400" s="236" t="s">
        <v>178</v>
      </c>
      <c r="M400" s="236" t="s">
        <v>63</v>
      </c>
      <c r="N400" s="236" t="s">
        <v>179</v>
      </c>
      <c r="P400" s="182">
        <v>1500000</v>
      </c>
      <c r="Q400" s="182">
        <v>1722721.38</v>
      </c>
      <c r="R400" s="182">
        <v>1845630</v>
      </c>
      <c r="S400" s="182">
        <v>122908.62000000011</v>
      </c>
    </row>
    <row r="401" spans="1:19">
      <c r="A401" s="91" t="s">
        <v>847</v>
      </c>
      <c r="B401" s="91" t="s">
        <v>377</v>
      </c>
      <c r="C401" s="91" t="s">
        <v>1052</v>
      </c>
      <c r="D401" s="234">
        <v>4</v>
      </c>
      <c r="E401" s="92">
        <v>42583</v>
      </c>
      <c r="F401" s="93"/>
      <c r="G401" s="235">
        <f t="shared" si="9"/>
        <v>1170</v>
      </c>
      <c r="H401" s="235">
        <f t="shared" si="9"/>
        <v>1262.3856099999998</v>
      </c>
      <c r="I401" s="235">
        <f t="shared" si="9"/>
        <v>1329.0848999999998</v>
      </c>
      <c r="J401" s="235">
        <f t="shared" si="9"/>
        <v>66.699290000000033</v>
      </c>
      <c r="K401" s="93"/>
      <c r="L401" s="236" t="s">
        <v>178</v>
      </c>
      <c r="M401" s="236" t="s">
        <v>122</v>
      </c>
      <c r="N401" s="236" t="s">
        <v>122</v>
      </c>
      <c r="P401" s="182">
        <v>1170000</v>
      </c>
      <c r="Q401" s="182">
        <v>1262385.6099999999</v>
      </c>
      <c r="R401" s="182">
        <v>1329084.8999999999</v>
      </c>
      <c r="S401" s="182">
        <v>66699.290000000037</v>
      </c>
    </row>
    <row r="402" spans="1:19">
      <c r="A402" s="91" t="s">
        <v>848</v>
      </c>
      <c r="B402" s="91" t="s">
        <v>239</v>
      </c>
      <c r="C402" s="91" t="s">
        <v>1051</v>
      </c>
      <c r="D402" s="234">
        <v>5.5</v>
      </c>
      <c r="E402" s="92">
        <v>43419</v>
      </c>
      <c r="F402" s="93"/>
      <c r="G402" s="235">
        <f t="shared" si="9"/>
        <v>1000</v>
      </c>
      <c r="H402" s="235">
        <f t="shared" si="9"/>
        <v>997.96523999999999</v>
      </c>
      <c r="I402" s="235">
        <f t="shared" si="9"/>
        <v>1129.41399</v>
      </c>
      <c r="J402" s="235">
        <f t="shared" si="9"/>
        <v>131.44874999999999</v>
      </c>
      <c r="K402" s="93"/>
      <c r="L402" s="236" t="s">
        <v>188</v>
      </c>
      <c r="M402" s="236" t="s">
        <v>65</v>
      </c>
      <c r="N402" s="236" t="s">
        <v>121</v>
      </c>
      <c r="P402" s="182">
        <v>1000000</v>
      </c>
      <c r="Q402" s="182">
        <v>997965.24</v>
      </c>
      <c r="R402" s="182">
        <v>1129413.99</v>
      </c>
      <c r="S402" s="182">
        <v>131448.75</v>
      </c>
    </row>
    <row r="403" spans="1:19">
      <c r="A403" s="91" t="s">
        <v>849</v>
      </c>
      <c r="B403" s="91" t="s">
        <v>850</v>
      </c>
      <c r="C403" s="91" t="s">
        <v>1051</v>
      </c>
      <c r="D403" s="234">
        <v>6.2439999999999998</v>
      </c>
      <c r="E403" s="92">
        <v>54603</v>
      </c>
      <c r="F403" s="93"/>
      <c r="G403" s="235">
        <f t="shared" si="9"/>
        <v>5235</v>
      </c>
      <c r="H403" s="235">
        <f t="shared" si="9"/>
        <v>4803.1125000000002</v>
      </c>
      <c r="I403" s="235">
        <f t="shared" si="9"/>
        <v>4135.6499999999996</v>
      </c>
      <c r="J403" s="235">
        <f t="shared" si="9"/>
        <v>-667.46249999999998</v>
      </c>
      <c r="K403" s="93"/>
      <c r="L403" s="236" t="s">
        <v>195</v>
      </c>
      <c r="M403" s="236" t="s">
        <v>66</v>
      </c>
      <c r="N403" s="236" t="s">
        <v>65</v>
      </c>
      <c r="P403" s="182">
        <v>5235000</v>
      </c>
      <c r="Q403" s="182">
        <v>4803112.5</v>
      </c>
      <c r="R403" s="182">
        <v>4135650</v>
      </c>
      <c r="S403" s="182">
        <v>-667462.5</v>
      </c>
    </row>
    <row r="404" spans="1:19">
      <c r="A404" s="91" t="s">
        <v>851</v>
      </c>
      <c r="B404" s="91" t="s">
        <v>1161</v>
      </c>
      <c r="C404" s="91" t="s">
        <v>1052</v>
      </c>
      <c r="D404" s="234">
        <v>5</v>
      </c>
      <c r="E404" s="92">
        <v>41974</v>
      </c>
      <c r="F404" s="93"/>
      <c r="G404" s="235">
        <f t="shared" si="9"/>
        <v>1400</v>
      </c>
      <c r="H404" s="235">
        <f t="shared" si="9"/>
        <v>1555.8550700000001</v>
      </c>
      <c r="I404" s="235">
        <f t="shared" si="9"/>
        <v>1574.09</v>
      </c>
      <c r="J404" s="235">
        <f t="shared" si="9"/>
        <v>18.234929999999935</v>
      </c>
      <c r="K404" s="93"/>
      <c r="L404" s="236" t="s">
        <v>181</v>
      </c>
      <c r="M404" s="236" t="s">
        <v>122</v>
      </c>
      <c r="N404" s="236" t="s">
        <v>122</v>
      </c>
      <c r="P404" s="182">
        <v>1400000</v>
      </c>
      <c r="Q404" s="182">
        <v>1555855.07</v>
      </c>
      <c r="R404" s="182">
        <v>1574090</v>
      </c>
      <c r="S404" s="182">
        <v>18234.929999999935</v>
      </c>
    </row>
    <row r="405" spans="1:19">
      <c r="A405" s="91" t="s">
        <v>852</v>
      </c>
      <c r="B405" s="91" t="s">
        <v>240</v>
      </c>
      <c r="C405" s="91" t="s">
        <v>1051</v>
      </c>
      <c r="D405" s="234">
        <v>6.875</v>
      </c>
      <c r="E405" s="92">
        <v>43419</v>
      </c>
      <c r="F405" s="93"/>
      <c r="G405" s="235">
        <f t="shared" si="9"/>
        <v>3000</v>
      </c>
      <c r="H405" s="235">
        <f t="shared" si="9"/>
        <v>3182.1274399999998</v>
      </c>
      <c r="I405" s="235">
        <f t="shared" si="9"/>
        <v>2888.9344000000001</v>
      </c>
      <c r="J405" s="235">
        <f t="shared" si="9"/>
        <v>-293.19304000000005</v>
      </c>
      <c r="K405" s="93"/>
      <c r="L405" s="236" t="s">
        <v>204</v>
      </c>
      <c r="M405" s="236" t="s">
        <v>206</v>
      </c>
      <c r="N405" s="236" t="s">
        <v>65</v>
      </c>
      <c r="P405" s="182">
        <v>3000000</v>
      </c>
      <c r="Q405" s="182">
        <v>3182127.44</v>
      </c>
      <c r="R405" s="182">
        <v>2888934.4</v>
      </c>
      <c r="S405" s="182">
        <v>-293193.04000000004</v>
      </c>
    </row>
    <row r="406" spans="1:19">
      <c r="A406" s="91" t="s">
        <v>853</v>
      </c>
      <c r="B406" s="91" t="s">
        <v>456</v>
      </c>
      <c r="C406" s="91" t="s">
        <v>1054</v>
      </c>
      <c r="D406" s="234">
        <v>4.8550000000000004</v>
      </c>
      <c r="E406" s="92">
        <v>51786</v>
      </c>
      <c r="F406" s="93"/>
      <c r="G406" s="235">
        <f t="shared" si="9"/>
        <v>3750</v>
      </c>
      <c r="H406" s="235">
        <f t="shared" si="9"/>
        <v>3921.65364</v>
      </c>
      <c r="I406" s="235">
        <f t="shared" si="9"/>
        <v>3997.2407400000002</v>
      </c>
      <c r="J406" s="235">
        <f t="shared" si="9"/>
        <v>75.587100000000206</v>
      </c>
      <c r="K406" s="93"/>
      <c r="L406" s="236" t="s">
        <v>179</v>
      </c>
      <c r="M406" s="236" t="s">
        <v>63</v>
      </c>
      <c r="N406" s="236" t="s">
        <v>63</v>
      </c>
      <c r="P406" s="182">
        <v>3750000</v>
      </c>
      <c r="Q406" s="182">
        <v>3921653.64</v>
      </c>
      <c r="R406" s="182">
        <v>3997240.74</v>
      </c>
      <c r="S406" s="182">
        <v>75587.10000000021</v>
      </c>
    </row>
    <row r="407" spans="1:19">
      <c r="A407" s="91" t="s">
        <v>977</v>
      </c>
      <c r="B407" s="91" t="s">
        <v>241</v>
      </c>
      <c r="C407" s="91" t="s">
        <v>1051</v>
      </c>
      <c r="D407" s="234">
        <v>4.75</v>
      </c>
      <c r="E407" s="92">
        <v>44235</v>
      </c>
      <c r="F407" s="93"/>
      <c r="G407" s="235">
        <f t="shared" si="9"/>
        <v>6500</v>
      </c>
      <c r="H407" s="235">
        <f t="shared" si="9"/>
        <v>6514.7777599999999</v>
      </c>
      <c r="I407" s="235">
        <f t="shared" si="9"/>
        <v>6984.8612599999997</v>
      </c>
      <c r="J407" s="235">
        <f t="shared" si="9"/>
        <v>470.08350000000002</v>
      </c>
      <c r="K407" s="93"/>
      <c r="L407" s="236" t="s">
        <v>195</v>
      </c>
      <c r="M407" s="236" t="s">
        <v>206</v>
      </c>
      <c r="N407" s="236" t="s">
        <v>206</v>
      </c>
      <c r="P407" s="182">
        <v>6500000</v>
      </c>
      <c r="Q407" s="182">
        <v>6514777.7599999998</v>
      </c>
      <c r="R407" s="182">
        <v>6984861.2599999998</v>
      </c>
      <c r="S407" s="182">
        <v>470083.5</v>
      </c>
    </row>
    <row r="408" spans="1:19">
      <c r="A408" s="91" t="s">
        <v>854</v>
      </c>
      <c r="B408" s="91" t="s">
        <v>342</v>
      </c>
      <c r="C408" s="91" t="s">
        <v>1052</v>
      </c>
      <c r="D408" s="234">
        <v>4</v>
      </c>
      <c r="E408" s="92">
        <v>42186</v>
      </c>
      <c r="F408" s="93"/>
      <c r="G408" s="235">
        <f t="shared" si="9"/>
        <v>1250</v>
      </c>
      <c r="H408" s="235">
        <f t="shared" si="9"/>
        <v>1364.18001</v>
      </c>
      <c r="I408" s="235">
        <f t="shared" si="9"/>
        <v>1390.65</v>
      </c>
      <c r="J408" s="235">
        <f t="shared" si="9"/>
        <v>26.469989999999992</v>
      </c>
      <c r="K408" s="93"/>
      <c r="L408" s="236" t="s">
        <v>178</v>
      </c>
      <c r="M408" s="236" t="s">
        <v>64</v>
      </c>
      <c r="N408" s="236" t="s">
        <v>179</v>
      </c>
      <c r="P408" s="182">
        <v>1250000</v>
      </c>
      <c r="Q408" s="182">
        <v>1364180.01</v>
      </c>
      <c r="R408" s="182">
        <v>1390650</v>
      </c>
      <c r="S408" s="182">
        <v>26469.989999999991</v>
      </c>
    </row>
    <row r="409" spans="1:19">
      <c r="A409" s="91" t="s">
        <v>855</v>
      </c>
      <c r="B409" s="91" t="s">
        <v>338</v>
      </c>
      <c r="C409" s="91" t="s">
        <v>1051</v>
      </c>
      <c r="D409" s="234">
        <v>3.125</v>
      </c>
      <c r="E409" s="92">
        <v>42380</v>
      </c>
      <c r="F409" s="93"/>
      <c r="G409" s="235">
        <f t="shared" si="9"/>
        <v>6500</v>
      </c>
      <c r="H409" s="235">
        <f t="shared" si="9"/>
        <v>6492.4537600000003</v>
      </c>
      <c r="I409" s="235">
        <f t="shared" si="9"/>
        <v>6669.9750000000004</v>
      </c>
      <c r="J409" s="235">
        <f t="shared" si="9"/>
        <v>177.52123999999975</v>
      </c>
      <c r="K409" s="93"/>
      <c r="L409" s="236" t="s">
        <v>188</v>
      </c>
      <c r="M409" s="236" t="s">
        <v>171</v>
      </c>
      <c r="N409" s="236" t="s">
        <v>179</v>
      </c>
      <c r="P409" s="182">
        <v>6500000</v>
      </c>
      <c r="Q409" s="182">
        <v>6492453.7600000007</v>
      </c>
      <c r="R409" s="182">
        <v>6669975</v>
      </c>
      <c r="S409" s="182">
        <v>177521.23999999976</v>
      </c>
    </row>
    <row r="410" spans="1:19">
      <c r="A410" s="91" t="s">
        <v>856</v>
      </c>
      <c r="B410" s="91" t="s">
        <v>471</v>
      </c>
      <c r="C410" s="91" t="s">
        <v>1052</v>
      </c>
      <c r="D410" s="234">
        <v>5.375</v>
      </c>
      <c r="E410" s="92">
        <v>42278</v>
      </c>
      <c r="F410" s="93"/>
      <c r="G410" s="235">
        <f t="shared" si="9"/>
        <v>500</v>
      </c>
      <c r="H410" s="235">
        <f t="shared" si="9"/>
        <v>511.43053999999995</v>
      </c>
      <c r="I410" s="235">
        <f t="shared" si="9"/>
        <v>516.625</v>
      </c>
      <c r="J410" s="235">
        <f t="shared" si="9"/>
        <v>5.1944600000000207</v>
      </c>
      <c r="K410" s="93"/>
      <c r="L410" s="236" t="s">
        <v>188</v>
      </c>
      <c r="M410" s="236" t="s">
        <v>171</v>
      </c>
      <c r="N410" s="236" t="s">
        <v>171</v>
      </c>
      <c r="P410" s="182">
        <v>500000</v>
      </c>
      <c r="Q410" s="182">
        <v>511430.54</v>
      </c>
      <c r="R410" s="182">
        <v>516625</v>
      </c>
      <c r="S410" s="182">
        <v>5194.460000000021</v>
      </c>
    </row>
    <row r="411" spans="1:19">
      <c r="A411" s="91" t="s">
        <v>1023</v>
      </c>
      <c r="B411" s="91" t="s">
        <v>1024</v>
      </c>
      <c r="C411" s="91" t="s">
        <v>1051</v>
      </c>
      <c r="D411" s="234">
        <v>5.3</v>
      </c>
      <c r="E411" s="92">
        <v>43174</v>
      </c>
      <c r="F411" s="93"/>
      <c r="G411" s="235">
        <f t="shared" si="9"/>
        <v>4000</v>
      </c>
      <c r="H411" s="235">
        <f t="shared" si="9"/>
        <v>4455.9832999999999</v>
      </c>
      <c r="I411" s="235">
        <f t="shared" si="9"/>
        <v>4634.0518000000002</v>
      </c>
      <c r="J411" s="235">
        <f t="shared" si="9"/>
        <v>178.06849999999977</v>
      </c>
      <c r="K411" s="93"/>
      <c r="L411" s="236" t="s">
        <v>183</v>
      </c>
      <c r="M411" s="236" t="s">
        <v>206</v>
      </c>
      <c r="N411" s="236" t="s">
        <v>65</v>
      </c>
      <c r="P411" s="182">
        <v>4000000</v>
      </c>
      <c r="Q411" s="182">
        <v>4455983.3</v>
      </c>
      <c r="R411" s="182">
        <v>4634051.8</v>
      </c>
      <c r="S411" s="182">
        <v>178068.49999999977</v>
      </c>
    </row>
    <row r="412" spans="1:19">
      <c r="A412" s="91" t="s">
        <v>857</v>
      </c>
      <c r="B412" s="91" t="s">
        <v>1162</v>
      </c>
      <c r="C412" s="91" t="s">
        <v>1052</v>
      </c>
      <c r="D412" s="234">
        <v>5</v>
      </c>
      <c r="E412" s="92">
        <v>42339</v>
      </c>
      <c r="F412" s="93"/>
      <c r="G412" s="235">
        <f t="shared" si="9"/>
        <v>1000</v>
      </c>
      <c r="H412" s="235">
        <f t="shared" si="9"/>
        <v>1079.5353400000001</v>
      </c>
      <c r="I412" s="235">
        <f t="shared" si="9"/>
        <v>1096.92</v>
      </c>
      <c r="J412" s="235">
        <f t="shared" si="9"/>
        <v>17.384659999999915</v>
      </c>
      <c r="K412" s="93"/>
      <c r="L412" s="236" t="s">
        <v>194</v>
      </c>
      <c r="M412" s="236" t="s">
        <v>179</v>
      </c>
      <c r="N412" s="236" t="s">
        <v>121</v>
      </c>
      <c r="P412" s="182">
        <v>1000000</v>
      </c>
      <c r="Q412" s="182">
        <v>1079535.3400000001</v>
      </c>
      <c r="R412" s="182">
        <v>1096920</v>
      </c>
      <c r="S412" s="182">
        <v>17384.659999999916</v>
      </c>
    </row>
    <row r="413" spans="1:19">
      <c r="A413" s="91" t="s">
        <v>858</v>
      </c>
      <c r="B413" s="91" t="s">
        <v>446</v>
      </c>
      <c r="C413" s="91" t="s">
        <v>1054</v>
      </c>
      <c r="D413" s="234">
        <v>5.9063420000000004</v>
      </c>
      <c r="E413" s="92">
        <v>53490</v>
      </c>
      <c r="F413" s="93"/>
      <c r="G413" s="235">
        <f t="shared" si="9"/>
        <v>2970</v>
      </c>
      <c r="H413" s="235">
        <f t="shared" si="9"/>
        <v>3247.36555</v>
      </c>
      <c r="I413" s="235">
        <f t="shared" si="9"/>
        <v>3314.2577799999999</v>
      </c>
      <c r="J413" s="235">
        <f t="shared" si="9"/>
        <v>66.89222999999987</v>
      </c>
      <c r="K413" s="93"/>
      <c r="L413" s="236" t="s">
        <v>189</v>
      </c>
      <c r="M413" s="236" t="s">
        <v>63</v>
      </c>
      <c r="N413" s="236" t="s">
        <v>179</v>
      </c>
      <c r="P413" s="182">
        <v>2970000</v>
      </c>
      <c r="Q413" s="182">
        <v>3247365.55</v>
      </c>
      <c r="R413" s="182">
        <v>3314257.78</v>
      </c>
      <c r="S413" s="182">
        <v>66892.229999999865</v>
      </c>
    </row>
    <row r="414" spans="1:19">
      <c r="A414" s="91" t="s">
        <v>859</v>
      </c>
      <c r="B414" s="91" t="s">
        <v>472</v>
      </c>
      <c r="C414" s="91" t="s">
        <v>1052</v>
      </c>
      <c r="D414" s="234">
        <v>3</v>
      </c>
      <c r="E414" s="92">
        <v>43160</v>
      </c>
      <c r="F414" s="93"/>
      <c r="G414" s="235">
        <f t="shared" si="9"/>
        <v>1275</v>
      </c>
      <c r="H414" s="235">
        <f t="shared" si="9"/>
        <v>1329.71425</v>
      </c>
      <c r="I414" s="235">
        <f t="shared" si="9"/>
        <v>1420.7962500000001</v>
      </c>
      <c r="J414" s="235">
        <f t="shared" si="9"/>
        <v>91.081999999999994</v>
      </c>
      <c r="K414" s="93"/>
      <c r="L414" s="236" t="s">
        <v>189</v>
      </c>
      <c r="M414" s="236" t="s">
        <v>63</v>
      </c>
      <c r="N414" s="236" t="s">
        <v>63</v>
      </c>
      <c r="P414" s="182">
        <v>1275000</v>
      </c>
      <c r="Q414" s="182">
        <v>1329714.25</v>
      </c>
      <c r="R414" s="182">
        <v>1420796.25</v>
      </c>
      <c r="S414" s="182">
        <v>91082</v>
      </c>
    </row>
    <row r="415" spans="1:19">
      <c r="A415" s="91" t="s">
        <v>978</v>
      </c>
      <c r="B415" s="91" t="s">
        <v>309</v>
      </c>
      <c r="C415" s="91" t="s">
        <v>1051</v>
      </c>
      <c r="D415" s="234">
        <v>5.5</v>
      </c>
      <c r="E415" s="92">
        <v>44036</v>
      </c>
      <c r="F415" s="93"/>
      <c r="G415" s="235">
        <f t="shared" si="9"/>
        <v>1750</v>
      </c>
      <c r="H415" s="235">
        <f t="shared" si="9"/>
        <v>1757.4631099999999</v>
      </c>
      <c r="I415" s="235">
        <f t="shared" si="9"/>
        <v>1596.2378799999999</v>
      </c>
      <c r="J415" s="235">
        <f t="shared" si="9"/>
        <v>-161.22522999999998</v>
      </c>
      <c r="K415" s="93"/>
      <c r="L415" s="236" t="s">
        <v>183</v>
      </c>
      <c r="M415" s="236" t="s">
        <v>206</v>
      </c>
      <c r="N415" s="236" t="s">
        <v>65</v>
      </c>
      <c r="P415" s="182">
        <v>1750000</v>
      </c>
      <c r="Q415" s="182">
        <v>1757463.1099999999</v>
      </c>
      <c r="R415" s="182">
        <v>1596237.88</v>
      </c>
      <c r="S415" s="182">
        <v>-161225.22999999998</v>
      </c>
    </row>
    <row r="416" spans="1:19">
      <c r="A416" s="91" t="s">
        <v>860</v>
      </c>
      <c r="B416" s="91" t="s">
        <v>309</v>
      </c>
      <c r="C416" s="91" t="s">
        <v>1051</v>
      </c>
      <c r="D416" s="234">
        <v>6</v>
      </c>
      <c r="E416" s="92">
        <v>42122</v>
      </c>
      <c r="F416" s="93"/>
      <c r="G416" s="235">
        <f t="shared" si="9"/>
        <v>2200</v>
      </c>
      <c r="H416" s="235">
        <f t="shared" si="9"/>
        <v>2341.9531499999998</v>
      </c>
      <c r="I416" s="235">
        <f t="shared" si="9"/>
        <v>2190.6767999999997</v>
      </c>
      <c r="J416" s="235">
        <f t="shared" si="9"/>
        <v>-151.27634999999998</v>
      </c>
      <c r="K416" s="93"/>
      <c r="L416" s="236" t="s">
        <v>183</v>
      </c>
      <c r="M416" s="236" t="s">
        <v>206</v>
      </c>
      <c r="N416" s="236" t="s">
        <v>65</v>
      </c>
      <c r="P416" s="182">
        <v>2200000</v>
      </c>
      <c r="Q416" s="182">
        <v>2341953.15</v>
      </c>
      <c r="R416" s="182">
        <v>2190676.7999999998</v>
      </c>
      <c r="S416" s="182">
        <v>-151276.34999999998</v>
      </c>
    </row>
    <row r="417" spans="1:19">
      <c r="A417" s="91" t="s">
        <v>861</v>
      </c>
      <c r="B417" s="91" t="s">
        <v>309</v>
      </c>
      <c r="C417" s="91" t="s">
        <v>1051</v>
      </c>
      <c r="D417" s="234">
        <v>6</v>
      </c>
      <c r="E417" s="92">
        <v>41772</v>
      </c>
      <c r="F417" s="93"/>
      <c r="G417" s="235">
        <f t="shared" si="9"/>
        <v>1825</v>
      </c>
      <c r="H417" s="235">
        <f t="shared" si="9"/>
        <v>1938.96048</v>
      </c>
      <c r="I417" s="235">
        <f t="shared" si="9"/>
        <v>1838.3465200000001</v>
      </c>
      <c r="J417" s="235">
        <f t="shared" si="9"/>
        <v>-100.61395999999993</v>
      </c>
      <c r="K417" s="93"/>
      <c r="L417" s="236" t="s">
        <v>183</v>
      </c>
      <c r="M417" s="236" t="s">
        <v>206</v>
      </c>
      <c r="N417" s="236" t="s">
        <v>65</v>
      </c>
      <c r="P417" s="182">
        <v>1825000</v>
      </c>
      <c r="Q417" s="182">
        <v>1938960.48</v>
      </c>
      <c r="R417" s="182">
        <v>1838346.52</v>
      </c>
      <c r="S417" s="182">
        <v>-100613.95999999993</v>
      </c>
    </row>
    <row r="418" spans="1:19">
      <c r="A418" s="91" t="s">
        <v>862</v>
      </c>
      <c r="B418" s="91" t="s">
        <v>447</v>
      </c>
      <c r="C418" s="91" t="s">
        <v>1054</v>
      </c>
      <c r="D418" s="234">
        <v>5.7900770000000001</v>
      </c>
      <c r="E418" s="92">
        <v>53189</v>
      </c>
      <c r="F418" s="93"/>
      <c r="G418" s="235">
        <f t="shared" si="9"/>
        <v>2400</v>
      </c>
      <c r="H418" s="235">
        <f t="shared" si="9"/>
        <v>2557.2623599999997</v>
      </c>
      <c r="I418" s="235">
        <f t="shared" si="9"/>
        <v>2690.7359999999999</v>
      </c>
      <c r="J418" s="235">
        <f t="shared" si="9"/>
        <v>133.47364000000002</v>
      </c>
      <c r="K418" s="93"/>
      <c r="L418" s="236" t="s">
        <v>189</v>
      </c>
      <c r="M418" s="236" t="s">
        <v>179</v>
      </c>
      <c r="N418" s="236" t="s">
        <v>63</v>
      </c>
      <c r="P418" s="182">
        <v>2400000</v>
      </c>
      <c r="Q418" s="182">
        <v>2557262.36</v>
      </c>
      <c r="R418" s="182">
        <v>2690736</v>
      </c>
      <c r="S418" s="182">
        <v>133473.64000000001</v>
      </c>
    </row>
    <row r="419" spans="1:19">
      <c r="A419" s="91" t="s">
        <v>863</v>
      </c>
      <c r="B419" s="91" t="s">
        <v>430</v>
      </c>
      <c r="C419" s="91" t="s">
        <v>1051</v>
      </c>
      <c r="D419" s="234">
        <v>6</v>
      </c>
      <c r="E419" s="92">
        <v>43054</v>
      </c>
      <c r="F419" s="93"/>
      <c r="G419" s="235">
        <f t="shared" si="9"/>
        <v>1950</v>
      </c>
      <c r="H419" s="235">
        <f t="shared" si="9"/>
        <v>2094.35527</v>
      </c>
      <c r="I419" s="235">
        <f t="shared" si="9"/>
        <v>2169.5236299999997</v>
      </c>
      <c r="J419" s="235">
        <f t="shared" si="9"/>
        <v>75.168359999999865</v>
      </c>
      <c r="K419" s="93"/>
      <c r="L419" s="236" t="s">
        <v>199</v>
      </c>
      <c r="M419" s="236" t="s">
        <v>66</v>
      </c>
      <c r="N419" s="236" t="s">
        <v>66</v>
      </c>
      <c r="P419" s="182">
        <v>1950000</v>
      </c>
      <c r="Q419" s="182">
        <v>2094355.27</v>
      </c>
      <c r="R419" s="182">
        <v>2169523.63</v>
      </c>
      <c r="S419" s="182">
        <v>75168.35999999987</v>
      </c>
    </row>
    <row r="420" spans="1:19">
      <c r="A420" s="91" t="s">
        <v>864</v>
      </c>
      <c r="B420" s="91" t="s">
        <v>416</v>
      </c>
      <c r="C420" s="91" t="s">
        <v>1056</v>
      </c>
      <c r="D420" s="234">
        <v>1.84</v>
      </c>
      <c r="E420" s="92">
        <v>44111</v>
      </c>
      <c r="F420" s="93"/>
      <c r="G420" s="235">
        <f t="shared" si="9"/>
        <v>299.62271000000004</v>
      </c>
      <c r="H420" s="235">
        <f t="shared" si="9"/>
        <v>299.60348999999997</v>
      </c>
      <c r="I420" s="235">
        <f t="shared" si="9"/>
        <v>301.68261999999999</v>
      </c>
      <c r="J420" s="235">
        <f t="shared" si="9"/>
        <v>2.0791300000000046</v>
      </c>
      <c r="K420" s="93"/>
      <c r="L420" s="236" t="s">
        <v>189</v>
      </c>
      <c r="M420" s="236" t="s">
        <v>122</v>
      </c>
      <c r="N420" s="236" t="s">
        <v>63</v>
      </c>
      <c r="P420" s="182">
        <v>299622.71000000002</v>
      </c>
      <c r="Q420" s="182">
        <v>299603.49</v>
      </c>
      <c r="R420" s="182">
        <v>301682.62</v>
      </c>
      <c r="S420" s="182">
        <v>2079.1300000000047</v>
      </c>
    </row>
    <row r="421" spans="1:19">
      <c r="A421" s="91" t="s">
        <v>865</v>
      </c>
      <c r="B421" s="91" t="s">
        <v>416</v>
      </c>
      <c r="C421" s="91" t="s">
        <v>1056</v>
      </c>
      <c r="D421" s="234">
        <v>2.65</v>
      </c>
      <c r="E421" s="92">
        <v>44133</v>
      </c>
      <c r="F421" s="93"/>
      <c r="G421" s="235">
        <f t="shared" si="9"/>
        <v>1064.4063800000001</v>
      </c>
      <c r="H421" s="235">
        <f t="shared" si="9"/>
        <v>1062.6316499999998</v>
      </c>
      <c r="I421" s="235">
        <f t="shared" si="9"/>
        <v>1110.3089</v>
      </c>
      <c r="J421" s="235">
        <f t="shared" si="9"/>
        <v>47.677250000000001</v>
      </c>
      <c r="K421" s="93"/>
      <c r="L421" s="236" t="s">
        <v>179</v>
      </c>
      <c r="M421" s="236" t="s">
        <v>122</v>
      </c>
      <c r="N421" s="236" t="s">
        <v>63</v>
      </c>
      <c r="P421" s="182">
        <v>1064406.3800000001</v>
      </c>
      <c r="Q421" s="182">
        <v>1062631.6499999999</v>
      </c>
      <c r="R421" s="182">
        <v>1110308.8999999999</v>
      </c>
      <c r="S421" s="182">
        <v>47677.25</v>
      </c>
    </row>
    <row r="422" spans="1:19">
      <c r="A422" s="91" t="s">
        <v>866</v>
      </c>
      <c r="B422" s="91" t="s">
        <v>266</v>
      </c>
      <c r="C422" s="91" t="s">
        <v>1051</v>
      </c>
      <c r="D422" s="234">
        <v>4.8</v>
      </c>
      <c r="E422" s="92">
        <v>41453</v>
      </c>
      <c r="F422" s="93"/>
      <c r="G422" s="235">
        <f t="shared" si="9"/>
        <v>1760</v>
      </c>
      <c r="H422" s="235">
        <f t="shared" si="9"/>
        <v>1755.0014799999999</v>
      </c>
      <c r="I422" s="235">
        <f t="shared" si="9"/>
        <v>1846.78412</v>
      </c>
      <c r="J422" s="235">
        <f t="shared" si="9"/>
        <v>91.782640000000129</v>
      </c>
      <c r="K422" s="93"/>
      <c r="L422" s="236" t="s">
        <v>195</v>
      </c>
      <c r="M422" s="236" t="s">
        <v>121</v>
      </c>
      <c r="N422" s="236" t="s">
        <v>179</v>
      </c>
      <c r="P422" s="182">
        <v>1760000</v>
      </c>
      <c r="Q422" s="182">
        <v>1755001.48</v>
      </c>
      <c r="R422" s="182">
        <v>1846784.12</v>
      </c>
      <c r="S422" s="182">
        <v>91782.64000000013</v>
      </c>
    </row>
    <row r="423" spans="1:19">
      <c r="A423" s="91" t="s">
        <v>1032</v>
      </c>
      <c r="B423" s="91" t="s">
        <v>1033</v>
      </c>
      <c r="C423" s="91" t="s">
        <v>1051</v>
      </c>
      <c r="D423" s="234">
        <v>6.875</v>
      </c>
      <c r="E423" s="92">
        <v>43600</v>
      </c>
      <c r="F423" s="93"/>
      <c r="G423" s="235">
        <f t="shared" si="9"/>
        <v>4000</v>
      </c>
      <c r="H423" s="235">
        <f t="shared" si="9"/>
        <v>4643.9917800000003</v>
      </c>
      <c r="I423" s="235">
        <f t="shared" si="9"/>
        <v>4464.3035999999993</v>
      </c>
      <c r="J423" s="235">
        <f t="shared" si="9"/>
        <v>-179.68818000000064</v>
      </c>
      <c r="K423" s="93"/>
      <c r="L423" s="236" t="s">
        <v>204</v>
      </c>
      <c r="M423" s="236" t="s">
        <v>200</v>
      </c>
      <c r="N423" s="236" t="s">
        <v>65</v>
      </c>
      <c r="P423" s="182">
        <v>4000000</v>
      </c>
      <c r="Q423" s="182">
        <v>4643991.78</v>
      </c>
      <c r="R423" s="182">
        <v>4464303.5999999996</v>
      </c>
      <c r="S423" s="182">
        <v>-179688.18000000063</v>
      </c>
    </row>
    <row r="424" spans="1:19">
      <c r="A424" s="91" t="s">
        <v>867</v>
      </c>
      <c r="B424" s="91" t="s">
        <v>242</v>
      </c>
      <c r="C424" s="91" t="s">
        <v>1051</v>
      </c>
      <c r="D424" s="234">
        <v>7.25</v>
      </c>
      <c r="E424" s="92">
        <v>40969</v>
      </c>
      <c r="F424" s="93"/>
      <c r="G424" s="235">
        <f t="shared" si="9"/>
        <v>667</v>
      </c>
      <c r="H424" s="235">
        <f t="shared" si="9"/>
        <v>666.66250000000002</v>
      </c>
      <c r="I424" s="235">
        <f t="shared" si="9"/>
        <v>674.01351</v>
      </c>
      <c r="J424" s="235">
        <f t="shared" si="9"/>
        <v>7.3510100000000094</v>
      </c>
      <c r="K424" s="93"/>
      <c r="L424" s="236" t="s">
        <v>183</v>
      </c>
      <c r="M424" s="236" t="s">
        <v>65</v>
      </c>
      <c r="N424" s="236" t="s">
        <v>179</v>
      </c>
      <c r="P424" s="182">
        <v>667000</v>
      </c>
      <c r="Q424" s="182">
        <v>666662.5</v>
      </c>
      <c r="R424" s="182">
        <v>674013.51</v>
      </c>
      <c r="S424" s="182">
        <v>7351.0100000000093</v>
      </c>
    </row>
    <row r="425" spans="1:19">
      <c r="A425" s="91" t="s">
        <v>868</v>
      </c>
      <c r="B425" s="91" t="s">
        <v>242</v>
      </c>
      <c r="C425" s="91" t="s">
        <v>1051</v>
      </c>
      <c r="D425" s="234">
        <v>5.45</v>
      </c>
      <c r="E425" s="92">
        <v>42835</v>
      </c>
      <c r="F425" s="93"/>
      <c r="G425" s="235">
        <f t="shared" si="9"/>
        <v>2500</v>
      </c>
      <c r="H425" s="235">
        <f t="shared" si="9"/>
        <v>2495.9586300000001</v>
      </c>
      <c r="I425" s="235">
        <f t="shared" si="9"/>
        <v>2837.19445</v>
      </c>
      <c r="J425" s="235">
        <f t="shared" si="9"/>
        <v>341.23582000000016</v>
      </c>
      <c r="K425" s="93"/>
      <c r="L425" s="236" t="s">
        <v>194</v>
      </c>
      <c r="M425" s="236" t="s">
        <v>121</v>
      </c>
      <c r="N425" s="236" t="s">
        <v>927</v>
      </c>
      <c r="P425" s="182">
        <v>2500000</v>
      </c>
      <c r="Q425" s="182">
        <v>2495958.63</v>
      </c>
      <c r="R425" s="182">
        <v>2837194.45</v>
      </c>
      <c r="S425" s="182">
        <v>341235.82000000018</v>
      </c>
    </row>
    <row r="426" spans="1:19">
      <c r="A426" s="91" t="s">
        <v>960</v>
      </c>
      <c r="B426" s="91" t="s">
        <v>422</v>
      </c>
      <c r="C426" s="91" t="s">
        <v>1051</v>
      </c>
      <c r="D426" s="234">
        <v>5.375</v>
      </c>
      <c r="E426" s="92">
        <v>44280</v>
      </c>
      <c r="F426" s="93"/>
      <c r="G426" s="235">
        <f t="shared" si="9"/>
        <v>2000</v>
      </c>
      <c r="H426" s="235">
        <f t="shared" si="9"/>
        <v>1989.0870799999998</v>
      </c>
      <c r="I426" s="235">
        <f t="shared" si="9"/>
        <v>1964.492</v>
      </c>
      <c r="J426" s="235">
        <f t="shared" si="9"/>
        <v>-24.595079999999783</v>
      </c>
      <c r="K426" s="93"/>
      <c r="L426" s="236" t="s">
        <v>204</v>
      </c>
      <c r="M426" s="236" t="s">
        <v>200</v>
      </c>
      <c r="N426" s="236" t="s">
        <v>66</v>
      </c>
      <c r="P426" s="182">
        <v>2000000</v>
      </c>
      <c r="Q426" s="182">
        <v>1989087.0799999998</v>
      </c>
      <c r="R426" s="182">
        <v>1964492</v>
      </c>
      <c r="S426" s="182">
        <v>-24595.079999999783</v>
      </c>
    </row>
    <row r="427" spans="1:19">
      <c r="A427" s="91" t="s">
        <v>1091</v>
      </c>
      <c r="B427" s="91" t="s">
        <v>1092</v>
      </c>
      <c r="C427" s="91" t="s">
        <v>1051</v>
      </c>
      <c r="D427" s="234">
        <v>2.875</v>
      </c>
      <c r="E427" s="92">
        <v>42461</v>
      </c>
      <c r="F427" s="93"/>
      <c r="G427" s="235">
        <f t="shared" si="9"/>
        <v>1500</v>
      </c>
      <c r="H427" s="235">
        <f t="shared" si="9"/>
        <v>1513.30504</v>
      </c>
      <c r="I427" s="235">
        <f t="shared" si="9"/>
        <v>1535.35184</v>
      </c>
      <c r="J427" s="235">
        <f t="shared" si="9"/>
        <v>22.046800000000047</v>
      </c>
      <c r="K427" s="93"/>
      <c r="L427" s="236" t="s">
        <v>199</v>
      </c>
      <c r="M427" s="236" t="s">
        <v>200</v>
      </c>
      <c r="N427" s="236" t="s">
        <v>66</v>
      </c>
      <c r="P427" s="182">
        <v>1500000</v>
      </c>
      <c r="Q427" s="182">
        <v>1513305.04</v>
      </c>
      <c r="R427" s="182">
        <v>1535351.84</v>
      </c>
      <c r="S427" s="182">
        <v>22046.800000000047</v>
      </c>
    </row>
    <row r="428" spans="1:19">
      <c r="A428" s="91" t="s">
        <v>869</v>
      </c>
      <c r="B428" s="91" t="s">
        <v>475</v>
      </c>
      <c r="C428" s="91" t="s">
        <v>1053</v>
      </c>
      <c r="D428" s="234">
        <v>1.11833</v>
      </c>
      <c r="E428" s="92">
        <v>43306</v>
      </c>
      <c r="F428" s="93"/>
      <c r="G428" s="235">
        <f t="shared" si="9"/>
        <v>1990.4240400000001</v>
      </c>
      <c r="H428" s="235">
        <f t="shared" si="9"/>
        <v>1993.49909</v>
      </c>
      <c r="I428" s="235">
        <f t="shared" si="9"/>
        <v>1990.7928700000002</v>
      </c>
      <c r="J428" s="235">
        <f t="shared" si="9"/>
        <v>-2.7062199999999721</v>
      </c>
      <c r="K428" s="93"/>
      <c r="L428" s="236" t="s">
        <v>189</v>
      </c>
      <c r="M428" s="236" t="s">
        <v>122</v>
      </c>
      <c r="N428" s="236" t="s">
        <v>63</v>
      </c>
      <c r="P428" s="182">
        <v>1990424.04</v>
      </c>
      <c r="Q428" s="182">
        <v>1993499.09</v>
      </c>
      <c r="R428" s="182">
        <v>1990792.87</v>
      </c>
      <c r="S428" s="182">
        <v>-2706.2199999999721</v>
      </c>
    </row>
    <row r="429" spans="1:19">
      <c r="A429" s="91" t="s">
        <v>1163</v>
      </c>
      <c r="B429" s="91" t="s">
        <v>1164</v>
      </c>
      <c r="C429" s="91" t="s">
        <v>1052</v>
      </c>
      <c r="D429" s="234">
        <v>5</v>
      </c>
      <c r="E429" s="92">
        <v>42901</v>
      </c>
      <c r="F429" s="93"/>
      <c r="G429" s="235">
        <f t="shared" si="9"/>
        <v>1750</v>
      </c>
      <c r="H429" s="235">
        <f t="shared" si="9"/>
        <v>1967.96657</v>
      </c>
      <c r="I429" s="235">
        <f t="shared" si="9"/>
        <v>2029.615</v>
      </c>
      <c r="J429" s="235">
        <f t="shared" si="9"/>
        <v>61.648430000000054</v>
      </c>
      <c r="K429" s="93"/>
      <c r="L429" s="236" t="s">
        <v>194</v>
      </c>
      <c r="M429" s="236" t="s">
        <v>121</v>
      </c>
      <c r="N429" s="236" t="s">
        <v>121</v>
      </c>
      <c r="P429" s="182">
        <v>1750000</v>
      </c>
      <c r="Q429" s="182">
        <v>1967966.57</v>
      </c>
      <c r="R429" s="182">
        <v>2029615</v>
      </c>
      <c r="S429" s="182">
        <v>61648.430000000051</v>
      </c>
    </row>
    <row r="430" spans="1:19">
      <c r="A430" s="91" t="s">
        <v>870</v>
      </c>
      <c r="B430" s="91" t="s">
        <v>470</v>
      </c>
      <c r="C430" s="91" t="s">
        <v>1052</v>
      </c>
      <c r="D430" s="234">
        <v>4.2519999999999998</v>
      </c>
      <c r="E430" s="92">
        <v>42370</v>
      </c>
      <c r="F430" s="93"/>
      <c r="G430" s="235">
        <f t="shared" si="9"/>
        <v>1500</v>
      </c>
      <c r="H430" s="235">
        <f t="shared" si="9"/>
        <v>1455.4985300000001</v>
      </c>
      <c r="I430" s="235">
        <f t="shared" si="9"/>
        <v>1556.04</v>
      </c>
      <c r="J430" s="235">
        <f t="shared" si="9"/>
        <v>100.54146999999998</v>
      </c>
      <c r="K430" s="93"/>
      <c r="L430" s="236" t="s">
        <v>195</v>
      </c>
      <c r="M430" s="236" t="s">
        <v>121</v>
      </c>
      <c r="N430" s="236" t="s">
        <v>65</v>
      </c>
      <c r="P430" s="182">
        <v>1500000</v>
      </c>
      <c r="Q430" s="182">
        <v>1455498.53</v>
      </c>
      <c r="R430" s="182">
        <v>1556040</v>
      </c>
      <c r="S430" s="182">
        <v>100541.46999999997</v>
      </c>
    </row>
    <row r="431" spans="1:19">
      <c r="A431" s="91" t="s">
        <v>871</v>
      </c>
      <c r="B431" s="91" t="s">
        <v>417</v>
      </c>
      <c r="C431" s="91" t="s">
        <v>1051</v>
      </c>
      <c r="D431" s="234">
        <v>3</v>
      </c>
      <c r="E431" s="92">
        <v>42128</v>
      </c>
      <c r="F431" s="93"/>
      <c r="G431" s="235">
        <f t="shared" si="9"/>
        <v>2305</v>
      </c>
      <c r="H431" s="235">
        <f t="shared" si="9"/>
        <v>2341.4094</v>
      </c>
      <c r="I431" s="235">
        <f t="shared" si="9"/>
        <v>2414.0610799999999</v>
      </c>
      <c r="J431" s="235">
        <f t="shared" si="9"/>
        <v>72.651680000000056</v>
      </c>
      <c r="K431" s="93"/>
      <c r="L431" s="236" t="s">
        <v>189</v>
      </c>
      <c r="M431" s="236" t="s">
        <v>122</v>
      </c>
      <c r="N431" s="236" t="s">
        <v>63</v>
      </c>
      <c r="P431" s="182">
        <v>2305000</v>
      </c>
      <c r="Q431" s="182">
        <v>2341409.4</v>
      </c>
      <c r="R431" s="182">
        <v>2414061.08</v>
      </c>
      <c r="S431" s="182">
        <v>72651.680000000051</v>
      </c>
    </row>
    <row r="432" spans="1:19">
      <c r="A432" s="91" t="s">
        <v>872</v>
      </c>
      <c r="B432" s="91" t="s">
        <v>343</v>
      </c>
      <c r="C432" s="91" t="s">
        <v>1052</v>
      </c>
      <c r="D432" s="234">
        <v>5</v>
      </c>
      <c r="E432" s="92">
        <v>41852</v>
      </c>
      <c r="F432" s="93"/>
      <c r="G432" s="235">
        <f t="shared" si="9"/>
        <v>1150</v>
      </c>
      <c r="H432" s="235">
        <f t="shared" si="9"/>
        <v>1262.9825600000001</v>
      </c>
      <c r="I432" s="235">
        <f t="shared" si="9"/>
        <v>1274.7175</v>
      </c>
      <c r="J432" s="235">
        <f t="shared" si="9"/>
        <v>11.734939999999945</v>
      </c>
      <c r="K432" s="93"/>
      <c r="L432" s="236" t="s">
        <v>181</v>
      </c>
      <c r="M432" s="236" t="s">
        <v>64</v>
      </c>
      <c r="N432" s="236" t="s">
        <v>64</v>
      </c>
      <c r="P432" s="182">
        <v>1150000</v>
      </c>
      <c r="Q432" s="182">
        <v>1262982.56</v>
      </c>
      <c r="R432" s="182">
        <v>1274717.5</v>
      </c>
      <c r="S432" s="182">
        <v>11734.939999999944</v>
      </c>
    </row>
    <row r="433" spans="1:19">
      <c r="A433" s="91" t="s">
        <v>873</v>
      </c>
      <c r="B433" s="91" t="s">
        <v>243</v>
      </c>
      <c r="C433" s="91" t="s">
        <v>1052</v>
      </c>
      <c r="D433" s="234">
        <v>5</v>
      </c>
      <c r="E433" s="92">
        <v>42415</v>
      </c>
      <c r="F433" s="93"/>
      <c r="G433" s="235">
        <f t="shared" si="9"/>
        <v>3000</v>
      </c>
      <c r="H433" s="235">
        <f t="shared" si="9"/>
        <v>3369.4238599999999</v>
      </c>
      <c r="I433" s="235">
        <f t="shared" si="9"/>
        <v>3481.74</v>
      </c>
      <c r="J433" s="235">
        <f t="shared" si="9"/>
        <v>112.31614000000013</v>
      </c>
      <c r="K433" s="93"/>
      <c r="L433" s="236" t="s">
        <v>179</v>
      </c>
      <c r="M433" s="236" t="s">
        <v>63</v>
      </c>
      <c r="N433" s="236" t="s">
        <v>64</v>
      </c>
      <c r="P433" s="182">
        <v>3000000</v>
      </c>
      <c r="Q433" s="182">
        <v>3369423.86</v>
      </c>
      <c r="R433" s="182">
        <v>3481740</v>
      </c>
      <c r="S433" s="182">
        <v>112316.14000000013</v>
      </c>
    </row>
    <row r="434" spans="1:19">
      <c r="A434" s="91" t="s">
        <v>874</v>
      </c>
      <c r="B434" s="91" t="s">
        <v>243</v>
      </c>
      <c r="C434" s="91" t="s">
        <v>1052</v>
      </c>
      <c r="D434" s="234">
        <v>4.8109999999999999</v>
      </c>
      <c r="E434" s="92">
        <v>41988</v>
      </c>
      <c r="F434" s="93"/>
      <c r="G434" s="235">
        <f t="shared" si="9"/>
        <v>2000</v>
      </c>
      <c r="H434" s="235">
        <f t="shared" si="9"/>
        <v>2000</v>
      </c>
      <c r="I434" s="235">
        <f t="shared" si="9"/>
        <v>2210.64</v>
      </c>
      <c r="J434" s="235">
        <f t="shared" si="9"/>
        <v>210.64</v>
      </c>
      <c r="K434" s="93"/>
      <c r="L434" s="236" t="s">
        <v>179</v>
      </c>
      <c r="M434" s="236" t="s">
        <v>63</v>
      </c>
      <c r="N434" s="236" t="s">
        <v>64</v>
      </c>
      <c r="P434" s="182">
        <v>2000000</v>
      </c>
      <c r="Q434" s="182">
        <v>2000000</v>
      </c>
      <c r="R434" s="182">
        <v>2210640</v>
      </c>
      <c r="S434" s="182">
        <v>210640</v>
      </c>
    </row>
    <row r="435" spans="1:19">
      <c r="A435" s="91" t="s">
        <v>875</v>
      </c>
      <c r="B435" s="91" t="s">
        <v>243</v>
      </c>
      <c r="C435" s="91" t="s">
        <v>1052</v>
      </c>
      <c r="D435" s="234">
        <v>5</v>
      </c>
      <c r="E435" s="92">
        <v>41988</v>
      </c>
      <c r="F435" s="93"/>
      <c r="G435" s="235">
        <f t="shared" si="9"/>
        <v>1850</v>
      </c>
      <c r="H435" s="235">
        <f t="shared" si="9"/>
        <v>2062.6701499999999</v>
      </c>
      <c r="I435" s="235">
        <f t="shared" si="9"/>
        <v>2086.7444999999998</v>
      </c>
      <c r="J435" s="235">
        <f t="shared" si="9"/>
        <v>24.074349999999978</v>
      </c>
      <c r="K435" s="93"/>
      <c r="L435" s="236" t="s">
        <v>179</v>
      </c>
      <c r="M435" s="236" t="s">
        <v>63</v>
      </c>
      <c r="N435" s="236" t="s">
        <v>64</v>
      </c>
      <c r="P435" s="182">
        <v>1850000</v>
      </c>
      <c r="Q435" s="182">
        <v>2062670.15</v>
      </c>
      <c r="R435" s="182">
        <v>2086744.5</v>
      </c>
      <c r="S435" s="182">
        <v>24074.349999999977</v>
      </c>
    </row>
    <row r="436" spans="1:19">
      <c r="A436" s="91" t="s">
        <v>876</v>
      </c>
      <c r="B436" s="91" t="s">
        <v>1165</v>
      </c>
      <c r="C436" s="91" t="s">
        <v>1052</v>
      </c>
      <c r="D436" s="234">
        <v>5</v>
      </c>
      <c r="E436" s="92">
        <v>42384</v>
      </c>
      <c r="F436" s="93"/>
      <c r="G436" s="235">
        <f t="shared" si="9"/>
        <v>4000</v>
      </c>
      <c r="H436" s="235">
        <f t="shared" si="9"/>
        <v>4471.5943200000002</v>
      </c>
      <c r="I436" s="235">
        <f t="shared" si="9"/>
        <v>4483.16</v>
      </c>
      <c r="J436" s="235">
        <f t="shared" si="9"/>
        <v>11.565679999999702</v>
      </c>
      <c r="K436" s="93"/>
      <c r="L436" s="236" t="s">
        <v>188</v>
      </c>
      <c r="M436" s="236" t="s">
        <v>171</v>
      </c>
      <c r="N436" s="236" t="s">
        <v>171</v>
      </c>
      <c r="P436" s="182">
        <v>4000000</v>
      </c>
      <c r="Q436" s="182">
        <v>4471594.32</v>
      </c>
      <c r="R436" s="182">
        <v>4483160</v>
      </c>
      <c r="S436" s="182">
        <v>11565.679999999702</v>
      </c>
    </row>
    <row r="437" spans="1:19">
      <c r="A437" s="91" t="s">
        <v>877</v>
      </c>
      <c r="B437" s="91" t="s">
        <v>440</v>
      </c>
      <c r="C437" s="91" t="s">
        <v>1052</v>
      </c>
      <c r="D437" s="234">
        <v>5</v>
      </c>
      <c r="E437" s="92">
        <v>42186</v>
      </c>
      <c r="F437" s="93"/>
      <c r="G437" s="235">
        <f t="shared" si="9"/>
        <v>1300</v>
      </c>
      <c r="H437" s="235">
        <f t="shared" si="9"/>
        <v>1448.4028900000001</v>
      </c>
      <c r="I437" s="235">
        <f t="shared" si="9"/>
        <v>1471.1579999999999</v>
      </c>
      <c r="J437" s="235">
        <f t="shared" si="9"/>
        <v>22.75510999999997</v>
      </c>
      <c r="K437" s="93"/>
      <c r="L437" s="236" t="s">
        <v>179</v>
      </c>
      <c r="M437" s="236" t="s">
        <v>171</v>
      </c>
      <c r="N437" s="236" t="s">
        <v>171</v>
      </c>
      <c r="P437" s="182">
        <v>1300000</v>
      </c>
      <c r="Q437" s="182">
        <v>1448402.8900000001</v>
      </c>
      <c r="R437" s="182">
        <v>1471158</v>
      </c>
      <c r="S437" s="182">
        <v>22755.109999999971</v>
      </c>
    </row>
    <row r="438" spans="1:19">
      <c r="A438" s="91" t="s">
        <v>1166</v>
      </c>
      <c r="B438" s="91" t="s">
        <v>1167</v>
      </c>
      <c r="C438" s="91" t="s">
        <v>1051</v>
      </c>
      <c r="D438" s="234">
        <v>4</v>
      </c>
      <c r="E438" s="92">
        <v>44484</v>
      </c>
      <c r="F438" s="93"/>
      <c r="G438" s="235">
        <f t="shared" si="9"/>
        <v>6000</v>
      </c>
      <c r="H438" s="235">
        <f t="shared" si="9"/>
        <v>6037.1239399999995</v>
      </c>
      <c r="I438" s="235">
        <f t="shared" si="9"/>
        <v>6234.6194399999995</v>
      </c>
      <c r="J438" s="235">
        <f t="shared" si="9"/>
        <v>197.49550000000036</v>
      </c>
      <c r="K438" s="93"/>
      <c r="L438" s="236" t="s">
        <v>204</v>
      </c>
      <c r="M438" s="236" t="s">
        <v>206</v>
      </c>
      <c r="N438" s="236" t="s">
        <v>206</v>
      </c>
      <c r="P438" s="182">
        <v>6000000</v>
      </c>
      <c r="Q438" s="182">
        <v>6037123.9399999995</v>
      </c>
      <c r="R438" s="182">
        <v>6234619.4399999995</v>
      </c>
      <c r="S438" s="182">
        <v>197495.50000000035</v>
      </c>
    </row>
    <row r="439" spans="1:19">
      <c r="A439" s="91" t="s">
        <v>878</v>
      </c>
      <c r="B439" s="91" t="s">
        <v>346</v>
      </c>
      <c r="C439" s="91" t="s">
        <v>1052</v>
      </c>
      <c r="D439" s="234">
        <v>4</v>
      </c>
      <c r="E439" s="92">
        <v>42278</v>
      </c>
      <c r="F439" s="93"/>
      <c r="G439" s="235">
        <f t="shared" si="9"/>
        <v>2275</v>
      </c>
      <c r="H439" s="235">
        <f t="shared" si="9"/>
        <v>2499.9400100000003</v>
      </c>
      <c r="I439" s="235">
        <f t="shared" si="9"/>
        <v>2543.1315</v>
      </c>
      <c r="J439" s="235">
        <f t="shared" si="9"/>
        <v>43.191489999999874</v>
      </c>
      <c r="K439" s="93"/>
      <c r="L439" s="236" t="s">
        <v>179</v>
      </c>
      <c r="M439" s="236" t="s">
        <v>64</v>
      </c>
      <c r="N439" s="236" t="s">
        <v>122</v>
      </c>
      <c r="P439" s="182">
        <v>2275000</v>
      </c>
      <c r="Q439" s="182">
        <v>2499940.0100000002</v>
      </c>
      <c r="R439" s="182">
        <v>2543131.5</v>
      </c>
      <c r="S439" s="182">
        <v>43191.489999999874</v>
      </c>
    </row>
    <row r="440" spans="1:19">
      <c r="A440" s="91" t="s">
        <v>879</v>
      </c>
      <c r="B440" s="91" t="s">
        <v>333</v>
      </c>
      <c r="C440" s="91" t="s">
        <v>1052</v>
      </c>
      <c r="D440" s="234">
        <v>3</v>
      </c>
      <c r="E440" s="92">
        <v>42309</v>
      </c>
      <c r="F440" s="93"/>
      <c r="G440" s="235">
        <f t="shared" si="9"/>
        <v>500</v>
      </c>
      <c r="H440" s="235">
        <f t="shared" si="9"/>
        <v>525.53383999999994</v>
      </c>
      <c r="I440" s="235">
        <f t="shared" si="9"/>
        <v>539.55999999999995</v>
      </c>
      <c r="J440" s="235">
        <f t="shared" si="9"/>
        <v>14.026160000000033</v>
      </c>
      <c r="K440" s="93"/>
      <c r="L440" s="236" t="s">
        <v>179</v>
      </c>
      <c r="M440" s="236" t="s">
        <v>64</v>
      </c>
      <c r="N440" s="236" t="s">
        <v>179</v>
      </c>
      <c r="P440" s="182">
        <v>500000</v>
      </c>
      <c r="Q440" s="182">
        <v>525533.84</v>
      </c>
      <c r="R440" s="182">
        <v>539560</v>
      </c>
      <c r="S440" s="182">
        <v>14026.160000000033</v>
      </c>
    </row>
    <row r="441" spans="1:19">
      <c r="A441" s="91" t="s">
        <v>880</v>
      </c>
      <c r="B441" s="91" t="s">
        <v>424</v>
      </c>
      <c r="C441" s="91" t="s">
        <v>1053</v>
      </c>
      <c r="D441" s="234">
        <v>0.61472000000000004</v>
      </c>
      <c r="E441" s="92">
        <v>43584</v>
      </c>
      <c r="F441" s="93"/>
      <c r="G441" s="235">
        <f t="shared" si="9"/>
        <v>3000</v>
      </c>
      <c r="H441" s="235">
        <f t="shared" si="9"/>
        <v>2986.2412199999999</v>
      </c>
      <c r="I441" s="235">
        <f t="shared" si="9"/>
        <v>2967.3335999999995</v>
      </c>
      <c r="J441" s="235">
        <f t="shared" si="9"/>
        <v>-18.907620000000112</v>
      </c>
      <c r="K441" s="93"/>
      <c r="L441" s="236" t="s">
        <v>189</v>
      </c>
      <c r="M441" s="236" t="s">
        <v>122</v>
      </c>
      <c r="N441" s="236" t="s">
        <v>63</v>
      </c>
      <c r="P441" s="182">
        <v>3000000</v>
      </c>
      <c r="Q441" s="182">
        <v>2986241.2199999997</v>
      </c>
      <c r="R441" s="182">
        <v>2967333.5999999996</v>
      </c>
      <c r="S441" s="182">
        <v>-18907.620000000112</v>
      </c>
    </row>
    <row r="442" spans="1:19">
      <c r="A442" s="91" t="s">
        <v>881</v>
      </c>
      <c r="B442" s="91" t="s">
        <v>261</v>
      </c>
      <c r="C442" s="91" t="s">
        <v>1051</v>
      </c>
      <c r="D442" s="234">
        <v>5</v>
      </c>
      <c r="E442" s="92">
        <v>41244</v>
      </c>
      <c r="F442" s="93"/>
      <c r="G442" s="235">
        <f t="shared" si="9"/>
        <v>3000</v>
      </c>
      <c r="H442" s="235">
        <f t="shared" si="9"/>
        <v>2936.7517900000003</v>
      </c>
      <c r="I442" s="235">
        <f t="shared" si="9"/>
        <v>3116.33538</v>
      </c>
      <c r="J442" s="235">
        <f t="shared" si="9"/>
        <v>179.58358999999984</v>
      </c>
      <c r="K442" s="93"/>
      <c r="L442" s="236" t="s">
        <v>183</v>
      </c>
      <c r="M442" s="236" t="s">
        <v>65</v>
      </c>
      <c r="N442" s="236" t="s">
        <v>179</v>
      </c>
      <c r="P442" s="182">
        <v>3000000</v>
      </c>
      <c r="Q442" s="182">
        <v>2936751.79</v>
      </c>
      <c r="R442" s="182">
        <v>3116335.38</v>
      </c>
      <c r="S442" s="182">
        <v>179583.58999999985</v>
      </c>
    </row>
    <row r="443" spans="1:19">
      <c r="A443" s="91" t="s">
        <v>882</v>
      </c>
      <c r="B443" s="91" t="s">
        <v>261</v>
      </c>
      <c r="C443" s="91" t="s">
        <v>1051</v>
      </c>
      <c r="D443" s="234">
        <v>5.85</v>
      </c>
      <c r="E443" s="92">
        <v>43252</v>
      </c>
      <c r="F443" s="93"/>
      <c r="G443" s="235">
        <f t="shared" si="9"/>
        <v>1500</v>
      </c>
      <c r="H443" s="235">
        <f t="shared" si="9"/>
        <v>1717.5039400000001</v>
      </c>
      <c r="I443" s="235">
        <f t="shared" si="9"/>
        <v>1784.0576999999998</v>
      </c>
      <c r="J443" s="235">
        <f t="shared" si="9"/>
        <v>66.553760000000011</v>
      </c>
      <c r="K443" s="93"/>
      <c r="L443" s="236" t="s">
        <v>183</v>
      </c>
      <c r="M443" s="236" t="s">
        <v>65</v>
      </c>
      <c r="N443" s="236" t="s">
        <v>179</v>
      </c>
      <c r="P443" s="182">
        <v>1500000</v>
      </c>
      <c r="Q443" s="182">
        <v>1717503.94</v>
      </c>
      <c r="R443" s="182">
        <v>1784057.7</v>
      </c>
      <c r="S443" s="182">
        <v>66553.760000000009</v>
      </c>
    </row>
    <row r="444" spans="1:19">
      <c r="A444" s="91" t="s">
        <v>883</v>
      </c>
      <c r="B444" s="91" t="s">
        <v>324</v>
      </c>
      <c r="C444" s="91" t="s">
        <v>1052</v>
      </c>
      <c r="D444" s="234">
        <v>4</v>
      </c>
      <c r="E444" s="92">
        <v>42552</v>
      </c>
      <c r="F444" s="93"/>
      <c r="G444" s="235">
        <f t="shared" si="9"/>
        <v>700</v>
      </c>
      <c r="H444" s="235">
        <f t="shared" si="9"/>
        <v>770.71837000000005</v>
      </c>
      <c r="I444" s="235">
        <f t="shared" si="9"/>
        <v>789.6</v>
      </c>
      <c r="J444" s="235">
        <f t="shared" si="9"/>
        <v>18.881630000000005</v>
      </c>
      <c r="K444" s="93"/>
      <c r="L444" s="236" t="s">
        <v>179</v>
      </c>
      <c r="M444" s="236" t="s">
        <v>64</v>
      </c>
      <c r="N444" s="236" t="s">
        <v>64</v>
      </c>
      <c r="P444" s="182">
        <v>700000</v>
      </c>
      <c r="Q444" s="182">
        <v>770718.37</v>
      </c>
      <c r="R444" s="182">
        <v>789600</v>
      </c>
      <c r="S444" s="182">
        <v>18881.630000000005</v>
      </c>
    </row>
    <row r="445" spans="1:19">
      <c r="A445" s="91" t="s">
        <v>884</v>
      </c>
      <c r="B445" s="91" t="s">
        <v>325</v>
      </c>
      <c r="C445" s="91" t="s">
        <v>1052</v>
      </c>
      <c r="D445" s="234">
        <v>4</v>
      </c>
      <c r="E445" s="92">
        <v>42278</v>
      </c>
      <c r="F445" s="93"/>
      <c r="G445" s="235">
        <f t="shared" si="9"/>
        <v>815</v>
      </c>
      <c r="H445" s="235">
        <f t="shared" si="9"/>
        <v>887.44412</v>
      </c>
      <c r="I445" s="235">
        <f t="shared" si="9"/>
        <v>892.81619999999998</v>
      </c>
      <c r="J445" s="235">
        <f t="shared" si="9"/>
        <v>5.3720800000000164</v>
      </c>
      <c r="K445" s="93"/>
      <c r="L445" s="236" t="s">
        <v>188</v>
      </c>
      <c r="M445" s="236" t="s">
        <v>171</v>
      </c>
      <c r="N445" s="236" t="s">
        <v>179</v>
      </c>
      <c r="P445" s="182">
        <v>815000</v>
      </c>
      <c r="Q445" s="182">
        <v>887444.12</v>
      </c>
      <c r="R445" s="182">
        <v>892816.2</v>
      </c>
      <c r="S445" s="182">
        <v>5372.0800000000163</v>
      </c>
    </row>
    <row r="446" spans="1:19">
      <c r="A446" s="91" t="s">
        <v>885</v>
      </c>
      <c r="B446" s="91" t="s">
        <v>325</v>
      </c>
      <c r="C446" s="91" t="s">
        <v>1052</v>
      </c>
      <c r="D446" s="234">
        <v>4</v>
      </c>
      <c r="E446" s="92">
        <v>42644</v>
      </c>
      <c r="F446" s="93"/>
      <c r="G446" s="235">
        <f t="shared" si="9"/>
        <v>930</v>
      </c>
      <c r="H446" s="235">
        <f t="shared" si="9"/>
        <v>1019.5994600000001</v>
      </c>
      <c r="I446" s="235">
        <f t="shared" si="9"/>
        <v>1032.8673000000001</v>
      </c>
      <c r="J446" s="235">
        <f t="shared" si="9"/>
        <v>13.267839999999968</v>
      </c>
      <c r="K446" s="93"/>
      <c r="L446" s="236" t="s">
        <v>188</v>
      </c>
      <c r="M446" s="236" t="s">
        <v>171</v>
      </c>
      <c r="N446" s="236" t="s">
        <v>179</v>
      </c>
      <c r="P446" s="182">
        <v>930000</v>
      </c>
      <c r="Q446" s="182">
        <v>1019599.4600000001</v>
      </c>
      <c r="R446" s="182">
        <v>1032867.3</v>
      </c>
      <c r="S446" s="182">
        <v>13267.839999999967</v>
      </c>
    </row>
    <row r="447" spans="1:19">
      <c r="A447" s="91" t="s">
        <v>886</v>
      </c>
      <c r="B447" s="91" t="s">
        <v>444</v>
      </c>
      <c r="C447" s="91" t="s">
        <v>1053</v>
      </c>
      <c r="D447" s="234">
        <v>5.12</v>
      </c>
      <c r="E447" s="92">
        <v>41998</v>
      </c>
      <c r="F447" s="93"/>
      <c r="G447" s="235">
        <f t="shared" si="9"/>
        <v>2320</v>
      </c>
      <c r="H447" s="235">
        <f t="shared" si="9"/>
        <v>2321.3022500000002</v>
      </c>
      <c r="I447" s="235">
        <f t="shared" si="9"/>
        <v>2387.6795000000002</v>
      </c>
      <c r="J447" s="235">
        <f t="shared" si="9"/>
        <v>66.377250000000004</v>
      </c>
      <c r="K447" s="93"/>
      <c r="L447" s="236" t="s">
        <v>189</v>
      </c>
      <c r="M447" s="236" t="s">
        <v>63</v>
      </c>
      <c r="N447" s="236" t="s">
        <v>63</v>
      </c>
      <c r="P447" s="182">
        <v>2320000</v>
      </c>
      <c r="Q447" s="182">
        <v>2321302.25</v>
      </c>
      <c r="R447" s="182">
        <v>2387679.5</v>
      </c>
      <c r="S447" s="182">
        <v>66377.25</v>
      </c>
    </row>
    <row r="448" spans="1:19">
      <c r="A448" s="91" t="s">
        <v>1168</v>
      </c>
      <c r="B448" s="91" t="s">
        <v>1169</v>
      </c>
      <c r="C448" s="91" t="s">
        <v>1051</v>
      </c>
      <c r="D448" s="234">
        <v>6.75</v>
      </c>
      <c r="E448" s="92">
        <v>54633</v>
      </c>
      <c r="F448" s="93"/>
      <c r="G448" s="235">
        <f t="shared" si="9"/>
        <v>1279</v>
      </c>
      <c r="H448" s="235">
        <f t="shared" si="9"/>
        <v>1247.0250000000001</v>
      </c>
      <c r="I448" s="235">
        <f t="shared" si="9"/>
        <v>1250.7724699999999</v>
      </c>
      <c r="J448" s="235">
        <f t="shared" si="9"/>
        <v>3.7474699999999719</v>
      </c>
      <c r="K448" s="93"/>
      <c r="L448" s="236" t="s">
        <v>332</v>
      </c>
      <c r="M448" s="236" t="s">
        <v>66</v>
      </c>
      <c r="N448" s="236" t="s">
        <v>206</v>
      </c>
      <c r="P448" s="182">
        <v>1279000</v>
      </c>
      <c r="Q448" s="182">
        <v>1247025</v>
      </c>
      <c r="R448" s="182">
        <v>1250772.47</v>
      </c>
      <c r="S448" s="182">
        <v>3747.4699999999721</v>
      </c>
    </row>
    <row r="449" spans="1:19">
      <c r="A449" s="91" t="s">
        <v>887</v>
      </c>
      <c r="B449" s="91" t="s">
        <v>428</v>
      </c>
      <c r="C449" s="91" t="s">
        <v>1051</v>
      </c>
      <c r="D449" s="234">
        <v>4.875</v>
      </c>
      <c r="E449" s="92">
        <v>42999</v>
      </c>
      <c r="F449" s="93"/>
      <c r="G449" s="235">
        <f t="shared" si="9"/>
        <v>5000</v>
      </c>
      <c r="H449" s="235">
        <f t="shared" si="9"/>
        <v>5203.3242799999998</v>
      </c>
      <c r="I449" s="235">
        <f t="shared" si="9"/>
        <v>5263.4708600000004</v>
      </c>
      <c r="J449" s="235">
        <f t="shared" si="9"/>
        <v>60.146579999999787</v>
      </c>
      <c r="K449" s="93"/>
      <c r="L449" s="236" t="s">
        <v>195</v>
      </c>
      <c r="M449" s="236" t="s">
        <v>206</v>
      </c>
      <c r="N449" s="236" t="s">
        <v>65</v>
      </c>
      <c r="P449" s="182">
        <v>5000000</v>
      </c>
      <c r="Q449" s="182">
        <v>5203324.28</v>
      </c>
      <c r="R449" s="182">
        <v>5263470.8600000003</v>
      </c>
      <c r="S449" s="182">
        <v>60146.579999999783</v>
      </c>
    </row>
    <row r="450" spans="1:19">
      <c r="A450" s="91" t="s">
        <v>888</v>
      </c>
      <c r="B450" s="91" t="s">
        <v>408</v>
      </c>
      <c r="C450" s="91" t="s">
        <v>1053</v>
      </c>
      <c r="D450" s="234">
        <v>6.61</v>
      </c>
      <c r="E450" s="92">
        <v>42170</v>
      </c>
      <c r="F450" s="93"/>
      <c r="G450" s="235">
        <f t="shared" si="9"/>
        <v>3361.2846400000003</v>
      </c>
      <c r="H450" s="235">
        <f t="shared" si="9"/>
        <v>3398.2440599999995</v>
      </c>
      <c r="I450" s="235">
        <f t="shared" si="9"/>
        <v>3522.0155499999996</v>
      </c>
      <c r="J450" s="235">
        <f t="shared" si="9"/>
        <v>123.77149000000023</v>
      </c>
      <c r="K450" s="93"/>
      <c r="L450" s="236" t="s">
        <v>189</v>
      </c>
      <c r="M450" s="236" t="s">
        <v>63</v>
      </c>
      <c r="N450" s="236" t="s">
        <v>63</v>
      </c>
      <c r="P450" s="182">
        <v>3361284.64</v>
      </c>
      <c r="Q450" s="182">
        <v>3398244.0599999996</v>
      </c>
      <c r="R450" s="182">
        <v>3522015.55</v>
      </c>
      <c r="S450" s="182">
        <v>123771.49000000022</v>
      </c>
    </row>
    <row r="451" spans="1:19">
      <c r="A451" s="91" t="s">
        <v>889</v>
      </c>
      <c r="B451" s="91" t="s">
        <v>408</v>
      </c>
      <c r="C451" s="91" t="s">
        <v>1053</v>
      </c>
      <c r="D451" s="234">
        <v>6.75</v>
      </c>
      <c r="E451" s="92">
        <v>42536</v>
      </c>
      <c r="F451" s="93"/>
      <c r="G451" s="235">
        <f t="shared" si="9"/>
        <v>1000</v>
      </c>
      <c r="H451" s="235">
        <f t="shared" si="9"/>
        <v>1031.1452099999999</v>
      </c>
      <c r="I451" s="235">
        <f t="shared" si="9"/>
        <v>1121.36024</v>
      </c>
      <c r="J451" s="235">
        <f t="shared" si="9"/>
        <v>90.215030000000027</v>
      </c>
      <c r="K451" s="93"/>
      <c r="L451" s="236" t="s">
        <v>189</v>
      </c>
      <c r="M451" s="236" t="s">
        <v>63</v>
      </c>
      <c r="N451" s="236" t="s">
        <v>63</v>
      </c>
      <c r="P451" s="182">
        <v>1000000</v>
      </c>
      <c r="Q451" s="182">
        <v>1031145.21</v>
      </c>
      <c r="R451" s="182">
        <v>1121360.24</v>
      </c>
      <c r="S451" s="182">
        <v>90215.030000000028</v>
      </c>
    </row>
    <row r="452" spans="1:19">
      <c r="A452" s="91" t="s">
        <v>147</v>
      </c>
      <c r="B452" s="91" t="s">
        <v>462</v>
      </c>
      <c r="C452" s="91" t="s">
        <v>1053</v>
      </c>
      <c r="D452" s="234">
        <v>0.79359999999999997</v>
      </c>
      <c r="E452" s="92">
        <v>49393</v>
      </c>
      <c r="F452" s="93"/>
      <c r="G452" s="235">
        <f t="shared" si="9"/>
        <v>4000</v>
      </c>
      <c r="H452" s="235">
        <f t="shared" si="9"/>
        <v>4000</v>
      </c>
      <c r="I452" s="235">
        <f t="shared" si="9"/>
        <v>3016.308</v>
      </c>
      <c r="J452" s="235">
        <f t="shared" si="9"/>
        <v>-983.69200000000001</v>
      </c>
      <c r="K452" s="93"/>
      <c r="L452" s="236" t="s">
        <v>181</v>
      </c>
      <c r="M452" s="236" t="s">
        <v>64</v>
      </c>
      <c r="N452" s="236" t="s">
        <v>67</v>
      </c>
      <c r="P452" s="182">
        <v>4000000</v>
      </c>
      <c r="Q452" s="182">
        <v>4000000</v>
      </c>
      <c r="R452" s="182">
        <v>3016308</v>
      </c>
      <c r="S452" s="182">
        <v>-983692</v>
      </c>
    </row>
    <row r="453" spans="1:19">
      <c r="A453" s="91" t="s">
        <v>890</v>
      </c>
      <c r="B453" s="91" t="s">
        <v>312</v>
      </c>
      <c r="C453" s="91" t="s">
        <v>1051</v>
      </c>
      <c r="D453" s="234">
        <v>6.2</v>
      </c>
      <c r="E453" s="92">
        <v>43539</v>
      </c>
      <c r="F453" s="93"/>
      <c r="G453" s="235">
        <f t="shared" si="9"/>
        <v>20</v>
      </c>
      <c r="H453" s="235">
        <f t="shared" si="9"/>
        <v>23.064509999999999</v>
      </c>
      <c r="I453" s="235">
        <f t="shared" si="9"/>
        <v>24.74136</v>
      </c>
      <c r="J453" s="235">
        <f t="shared" ref="J453:J516" si="10">S453/1000</f>
        <v>1.6768500000000022</v>
      </c>
      <c r="K453" s="93"/>
      <c r="L453" s="236" t="s">
        <v>194</v>
      </c>
      <c r="M453" s="236" t="s">
        <v>64</v>
      </c>
      <c r="N453" s="236" t="s">
        <v>121</v>
      </c>
      <c r="P453" s="182">
        <v>20000</v>
      </c>
      <c r="Q453" s="182">
        <v>23064.51</v>
      </c>
      <c r="R453" s="182">
        <v>24741.360000000001</v>
      </c>
      <c r="S453" s="182">
        <v>1676.8500000000022</v>
      </c>
    </row>
    <row r="454" spans="1:19">
      <c r="A454" s="91" t="s">
        <v>891</v>
      </c>
      <c r="B454" s="91" t="s">
        <v>1170</v>
      </c>
      <c r="C454" s="91" t="s">
        <v>1052</v>
      </c>
      <c r="D454" s="234">
        <v>5</v>
      </c>
      <c r="E454" s="92">
        <v>41805</v>
      </c>
      <c r="F454" s="93"/>
      <c r="G454" s="235">
        <f t="shared" ref="G454:J517" si="11">P454/1000</f>
        <v>685</v>
      </c>
      <c r="H454" s="235">
        <f t="shared" si="11"/>
        <v>728.90685999999994</v>
      </c>
      <c r="I454" s="235">
        <f t="shared" si="11"/>
        <v>733.66240000000005</v>
      </c>
      <c r="J454" s="235">
        <f t="shared" si="10"/>
        <v>4.7555400000000372</v>
      </c>
      <c r="K454" s="93"/>
      <c r="L454" s="236" t="s">
        <v>183</v>
      </c>
      <c r="M454" s="236" t="s">
        <v>121</v>
      </c>
      <c r="N454" s="236" t="s">
        <v>65</v>
      </c>
      <c r="P454" s="182">
        <v>685000</v>
      </c>
      <c r="Q454" s="182">
        <v>728906.86</v>
      </c>
      <c r="R454" s="182">
        <v>733662.4</v>
      </c>
      <c r="S454" s="182">
        <v>4755.5400000000373</v>
      </c>
    </row>
    <row r="455" spans="1:19">
      <c r="A455" s="91" t="s">
        <v>892</v>
      </c>
      <c r="B455" s="91" t="s">
        <v>351</v>
      </c>
      <c r="C455" s="91" t="s">
        <v>1052</v>
      </c>
      <c r="D455" s="234">
        <v>3</v>
      </c>
      <c r="E455" s="92">
        <v>42536</v>
      </c>
      <c r="F455" s="93"/>
      <c r="G455" s="235">
        <f t="shared" si="11"/>
        <v>2195</v>
      </c>
      <c r="H455" s="235">
        <f t="shared" si="11"/>
        <v>2264.4047</v>
      </c>
      <c r="I455" s="235">
        <f t="shared" si="11"/>
        <v>2329.3339999999998</v>
      </c>
      <c r="J455" s="235">
        <f t="shared" si="10"/>
        <v>64.929299999999813</v>
      </c>
      <c r="K455" s="93"/>
      <c r="L455" s="236" t="s">
        <v>188</v>
      </c>
      <c r="M455" s="236" t="s">
        <v>171</v>
      </c>
      <c r="N455" s="236" t="s">
        <v>121</v>
      </c>
      <c r="P455" s="182">
        <v>2195000</v>
      </c>
      <c r="Q455" s="182">
        <v>2264404.7000000002</v>
      </c>
      <c r="R455" s="182">
        <v>2329334</v>
      </c>
      <c r="S455" s="182">
        <v>64929.299999999814</v>
      </c>
    </row>
    <row r="456" spans="1:19">
      <c r="A456" s="91" t="s">
        <v>1171</v>
      </c>
      <c r="B456" s="91" t="s">
        <v>1172</v>
      </c>
      <c r="C456" s="91" t="s">
        <v>1052</v>
      </c>
      <c r="D456" s="234">
        <v>5</v>
      </c>
      <c r="E456" s="92">
        <v>42917</v>
      </c>
      <c r="F456" s="93"/>
      <c r="G456" s="235">
        <f t="shared" si="11"/>
        <v>1000</v>
      </c>
      <c r="H456" s="235">
        <f t="shared" si="11"/>
        <v>1150.4279199999999</v>
      </c>
      <c r="I456" s="235">
        <f t="shared" si="11"/>
        <v>1174.96</v>
      </c>
      <c r="J456" s="235">
        <f t="shared" si="10"/>
        <v>24.532080000000075</v>
      </c>
      <c r="K456" s="93"/>
      <c r="L456" s="236" t="s">
        <v>179</v>
      </c>
      <c r="M456" s="236" t="s">
        <v>121</v>
      </c>
      <c r="N456" s="236" t="s">
        <v>171</v>
      </c>
      <c r="P456" s="182">
        <v>1000000</v>
      </c>
      <c r="Q456" s="182">
        <v>1150427.92</v>
      </c>
      <c r="R456" s="182">
        <v>1174960</v>
      </c>
      <c r="S456" s="182">
        <v>24532.080000000075</v>
      </c>
    </row>
    <row r="457" spans="1:19">
      <c r="A457" s="91" t="s">
        <v>893</v>
      </c>
      <c r="B457" s="91" t="s">
        <v>244</v>
      </c>
      <c r="C457" s="91" t="s">
        <v>1051</v>
      </c>
      <c r="D457" s="234">
        <v>4.75</v>
      </c>
      <c r="E457" s="92">
        <v>42384</v>
      </c>
      <c r="F457" s="93"/>
      <c r="G457" s="235">
        <f t="shared" si="11"/>
        <v>1500</v>
      </c>
      <c r="H457" s="235">
        <f t="shared" si="11"/>
        <v>1460.3322700000001</v>
      </c>
      <c r="I457" s="235">
        <f t="shared" si="11"/>
        <v>1542.1514999999999</v>
      </c>
      <c r="J457" s="235">
        <f t="shared" si="10"/>
        <v>81.819229999999976</v>
      </c>
      <c r="K457" s="93"/>
      <c r="L457" s="236" t="s">
        <v>183</v>
      </c>
      <c r="M457" s="236" t="s">
        <v>200</v>
      </c>
      <c r="N457" s="236" t="s">
        <v>200</v>
      </c>
      <c r="P457" s="182">
        <v>1500000</v>
      </c>
      <c r="Q457" s="182">
        <v>1460332.27</v>
      </c>
      <c r="R457" s="182">
        <v>1542151.5</v>
      </c>
      <c r="S457" s="182">
        <v>81819.229999999981</v>
      </c>
    </row>
    <row r="458" spans="1:19">
      <c r="A458" s="91" t="s">
        <v>894</v>
      </c>
      <c r="B458" s="91" t="s">
        <v>465</v>
      </c>
      <c r="C458" s="91" t="s">
        <v>1051</v>
      </c>
      <c r="D458" s="234">
        <v>5.875</v>
      </c>
      <c r="E458" s="92">
        <v>42597</v>
      </c>
      <c r="F458" s="93"/>
      <c r="G458" s="235">
        <f t="shared" si="11"/>
        <v>3975</v>
      </c>
      <c r="H458" s="235">
        <f t="shared" si="11"/>
        <v>4337.2458399999996</v>
      </c>
      <c r="I458" s="235">
        <f t="shared" si="11"/>
        <v>4525.426199999999</v>
      </c>
      <c r="J458" s="235">
        <f t="shared" si="10"/>
        <v>188.18036000000035</v>
      </c>
      <c r="K458" s="93"/>
      <c r="L458" s="236" t="s">
        <v>332</v>
      </c>
      <c r="M458" s="236" t="s">
        <v>208</v>
      </c>
      <c r="N458" s="236" t="s">
        <v>179</v>
      </c>
      <c r="P458" s="182">
        <v>3975000</v>
      </c>
      <c r="Q458" s="182">
        <v>4337245.84</v>
      </c>
      <c r="R458" s="182">
        <v>4525426.1999999993</v>
      </c>
      <c r="S458" s="182">
        <v>188180.36000000034</v>
      </c>
    </row>
    <row r="459" spans="1:19">
      <c r="A459" s="91" t="s">
        <v>895</v>
      </c>
      <c r="B459" s="91" t="s">
        <v>393</v>
      </c>
      <c r="C459" s="91" t="s">
        <v>1051</v>
      </c>
      <c r="D459" s="234">
        <v>0.70374999999999999</v>
      </c>
      <c r="E459" s="92">
        <v>41086</v>
      </c>
      <c r="F459" s="93"/>
      <c r="G459" s="235">
        <f t="shared" si="11"/>
        <v>8000</v>
      </c>
      <c r="H459" s="235">
        <f t="shared" si="11"/>
        <v>7762.8123199999991</v>
      </c>
      <c r="I459" s="235">
        <f t="shared" si="11"/>
        <v>7972.88</v>
      </c>
      <c r="J459" s="235">
        <f t="shared" si="10"/>
        <v>210.06767999999971</v>
      </c>
      <c r="K459" s="93"/>
      <c r="L459" s="236" t="s">
        <v>183</v>
      </c>
      <c r="M459" s="236" t="s">
        <v>171</v>
      </c>
      <c r="N459" s="236" t="s">
        <v>121</v>
      </c>
      <c r="P459" s="182">
        <v>8000000</v>
      </c>
      <c r="Q459" s="182">
        <v>7762812.3199999994</v>
      </c>
      <c r="R459" s="182">
        <v>7972880</v>
      </c>
      <c r="S459" s="182">
        <v>210067.6799999997</v>
      </c>
    </row>
    <row r="460" spans="1:19">
      <c r="A460" s="91" t="s">
        <v>1173</v>
      </c>
      <c r="B460" s="91" t="s">
        <v>1174</v>
      </c>
      <c r="C460" s="91" t="s">
        <v>1051</v>
      </c>
      <c r="D460" s="234">
        <v>8.875</v>
      </c>
      <c r="E460" s="92">
        <v>43600</v>
      </c>
      <c r="F460" s="93"/>
      <c r="G460" s="235">
        <f t="shared" si="11"/>
        <v>4000</v>
      </c>
      <c r="H460" s="235">
        <f t="shared" si="11"/>
        <v>4887.8456000000006</v>
      </c>
      <c r="I460" s="235">
        <f t="shared" si="11"/>
        <v>4939.0124499999993</v>
      </c>
      <c r="J460" s="235">
        <f t="shared" si="10"/>
        <v>51.166850000000096</v>
      </c>
      <c r="K460" s="93"/>
      <c r="L460" s="236" t="s">
        <v>195</v>
      </c>
      <c r="M460" s="236" t="s">
        <v>66</v>
      </c>
      <c r="N460" s="236" t="s">
        <v>206</v>
      </c>
      <c r="P460" s="182">
        <v>4000000</v>
      </c>
      <c r="Q460" s="182">
        <v>4887845.6000000006</v>
      </c>
      <c r="R460" s="182">
        <v>4939012.4499999993</v>
      </c>
      <c r="S460" s="182">
        <v>51166.850000000093</v>
      </c>
    </row>
    <row r="461" spans="1:19">
      <c r="A461" s="91" t="s">
        <v>1175</v>
      </c>
      <c r="B461" s="91" t="s">
        <v>1176</v>
      </c>
      <c r="C461" s="91" t="s">
        <v>1051</v>
      </c>
      <c r="D461" s="234">
        <v>3.75</v>
      </c>
      <c r="E461" s="92">
        <v>44431</v>
      </c>
      <c r="F461" s="93"/>
      <c r="G461" s="235">
        <f t="shared" si="11"/>
        <v>700</v>
      </c>
      <c r="H461" s="235">
        <f t="shared" si="11"/>
        <v>705.97997999999995</v>
      </c>
      <c r="I461" s="235">
        <f t="shared" si="11"/>
        <v>724.43196</v>
      </c>
      <c r="J461" s="235">
        <f t="shared" si="10"/>
        <v>18.451979999999981</v>
      </c>
      <c r="K461" s="93"/>
      <c r="L461" s="236" t="s">
        <v>194</v>
      </c>
      <c r="M461" s="236" t="s">
        <v>121</v>
      </c>
      <c r="N461" s="236" t="s">
        <v>65</v>
      </c>
      <c r="P461" s="182">
        <v>700000</v>
      </c>
      <c r="Q461" s="182">
        <v>705979.98</v>
      </c>
      <c r="R461" s="182">
        <v>724431.96</v>
      </c>
      <c r="S461" s="182">
        <v>18451.979999999981</v>
      </c>
    </row>
    <row r="462" spans="1:19">
      <c r="A462" s="91" t="s">
        <v>1006</v>
      </c>
      <c r="B462" s="91" t="s">
        <v>1007</v>
      </c>
      <c r="C462" s="91" t="s">
        <v>1051</v>
      </c>
      <c r="D462" s="234">
        <v>3.2</v>
      </c>
      <c r="E462" s="92">
        <v>42461</v>
      </c>
      <c r="F462" s="93"/>
      <c r="G462" s="235">
        <f t="shared" si="11"/>
        <v>5000</v>
      </c>
      <c r="H462" s="235">
        <f t="shared" si="11"/>
        <v>5111.2929999999997</v>
      </c>
      <c r="I462" s="235">
        <f t="shared" si="11"/>
        <v>5177.0649999999996</v>
      </c>
      <c r="J462" s="235">
        <f t="shared" si="10"/>
        <v>65.772000000000233</v>
      </c>
      <c r="K462" s="93"/>
      <c r="L462" s="236" t="s">
        <v>199</v>
      </c>
      <c r="M462" s="236" t="s">
        <v>200</v>
      </c>
      <c r="N462" s="236" t="s">
        <v>200</v>
      </c>
      <c r="P462" s="182">
        <v>5000000</v>
      </c>
      <c r="Q462" s="182">
        <v>5111293</v>
      </c>
      <c r="R462" s="182">
        <v>5177065</v>
      </c>
      <c r="S462" s="182">
        <v>65772.000000000233</v>
      </c>
    </row>
    <row r="463" spans="1:19">
      <c r="A463" s="91" t="s">
        <v>896</v>
      </c>
      <c r="B463" s="91" t="s">
        <v>448</v>
      </c>
      <c r="C463" s="91" t="s">
        <v>1054</v>
      </c>
      <c r="D463" s="234">
        <v>6.0074529999999999</v>
      </c>
      <c r="E463" s="92">
        <v>54773</v>
      </c>
      <c r="F463" s="93"/>
      <c r="G463" s="235">
        <f t="shared" si="11"/>
        <v>2000</v>
      </c>
      <c r="H463" s="235">
        <f t="shared" si="11"/>
        <v>2142.37021</v>
      </c>
      <c r="I463" s="235">
        <f t="shared" si="11"/>
        <v>2242.152</v>
      </c>
      <c r="J463" s="235">
        <f t="shared" si="10"/>
        <v>99.781790000000044</v>
      </c>
      <c r="K463" s="93"/>
      <c r="L463" s="236" t="s">
        <v>189</v>
      </c>
      <c r="M463" s="236" t="s">
        <v>179</v>
      </c>
      <c r="N463" s="236" t="s">
        <v>179</v>
      </c>
      <c r="P463" s="182">
        <v>2000000</v>
      </c>
      <c r="Q463" s="182">
        <v>2142370.21</v>
      </c>
      <c r="R463" s="182">
        <v>2242152</v>
      </c>
      <c r="S463" s="182">
        <v>99781.790000000037</v>
      </c>
    </row>
    <row r="464" spans="1:19">
      <c r="A464" s="91" t="s">
        <v>897</v>
      </c>
      <c r="B464" s="91" t="s">
        <v>448</v>
      </c>
      <c r="C464" s="91" t="s">
        <v>1054</v>
      </c>
      <c r="D464" s="234">
        <v>5.3049999999999997</v>
      </c>
      <c r="E464" s="92">
        <v>54439</v>
      </c>
      <c r="F464" s="93"/>
      <c r="G464" s="235">
        <f t="shared" si="11"/>
        <v>875.3374399999999</v>
      </c>
      <c r="H464" s="235">
        <f t="shared" si="11"/>
        <v>876.16251999999997</v>
      </c>
      <c r="I464" s="235">
        <f t="shared" si="11"/>
        <v>874.79472999999996</v>
      </c>
      <c r="J464" s="235">
        <f t="shared" si="10"/>
        <v>-1.3677900000000371</v>
      </c>
      <c r="K464" s="93"/>
      <c r="L464" s="236" t="s">
        <v>189</v>
      </c>
      <c r="M464" s="236" t="s">
        <v>179</v>
      </c>
      <c r="N464" s="236" t="s">
        <v>179</v>
      </c>
      <c r="P464" s="182">
        <v>875337.44</v>
      </c>
      <c r="Q464" s="182">
        <v>876162.52</v>
      </c>
      <c r="R464" s="182">
        <v>874794.73</v>
      </c>
      <c r="S464" s="182">
        <v>-1367.7900000000373</v>
      </c>
    </row>
    <row r="465" spans="1:19">
      <c r="A465" s="91" t="s">
        <v>898</v>
      </c>
      <c r="B465" s="91" t="s">
        <v>326</v>
      </c>
      <c r="C465" s="91" t="s">
        <v>1055</v>
      </c>
      <c r="D465" s="234">
        <v>11</v>
      </c>
      <c r="E465" s="92">
        <v>43645</v>
      </c>
      <c r="F465" s="93"/>
      <c r="G465" s="235">
        <f t="shared" si="11"/>
        <v>6700</v>
      </c>
      <c r="H465" s="235">
        <f t="shared" si="11"/>
        <v>8678.625</v>
      </c>
      <c r="I465" s="235">
        <f t="shared" si="11"/>
        <v>7839</v>
      </c>
      <c r="J465" s="235">
        <f t="shared" si="10"/>
        <v>-839.625</v>
      </c>
      <c r="K465" s="93"/>
      <c r="L465" s="236" t="s">
        <v>183</v>
      </c>
      <c r="M465" s="236" t="s">
        <v>65</v>
      </c>
      <c r="N465" s="236" t="s">
        <v>121</v>
      </c>
      <c r="P465" s="182">
        <v>6700000</v>
      </c>
      <c r="Q465" s="182">
        <v>8678625</v>
      </c>
      <c r="R465" s="182">
        <v>7839000</v>
      </c>
      <c r="S465" s="182">
        <v>-839625</v>
      </c>
    </row>
    <row r="466" spans="1:19">
      <c r="A466" s="91" t="s">
        <v>1016</v>
      </c>
      <c r="B466" s="91" t="s">
        <v>1017</v>
      </c>
      <c r="C466" s="91" t="s">
        <v>1051</v>
      </c>
      <c r="D466" s="234">
        <v>3.125</v>
      </c>
      <c r="E466" s="92">
        <v>44119</v>
      </c>
      <c r="F466" s="93"/>
      <c r="G466" s="235">
        <f t="shared" si="11"/>
        <v>5000</v>
      </c>
      <c r="H466" s="235">
        <f t="shared" si="11"/>
        <v>4700.1544999999996</v>
      </c>
      <c r="I466" s="235">
        <f t="shared" si="11"/>
        <v>5038.93</v>
      </c>
      <c r="J466" s="235">
        <f t="shared" si="10"/>
        <v>338.77549999999991</v>
      </c>
      <c r="K466" s="93"/>
      <c r="L466" s="236" t="s">
        <v>195</v>
      </c>
      <c r="M466" s="236" t="s">
        <v>206</v>
      </c>
      <c r="N466" s="236" t="s">
        <v>206</v>
      </c>
      <c r="P466" s="182">
        <v>5000000</v>
      </c>
      <c r="Q466" s="182">
        <v>4700154.5</v>
      </c>
      <c r="R466" s="182">
        <v>5038930</v>
      </c>
      <c r="S466" s="182">
        <v>338775.49999999988</v>
      </c>
    </row>
    <row r="467" spans="1:19">
      <c r="A467" s="91" t="s">
        <v>899</v>
      </c>
      <c r="B467" s="91" t="s">
        <v>466</v>
      </c>
      <c r="C467" s="91" t="s">
        <v>1056</v>
      </c>
      <c r="D467" s="234">
        <v>7.43</v>
      </c>
      <c r="E467" s="92">
        <v>45108</v>
      </c>
      <c r="F467" s="93"/>
      <c r="G467" s="235">
        <f t="shared" si="11"/>
        <v>42.041510000000002</v>
      </c>
      <c r="H467" s="235">
        <f t="shared" si="11"/>
        <v>41.526820000000001</v>
      </c>
      <c r="I467" s="235">
        <f t="shared" si="11"/>
        <v>44.837269999999997</v>
      </c>
      <c r="J467" s="235">
        <f t="shared" si="10"/>
        <v>3.3104499999999972</v>
      </c>
      <c r="K467" s="93"/>
      <c r="L467" s="236" t="s">
        <v>179</v>
      </c>
      <c r="M467" s="236" t="s">
        <v>179</v>
      </c>
      <c r="N467" s="236" t="s">
        <v>179</v>
      </c>
      <c r="P467" s="182">
        <v>42041.51</v>
      </c>
      <c r="Q467" s="182">
        <v>41526.82</v>
      </c>
      <c r="R467" s="182">
        <v>44837.27</v>
      </c>
      <c r="S467" s="182">
        <v>3310.4499999999971</v>
      </c>
    </row>
    <row r="468" spans="1:19">
      <c r="A468" s="91" t="s">
        <v>150</v>
      </c>
      <c r="B468" s="91" t="s">
        <v>476</v>
      </c>
      <c r="C468" s="91" t="s">
        <v>1053</v>
      </c>
      <c r="D468" s="234">
        <v>5.01</v>
      </c>
      <c r="E468" s="92">
        <v>48755</v>
      </c>
      <c r="F468" s="93"/>
      <c r="G468" s="235">
        <f t="shared" si="11"/>
        <v>261.42504000000002</v>
      </c>
      <c r="H468" s="235">
        <f t="shared" si="11"/>
        <v>114.83064999999999</v>
      </c>
      <c r="I468" s="235">
        <f t="shared" si="11"/>
        <v>50.82197</v>
      </c>
      <c r="J468" s="235">
        <f t="shared" si="10"/>
        <v>-64.008679999999998</v>
      </c>
      <c r="K468" s="93"/>
      <c r="L468" s="236" t="s">
        <v>308</v>
      </c>
      <c r="M468" s="236" t="s">
        <v>69</v>
      </c>
      <c r="N468" s="236" t="s">
        <v>179</v>
      </c>
      <c r="P468" s="182">
        <v>261425.04</v>
      </c>
      <c r="Q468" s="182">
        <v>114830.65</v>
      </c>
      <c r="R468" s="182">
        <v>50821.97</v>
      </c>
      <c r="S468" s="182">
        <v>-64008.679999999993</v>
      </c>
    </row>
    <row r="469" spans="1:19">
      <c r="A469" s="91" t="s">
        <v>148</v>
      </c>
      <c r="B469" s="91" t="s">
        <v>409</v>
      </c>
      <c r="C469" s="91" t="s">
        <v>1053</v>
      </c>
      <c r="D469" s="234">
        <v>0.7036</v>
      </c>
      <c r="E469" s="92">
        <v>49577</v>
      </c>
      <c r="F469" s="93"/>
      <c r="G469" s="235">
        <f t="shared" si="11"/>
        <v>7000</v>
      </c>
      <c r="H469" s="235">
        <f t="shared" si="11"/>
        <v>7001.0780000000004</v>
      </c>
      <c r="I469" s="235">
        <f t="shared" si="11"/>
        <v>5690.8067999999994</v>
      </c>
      <c r="J469" s="235">
        <f t="shared" si="10"/>
        <v>-1310.2712000000001</v>
      </c>
      <c r="K469" s="93"/>
      <c r="L469" s="236" t="s">
        <v>204</v>
      </c>
      <c r="M469" s="236" t="s">
        <v>122</v>
      </c>
      <c r="N469" s="236" t="s">
        <v>179</v>
      </c>
      <c r="P469" s="182">
        <v>7000000</v>
      </c>
      <c r="Q469" s="182">
        <v>7001078</v>
      </c>
      <c r="R469" s="182">
        <v>5690806.7999999998</v>
      </c>
      <c r="S469" s="182">
        <v>-1310271.2000000002</v>
      </c>
    </row>
    <row r="470" spans="1:19">
      <c r="A470" s="91" t="s">
        <v>149</v>
      </c>
      <c r="B470" s="91" t="s">
        <v>409</v>
      </c>
      <c r="C470" s="91" t="s">
        <v>1053</v>
      </c>
      <c r="D470" s="234">
        <v>0.7036</v>
      </c>
      <c r="E470" s="92">
        <v>49638</v>
      </c>
      <c r="F470" s="93"/>
      <c r="G470" s="235">
        <f t="shared" si="11"/>
        <v>3000</v>
      </c>
      <c r="H470" s="235">
        <f t="shared" si="11"/>
        <v>3000</v>
      </c>
      <c r="I470" s="235">
        <f t="shared" si="11"/>
        <v>2120.817</v>
      </c>
      <c r="J470" s="235">
        <f t="shared" si="10"/>
        <v>-879.18299999999999</v>
      </c>
      <c r="K470" s="93"/>
      <c r="L470" s="236" t="s">
        <v>310</v>
      </c>
      <c r="M470" s="236" t="s">
        <v>122</v>
      </c>
      <c r="N470" s="236" t="s">
        <v>179</v>
      </c>
      <c r="P470" s="182">
        <v>3000000</v>
      </c>
      <c r="Q470" s="182">
        <v>3000000</v>
      </c>
      <c r="R470" s="182">
        <v>2120817</v>
      </c>
      <c r="S470" s="182">
        <v>-879183</v>
      </c>
    </row>
    <row r="471" spans="1:19">
      <c r="A471" s="91" t="s">
        <v>900</v>
      </c>
      <c r="B471" s="91" t="s">
        <v>327</v>
      </c>
      <c r="C471" s="91" t="s">
        <v>1055</v>
      </c>
      <c r="D471" s="234">
        <v>4.875</v>
      </c>
      <c r="E471" s="92">
        <v>41876</v>
      </c>
      <c r="F471" s="93"/>
      <c r="G471" s="235">
        <f t="shared" si="11"/>
        <v>1250</v>
      </c>
      <c r="H471" s="235">
        <f t="shared" si="11"/>
        <v>1290.0261200000002</v>
      </c>
      <c r="I471" s="235">
        <f t="shared" si="11"/>
        <v>1223.0987600000001</v>
      </c>
      <c r="J471" s="235">
        <f t="shared" si="10"/>
        <v>-66.927360000000078</v>
      </c>
      <c r="K471" s="93"/>
      <c r="L471" s="236" t="s">
        <v>183</v>
      </c>
      <c r="M471" s="236" t="s">
        <v>65</v>
      </c>
      <c r="N471" s="236" t="s">
        <v>65</v>
      </c>
      <c r="P471" s="182">
        <v>1250000</v>
      </c>
      <c r="Q471" s="182">
        <v>1290026.1200000001</v>
      </c>
      <c r="R471" s="182">
        <v>1223098.76</v>
      </c>
      <c r="S471" s="182">
        <v>-66927.360000000073</v>
      </c>
    </row>
    <row r="472" spans="1:19">
      <c r="A472" s="91" t="s">
        <v>901</v>
      </c>
      <c r="B472" s="91" t="s">
        <v>327</v>
      </c>
      <c r="C472" s="91" t="s">
        <v>1055</v>
      </c>
      <c r="D472" s="234">
        <v>3.4</v>
      </c>
      <c r="E472" s="92">
        <v>41509</v>
      </c>
      <c r="F472" s="93"/>
      <c r="G472" s="235">
        <f t="shared" si="11"/>
        <v>8500</v>
      </c>
      <c r="H472" s="235">
        <f t="shared" si="11"/>
        <v>8497.4215999999997</v>
      </c>
      <c r="I472" s="235">
        <f t="shared" si="11"/>
        <v>8242.417019999999</v>
      </c>
      <c r="J472" s="235">
        <f t="shared" si="10"/>
        <v>-255.00457999999961</v>
      </c>
      <c r="K472" s="93"/>
      <c r="L472" s="236" t="s">
        <v>183</v>
      </c>
      <c r="M472" s="236" t="s">
        <v>65</v>
      </c>
      <c r="N472" s="236" t="s">
        <v>65</v>
      </c>
      <c r="P472" s="182">
        <v>8500000</v>
      </c>
      <c r="Q472" s="182">
        <v>8497421.5999999996</v>
      </c>
      <c r="R472" s="182">
        <v>8242417.0199999996</v>
      </c>
      <c r="S472" s="182">
        <v>-255004.57999999961</v>
      </c>
    </row>
    <row r="473" spans="1:19">
      <c r="A473" s="91" t="s">
        <v>987</v>
      </c>
      <c r="B473" s="91" t="s">
        <v>988</v>
      </c>
      <c r="C473" s="91" t="s">
        <v>1051</v>
      </c>
      <c r="D473" s="234">
        <v>3.5</v>
      </c>
      <c r="E473" s="92">
        <v>42887</v>
      </c>
      <c r="F473" s="93"/>
      <c r="G473" s="235">
        <f t="shared" si="11"/>
        <v>1900</v>
      </c>
      <c r="H473" s="235">
        <f t="shared" si="11"/>
        <v>1896.93632</v>
      </c>
      <c r="I473" s="235">
        <f t="shared" si="11"/>
        <v>1948.1528799999999</v>
      </c>
      <c r="J473" s="235">
        <f t="shared" si="10"/>
        <v>51.216559999999824</v>
      </c>
      <c r="K473" s="93"/>
      <c r="L473" s="236" t="s">
        <v>204</v>
      </c>
      <c r="M473" s="236" t="s">
        <v>200</v>
      </c>
      <c r="N473" s="236" t="s">
        <v>206</v>
      </c>
      <c r="P473" s="182">
        <v>1900000</v>
      </c>
      <c r="Q473" s="182">
        <v>1896936.32</v>
      </c>
      <c r="R473" s="182">
        <v>1948152.88</v>
      </c>
      <c r="S473" s="182">
        <v>51216.559999999823</v>
      </c>
    </row>
    <row r="474" spans="1:19">
      <c r="A474" s="91" t="s">
        <v>902</v>
      </c>
      <c r="B474" s="91" t="s">
        <v>245</v>
      </c>
      <c r="C474" s="91" t="s">
        <v>1051</v>
      </c>
      <c r="D474" s="234">
        <v>5.0999999999999996</v>
      </c>
      <c r="E474" s="92">
        <v>41897</v>
      </c>
      <c r="F474" s="93"/>
      <c r="G474" s="235">
        <f t="shared" si="11"/>
        <v>2375</v>
      </c>
      <c r="H474" s="235">
        <f t="shared" si="11"/>
        <v>2569.7501099999999</v>
      </c>
      <c r="I474" s="235">
        <f t="shared" si="11"/>
        <v>2616.6775300000004</v>
      </c>
      <c r="J474" s="235">
        <f t="shared" si="10"/>
        <v>46.927419999999927</v>
      </c>
      <c r="K474" s="93"/>
      <c r="L474" s="236" t="s">
        <v>183</v>
      </c>
      <c r="M474" s="236" t="s">
        <v>206</v>
      </c>
      <c r="N474" s="236" t="s">
        <v>65</v>
      </c>
      <c r="P474" s="182">
        <v>2375000</v>
      </c>
      <c r="Q474" s="182">
        <v>2569750.11</v>
      </c>
      <c r="R474" s="182">
        <v>2616677.5300000003</v>
      </c>
      <c r="S474" s="182">
        <v>46927.419999999925</v>
      </c>
    </row>
    <row r="475" spans="1:19">
      <c r="A475" s="91" t="s">
        <v>1177</v>
      </c>
      <c r="B475" s="91" t="s">
        <v>378</v>
      </c>
      <c r="C475" s="91" t="s">
        <v>1051</v>
      </c>
      <c r="D475" s="234">
        <v>4.45</v>
      </c>
      <c r="E475" s="92">
        <v>44166</v>
      </c>
      <c r="F475" s="93"/>
      <c r="G475" s="235">
        <f t="shared" si="11"/>
        <v>4500</v>
      </c>
      <c r="H475" s="235">
        <f t="shared" si="11"/>
        <v>4491.3186399999995</v>
      </c>
      <c r="I475" s="235">
        <f t="shared" si="11"/>
        <v>4791.7124999999996</v>
      </c>
      <c r="J475" s="235">
        <f t="shared" si="10"/>
        <v>300.39386000000025</v>
      </c>
      <c r="K475" s="93"/>
      <c r="L475" s="236" t="s">
        <v>195</v>
      </c>
      <c r="M475" s="236" t="s">
        <v>206</v>
      </c>
      <c r="N475" s="236" t="s">
        <v>179</v>
      </c>
      <c r="P475" s="182">
        <v>4500000</v>
      </c>
      <c r="Q475" s="182">
        <v>4491318.6399999997</v>
      </c>
      <c r="R475" s="182">
        <v>4791712.5</v>
      </c>
      <c r="S475" s="182">
        <v>300393.86000000022</v>
      </c>
    </row>
    <row r="476" spans="1:19">
      <c r="A476" s="91" t="s">
        <v>903</v>
      </c>
      <c r="B476" s="91" t="s">
        <v>410</v>
      </c>
      <c r="C476" s="91" t="s">
        <v>1053</v>
      </c>
      <c r="D476" s="234">
        <v>0</v>
      </c>
      <c r="E476" s="92">
        <v>42719</v>
      </c>
      <c r="F476" s="93"/>
      <c r="G476" s="235">
        <f t="shared" si="11"/>
        <v>3000</v>
      </c>
      <c r="H476" s="235">
        <f t="shared" si="11"/>
        <v>3000</v>
      </c>
      <c r="I476" s="235">
        <f t="shared" si="11"/>
        <v>2999.0625199999999</v>
      </c>
      <c r="J476" s="235">
        <f t="shared" si="10"/>
        <v>-0.93747999999998133</v>
      </c>
      <c r="K476" s="93"/>
      <c r="L476" s="236" t="s">
        <v>189</v>
      </c>
      <c r="M476" s="236" t="s">
        <v>122</v>
      </c>
      <c r="N476" s="236" t="s">
        <v>63</v>
      </c>
      <c r="P476" s="182">
        <v>3000000</v>
      </c>
      <c r="Q476" s="182">
        <v>3000000</v>
      </c>
      <c r="R476" s="182">
        <v>2999062.52</v>
      </c>
      <c r="S476" s="182">
        <v>-937.47999999998137</v>
      </c>
    </row>
    <row r="477" spans="1:19">
      <c r="A477" s="91" t="s">
        <v>904</v>
      </c>
      <c r="B477" s="91" t="s">
        <v>410</v>
      </c>
      <c r="C477" s="91" t="s">
        <v>1053</v>
      </c>
      <c r="D477" s="234">
        <v>0.48832999999999999</v>
      </c>
      <c r="E477" s="92">
        <v>45132</v>
      </c>
      <c r="F477" s="93"/>
      <c r="G477" s="235">
        <f t="shared" si="11"/>
        <v>4200</v>
      </c>
      <c r="H477" s="235">
        <f t="shared" si="11"/>
        <v>4169.2760800000005</v>
      </c>
      <c r="I477" s="235">
        <f t="shared" si="11"/>
        <v>4132.6252800000011</v>
      </c>
      <c r="J477" s="235">
        <f t="shared" si="10"/>
        <v>-36.65079999999999</v>
      </c>
      <c r="K477" s="93"/>
      <c r="L477" s="236" t="s">
        <v>189</v>
      </c>
      <c r="M477" s="236" t="s">
        <v>122</v>
      </c>
      <c r="N477" s="236" t="s">
        <v>63</v>
      </c>
      <c r="P477" s="182">
        <v>4200000</v>
      </c>
      <c r="Q477" s="182">
        <v>4169276.0800000005</v>
      </c>
      <c r="R477" s="182">
        <v>4132625.2800000007</v>
      </c>
      <c r="S477" s="182">
        <v>-36650.799999999988</v>
      </c>
    </row>
    <row r="478" spans="1:19">
      <c r="A478" s="91" t="s">
        <v>1004</v>
      </c>
      <c r="B478" s="91" t="s">
        <v>1005</v>
      </c>
      <c r="C478" s="91" t="s">
        <v>1055</v>
      </c>
      <c r="D478" s="234">
        <v>6.5</v>
      </c>
      <c r="E478" s="92">
        <v>42552</v>
      </c>
      <c r="F478" s="93"/>
      <c r="G478" s="235">
        <f t="shared" si="11"/>
        <v>1500</v>
      </c>
      <c r="H478" s="235">
        <f t="shared" si="11"/>
        <v>1769.9706999999999</v>
      </c>
      <c r="I478" s="235">
        <f t="shared" si="11"/>
        <v>1752.8955000000001</v>
      </c>
      <c r="J478" s="235">
        <f t="shared" si="10"/>
        <v>-17.075199999999953</v>
      </c>
      <c r="K478" s="93"/>
      <c r="L478" s="236" t="s">
        <v>204</v>
      </c>
      <c r="M478" s="236" t="s">
        <v>200</v>
      </c>
      <c r="N478" s="236" t="s">
        <v>200</v>
      </c>
      <c r="P478" s="182">
        <v>1500000</v>
      </c>
      <c r="Q478" s="182">
        <v>1769970.7</v>
      </c>
      <c r="R478" s="182">
        <v>1752895.5</v>
      </c>
      <c r="S478" s="182">
        <v>-17075.199999999953</v>
      </c>
    </row>
    <row r="479" spans="1:19">
      <c r="A479" s="91" t="s">
        <v>905</v>
      </c>
      <c r="B479" s="91" t="s">
        <v>328</v>
      </c>
      <c r="C479" s="91" t="s">
        <v>1052</v>
      </c>
      <c r="D479" s="234">
        <v>5</v>
      </c>
      <c r="E479" s="92">
        <v>43435</v>
      </c>
      <c r="F479" s="93"/>
      <c r="G479" s="235">
        <f t="shared" si="11"/>
        <v>2750</v>
      </c>
      <c r="H479" s="235">
        <f t="shared" si="11"/>
        <v>3272.5770400000001</v>
      </c>
      <c r="I479" s="235">
        <f t="shared" si="11"/>
        <v>3325.2449999999999</v>
      </c>
      <c r="J479" s="235">
        <f t="shared" si="10"/>
        <v>52.667959999999965</v>
      </c>
      <c r="K479" s="93"/>
      <c r="L479" s="236" t="s">
        <v>178</v>
      </c>
      <c r="M479" s="236" t="s">
        <v>122</v>
      </c>
      <c r="N479" s="236" t="s">
        <v>179</v>
      </c>
      <c r="P479" s="182">
        <v>2750000</v>
      </c>
      <c r="Q479" s="182">
        <v>3272577.04</v>
      </c>
      <c r="R479" s="182">
        <v>3325245</v>
      </c>
      <c r="S479" s="182">
        <v>52667.959999999963</v>
      </c>
    </row>
    <row r="480" spans="1:19">
      <c r="A480" s="91" t="s">
        <v>1008</v>
      </c>
      <c r="B480" s="91" t="s">
        <v>1009</v>
      </c>
      <c r="C480" s="91" t="s">
        <v>1051</v>
      </c>
      <c r="D480" s="234">
        <v>6.25</v>
      </c>
      <c r="E480" s="92">
        <v>42541</v>
      </c>
      <c r="F480" s="93"/>
      <c r="G480" s="235">
        <f t="shared" si="11"/>
        <v>1580</v>
      </c>
      <c r="H480" s="235">
        <f t="shared" si="11"/>
        <v>1801.3722299999999</v>
      </c>
      <c r="I480" s="235">
        <f t="shared" si="11"/>
        <v>1840.7503899999999</v>
      </c>
      <c r="J480" s="235">
        <f t="shared" si="10"/>
        <v>39.378159999999916</v>
      </c>
      <c r="K480" s="93"/>
      <c r="L480" s="236" t="s">
        <v>183</v>
      </c>
      <c r="M480" s="236" t="s">
        <v>65</v>
      </c>
      <c r="N480" s="236" t="s">
        <v>65</v>
      </c>
      <c r="P480" s="182">
        <v>1580000</v>
      </c>
      <c r="Q480" s="182">
        <v>1801372.23</v>
      </c>
      <c r="R480" s="182">
        <v>1840750.39</v>
      </c>
      <c r="S480" s="182">
        <v>39378.159999999916</v>
      </c>
    </row>
    <row r="481" spans="1:19">
      <c r="A481" s="91" t="s">
        <v>906</v>
      </c>
      <c r="B481" s="91" t="s">
        <v>379</v>
      </c>
      <c r="C481" s="91" t="s">
        <v>1052</v>
      </c>
      <c r="D481" s="234">
        <v>5</v>
      </c>
      <c r="E481" s="92">
        <v>43132</v>
      </c>
      <c r="F481" s="93"/>
      <c r="G481" s="235">
        <f t="shared" si="11"/>
        <v>5480</v>
      </c>
      <c r="H481" s="235">
        <f t="shared" si="11"/>
        <v>6192.4939100000001</v>
      </c>
      <c r="I481" s="235">
        <f t="shared" si="11"/>
        <v>6725.33</v>
      </c>
      <c r="J481" s="235">
        <f t="shared" si="10"/>
        <v>532.83608999999967</v>
      </c>
      <c r="K481" s="93"/>
      <c r="L481" s="236" t="s">
        <v>189</v>
      </c>
      <c r="M481" s="236" t="s">
        <v>63</v>
      </c>
      <c r="N481" s="236" t="s">
        <v>63</v>
      </c>
      <c r="P481" s="182">
        <v>5480000</v>
      </c>
      <c r="Q481" s="182">
        <v>6192493.9100000001</v>
      </c>
      <c r="R481" s="182">
        <v>6725330</v>
      </c>
      <c r="S481" s="182">
        <v>532836.08999999962</v>
      </c>
    </row>
    <row r="482" spans="1:19">
      <c r="A482" s="91" t="s">
        <v>907</v>
      </c>
      <c r="B482" s="91" t="s">
        <v>441</v>
      </c>
      <c r="C482" s="91" t="s">
        <v>1052</v>
      </c>
      <c r="D482" s="234">
        <v>3</v>
      </c>
      <c r="E482" s="92">
        <v>42552</v>
      </c>
      <c r="F482" s="93"/>
      <c r="G482" s="235">
        <f t="shared" si="11"/>
        <v>710</v>
      </c>
      <c r="H482" s="235">
        <f t="shared" si="11"/>
        <v>729.87935000000004</v>
      </c>
      <c r="I482" s="235">
        <f t="shared" si="11"/>
        <v>747.48090000000002</v>
      </c>
      <c r="J482" s="235">
        <f t="shared" si="10"/>
        <v>17.601549999999989</v>
      </c>
      <c r="K482" s="93"/>
      <c r="L482" s="236" t="s">
        <v>181</v>
      </c>
      <c r="M482" s="236" t="s">
        <v>171</v>
      </c>
      <c r="N482" s="236" t="s">
        <v>64</v>
      </c>
      <c r="P482" s="182">
        <v>710000</v>
      </c>
      <c r="Q482" s="182">
        <v>729879.35000000009</v>
      </c>
      <c r="R482" s="182">
        <v>747480.9</v>
      </c>
      <c r="S482" s="182">
        <v>17601.549999999988</v>
      </c>
    </row>
    <row r="483" spans="1:19">
      <c r="A483" s="91" t="s">
        <v>1093</v>
      </c>
      <c r="B483" s="91" t="s">
        <v>1094</v>
      </c>
      <c r="C483" s="91" t="s">
        <v>1055</v>
      </c>
      <c r="D483" s="234">
        <v>1.95</v>
      </c>
      <c r="E483" s="92">
        <v>42627</v>
      </c>
      <c r="F483" s="93"/>
      <c r="G483" s="235">
        <f t="shared" si="11"/>
        <v>600</v>
      </c>
      <c r="H483" s="235">
        <f t="shared" si="11"/>
        <v>599.00968</v>
      </c>
      <c r="I483" s="235">
        <f t="shared" si="11"/>
        <v>607.06020000000001</v>
      </c>
      <c r="J483" s="235">
        <f t="shared" si="10"/>
        <v>8.0505199999999029</v>
      </c>
      <c r="K483" s="93"/>
      <c r="L483" s="236" t="s">
        <v>194</v>
      </c>
      <c r="M483" s="236" t="s">
        <v>121</v>
      </c>
      <c r="N483" s="236" t="s">
        <v>179</v>
      </c>
      <c r="P483" s="182">
        <v>600000</v>
      </c>
      <c r="Q483" s="182">
        <v>599009.68000000005</v>
      </c>
      <c r="R483" s="182">
        <v>607060.19999999995</v>
      </c>
      <c r="S483" s="182">
        <v>8050.5199999999022</v>
      </c>
    </row>
    <row r="484" spans="1:19">
      <c r="A484" s="91" t="s">
        <v>1095</v>
      </c>
      <c r="B484" s="91" t="s">
        <v>1096</v>
      </c>
      <c r="C484" s="91" t="s">
        <v>1055</v>
      </c>
      <c r="D484" s="234">
        <v>1.95</v>
      </c>
      <c r="E484" s="92">
        <v>42627</v>
      </c>
      <c r="F484" s="93"/>
      <c r="G484" s="235">
        <f t="shared" si="11"/>
        <v>825</v>
      </c>
      <c r="H484" s="235">
        <f t="shared" si="11"/>
        <v>823.63831000000005</v>
      </c>
      <c r="I484" s="235">
        <f t="shared" si="11"/>
        <v>834.70778000000007</v>
      </c>
      <c r="J484" s="235">
        <f t="shared" si="10"/>
        <v>11.069469999999972</v>
      </c>
      <c r="K484" s="93"/>
      <c r="L484" s="236" t="s">
        <v>194</v>
      </c>
      <c r="M484" s="236" t="s">
        <v>121</v>
      </c>
      <c r="N484" s="236" t="s">
        <v>179</v>
      </c>
      <c r="P484" s="182">
        <v>825000</v>
      </c>
      <c r="Q484" s="182">
        <v>823638.31</v>
      </c>
      <c r="R484" s="182">
        <v>834707.78</v>
      </c>
      <c r="S484" s="182">
        <v>11069.469999999972</v>
      </c>
    </row>
    <row r="485" spans="1:19">
      <c r="A485" s="91" t="s">
        <v>1014</v>
      </c>
      <c r="B485" s="91" t="s">
        <v>1015</v>
      </c>
      <c r="C485" s="91" t="s">
        <v>1051</v>
      </c>
      <c r="D485" s="234">
        <v>7.5</v>
      </c>
      <c r="E485" s="92">
        <v>50359</v>
      </c>
      <c r="F485" s="93"/>
      <c r="G485" s="235">
        <f t="shared" si="11"/>
        <v>5000</v>
      </c>
      <c r="H485" s="235">
        <f t="shared" si="11"/>
        <v>5163.3322400000006</v>
      </c>
      <c r="I485" s="235">
        <f t="shared" si="11"/>
        <v>5001.6499999999996</v>
      </c>
      <c r="J485" s="235">
        <f t="shared" si="10"/>
        <v>-161.68223999999998</v>
      </c>
      <c r="K485" s="93"/>
      <c r="L485" s="236" t="s">
        <v>204</v>
      </c>
      <c r="M485" s="236" t="s">
        <v>200</v>
      </c>
      <c r="N485" s="236" t="s">
        <v>200</v>
      </c>
      <c r="P485" s="182">
        <v>5000000</v>
      </c>
      <c r="Q485" s="182">
        <v>5163332.24</v>
      </c>
      <c r="R485" s="182">
        <v>5001650</v>
      </c>
      <c r="S485" s="182">
        <v>-161682.23999999999</v>
      </c>
    </row>
    <row r="486" spans="1:19">
      <c r="A486" s="91" t="s">
        <v>908</v>
      </c>
      <c r="B486" s="91" t="s">
        <v>339</v>
      </c>
      <c r="C486" s="91" t="s">
        <v>1051</v>
      </c>
      <c r="D486" s="234">
        <v>5.0999999999999996</v>
      </c>
      <c r="E486" s="92">
        <v>42170</v>
      </c>
      <c r="F486" s="93"/>
      <c r="G486" s="235">
        <f t="shared" si="11"/>
        <v>1225</v>
      </c>
      <c r="H486" s="235">
        <f t="shared" si="11"/>
        <v>1344.0367000000001</v>
      </c>
      <c r="I486" s="235">
        <f t="shared" si="11"/>
        <v>1338.7521400000001</v>
      </c>
      <c r="J486" s="235">
        <f t="shared" si="10"/>
        <v>-5.2845600000000852</v>
      </c>
      <c r="K486" s="93"/>
      <c r="L486" s="236" t="s">
        <v>195</v>
      </c>
      <c r="M486" s="236" t="s">
        <v>206</v>
      </c>
      <c r="N486" s="236" t="s">
        <v>206</v>
      </c>
      <c r="P486" s="182">
        <v>1225000</v>
      </c>
      <c r="Q486" s="182">
        <v>1344036.7000000002</v>
      </c>
      <c r="R486" s="182">
        <v>1338752.1400000001</v>
      </c>
      <c r="S486" s="182">
        <v>-5284.560000000085</v>
      </c>
    </row>
    <row r="487" spans="1:19">
      <c r="A487" s="91" t="s">
        <v>909</v>
      </c>
      <c r="B487" s="91" t="s">
        <v>339</v>
      </c>
      <c r="C487" s="91" t="s">
        <v>1051</v>
      </c>
      <c r="D487" s="234">
        <v>5.75</v>
      </c>
      <c r="E487" s="92">
        <v>42339</v>
      </c>
      <c r="F487" s="93"/>
      <c r="G487" s="235">
        <f t="shared" si="11"/>
        <v>7675</v>
      </c>
      <c r="H487" s="235">
        <f t="shared" si="11"/>
        <v>8430.5032499999998</v>
      </c>
      <c r="I487" s="235">
        <f t="shared" si="11"/>
        <v>8572.8002300000007</v>
      </c>
      <c r="J487" s="235">
        <f t="shared" si="10"/>
        <v>142.29698000000079</v>
      </c>
      <c r="K487" s="93"/>
      <c r="L487" s="236" t="s">
        <v>195</v>
      </c>
      <c r="M487" s="236" t="s">
        <v>206</v>
      </c>
      <c r="N487" s="236" t="s">
        <v>206</v>
      </c>
      <c r="P487" s="182">
        <v>7675000</v>
      </c>
      <c r="Q487" s="182">
        <v>8430503.25</v>
      </c>
      <c r="R487" s="182">
        <v>8572800.2300000004</v>
      </c>
      <c r="S487" s="182">
        <v>142296.9800000008</v>
      </c>
    </row>
    <row r="488" spans="1:19">
      <c r="A488" s="91" t="s">
        <v>910</v>
      </c>
      <c r="B488" s="91" t="s">
        <v>420</v>
      </c>
      <c r="C488" s="91" t="s">
        <v>1053</v>
      </c>
      <c r="D488" s="234">
        <v>3.125</v>
      </c>
      <c r="E488" s="92">
        <v>47539</v>
      </c>
      <c r="F488" s="93"/>
      <c r="G488" s="235">
        <f t="shared" si="11"/>
        <v>20.846049999999998</v>
      </c>
      <c r="H488" s="235">
        <f t="shared" si="11"/>
        <v>1.0000000000000001E-5</v>
      </c>
      <c r="I488" s="235">
        <f t="shared" si="11"/>
        <v>22.924709999999997</v>
      </c>
      <c r="J488" s="235">
        <f t="shared" si="10"/>
        <v>22.924700000000001</v>
      </c>
      <c r="K488" s="93"/>
      <c r="L488" s="236" t="s">
        <v>189</v>
      </c>
      <c r="M488" s="236" t="s">
        <v>122</v>
      </c>
      <c r="N488" s="236" t="s">
        <v>63</v>
      </c>
      <c r="P488" s="182">
        <v>20846.05</v>
      </c>
      <c r="Q488" s="182">
        <v>0.01</v>
      </c>
      <c r="R488" s="182">
        <v>22924.71</v>
      </c>
      <c r="S488" s="182">
        <v>22924.7</v>
      </c>
    </row>
    <row r="489" spans="1:19">
      <c r="A489" s="91" t="s">
        <v>911</v>
      </c>
      <c r="B489" s="91" t="s">
        <v>420</v>
      </c>
      <c r="C489" s="91" t="s">
        <v>1053</v>
      </c>
      <c r="D489" s="234">
        <v>2.375</v>
      </c>
      <c r="E489" s="92">
        <v>47202</v>
      </c>
      <c r="F489" s="93"/>
      <c r="G489" s="235">
        <f t="shared" si="11"/>
        <v>27.63862</v>
      </c>
      <c r="H489" s="235">
        <f t="shared" si="11"/>
        <v>1.0000000000000001E-5</v>
      </c>
      <c r="I489" s="235">
        <f t="shared" si="11"/>
        <v>28.507740000000002</v>
      </c>
      <c r="J489" s="235">
        <f t="shared" si="10"/>
        <v>28.507730000000002</v>
      </c>
      <c r="K489" s="93"/>
      <c r="L489" s="236" t="s">
        <v>189</v>
      </c>
      <c r="M489" s="236" t="s">
        <v>122</v>
      </c>
      <c r="N489" s="236" t="s">
        <v>63</v>
      </c>
      <c r="P489" s="182">
        <v>27638.62</v>
      </c>
      <c r="Q489" s="182">
        <v>0.01</v>
      </c>
      <c r="R489" s="182">
        <v>28507.74</v>
      </c>
      <c r="S489" s="182">
        <v>28507.730000000003</v>
      </c>
    </row>
    <row r="490" spans="1:19">
      <c r="A490" s="91" t="s">
        <v>1178</v>
      </c>
      <c r="B490" s="91" t="s">
        <v>420</v>
      </c>
      <c r="C490" s="91" t="s">
        <v>1053</v>
      </c>
      <c r="D490" s="234">
        <v>0.01</v>
      </c>
      <c r="E490" s="92">
        <v>41320</v>
      </c>
      <c r="F490" s="93"/>
      <c r="G490" s="235">
        <f t="shared" si="11"/>
        <v>11.6149</v>
      </c>
      <c r="H490" s="235">
        <f t="shared" si="11"/>
        <v>1.0000000000000001E-5</v>
      </c>
      <c r="I490" s="235">
        <f t="shared" si="11"/>
        <v>1.0000000000000001E-5</v>
      </c>
      <c r="J490" s="235">
        <f t="shared" si="10"/>
        <v>0</v>
      </c>
      <c r="K490" s="93"/>
      <c r="L490" s="236" t="s">
        <v>179</v>
      </c>
      <c r="M490" s="236" t="s">
        <v>179</v>
      </c>
      <c r="N490" s="236" t="s">
        <v>179</v>
      </c>
      <c r="P490" s="182">
        <v>11614.9</v>
      </c>
      <c r="Q490" s="182">
        <v>0.01</v>
      </c>
      <c r="R490" s="182">
        <v>0.01</v>
      </c>
      <c r="S490" s="182">
        <v>0</v>
      </c>
    </row>
    <row r="491" spans="1:19">
      <c r="A491" s="91" t="s">
        <v>912</v>
      </c>
      <c r="B491" s="91" t="s">
        <v>394</v>
      </c>
      <c r="C491" s="91" t="s">
        <v>1051</v>
      </c>
      <c r="D491" s="234">
        <v>5.25</v>
      </c>
      <c r="E491" s="92">
        <v>43405</v>
      </c>
      <c r="F491" s="93"/>
      <c r="G491" s="235">
        <f t="shared" si="11"/>
        <v>6000</v>
      </c>
      <c r="H491" s="235">
        <f t="shared" si="11"/>
        <v>6016.9568899999995</v>
      </c>
      <c r="I491" s="235">
        <f t="shared" si="11"/>
        <v>6959.3659900000002</v>
      </c>
      <c r="J491" s="235">
        <f t="shared" si="10"/>
        <v>942.40910000000054</v>
      </c>
      <c r="K491" s="93"/>
      <c r="L491" s="236" t="s">
        <v>195</v>
      </c>
      <c r="M491" s="236" t="s">
        <v>65</v>
      </c>
      <c r="N491" s="236" t="s">
        <v>65</v>
      </c>
      <c r="P491" s="182">
        <v>6000000</v>
      </c>
      <c r="Q491" s="182">
        <v>6016956.8899999997</v>
      </c>
      <c r="R491" s="182">
        <v>6959365.9900000002</v>
      </c>
      <c r="S491" s="182">
        <v>942409.10000000056</v>
      </c>
    </row>
    <row r="492" spans="1:19">
      <c r="A492" s="91" t="s">
        <v>913</v>
      </c>
      <c r="B492" s="91" t="s">
        <v>349</v>
      </c>
      <c r="C492" s="91" t="s">
        <v>1052</v>
      </c>
      <c r="D492" s="234">
        <v>3</v>
      </c>
      <c r="E492" s="92">
        <v>42430</v>
      </c>
      <c r="F492" s="93"/>
      <c r="G492" s="235">
        <f t="shared" si="11"/>
        <v>1350</v>
      </c>
      <c r="H492" s="235">
        <f t="shared" si="11"/>
        <v>1402.0274399999998</v>
      </c>
      <c r="I492" s="235">
        <f t="shared" si="11"/>
        <v>1423.7909999999999</v>
      </c>
      <c r="J492" s="235">
        <f t="shared" si="10"/>
        <v>21.763560000000055</v>
      </c>
      <c r="K492" s="93"/>
      <c r="L492" s="236" t="s">
        <v>194</v>
      </c>
      <c r="M492" s="236" t="s">
        <v>171</v>
      </c>
      <c r="N492" s="236" t="s">
        <v>64</v>
      </c>
      <c r="P492" s="182">
        <v>1350000</v>
      </c>
      <c r="Q492" s="182">
        <v>1402027.44</v>
      </c>
      <c r="R492" s="182">
        <v>1423791</v>
      </c>
      <c r="S492" s="182">
        <v>21763.560000000056</v>
      </c>
    </row>
    <row r="493" spans="1:19">
      <c r="A493" s="91" t="s">
        <v>914</v>
      </c>
      <c r="B493" s="91" t="s">
        <v>246</v>
      </c>
      <c r="C493" s="91" t="s">
        <v>1051</v>
      </c>
      <c r="D493" s="234">
        <v>5.45</v>
      </c>
      <c r="E493" s="92">
        <v>43205</v>
      </c>
      <c r="F493" s="93"/>
      <c r="G493" s="235">
        <f t="shared" si="11"/>
        <v>2500</v>
      </c>
      <c r="H493" s="235">
        <f t="shared" si="11"/>
        <v>2502.8185099999996</v>
      </c>
      <c r="I493" s="235">
        <f t="shared" si="11"/>
        <v>2907.0831399999997</v>
      </c>
      <c r="J493" s="235">
        <f t="shared" si="10"/>
        <v>404.26462999999995</v>
      </c>
      <c r="K493" s="93"/>
      <c r="L493" s="236" t="s">
        <v>188</v>
      </c>
      <c r="M493" s="236" t="s">
        <v>121</v>
      </c>
      <c r="N493" s="236" t="s">
        <v>171</v>
      </c>
      <c r="P493" s="182">
        <v>2500000</v>
      </c>
      <c r="Q493" s="182">
        <v>2502818.5099999998</v>
      </c>
      <c r="R493" s="182">
        <v>2907083.1399999997</v>
      </c>
      <c r="S493" s="182">
        <v>404264.62999999995</v>
      </c>
    </row>
    <row r="494" spans="1:19">
      <c r="A494" s="91" t="s">
        <v>964</v>
      </c>
      <c r="B494" s="91" t="s">
        <v>458</v>
      </c>
      <c r="C494" s="91" t="s">
        <v>1051</v>
      </c>
      <c r="D494" s="234">
        <v>8.75</v>
      </c>
      <c r="E494" s="92">
        <v>43250</v>
      </c>
      <c r="F494" s="93"/>
      <c r="G494" s="235">
        <f t="shared" si="11"/>
        <v>5825</v>
      </c>
      <c r="H494" s="235">
        <f t="shared" si="11"/>
        <v>6566.6013100000009</v>
      </c>
      <c r="I494" s="235">
        <f t="shared" si="11"/>
        <v>6336.5638000000008</v>
      </c>
      <c r="J494" s="235">
        <f t="shared" si="10"/>
        <v>-230.03750999999977</v>
      </c>
      <c r="K494" s="93"/>
      <c r="L494" s="236" t="s">
        <v>195</v>
      </c>
      <c r="M494" s="236" t="s">
        <v>65</v>
      </c>
      <c r="N494" s="236" t="s">
        <v>65</v>
      </c>
      <c r="P494" s="182">
        <v>5825000</v>
      </c>
      <c r="Q494" s="182">
        <v>6566601.3100000005</v>
      </c>
      <c r="R494" s="182">
        <v>6336563.8000000007</v>
      </c>
      <c r="S494" s="182">
        <v>-230037.50999999978</v>
      </c>
    </row>
    <row r="495" spans="1:19">
      <c r="A495" s="91" t="s">
        <v>915</v>
      </c>
      <c r="B495" s="91" t="s">
        <v>429</v>
      </c>
      <c r="C495" s="91" t="s">
        <v>1051</v>
      </c>
      <c r="D495" s="234">
        <v>4.25</v>
      </c>
      <c r="E495" s="92">
        <v>42491</v>
      </c>
      <c r="F495" s="93"/>
      <c r="G495" s="235">
        <f t="shared" si="11"/>
        <v>2500</v>
      </c>
      <c r="H495" s="235">
        <f t="shared" si="11"/>
        <v>2671.0684200000001</v>
      </c>
      <c r="I495" s="235">
        <f t="shared" si="11"/>
        <v>2799.7070299999996</v>
      </c>
      <c r="J495" s="235">
        <f t="shared" si="10"/>
        <v>128.63860999999986</v>
      </c>
      <c r="K495" s="93"/>
      <c r="L495" s="236" t="s">
        <v>189</v>
      </c>
      <c r="M495" s="236" t="s">
        <v>63</v>
      </c>
      <c r="N495" s="236" t="s">
        <v>179</v>
      </c>
      <c r="P495" s="182">
        <v>2500000</v>
      </c>
      <c r="Q495" s="182">
        <v>2671068.42</v>
      </c>
      <c r="R495" s="182">
        <v>2799707.03</v>
      </c>
      <c r="S495" s="182">
        <v>128638.60999999987</v>
      </c>
    </row>
    <row r="496" spans="1:19">
      <c r="A496" s="91" t="s">
        <v>916</v>
      </c>
      <c r="B496" s="91" t="s">
        <v>917</v>
      </c>
      <c r="C496" s="91" t="s">
        <v>1051</v>
      </c>
      <c r="D496" s="234">
        <v>5.33711</v>
      </c>
      <c r="E496" s="92">
        <v>54786</v>
      </c>
      <c r="F496" s="93"/>
      <c r="G496" s="235">
        <f t="shared" si="11"/>
        <v>3000</v>
      </c>
      <c r="H496" s="235">
        <f t="shared" si="11"/>
        <v>3045</v>
      </c>
      <c r="I496" s="235">
        <f t="shared" si="11"/>
        <v>2951.19</v>
      </c>
      <c r="J496" s="235">
        <f t="shared" si="10"/>
        <v>-93.81</v>
      </c>
      <c r="K496" s="93"/>
      <c r="L496" s="236" t="s">
        <v>204</v>
      </c>
      <c r="M496" s="236" t="s">
        <v>200</v>
      </c>
      <c r="N496" s="236" t="s">
        <v>206</v>
      </c>
      <c r="P496" s="182">
        <v>3000000</v>
      </c>
      <c r="Q496" s="182">
        <v>3045000</v>
      </c>
      <c r="R496" s="182">
        <v>2951190</v>
      </c>
      <c r="S496" s="182">
        <v>-93810</v>
      </c>
    </row>
    <row r="497" spans="1:19">
      <c r="A497" s="91" t="s">
        <v>918</v>
      </c>
      <c r="B497" s="91" t="s">
        <v>1179</v>
      </c>
      <c r="C497" s="91" t="s">
        <v>1052</v>
      </c>
      <c r="D497" s="234">
        <v>3</v>
      </c>
      <c r="E497" s="92">
        <v>42552</v>
      </c>
      <c r="F497" s="93"/>
      <c r="G497" s="235">
        <f t="shared" si="11"/>
        <v>575</v>
      </c>
      <c r="H497" s="235">
        <f t="shared" si="11"/>
        <v>606.79899</v>
      </c>
      <c r="I497" s="235">
        <f t="shared" si="11"/>
        <v>619.71199999999999</v>
      </c>
      <c r="J497" s="235">
        <f t="shared" si="10"/>
        <v>12.913010000000009</v>
      </c>
      <c r="K497" s="93"/>
      <c r="L497" s="236" t="s">
        <v>181</v>
      </c>
      <c r="M497" s="236" t="s">
        <v>171</v>
      </c>
      <c r="N497" s="236" t="s">
        <v>179</v>
      </c>
      <c r="P497" s="182">
        <v>575000</v>
      </c>
      <c r="Q497" s="182">
        <v>606798.99</v>
      </c>
      <c r="R497" s="182">
        <v>619712</v>
      </c>
      <c r="S497" s="182">
        <v>12913.010000000009</v>
      </c>
    </row>
    <row r="498" spans="1:19">
      <c r="A498" s="91" t="s">
        <v>919</v>
      </c>
      <c r="B498" s="91" t="s">
        <v>1179</v>
      </c>
      <c r="C498" s="91" t="s">
        <v>1052</v>
      </c>
      <c r="D498" s="234">
        <v>3</v>
      </c>
      <c r="E498" s="92">
        <v>42917</v>
      </c>
      <c r="F498" s="93"/>
      <c r="G498" s="235">
        <f t="shared" si="11"/>
        <v>525</v>
      </c>
      <c r="H498" s="235">
        <f t="shared" si="11"/>
        <v>550.83281999999997</v>
      </c>
      <c r="I498" s="235">
        <f t="shared" si="11"/>
        <v>569.04750000000001</v>
      </c>
      <c r="J498" s="235">
        <f t="shared" si="10"/>
        <v>18.214680000000051</v>
      </c>
      <c r="K498" s="93"/>
      <c r="L498" s="236" t="s">
        <v>181</v>
      </c>
      <c r="M498" s="236" t="s">
        <v>171</v>
      </c>
      <c r="N498" s="236" t="s">
        <v>179</v>
      </c>
      <c r="P498" s="182">
        <v>525000</v>
      </c>
      <c r="Q498" s="182">
        <v>550832.81999999995</v>
      </c>
      <c r="R498" s="182">
        <v>569047.5</v>
      </c>
      <c r="S498" s="182">
        <v>18214.680000000051</v>
      </c>
    </row>
    <row r="499" spans="1:19">
      <c r="A499" s="91" t="s">
        <v>959</v>
      </c>
      <c r="B499" s="91" t="s">
        <v>411</v>
      </c>
      <c r="C499" s="91" t="s">
        <v>1053</v>
      </c>
      <c r="D499" s="234">
        <v>1.5136000000000001</v>
      </c>
      <c r="E499" s="92">
        <v>46685</v>
      </c>
      <c r="F499" s="93"/>
      <c r="G499" s="235">
        <f t="shared" si="11"/>
        <v>372.40454999999997</v>
      </c>
      <c r="H499" s="235">
        <f t="shared" si="11"/>
        <v>372.40454999999997</v>
      </c>
      <c r="I499" s="235">
        <f t="shared" si="11"/>
        <v>362.30776000000003</v>
      </c>
      <c r="J499" s="235">
        <f t="shared" si="10"/>
        <v>-10.096789999999979</v>
      </c>
      <c r="K499" s="93"/>
      <c r="L499" s="236" t="s">
        <v>189</v>
      </c>
      <c r="M499" s="236" t="s">
        <v>122</v>
      </c>
      <c r="N499" s="236" t="s">
        <v>179</v>
      </c>
      <c r="P499" s="182">
        <v>372404.55</v>
      </c>
      <c r="Q499" s="182">
        <v>372404.55</v>
      </c>
      <c r="R499" s="182">
        <v>362307.76</v>
      </c>
      <c r="S499" s="182">
        <v>-10096.789999999979</v>
      </c>
    </row>
    <row r="500" spans="1:19">
      <c r="A500" s="91" t="s">
        <v>961</v>
      </c>
      <c r="B500" s="91" t="s">
        <v>432</v>
      </c>
      <c r="C500" s="91" t="s">
        <v>1051</v>
      </c>
      <c r="D500" s="234">
        <v>3.6</v>
      </c>
      <c r="E500" s="92">
        <v>42475</v>
      </c>
      <c r="F500" s="93"/>
      <c r="G500" s="235">
        <f t="shared" si="11"/>
        <v>1175</v>
      </c>
      <c r="H500" s="235">
        <f t="shared" si="11"/>
        <v>1174.6271400000001</v>
      </c>
      <c r="I500" s="235">
        <f t="shared" si="11"/>
        <v>1189.4471699999999</v>
      </c>
      <c r="J500" s="235">
        <f t="shared" si="10"/>
        <v>14.820029999999969</v>
      </c>
      <c r="K500" s="93"/>
      <c r="L500" s="236" t="s">
        <v>204</v>
      </c>
      <c r="M500" s="236" t="s">
        <v>66</v>
      </c>
      <c r="N500" s="236" t="s">
        <v>200</v>
      </c>
      <c r="P500" s="182">
        <v>1175000</v>
      </c>
      <c r="Q500" s="182">
        <v>1174627.1400000001</v>
      </c>
      <c r="R500" s="182">
        <v>1189447.17</v>
      </c>
      <c r="S500" s="182">
        <v>14820.02999999997</v>
      </c>
    </row>
    <row r="501" spans="1:19">
      <c r="A501" s="91" t="s">
        <v>1180</v>
      </c>
      <c r="B501" s="91" t="s">
        <v>432</v>
      </c>
      <c r="C501" s="91" t="s">
        <v>1051</v>
      </c>
      <c r="D501" s="234">
        <v>3.5</v>
      </c>
      <c r="E501" s="92">
        <v>42755</v>
      </c>
      <c r="F501" s="93"/>
      <c r="G501" s="235">
        <f t="shared" si="11"/>
        <v>1050</v>
      </c>
      <c r="H501" s="235">
        <f t="shared" si="11"/>
        <v>1048.70739</v>
      </c>
      <c r="I501" s="235">
        <f t="shared" si="11"/>
        <v>1045.7025000000001</v>
      </c>
      <c r="J501" s="235">
        <f t="shared" si="10"/>
        <v>-3.0048899999999557</v>
      </c>
      <c r="K501" s="93"/>
      <c r="L501" s="236" t="s">
        <v>204</v>
      </c>
      <c r="M501" s="236" t="s">
        <v>66</v>
      </c>
      <c r="N501" s="236" t="s">
        <v>200</v>
      </c>
      <c r="P501" s="182">
        <v>1050000</v>
      </c>
      <c r="Q501" s="182">
        <v>1048707.3900000001</v>
      </c>
      <c r="R501" s="182">
        <v>1045702.5</v>
      </c>
      <c r="S501" s="182">
        <v>-3004.8899999999558</v>
      </c>
    </row>
    <row r="502" spans="1:19">
      <c r="A502" s="91" t="s">
        <v>920</v>
      </c>
      <c r="B502" s="91" t="s">
        <v>1181</v>
      </c>
      <c r="C502" s="91" t="s">
        <v>1052</v>
      </c>
      <c r="D502" s="234">
        <v>5</v>
      </c>
      <c r="E502" s="92">
        <v>43282</v>
      </c>
      <c r="F502" s="93"/>
      <c r="G502" s="235">
        <f t="shared" si="11"/>
        <v>3050</v>
      </c>
      <c r="H502" s="235">
        <f t="shared" si="11"/>
        <v>3302.9326900000001</v>
      </c>
      <c r="I502" s="235">
        <f t="shared" si="11"/>
        <v>3435.7640000000001</v>
      </c>
      <c r="J502" s="235">
        <f t="shared" si="10"/>
        <v>132.83131000000006</v>
      </c>
      <c r="K502" s="93"/>
      <c r="L502" s="236" t="s">
        <v>178</v>
      </c>
      <c r="M502" s="236" t="s">
        <v>63</v>
      </c>
      <c r="N502" s="236" t="s">
        <v>122</v>
      </c>
      <c r="P502" s="182">
        <v>3050000</v>
      </c>
      <c r="Q502" s="182">
        <v>3302932.69</v>
      </c>
      <c r="R502" s="182">
        <v>3435764</v>
      </c>
      <c r="S502" s="182">
        <v>132831.31000000006</v>
      </c>
    </row>
    <row r="503" spans="1:19">
      <c r="A503" s="91" t="s">
        <v>1097</v>
      </c>
      <c r="B503" s="91" t="s">
        <v>1098</v>
      </c>
      <c r="C503" s="91" t="s">
        <v>1051</v>
      </c>
      <c r="D503" s="234">
        <v>4.625</v>
      </c>
      <c r="E503" s="92">
        <v>42634</v>
      </c>
      <c r="F503" s="93"/>
      <c r="G503" s="235">
        <f t="shared" si="11"/>
        <v>4000</v>
      </c>
      <c r="H503" s="235">
        <f t="shared" si="11"/>
        <v>4019.6017299999999</v>
      </c>
      <c r="I503" s="235">
        <f t="shared" si="11"/>
        <v>4103.8879999999999</v>
      </c>
      <c r="J503" s="235">
        <f t="shared" si="10"/>
        <v>84.286270000000016</v>
      </c>
      <c r="K503" s="93"/>
      <c r="L503" s="236" t="s">
        <v>332</v>
      </c>
      <c r="M503" s="236" t="s">
        <v>208</v>
      </c>
      <c r="N503" s="236" t="s">
        <v>211</v>
      </c>
      <c r="P503" s="182">
        <v>4000000</v>
      </c>
      <c r="Q503" s="182">
        <v>4019601.73</v>
      </c>
      <c r="R503" s="182">
        <v>4103888</v>
      </c>
      <c r="S503" s="182">
        <v>84286.270000000019</v>
      </c>
    </row>
    <row r="504" spans="1:19">
      <c r="A504" s="91" t="s">
        <v>1099</v>
      </c>
      <c r="B504" s="91" t="s">
        <v>1100</v>
      </c>
      <c r="C504" s="91" t="s">
        <v>1051</v>
      </c>
      <c r="D504" s="234">
        <v>3.6</v>
      </c>
      <c r="E504" s="92">
        <v>44423</v>
      </c>
      <c r="F504" s="93"/>
      <c r="G504" s="235">
        <f t="shared" si="11"/>
        <v>1600</v>
      </c>
      <c r="H504" s="235">
        <f t="shared" si="11"/>
        <v>1597.0391200000001</v>
      </c>
      <c r="I504" s="235">
        <f t="shared" si="11"/>
        <v>1683.2896799999999</v>
      </c>
      <c r="J504" s="235">
        <f t="shared" si="10"/>
        <v>86.250559999999822</v>
      </c>
      <c r="K504" s="93"/>
      <c r="L504" s="236" t="s">
        <v>195</v>
      </c>
      <c r="M504" s="236" t="s">
        <v>65</v>
      </c>
      <c r="N504" s="236" t="s">
        <v>206</v>
      </c>
      <c r="P504" s="182">
        <v>1600000</v>
      </c>
      <c r="Q504" s="182">
        <v>1597039.12</v>
      </c>
      <c r="R504" s="182">
        <v>1683289.68</v>
      </c>
      <c r="S504" s="182">
        <v>86250.559999999823</v>
      </c>
    </row>
    <row r="505" spans="1:19">
      <c r="A505" s="91" t="s">
        <v>1021</v>
      </c>
      <c r="B505" s="91" t="s">
        <v>247</v>
      </c>
      <c r="C505" s="91" t="s">
        <v>1051</v>
      </c>
      <c r="D505" s="234">
        <v>7.25</v>
      </c>
      <c r="E505" s="92">
        <v>43023</v>
      </c>
      <c r="F505" s="93"/>
      <c r="G505" s="235">
        <f t="shared" si="11"/>
        <v>3000</v>
      </c>
      <c r="H505" s="235">
        <f t="shared" si="11"/>
        <v>3574.9367400000001</v>
      </c>
      <c r="I505" s="235">
        <f t="shared" si="11"/>
        <v>3612.6901200000002</v>
      </c>
      <c r="J505" s="235">
        <f t="shared" si="10"/>
        <v>37.753379999999886</v>
      </c>
      <c r="K505" s="93"/>
      <c r="L505" s="236" t="s">
        <v>199</v>
      </c>
      <c r="M505" s="236" t="s">
        <v>66</v>
      </c>
      <c r="N505" s="236" t="s">
        <v>66</v>
      </c>
      <c r="P505" s="182">
        <v>3000000</v>
      </c>
      <c r="Q505" s="182">
        <v>3574936.74</v>
      </c>
      <c r="R505" s="182">
        <v>3612690.12</v>
      </c>
      <c r="S505" s="182">
        <v>37753.379999999888</v>
      </c>
    </row>
    <row r="506" spans="1:19">
      <c r="A506" s="91" t="s">
        <v>921</v>
      </c>
      <c r="B506" s="91" t="s">
        <v>247</v>
      </c>
      <c r="C506" s="91" t="s">
        <v>1051</v>
      </c>
      <c r="D506" s="234">
        <v>6.95</v>
      </c>
      <c r="E506" s="92">
        <v>46767</v>
      </c>
      <c r="F506" s="93"/>
      <c r="G506" s="235">
        <f t="shared" si="11"/>
        <v>3000</v>
      </c>
      <c r="H506" s="235">
        <f t="shared" si="11"/>
        <v>3133.8983200000002</v>
      </c>
      <c r="I506" s="235">
        <f t="shared" si="11"/>
        <v>3634.4797000000003</v>
      </c>
      <c r="J506" s="235">
        <f t="shared" si="10"/>
        <v>500.58137999999997</v>
      </c>
      <c r="K506" s="93"/>
      <c r="L506" s="236" t="s">
        <v>199</v>
      </c>
      <c r="M506" s="236" t="s">
        <v>66</v>
      </c>
      <c r="N506" s="236" t="s">
        <v>66</v>
      </c>
      <c r="P506" s="182">
        <v>3000000</v>
      </c>
      <c r="Q506" s="182">
        <v>3133898.3200000003</v>
      </c>
      <c r="R506" s="182">
        <v>3634479.7</v>
      </c>
      <c r="S506" s="182">
        <v>500581.37999999995</v>
      </c>
    </row>
    <row r="507" spans="1:19">
      <c r="A507" s="91" t="s">
        <v>922</v>
      </c>
      <c r="B507" s="91" t="s">
        <v>248</v>
      </c>
      <c r="C507" s="91" t="s">
        <v>1051</v>
      </c>
      <c r="D507" s="234">
        <v>8.875</v>
      </c>
      <c r="E507" s="92">
        <v>41183</v>
      </c>
      <c r="F507" s="93"/>
      <c r="G507" s="235">
        <f t="shared" si="11"/>
        <v>1000</v>
      </c>
      <c r="H507" s="235">
        <f t="shared" si="11"/>
        <v>1008.1047899999999</v>
      </c>
      <c r="I507" s="235">
        <f t="shared" si="11"/>
        <v>1053.836</v>
      </c>
      <c r="J507" s="235">
        <f t="shared" si="10"/>
        <v>45.731210000000047</v>
      </c>
      <c r="K507" s="93"/>
      <c r="L507" s="236" t="s">
        <v>199</v>
      </c>
      <c r="M507" s="236" t="s">
        <v>66</v>
      </c>
      <c r="N507" s="236" t="s">
        <v>66</v>
      </c>
      <c r="P507" s="182">
        <v>1000000</v>
      </c>
      <c r="Q507" s="182">
        <v>1008104.7899999999</v>
      </c>
      <c r="R507" s="182">
        <v>1053836</v>
      </c>
      <c r="S507" s="182">
        <v>45731.21000000005</v>
      </c>
    </row>
    <row r="508" spans="1:19">
      <c r="A508" s="91" t="s">
        <v>1182</v>
      </c>
      <c r="B508" s="91" t="s">
        <v>1183</v>
      </c>
      <c r="C508" s="91" t="s">
        <v>1051</v>
      </c>
      <c r="D508" s="234">
        <v>4.25</v>
      </c>
      <c r="E508" s="92">
        <v>44207</v>
      </c>
      <c r="F508" s="93"/>
      <c r="G508" s="235">
        <f t="shared" si="11"/>
        <v>4000</v>
      </c>
      <c r="H508" s="235">
        <f t="shared" si="11"/>
        <v>4372.6510399999997</v>
      </c>
      <c r="I508" s="235">
        <f t="shared" si="11"/>
        <v>4368.4677199999996</v>
      </c>
      <c r="J508" s="235">
        <f t="shared" si="10"/>
        <v>-4.1833200000002977</v>
      </c>
      <c r="K508" s="93"/>
      <c r="L508" s="236" t="s">
        <v>188</v>
      </c>
      <c r="M508" s="236" t="s">
        <v>171</v>
      </c>
      <c r="N508" s="236" t="s">
        <v>65</v>
      </c>
      <c r="P508" s="182">
        <v>4000000</v>
      </c>
      <c r="Q508" s="182">
        <v>4372651.04</v>
      </c>
      <c r="R508" s="182">
        <v>4368467.72</v>
      </c>
      <c r="S508" s="182">
        <v>-4183.320000000298</v>
      </c>
    </row>
    <row r="509" spans="1:19">
      <c r="A509" s="91" t="s">
        <v>923</v>
      </c>
      <c r="B509" s="91" t="s">
        <v>924</v>
      </c>
      <c r="C509" s="91" t="s">
        <v>1055</v>
      </c>
      <c r="D509" s="234">
        <v>6.35</v>
      </c>
      <c r="E509" s="92">
        <v>61132</v>
      </c>
      <c r="F509" s="93"/>
      <c r="G509" s="235">
        <f t="shared" si="11"/>
        <v>5000</v>
      </c>
      <c r="H509" s="235">
        <f t="shared" si="11"/>
        <v>4988.1089700000002</v>
      </c>
      <c r="I509" s="235">
        <f t="shared" si="11"/>
        <v>4975</v>
      </c>
      <c r="J509" s="235">
        <f t="shared" si="10"/>
        <v>-13.108970000000088</v>
      </c>
      <c r="K509" s="93"/>
      <c r="L509" s="236" t="s">
        <v>204</v>
      </c>
      <c r="M509" s="236" t="s">
        <v>66</v>
      </c>
      <c r="N509" s="236" t="s">
        <v>179</v>
      </c>
      <c r="P509" s="182">
        <v>5000000</v>
      </c>
      <c r="Q509" s="182">
        <v>4988108.9700000007</v>
      </c>
      <c r="R509" s="182">
        <v>4975000</v>
      </c>
      <c r="S509" s="182">
        <v>-13108.970000000088</v>
      </c>
    </row>
    <row r="510" spans="1:19">
      <c r="A510" s="91" t="s">
        <v>925</v>
      </c>
      <c r="B510" s="91" t="s">
        <v>380</v>
      </c>
      <c r="C510" s="91" t="s">
        <v>1055</v>
      </c>
      <c r="D510" s="234">
        <v>4.95</v>
      </c>
      <c r="E510" s="92">
        <v>42323</v>
      </c>
      <c r="F510" s="93"/>
      <c r="G510" s="235">
        <f t="shared" si="11"/>
        <v>2375</v>
      </c>
      <c r="H510" s="235">
        <f t="shared" si="11"/>
        <v>2486.6291799999999</v>
      </c>
      <c r="I510" s="235">
        <f t="shared" si="11"/>
        <v>2419.6856299999999</v>
      </c>
      <c r="J510" s="235">
        <f t="shared" si="10"/>
        <v>-66.943549999999902</v>
      </c>
      <c r="K510" s="93"/>
      <c r="L510" s="236" t="s">
        <v>332</v>
      </c>
      <c r="M510" s="236" t="s">
        <v>208</v>
      </c>
      <c r="N510" s="236" t="s">
        <v>208</v>
      </c>
      <c r="P510" s="182">
        <v>2375000</v>
      </c>
      <c r="Q510" s="182">
        <v>2486629.1799999997</v>
      </c>
      <c r="R510" s="182">
        <v>2419685.63</v>
      </c>
      <c r="S510" s="182">
        <v>-66943.549999999901</v>
      </c>
    </row>
    <row r="511" spans="1:19">
      <c r="A511" s="91" t="s">
        <v>1027</v>
      </c>
      <c r="B511" s="91" t="s">
        <v>1009</v>
      </c>
      <c r="C511" s="91" t="s">
        <v>1051</v>
      </c>
      <c r="D511" s="234">
        <v>5.75</v>
      </c>
      <c r="E511" s="92">
        <v>43084</v>
      </c>
      <c r="F511" s="93"/>
      <c r="G511" s="235">
        <f t="shared" si="11"/>
        <v>2226</v>
      </c>
      <c r="H511" s="235">
        <f t="shared" si="11"/>
        <v>2494.9374700000003</v>
      </c>
      <c r="I511" s="235">
        <f t="shared" si="11"/>
        <v>2591.9269299999996</v>
      </c>
      <c r="J511" s="235">
        <f t="shared" si="10"/>
        <v>96.989459999999639</v>
      </c>
      <c r="K511" s="93"/>
      <c r="L511" s="236" t="s">
        <v>183</v>
      </c>
      <c r="M511" s="236" t="s">
        <v>65</v>
      </c>
      <c r="N511" s="236" t="s">
        <v>65</v>
      </c>
      <c r="P511" s="182">
        <v>2226000</v>
      </c>
      <c r="Q511" s="182">
        <v>2494937.4700000002</v>
      </c>
      <c r="R511" s="182">
        <v>2591926.9299999997</v>
      </c>
      <c r="S511" s="182">
        <v>96989.459999999643</v>
      </c>
    </row>
    <row r="512" spans="1:19">
      <c r="A512" s="91" t="s">
        <v>926</v>
      </c>
      <c r="B512" s="91" t="s">
        <v>249</v>
      </c>
      <c r="C512" s="91" t="s">
        <v>1052</v>
      </c>
      <c r="D512" s="234">
        <v>5</v>
      </c>
      <c r="E512" s="92">
        <v>41044</v>
      </c>
      <c r="F512" s="93"/>
      <c r="G512" s="235">
        <f t="shared" si="11"/>
        <v>500</v>
      </c>
      <c r="H512" s="235">
        <f t="shared" si="11"/>
        <v>502.26504999999997</v>
      </c>
      <c r="I512" s="235">
        <f t="shared" si="11"/>
        <v>508.92500000000001</v>
      </c>
      <c r="J512" s="235">
        <f t="shared" si="10"/>
        <v>6.6599500000000118</v>
      </c>
      <c r="K512" s="93"/>
      <c r="L512" s="236" t="s">
        <v>188</v>
      </c>
      <c r="M512" s="236" t="s">
        <v>171</v>
      </c>
      <c r="N512" s="236" t="s">
        <v>927</v>
      </c>
      <c r="P512" s="182">
        <v>500000</v>
      </c>
      <c r="Q512" s="182">
        <v>502265.05</v>
      </c>
      <c r="R512" s="182">
        <v>508925</v>
      </c>
      <c r="S512" s="182">
        <v>6659.9500000000116</v>
      </c>
    </row>
    <row r="513" spans="1:19">
      <c r="A513" s="91" t="s">
        <v>928</v>
      </c>
      <c r="B513" s="91" t="s">
        <v>340</v>
      </c>
      <c r="C513" s="91" t="s">
        <v>1055</v>
      </c>
      <c r="D513" s="234">
        <v>5.875</v>
      </c>
      <c r="E513" s="92">
        <v>42566</v>
      </c>
      <c r="F513" s="93"/>
      <c r="G513" s="235">
        <f t="shared" si="11"/>
        <v>2500</v>
      </c>
      <c r="H513" s="235">
        <f t="shared" si="11"/>
        <v>2660.3367799999996</v>
      </c>
      <c r="I513" s="235">
        <f t="shared" si="11"/>
        <v>2478.9434500000002</v>
      </c>
      <c r="J513" s="235">
        <f t="shared" si="10"/>
        <v>-181.39332999999991</v>
      </c>
      <c r="K513" s="93"/>
      <c r="L513" s="236" t="s">
        <v>194</v>
      </c>
      <c r="M513" s="236" t="s">
        <v>66</v>
      </c>
      <c r="N513" s="236" t="s">
        <v>206</v>
      </c>
      <c r="P513" s="182">
        <v>2500000</v>
      </c>
      <c r="Q513" s="182">
        <v>2660336.7799999998</v>
      </c>
      <c r="R513" s="182">
        <v>2478943.4500000002</v>
      </c>
      <c r="S513" s="182">
        <v>-181393.3299999999</v>
      </c>
    </row>
    <row r="514" spans="1:19">
      <c r="A514" s="91" t="s">
        <v>966</v>
      </c>
      <c r="B514" s="91" t="s">
        <v>340</v>
      </c>
      <c r="C514" s="91" t="s">
        <v>1055</v>
      </c>
      <c r="D514" s="234">
        <v>5.875</v>
      </c>
      <c r="E514" s="92">
        <v>43089</v>
      </c>
      <c r="F514" s="93"/>
      <c r="G514" s="235">
        <f t="shared" si="11"/>
        <v>2000</v>
      </c>
      <c r="H514" s="235">
        <f t="shared" si="11"/>
        <v>2175.36789</v>
      </c>
      <c r="I514" s="235">
        <f t="shared" si="11"/>
        <v>2079.97712</v>
      </c>
      <c r="J514" s="235">
        <f t="shared" si="10"/>
        <v>-95.390770000000018</v>
      </c>
      <c r="K514" s="93"/>
      <c r="L514" s="236" t="s">
        <v>188</v>
      </c>
      <c r="M514" s="236" t="s">
        <v>65</v>
      </c>
      <c r="N514" s="236" t="s">
        <v>65</v>
      </c>
      <c r="P514" s="182">
        <v>2000000</v>
      </c>
      <c r="Q514" s="182">
        <v>2175367.89</v>
      </c>
      <c r="R514" s="182">
        <v>2079977.12</v>
      </c>
      <c r="S514" s="182">
        <v>-95390.770000000019</v>
      </c>
    </row>
    <row r="515" spans="1:19">
      <c r="A515" s="91" t="s">
        <v>929</v>
      </c>
      <c r="B515" s="91" t="s">
        <v>340</v>
      </c>
      <c r="C515" s="91" t="s">
        <v>1055</v>
      </c>
      <c r="D515" s="234">
        <v>3.875</v>
      </c>
      <c r="E515" s="92">
        <v>42019</v>
      </c>
      <c r="F515" s="93"/>
      <c r="G515" s="235">
        <f t="shared" si="11"/>
        <v>2400</v>
      </c>
      <c r="H515" s="235">
        <f t="shared" si="11"/>
        <v>2479.2509899999995</v>
      </c>
      <c r="I515" s="235">
        <f t="shared" si="11"/>
        <v>2382.0212499999998</v>
      </c>
      <c r="J515" s="235">
        <f t="shared" si="10"/>
        <v>-97.229739999999964</v>
      </c>
      <c r="K515" s="93"/>
      <c r="L515" s="236" t="s">
        <v>188</v>
      </c>
      <c r="M515" s="236" t="s">
        <v>65</v>
      </c>
      <c r="N515" s="236" t="s">
        <v>65</v>
      </c>
      <c r="P515" s="182">
        <v>2400000</v>
      </c>
      <c r="Q515" s="182">
        <v>2479250.9899999998</v>
      </c>
      <c r="R515" s="182">
        <v>2382021.25</v>
      </c>
      <c r="S515" s="182">
        <v>-97229.739999999962</v>
      </c>
    </row>
    <row r="516" spans="1:19">
      <c r="A516" s="91" t="s">
        <v>1012</v>
      </c>
      <c r="B516" s="91" t="s">
        <v>1013</v>
      </c>
      <c r="C516" s="91" t="s">
        <v>1051</v>
      </c>
      <c r="D516" s="234">
        <v>3</v>
      </c>
      <c r="E516" s="92">
        <v>42527</v>
      </c>
      <c r="F516" s="93"/>
      <c r="G516" s="235">
        <f t="shared" si="11"/>
        <v>2500</v>
      </c>
      <c r="H516" s="235">
        <f t="shared" si="11"/>
        <v>2494.0356699999998</v>
      </c>
      <c r="I516" s="235">
        <f t="shared" si="11"/>
        <v>2516.576</v>
      </c>
      <c r="J516" s="235">
        <f t="shared" si="10"/>
        <v>22.540330000000047</v>
      </c>
      <c r="K516" s="93"/>
      <c r="L516" s="236" t="s">
        <v>183</v>
      </c>
      <c r="M516" s="236" t="s">
        <v>121</v>
      </c>
      <c r="N516" s="236" t="s">
        <v>65</v>
      </c>
      <c r="P516" s="182">
        <v>2500000</v>
      </c>
      <c r="Q516" s="182">
        <v>2494035.67</v>
      </c>
      <c r="R516" s="182">
        <v>2516576</v>
      </c>
      <c r="S516" s="182">
        <v>22540.330000000045</v>
      </c>
    </row>
    <row r="517" spans="1:19">
      <c r="A517" s="91" t="s">
        <v>930</v>
      </c>
      <c r="B517" s="91" t="s">
        <v>317</v>
      </c>
      <c r="C517" s="91" t="s">
        <v>1051</v>
      </c>
      <c r="D517" s="234">
        <v>5.0999999999999996</v>
      </c>
      <c r="E517" s="92">
        <v>43313</v>
      </c>
      <c r="F517" s="93"/>
      <c r="G517" s="235">
        <f t="shared" si="11"/>
        <v>1500</v>
      </c>
      <c r="H517" s="235">
        <f t="shared" si="11"/>
        <v>1505.2265500000001</v>
      </c>
      <c r="I517" s="235">
        <f t="shared" si="11"/>
        <v>1699.3746000000001</v>
      </c>
      <c r="J517" s="235">
        <f t="shared" si="11"/>
        <v>194.14805000000004</v>
      </c>
      <c r="K517" s="93"/>
      <c r="L517" s="236" t="s">
        <v>195</v>
      </c>
      <c r="M517" s="236" t="s">
        <v>200</v>
      </c>
      <c r="N517" s="236" t="s">
        <v>65</v>
      </c>
      <c r="P517" s="182">
        <v>1500000</v>
      </c>
      <c r="Q517" s="182">
        <v>1505226.55</v>
      </c>
      <c r="R517" s="182">
        <v>1699374.6</v>
      </c>
      <c r="S517" s="182">
        <v>194148.05000000005</v>
      </c>
    </row>
    <row r="518" spans="1:19">
      <c r="A518" s="91" t="s">
        <v>931</v>
      </c>
      <c r="B518" s="91" t="s">
        <v>386</v>
      </c>
      <c r="C518" s="91" t="s">
        <v>1060</v>
      </c>
      <c r="D518" s="234">
        <v>9.25</v>
      </c>
      <c r="E518" s="92">
        <v>42415</v>
      </c>
      <c r="F518" s="93"/>
      <c r="G518" s="235">
        <f t="shared" ref="G518:J552" si="12">P518/1000</f>
        <v>500</v>
      </c>
      <c r="H518" s="235">
        <f t="shared" si="12"/>
        <v>654.79318999999998</v>
      </c>
      <c r="I518" s="235">
        <f t="shared" si="12"/>
        <v>675.11497999999995</v>
      </c>
      <c r="J518" s="235">
        <f t="shared" si="12"/>
        <v>20.321790000000036</v>
      </c>
      <c r="K518" s="93"/>
      <c r="L518" s="236" t="s">
        <v>189</v>
      </c>
      <c r="M518" s="236" t="s">
        <v>122</v>
      </c>
      <c r="N518" s="236" t="s">
        <v>63</v>
      </c>
      <c r="P518" s="182">
        <v>500000</v>
      </c>
      <c r="Q518" s="182">
        <v>654793.18999999994</v>
      </c>
      <c r="R518" s="182">
        <v>675114.98</v>
      </c>
      <c r="S518" s="182">
        <v>20321.790000000037</v>
      </c>
    </row>
    <row r="519" spans="1:19">
      <c r="A519" s="91" t="s">
        <v>932</v>
      </c>
      <c r="B519" s="91" t="s">
        <v>386</v>
      </c>
      <c r="C519" s="91" t="s">
        <v>1060</v>
      </c>
      <c r="D519" s="234">
        <v>4.5</v>
      </c>
      <c r="E519" s="92">
        <v>42870</v>
      </c>
      <c r="F519" s="93"/>
      <c r="G519" s="235">
        <f t="shared" si="12"/>
        <v>900</v>
      </c>
      <c r="H519" s="235">
        <f t="shared" si="12"/>
        <v>900.54542000000004</v>
      </c>
      <c r="I519" s="235">
        <f t="shared" si="12"/>
        <v>1067.6159399999999</v>
      </c>
      <c r="J519" s="235">
        <f t="shared" si="12"/>
        <v>167.0705199999999</v>
      </c>
      <c r="K519" s="93"/>
      <c r="L519" s="236" t="s">
        <v>189</v>
      </c>
      <c r="M519" s="236" t="s">
        <v>122</v>
      </c>
      <c r="N519" s="236" t="s">
        <v>63</v>
      </c>
      <c r="P519" s="182">
        <v>900000</v>
      </c>
      <c r="Q519" s="182">
        <v>900545.42</v>
      </c>
      <c r="R519" s="182">
        <v>1067615.94</v>
      </c>
      <c r="S519" s="182">
        <v>167070.5199999999</v>
      </c>
    </row>
    <row r="520" spans="1:19">
      <c r="A520" s="91" t="s">
        <v>933</v>
      </c>
      <c r="B520" s="91" t="s">
        <v>386</v>
      </c>
      <c r="C520" s="91" t="s">
        <v>1060</v>
      </c>
      <c r="D520" s="234">
        <v>3.625</v>
      </c>
      <c r="E520" s="92">
        <v>41274</v>
      </c>
      <c r="F520" s="93"/>
      <c r="G520" s="235">
        <f t="shared" si="12"/>
        <v>525</v>
      </c>
      <c r="H520" s="235">
        <f t="shared" si="12"/>
        <v>533.43428000000006</v>
      </c>
      <c r="I520" s="235">
        <f t="shared" si="12"/>
        <v>543.06001000000003</v>
      </c>
      <c r="J520" s="235">
        <f t="shared" si="12"/>
        <v>9.6257299999999812</v>
      </c>
      <c r="K520" s="93"/>
      <c r="L520" s="236" t="s">
        <v>189</v>
      </c>
      <c r="M520" s="236" t="s">
        <v>122</v>
      </c>
      <c r="N520" s="236" t="s">
        <v>63</v>
      </c>
      <c r="P520" s="182">
        <v>525000</v>
      </c>
      <c r="Q520" s="182">
        <v>533434.28</v>
      </c>
      <c r="R520" s="182">
        <v>543060.01</v>
      </c>
      <c r="S520" s="182">
        <v>9625.7299999999814</v>
      </c>
    </row>
    <row r="521" spans="1:19">
      <c r="A521" s="91" t="s">
        <v>934</v>
      </c>
      <c r="B521" s="91" t="s">
        <v>386</v>
      </c>
      <c r="C521" s="91" t="s">
        <v>1060</v>
      </c>
      <c r="D521" s="234">
        <v>1.125</v>
      </c>
      <c r="E521" s="92">
        <v>40923</v>
      </c>
      <c r="F521" s="93"/>
      <c r="G521" s="235">
        <f t="shared" si="12"/>
        <v>425</v>
      </c>
      <c r="H521" s="235">
        <f t="shared" si="12"/>
        <v>424.97378999999995</v>
      </c>
      <c r="I521" s="235">
        <f t="shared" si="12"/>
        <v>425.11475000000002</v>
      </c>
      <c r="J521" s="235">
        <f t="shared" si="12"/>
        <v>0.14096000000002096</v>
      </c>
      <c r="K521" s="93"/>
      <c r="L521" s="236" t="s">
        <v>189</v>
      </c>
      <c r="M521" s="236" t="s">
        <v>122</v>
      </c>
      <c r="N521" s="236" t="s">
        <v>63</v>
      </c>
      <c r="P521" s="182">
        <v>425000</v>
      </c>
      <c r="Q521" s="182">
        <v>424973.79</v>
      </c>
      <c r="R521" s="182">
        <v>425114.75</v>
      </c>
      <c r="S521" s="182">
        <v>140.96000000002095</v>
      </c>
    </row>
    <row r="522" spans="1:19">
      <c r="A522" s="91" t="s">
        <v>935</v>
      </c>
      <c r="B522" s="91" t="s">
        <v>386</v>
      </c>
      <c r="C522" s="91" t="s">
        <v>1060</v>
      </c>
      <c r="D522" s="234">
        <v>1.375</v>
      </c>
      <c r="E522" s="92">
        <v>41014</v>
      </c>
      <c r="F522" s="93"/>
      <c r="G522" s="235">
        <f t="shared" si="12"/>
        <v>3600</v>
      </c>
      <c r="H522" s="235">
        <f t="shared" si="12"/>
        <v>3599.6622000000002</v>
      </c>
      <c r="I522" s="235">
        <f t="shared" si="12"/>
        <v>3613.3560700000003</v>
      </c>
      <c r="J522" s="235">
        <f t="shared" si="12"/>
        <v>13.693869999999995</v>
      </c>
      <c r="K522" s="93"/>
      <c r="L522" s="236" t="s">
        <v>189</v>
      </c>
      <c r="M522" s="236" t="s">
        <v>122</v>
      </c>
      <c r="N522" s="236" t="s">
        <v>63</v>
      </c>
      <c r="P522" s="182">
        <v>3600000</v>
      </c>
      <c r="Q522" s="182">
        <v>3599662.2</v>
      </c>
      <c r="R522" s="182">
        <v>3613356.0700000003</v>
      </c>
      <c r="S522" s="182">
        <v>13693.869999999995</v>
      </c>
    </row>
    <row r="523" spans="1:19">
      <c r="A523" s="91" t="s">
        <v>936</v>
      </c>
      <c r="B523" s="91" t="s">
        <v>386</v>
      </c>
      <c r="C523" s="91" t="s">
        <v>1060</v>
      </c>
      <c r="D523" s="234">
        <v>1.875</v>
      </c>
      <c r="E523" s="92">
        <v>41075</v>
      </c>
      <c r="F523" s="93"/>
      <c r="G523" s="235">
        <f t="shared" si="12"/>
        <v>220</v>
      </c>
      <c r="H523" s="235">
        <f t="shared" si="12"/>
        <v>221.15407999999999</v>
      </c>
      <c r="I523" s="235">
        <f t="shared" si="12"/>
        <v>221.78639999999999</v>
      </c>
      <c r="J523" s="235">
        <f t="shared" si="12"/>
        <v>0.63232000000000699</v>
      </c>
      <c r="K523" s="93"/>
      <c r="L523" s="236" t="s">
        <v>189</v>
      </c>
      <c r="M523" s="236" t="s">
        <v>122</v>
      </c>
      <c r="N523" s="236" t="s">
        <v>63</v>
      </c>
      <c r="P523" s="182">
        <v>220000</v>
      </c>
      <c r="Q523" s="182">
        <v>221154.08</v>
      </c>
      <c r="R523" s="182">
        <v>221786.4</v>
      </c>
      <c r="S523" s="182">
        <v>632.32000000000698</v>
      </c>
    </row>
    <row r="524" spans="1:19">
      <c r="A524" s="91" t="s">
        <v>937</v>
      </c>
      <c r="B524" s="91" t="s">
        <v>386</v>
      </c>
      <c r="C524" s="91" t="s">
        <v>1060</v>
      </c>
      <c r="D524" s="234">
        <v>1.375</v>
      </c>
      <c r="E524" s="92">
        <v>41320</v>
      </c>
      <c r="F524" s="93"/>
      <c r="G524" s="235">
        <f t="shared" si="12"/>
        <v>2525</v>
      </c>
      <c r="H524" s="235">
        <f t="shared" si="12"/>
        <v>2524.1529399999999</v>
      </c>
      <c r="I524" s="235">
        <f t="shared" si="12"/>
        <v>2558.53208</v>
      </c>
      <c r="J524" s="235">
        <f t="shared" si="12"/>
        <v>34.379140000000127</v>
      </c>
      <c r="K524" s="93"/>
      <c r="L524" s="236" t="s">
        <v>189</v>
      </c>
      <c r="M524" s="236" t="s">
        <v>122</v>
      </c>
      <c r="N524" s="236" t="s">
        <v>63</v>
      </c>
      <c r="P524" s="182">
        <v>2525000</v>
      </c>
      <c r="Q524" s="182">
        <v>2524152.94</v>
      </c>
      <c r="R524" s="182">
        <v>2558532.08</v>
      </c>
      <c r="S524" s="182">
        <v>34379.14000000013</v>
      </c>
    </row>
    <row r="525" spans="1:19">
      <c r="A525" s="91" t="s">
        <v>938</v>
      </c>
      <c r="B525" s="91" t="s">
        <v>386</v>
      </c>
      <c r="C525" s="91" t="s">
        <v>1060</v>
      </c>
      <c r="D525" s="234">
        <v>0.625</v>
      </c>
      <c r="E525" s="92">
        <v>41121</v>
      </c>
      <c r="F525" s="93"/>
      <c r="G525" s="235">
        <f t="shared" si="12"/>
        <v>14305</v>
      </c>
      <c r="H525" s="235">
        <f t="shared" si="12"/>
        <v>14309.898290000001</v>
      </c>
      <c r="I525" s="235">
        <f t="shared" si="12"/>
        <v>14349.344070000001</v>
      </c>
      <c r="J525" s="235">
        <f t="shared" si="12"/>
        <v>39.445779999999793</v>
      </c>
      <c r="K525" s="93"/>
      <c r="L525" s="236" t="s">
        <v>189</v>
      </c>
      <c r="M525" s="236" t="s">
        <v>122</v>
      </c>
      <c r="N525" s="236" t="s">
        <v>63</v>
      </c>
      <c r="P525" s="182">
        <v>14305000</v>
      </c>
      <c r="Q525" s="182">
        <v>14309898.290000001</v>
      </c>
      <c r="R525" s="182">
        <v>14349344.07</v>
      </c>
      <c r="S525" s="182">
        <v>39445.779999999795</v>
      </c>
    </row>
    <row r="526" spans="1:19">
      <c r="A526" s="91" t="s">
        <v>939</v>
      </c>
      <c r="B526" s="91" t="s">
        <v>386</v>
      </c>
      <c r="C526" s="91" t="s">
        <v>1060</v>
      </c>
      <c r="D526" s="234">
        <v>2.625</v>
      </c>
      <c r="E526" s="92">
        <v>44150</v>
      </c>
      <c r="F526" s="93"/>
      <c r="G526" s="235">
        <f t="shared" si="12"/>
        <v>2700</v>
      </c>
      <c r="H526" s="235">
        <f t="shared" si="12"/>
        <v>2550.7305499999998</v>
      </c>
      <c r="I526" s="235">
        <f t="shared" si="12"/>
        <v>2906.92803</v>
      </c>
      <c r="J526" s="235">
        <f t="shared" si="12"/>
        <v>356.19747999999998</v>
      </c>
      <c r="K526" s="93"/>
      <c r="L526" s="236" t="s">
        <v>189</v>
      </c>
      <c r="M526" s="236" t="s">
        <v>122</v>
      </c>
      <c r="N526" s="236" t="s">
        <v>63</v>
      </c>
      <c r="P526" s="182">
        <v>2700000</v>
      </c>
      <c r="Q526" s="182">
        <v>2550730.5499999998</v>
      </c>
      <c r="R526" s="182">
        <v>2906928.0300000003</v>
      </c>
      <c r="S526" s="182">
        <v>356197.48</v>
      </c>
    </row>
    <row r="527" spans="1:19">
      <c r="A527" s="91" t="s">
        <v>940</v>
      </c>
      <c r="B527" s="91" t="s">
        <v>386</v>
      </c>
      <c r="C527" s="91" t="s">
        <v>1060</v>
      </c>
      <c r="D527" s="234">
        <v>0.375</v>
      </c>
      <c r="E527" s="92">
        <v>41213</v>
      </c>
      <c r="F527" s="93"/>
      <c r="G527" s="235">
        <f t="shared" si="12"/>
        <v>6100</v>
      </c>
      <c r="H527" s="235">
        <f t="shared" si="12"/>
        <v>6095.5434699999996</v>
      </c>
      <c r="I527" s="235">
        <f t="shared" si="12"/>
        <v>6111.8950000000004</v>
      </c>
      <c r="J527" s="235">
        <f t="shared" si="12"/>
        <v>16.35153000000026</v>
      </c>
      <c r="K527" s="93"/>
      <c r="L527" s="236" t="s">
        <v>189</v>
      </c>
      <c r="M527" s="236" t="s">
        <v>122</v>
      </c>
      <c r="N527" s="236" t="s">
        <v>63</v>
      </c>
      <c r="P527" s="182">
        <v>6100000</v>
      </c>
      <c r="Q527" s="182">
        <v>6095543.4699999997</v>
      </c>
      <c r="R527" s="182">
        <v>6111895</v>
      </c>
      <c r="S527" s="182">
        <v>16351.530000000261</v>
      </c>
    </row>
    <row r="528" spans="1:19">
      <c r="A528" s="91" t="s">
        <v>962</v>
      </c>
      <c r="B528" s="91" t="s">
        <v>386</v>
      </c>
      <c r="C528" s="91" t="s">
        <v>1060</v>
      </c>
      <c r="D528" s="234">
        <v>0.625</v>
      </c>
      <c r="E528" s="92">
        <v>41305</v>
      </c>
      <c r="F528" s="93"/>
      <c r="G528" s="235">
        <f t="shared" si="12"/>
        <v>1100</v>
      </c>
      <c r="H528" s="235">
        <f t="shared" si="12"/>
        <v>1099.2155400000001</v>
      </c>
      <c r="I528" s="235">
        <f t="shared" si="12"/>
        <v>1105.35691</v>
      </c>
      <c r="J528" s="235">
        <f t="shared" si="12"/>
        <v>6.1413699999998785</v>
      </c>
      <c r="K528" s="93"/>
      <c r="L528" s="236" t="s">
        <v>189</v>
      </c>
      <c r="M528" s="236" t="s">
        <v>122</v>
      </c>
      <c r="N528" s="236" t="s">
        <v>63</v>
      </c>
      <c r="P528" s="182">
        <v>1100000</v>
      </c>
      <c r="Q528" s="182">
        <v>1099215.54</v>
      </c>
      <c r="R528" s="182">
        <v>1105356.9099999999</v>
      </c>
      <c r="S528" s="182">
        <v>6141.3699999998789</v>
      </c>
    </row>
    <row r="529" spans="1:19">
      <c r="A529" s="91" t="s">
        <v>969</v>
      </c>
      <c r="B529" s="91" t="s">
        <v>386</v>
      </c>
      <c r="C529" s="91" t="s">
        <v>1060</v>
      </c>
      <c r="D529" s="234">
        <v>3.625</v>
      </c>
      <c r="E529" s="92">
        <v>44242</v>
      </c>
      <c r="F529" s="93"/>
      <c r="G529" s="235">
        <f t="shared" si="12"/>
        <v>2200</v>
      </c>
      <c r="H529" s="235">
        <f t="shared" si="12"/>
        <v>2222.4057200000002</v>
      </c>
      <c r="I529" s="235">
        <f t="shared" si="12"/>
        <v>2554.0460400000002</v>
      </c>
      <c r="J529" s="235">
        <f t="shared" si="12"/>
        <v>331.64031999999997</v>
      </c>
      <c r="K529" s="93"/>
      <c r="L529" s="236" t="s">
        <v>189</v>
      </c>
      <c r="M529" s="236" t="s">
        <v>122</v>
      </c>
      <c r="N529" s="236" t="s">
        <v>63</v>
      </c>
      <c r="P529" s="182">
        <v>2200000</v>
      </c>
      <c r="Q529" s="182">
        <v>2222405.7200000002</v>
      </c>
      <c r="R529" s="182">
        <v>2554046.04</v>
      </c>
      <c r="S529" s="182">
        <v>331640.31999999995</v>
      </c>
    </row>
    <row r="530" spans="1:19">
      <c r="A530" s="91" t="s">
        <v>982</v>
      </c>
      <c r="B530" s="91" t="s">
        <v>386</v>
      </c>
      <c r="C530" s="91" t="s">
        <v>1060</v>
      </c>
      <c r="D530" s="234">
        <v>0.625</v>
      </c>
      <c r="E530" s="92">
        <v>41394</v>
      </c>
      <c r="F530" s="93"/>
      <c r="G530" s="235">
        <f t="shared" si="12"/>
        <v>1000</v>
      </c>
      <c r="H530" s="235">
        <f t="shared" si="12"/>
        <v>999.21663000000001</v>
      </c>
      <c r="I530" s="235">
        <f t="shared" si="12"/>
        <v>1005.8499899999999</v>
      </c>
      <c r="J530" s="235">
        <f t="shared" si="12"/>
        <v>6.6333599999999864</v>
      </c>
      <c r="K530" s="93"/>
      <c r="L530" s="236" t="s">
        <v>189</v>
      </c>
      <c r="M530" s="236" t="s">
        <v>122</v>
      </c>
      <c r="N530" s="236" t="s">
        <v>63</v>
      </c>
      <c r="P530" s="182">
        <v>1000000</v>
      </c>
      <c r="Q530" s="182">
        <v>999216.63</v>
      </c>
      <c r="R530" s="182">
        <v>1005849.99</v>
      </c>
      <c r="S530" s="182">
        <v>6633.359999999986</v>
      </c>
    </row>
    <row r="531" spans="1:19">
      <c r="A531" s="91" t="s">
        <v>1184</v>
      </c>
      <c r="B531" s="91" t="s">
        <v>386</v>
      </c>
      <c r="C531" s="91" t="s">
        <v>1060</v>
      </c>
      <c r="D531" s="234">
        <v>1</v>
      </c>
      <c r="E531" s="92">
        <v>42674</v>
      </c>
      <c r="F531" s="93"/>
      <c r="G531" s="235">
        <f t="shared" si="12"/>
        <v>4900</v>
      </c>
      <c r="H531" s="235">
        <f t="shared" si="12"/>
        <v>4919.1313299999993</v>
      </c>
      <c r="I531" s="235">
        <f t="shared" si="12"/>
        <v>4947.3341499999997</v>
      </c>
      <c r="J531" s="235">
        <f t="shared" si="12"/>
        <v>28.202820000000067</v>
      </c>
      <c r="K531" s="93"/>
      <c r="L531" s="236" t="s">
        <v>189</v>
      </c>
      <c r="M531" s="236" t="s">
        <v>122</v>
      </c>
      <c r="N531" s="236" t="s">
        <v>63</v>
      </c>
      <c r="P531" s="182">
        <v>4900000</v>
      </c>
      <c r="Q531" s="182">
        <v>4919131.3299999991</v>
      </c>
      <c r="R531" s="182">
        <v>4947334.1499999994</v>
      </c>
      <c r="S531" s="182">
        <v>28202.820000000065</v>
      </c>
    </row>
    <row r="532" spans="1:19">
      <c r="A532" s="91" t="s">
        <v>1185</v>
      </c>
      <c r="B532" s="91" t="s">
        <v>386</v>
      </c>
      <c r="C532" s="91" t="s">
        <v>1060</v>
      </c>
      <c r="D532" s="234">
        <v>0.25</v>
      </c>
      <c r="E532" s="92">
        <v>41578</v>
      </c>
      <c r="F532" s="93"/>
      <c r="G532" s="235">
        <f t="shared" si="12"/>
        <v>1000</v>
      </c>
      <c r="H532" s="235">
        <f t="shared" si="12"/>
        <v>1000</v>
      </c>
      <c r="I532" s="235">
        <f t="shared" si="12"/>
        <v>1000.2500200000001</v>
      </c>
      <c r="J532" s="235">
        <f t="shared" si="12"/>
        <v>0.25002000000001862</v>
      </c>
      <c r="K532" s="93"/>
      <c r="L532" s="236" t="s">
        <v>189</v>
      </c>
      <c r="M532" s="236" t="s">
        <v>122</v>
      </c>
      <c r="N532" s="236" t="s">
        <v>63</v>
      </c>
      <c r="P532" s="182">
        <v>1000000</v>
      </c>
      <c r="Q532" s="182">
        <v>1000000</v>
      </c>
      <c r="R532" s="182">
        <v>1000250.02</v>
      </c>
      <c r="S532" s="182">
        <v>250.02000000001863</v>
      </c>
    </row>
    <row r="533" spans="1:19">
      <c r="A533" s="91" t="s">
        <v>941</v>
      </c>
      <c r="B533" s="91" t="s">
        <v>250</v>
      </c>
      <c r="C533" s="91" t="s">
        <v>1051</v>
      </c>
      <c r="D533" s="234">
        <v>4.875</v>
      </c>
      <c r="E533" s="92">
        <v>41365</v>
      </c>
      <c r="F533" s="93"/>
      <c r="G533" s="235">
        <f t="shared" si="12"/>
        <v>1975</v>
      </c>
      <c r="H533" s="235">
        <f t="shared" si="12"/>
        <v>1953.4386099999999</v>
      </c>
      <c r="I533" s="235">
        <f t="shared" si="12"/>
        <v>2064.83392</v>
      </c>
      <c r="J533" s="235">
        <f t="shared" si="12"/>
        <v>111.39531000000005</v>
      </c>
      <c r="K533" s="93"/>
      <c r="L533" s="236" t="s">
        <v>195</v>
      </c>
      <c r="M533" s="236" t="s">
        <v>206</v>
      </c>
      <c r="N533" s="236" t="s">
        <v>206</v>
      </c>
      <c r="P533" s="182">
        <v>1975000</v>
      </c>
      <c r="Q533" s="182">
        <v>1953438.6099999999</v>
      </c>
      <c r="R533" s="182">
        <v>2064833.92</v>
      </c>
      <c r="S533" s="182">
        <v>111395.31000000006</v>
      </c>
    </row>
    <row r="534" spans="1:19">
      <c r="A534" s="91" t="s">
        <v>942</v>
      </c>
      <c r="B534" s="91" t="s">
        <v>250</v>
      </c>
      <c r="C534" s="91" t="s">
        <v>1051</v>
      </c>
      <c r="D534" s="234">
        <v>4.75</v>
      </c>
      <c r="E534" s="92">
        <v>41680</v>
      </c>
      <c r="F534" s="93"/>
      <c r="G534" s="235">
        <f t="shared" si="12"/>
        <v>2000</v>
      </c>
      <c r="H534" s="235">
        <f t="shared" si="12"/>
        <v>1966.39948</v>
      </c>
      <c r="I534" s="235">
        <f t="shared" si="12"/>
        <v>2142.9879999999998</v>
      </c>
      <c r="J534" s="235">
        <f t="shared" si="12"/>
        <v>176.58852000000002</v>
      </c>
      <c r="K534" s="93"/>
      <c r="L534" s="236" t="s">
        <v>195</v>
      </c>
      <c r="M534" s="236" t="s">
        <v>206</v>
      </c>
      <c r="N534" s="236" t="s">
        <v>206</v>
      </c>
      <c r="P534" s="182">
        <v>2000000</v>
      </c>
      <c r="Q534" s="182">
        <v>1966399.48</v>
      </c>
      <c r="R534" s="182">
        <v>2142988</v>
      </c>
      <c r="S534" s="182">
        <v>176588.52000000002</v>
      </c>
    </row>
    <row r="535" spans="1:19">
      <c r="A535" s="91" t="s">
        <v>943</v>
      </c>
      <c r="B535" s="91" t="s">
        <v>329</v>
      </c>
      <c r="C535" s="91" t="s">
        <v>1052</v>
      </c>
      <c r="D535" s="234">
        <v>4</v>
      </c>
      <c r="E535" s="92">
        <v>42370</v>
      </c>
      <c r="F535" s="93"/>
      <c r="G535" s="235">
        <f t="shared" si="12"/>
        <v>2150</v>
      </c>
      <c r="H535" s="235">
        <f t="shared" si="12"/>
        <v>2313.5645100000002</v>
      </c>
      <c r="I535" s="235">
        <f t="shared" si="12"/>
        <v>2378.373</v>
      </c>
      <c r="J535" s="235">
        <f t="shared" si="12"/>
        <v>64.808489999999992</v>
      </c>
      <c r="K535" s="93"/>
      <c r="L535" s="236" t="s">
        <v>188</v>
      </c>
      <c r="M535" s="236" t="s">
        <v>171</v>
      </c>
      <c r="N535" s="236" t="s">
        <v>171</v>
      </c>
      <c r="P535" s="182">
        <v>2150000</v>
      </c>
      <c r="Q535" s="182">
        <v>2313564.5100000002</v>
      </c>
      <c r="R535" s="182">
        <v>2378373</v>
      </c>
      <c r="S535" s="182">
        <v>64808.489999999991</v>
      </c>
    </row>
    <row r="536" spans="1:19">
      <c r="A536" s="91" t="s">
        <v>1028</v>
      </c>
      <c r="B536" s="91" t="s">
        <v>1029</v>
      </c>
      <c r="C536" s="91" t="s">
        <v>1051</v>
      </c>
      <c r="D536" s="234">
        <v>4.75</v>
      </c>
      <c r="E536" s="92">
        <v>44348</v>
      </c>
      <c r="F536" s="93"/>
      <c r="G536" s="235">
        <f t="shared" si="12"/>
        <v>1900</v>
      </c>
      <c r="H536" s="235">
        <f t="shared" si="12"/>
        <v>1884.3589199999999</v>
      </c>
      <c r="I536" s="235">
        <f t="shared" si="12"/>
        <v>1847.4098000000001</v>
      </c>
      <c r="J536" s="235">
        <f t="shared" si="12"/>
        <v>-36.94911999999988</v>
      </c>
      <c r="K536" s="93"/>
      <c r="L536" s="236" t="s">
        <v>199</v>
      </c>
      <c r="M536" s="236" t="s">
        <v>66</v>
      </c>
      <c r="N536" s="236" t="s">
        <v>200</v>
      </c>
      <c r="P536" s="182">
        <v>1900000</v>
      </c>
      <c r="Q536" s="182">
        <v>1884358.92</v>
      </c>
      <c r="R536" s="182">
        <v>1847409.8</v>
      </c>
      <c r="S536" s="182">
        <v>-36949.119999999879</v>
      </c>
    </row>
    <row r="537" spans="1:19">
      <c r="A537" s="91" t="s">
        <v>944</v>
      </c>
      <c r="B537" s="91" t="s">
        <v>442</v>
      </c>
      <c r="C537" s="91" t="s">
        <v>1051</v>
      </c>
      <c r="D537" s="234">
        <v>8.5</v>
      </c>
      <c r="E537" s="92">
        <v>43419</v>
      </c>
      <c r="F537" s="93"/>
      <c r="G537" s="235">
        <f t="shared" si="12"/>
        <v>3215</v>
      </c>
      <c r="H537" s="235">
        <f t="shared" si="12"/>
        <v>4246.2788099999998</v>
      </c>
      <c r="I537" s="235">
        <f t="shared" si="12"/>
        <v>4359.5549099999998</v>
      </c>
      <c r="J537" s="235">
        <f t="shared" si="12"/>
        <v>113.27610000000033</v>
      </c>
      <c r="K537" s="93"/>
      <c r="L537" s="236" t="s">
        <v>183</v>
      </c>
      <c r="M537" s="236" t="s">
        <v>206</v>
      </c>
      <c r="N537" s="236" t="s">
        <v>65</v>
      </c>
      <c r="P537" s="182">
        <v>3215000</v>
      </c>
      <c r="Q537" s="182">
        <v>4246278.8099999996</v>
      </c>
      <c r="R537" s="182">
        <v>4359554.91</v>
      </c>
      <c r="S537" s="182">
        <v>113276.10000000033</v>
      </c>
    </row>
    <row r="538" spans="1:19">
      <c r="A538" s="91" t="s">
        <v>1101</v>
      </c>
      <c r="B538" s="91" t="s">
        <v>1102</v>
      </c>
      <c r="C538" s="91" t="s">
        <v>1051</v>
      </c>
      <c r="D538" s="234">
        <v>6.125</v>
      </c>
      <c r="E538" s="92">
        <v>43013</v>
      </c>
      <c r="F538" s="93"/>
      <c r="G538" s="235">
        <f t="shared" si="12"/>
        <v>5000</v>
      </c>
      <c r="H538" s="235">
        <f t="shared" si="12"/>
        <v>5774.3298599999998</v>
      </c>
      <c r="I538" s="235">
        <f t="shared" si="12"/>
        <v>5867.1642499999998</v>
      </c>
      <c r="J538" s="235">
        <f t="shared" si="12"/>
        <v>92.834390000000369</v>
      </c>
      <c r="K538" s="93"/>
      <c r="L538" s="236" t="s">
        <v>204</v>
      </c>
      <c r="M538" s="236" t="s">
        <v>200</v>
      </c>
      <c r="N538" s="236" t="s">
        <v>200</v>
      </c>
      <c r="P538" s="182">
        <v>5000000</v>
      </c>
      <c r="Q538" s="182">
        <v>5774329.8599999994</v>
      </c>
      <c r="R538" s="182">
        <v>5867164.25</v>
      </c>
      <c r="S538" s="182">
        <v>92834.390000000363</v>
      </c>
    </row>
    <row r="539" spans="1:19">
      <c r="A539" s="91" t="s">
        <v>945</v>
      </c>
      <c r="B539" s="91" t="s">
        <v>251</v>
      </c>
      <c r="C539" s="91" t="s">
        <v>1055</v>
      </c>
      <c r="D539" s="234">
        <v>5</v>
      </c>
      <c r="E539" s="92">
        <v>41624</v>
      </c>
      <c r="F539" s="93"/>
      <c r="G539" s="235">
        <f t="shared" si="12"/>
        <v>2125</v>
      </c>
      <c r="H539" s="235">
        <f t="shared" si="12"/>
        <v>2117.58653</v>
      </c>
      <c r="I539" s="235">
        <f t="shared" si="12"/>
        <v>2278.8219100000001</v>
      </c>
      <c r="J539" s="235">
        <f t="shared" si="12"/>
        <v>161.23537999999988</v>
      </c>
      <c r="K539" s="93"/>
      <c r="L539" s="236" t="s">
        <v>195</v>
      </c>
      <c r="M539" s="236" t="s">
        <v>206</v>
      </c>
      <c r="N539" s="236" t="s">
        <v>206</v>
      </c>
      <c r="P539" s="182">
        <v>2125000</v>
      </c>
      <c r="Q539" s="182">
        <v>2117586.5300000003</v>
      </c>
      <c r="R539" s="182">
        <v>2278821.91</v>
      </c>
      <c r="S539" s="182">
        <v>161235.37999999989</v>
      </c>
    </row>
    <row r="540" spans="1:19">
      <c r="A540" s="91" t="s">
        <v>946</v>
      </c>
      <c r="B540" s="91" t="s">
        <v>449</v>
      </c>
      <c r="C540" s="91" t="s">
        <v>1054</v>
      </c>
      <c r="D540" s="234">
        <v>2.9695999999999998</v>
      </c>
      <c r="E540" s="92">
        <v>47009</v>
      </c>
      <c r="F540" s="93"/>
      <c r="G540" s="235">
        <f t="shared" si="12"/>
        <v>3582.8057399999998</v>
      </c>
      <c r="H540" s="235">
        <f t="shared" si="12"/>
        <v>3582.6778300000001</v>
      </c>
      <c r="I540" s="235">
        <f t="shared" si="12"/>
        <v>3679.2620400000001</v>
      </c>
      <c r="J540" s="235">
        <f t="shared" si="12"/>
        <v>96.584210000000084</v>
      </c>
      <c r="K540" s="93"/>
      <c r="L540" s="236" t="s">
        <v>179</v>
      </c>
      <c r="M540" s="236" t="s">
        <v>63</v>
      </c>
      <c r="N540" s="236" t="s">
        <v>63</v>
      </c>
      <c r="P540" s="182">
        <v>3582805.7399999998</v>
      </c>
      <c r="Q540" s="182">
        <v>3582677.83</v>
      </c>
      <c r="R540" s="182">
        <v>3679262.04</v>
      </c>
      <c r="S540" s="182">
        <v>96584.210000000079</v>
      </c>
    </row>
    <row r="541" spans="1:19">
      <c r="A541" s="91" t="s">
        <v>947</v>
      </c>
      <c r="B541" s="91" t="s">
        <v>450</v>
      </c>
      <c r="C541" s="91" t="s">
        <v>1054</v>
      </c>
      <c r="D541" s="234">
        <v>4.782</v>
      </c>
      <c r="E541" s="92">
        <v>51940</v>
      </c>
      <c r="F541" s="93"/>
      <c r="G541" s="235">
        <f t="shared" si="12"/>
        <v>990.0805499999999</v>
      </c>
      <c r="H541" s="235">
        <f t="shared" si="12"/>
        <v>988.43720999999994</v>
      </c>
      <c r="I541" s="235">
        <f t="shared" si="12"/>
        <v>989.25384000000008</v>
      </c>
      <c r="J541" s="235">
        <f t="shared" si="12"/>
        <v>0.81663000000006292</v>
      </c>
      <c r="K541" s="93"/>
      <c r="L541" s="236" t="s">
        <v>189</v>
      </c>
      <c r="M541" s="236" t="s">
        <v>63</v>
      </c>
      <c r="N541" s="236" t="s">
        <v>63</v>
      </c>
      <c r="P541" s="182">
        <v>990080.54999999993</v>
      </c>
      <c r="Q541" s="182">
        <v>988437.21</v>
      </c>
      <c r="R541" s="182">
        <v>989253.84000000008</v>
      </c>
      <c r="S541" s="182">
        <v>816.63000000006286</v>
      </c>
    </row>
    <row r="542" spans="1:19">
      <c r="A542" s="91" t="s">
        <v>948</v>
      </c>
      <c r="B542" s="91" t="s">
        <v>436</v>
      </c>
      <c r="C542" s="91" t="s">
        <v>1054</v>
      </c>
      <c r="D542" s="234">
        <v>5.7367600000000003</v>
      </c>
      <c r="E542" s="92">
        <v>52366</v>
      </c>
      <c r="F542" s="93"/>
      <c r="G542" s="235">
        <f t="shared" si="12"/>
        <v>4000</v>
      </c>
      <c r="H542" s="235">
        <f t="shared" si="12"/>
        <v>4361.9707799999996</v>
      </c>
      <c r="I542" s="235">
        <f t="shared" si="12"/>
        <v>4450.4449599999998</v>
      </c>
      <c r="J542" s="235">
        <f t="shared" si="12"/>
        <v>88.474180000000175</v>
      </c>
      <c r="K542" s="93"/>
      <c r="L542" s="236" t="s">
        <v>189</v>
      </c>
      <c r="M542" s="236" t="s">
        <v>179</v>
      </c>
      <c r="N542" s="236" t="s">
        <v>63</v>
      </c>
      <c r="P542" s="182">
        <v>4000000</v>
      </c>
      <c r="Q542" s="182">
        <v>4361970.7799999993</v>
      </c>
      <c r="R542" s="182">
        <v>4450444.96</v>
      </c>
      <c r="S542" s="182">
        <v>88474.180000000168</v>
      </c>
    </row>
    <row r="543" spans="1:19">
      <c r="A543" s="91" t="s">
        <v>1186</v>
      </c>
      <c r="B543" s="91" t="s">
        <v>1187</v>
      </c>
      <c r="C543" s="91" t="s">
        <v>1051</v>
      </c>
      <c r="D543" s="234">
        <v>5.56975</v>
      </c>
      <c r="E543" s="92">
        <v>54772</v>
      </c>
      <c r="F543" s="93"/>
      <c r="G543" s="235">
        <f t="shared" si="12"/>
        <v>6000</v>
      </c>
      <c r="H543" s="235">
        <f t="shared" si="12"/>
        <v>5182.5</v>
      </c>
      <c r="I543" s="235">
        <f t="shared" si="12"/>
        <v>5025</v>
      </c>
      <c r="J543" s="235">
        <f t="shared" si="12"/>
        <v>-157.5</v>
      </c>
      <c r="K543" s="93"/>
      <c r="L543" s="236" t="s">
        <v>332</v>
      </c>
      <c r="M543" s="236" t="s">
        <v>200</v>
      </c>
      <c r="N543" s="236" t="s">
        <v>65</v>
      </c>
      <c r="P543" s="182">
        <v>6000000</v>
      </c>
      <c r="Q543" s="182">
        <v>5182500</v>
      </c>
      <c r="R543" s="182">
        <v>5025000</v>
      </c>
      <c r="S543" s="182">
        <v>-157500</v>
      </c>
    </row>
    <row r="544" spans="1:19">
      <c r="A544" s="91" t="s">
        <v>949</v>
      </c>
      <c r="B544" s="91" t="s">
        <v>344</v>
      </c>
      <c r="C544" s="91" t="s">
        <v>1052</v>
      </c>
      <c r="D544" s="234">
        <v>5</v>
      </c>
      <c r="E544" s="92">
        <v>42552</v>
      </c>
      <c r="F544" s="93"/>
      <c r="G544" s="235">
        <f t="shared" si="12"/>
        <v>1500</v>
      </c>
      <c r="H544" s="235">
        <f t="shared" si="12"/>
        <v>1718.4105099999999</v>
      </c>
      <c r="I544" s="235">
        <f t="shared" si="12"/>
        <v>1767.15</v>
      </c>
      <c r="J544" s="235">
        <f t="shared" si="12"/>
        <v>48.739489999999989</v>
      </c>
      <c r="K544" s="93"/>
      <c r="L544" s="236" t="s">
        <v>178</v>
      </c>
      <c r="M544" s="236" t="s">
        <v>122</v>
      </c>
      <c r="N544" s="236" t="s">
        <v>122</v>
      </c>
      <c r="P544" s="182">
        <v>1500000</v>
      </c>
      <c r="Q544" s="182">
        <v>1718410.51</v>
      </c>
      <c r="R544" s="182">
        <v>1767150</v>
      </c>
      <c r="S544" s="182">
        <v>48739.489999999991</v>
      </c>
    </row>
    <row r="545" spans="1:19">
      <c r="A545" s="91" t="s">
        <v>950</v>
      </c>
      <c r="B545" s="91" t="s">
        <v>318</v>
      </c>
      <c r="C545" s="91" t="s">
        <v>1051</v>
      </c>
      <c r="D545" s="234">
        <v>6.88</v>
      </c>
      <c r="E545" s="92">
        <v>46563</v>
      </c>
      <c r="F545" s="93"/>
      <c r="G545" s="235">
        <f t="shared" si="12"/>
        <v>1000</v>
      </c>
      <c r="H545" s="235">
        <f t="shared" si="12"/>
        <v>1099.77091</v>
      </c>
      <c r="I545" s="235">
        <f t="shared" si="12"/>
        <v>1113.086</v>
      </c>
      <c r="J545" s="235">
        <f t="shared" si="12"/>
        <v>13.315090000000083</v>
      </c>
      <c r="K545" s="93"/>
      <c r="L545" s="236" t="s">
        <v>199</v>
      </c>
      <c r="M545" s="236" t="s">
        <v>66</v>
      </c>
      <c r="N545" s="236" t="s">
        <v>179</v>
      </c>
      <c r="P545" s="182">
        <v>1000000</v>
      </c>
      <c r="Q545" s="182">
        <v>1099770.9099999999</v>
      </c>
      <c r="R545" s="182">
        <v>1113086</v>
      </c>
      <c r="S545" s="182">
        <v>13315.090000000084</v>
      </c>
    </row>
    <row r="546" spans="1:19">
      <c r="A546" s="91" t="s">
        <v>951</v>
      </c>
      <c r="B546" s="91" t="s">
        <v>952</v>
      </c>
      <c r="C546" s="91" t="s">
        <v>1051</v>
      </c>
      <c r="D546" s="234">
        <v>5</v>
      </c>
      <c r="E546" s="92">
        <v>41958</v>
      </c>
      <c r="F546" s="93"/>
      <c r="G546" s="235">
        <f t="shared" si="12"/>
        <v>2200</v>
      </c>
      <c r="H546" s="235">
        <f t="shared" si="12"/>
        <v>2201.97694</v>
      </c>
      <c r="I546" s="235">
        <f t="shared" si="12"/>
        <v>2344.41561</v>
      </c>
      <c r="J546" s="235">
        <f t="shared" si="12"/>
        <v>142.4386699999998</v>
      </c>
      <c r="K546" s="93"/>
      <c r="L546" s="236" t="s">
        <v>195</v>
      </c>
      <c r="M546" s="236" t="s">
        <v>65</v>
      </c>
      <c r="N546" s="236" t="s">
        <v>121</v>
      </c>
      <c r="P546" s="182">
        <v>2200000</v>
      </c>
      <c r="Q546" s="182">
        <v>2201976.94</v>
      </c>
      <c r="R546" s="182">
        <v>2344415.61</v>
      </c>
      <c r="S546" s="182">
        <v>142438.66999999981</v>
      </c>
    </row>
    <row r="547" spans="1:19">
      <c r="A547" s="91" t="s">
        <v>953</v>
      </c>
      <c r="B547" s="91" t="s">
        <v>952</v>
      </c>
      <c r="C547" s="91" t="s">
        <v>1051</v>
      </c>
      <c r="D547" s="234">
        <v>7.98</v>
      </c>
      <c r="E547" s="92">
        <v>54511</v>
      </c>
      <c r="F547" s="93"/>
      <c r="G547" s="235">
        <f t="shared" si="12"/>
        <v>3000</v>
      </c>
      <c r="H547" s="235">
        <f t="shared" si="12"/>
        <v>3168.75</v>
      </c>
      <c r="I547" s="235">
        <f t="shared" si="12"/>
        <v>3213.75</v>
      </c>
      <c r="J547" s="235">
        <f t="shared" si="12"/>
        <v>45</v>
      </c>
      <c r="K547" s="93"/>
      <c r="L547" s="236" t="s">
        <v>332</v>
      </c>
      <c r="M547" s="236" t="s">
        <v>200</v>
      </c>
      <c r="N547" s="236" t="s">
        <v>65</v>
      </c>
      <c r="P547" s="182">
        <v>3000000</v>
      </c>
      <c r="Q547" s="182">
        <v>3168750</v>
      </c>
      <c r="R547" s="182">
        <v>3213750</v>
      </c>
      <c r="S547" s="182">
        <v>45000</v>
      </c>
    </row>
    <row r="548" spans="1:19">
      <c r="A548" s="91" t="s">
        <v>954</v>
      </c>
      <c r="B548" s="91" t="s">
        <v>381</v>
      </c>
      <c r="C548" s="91" t="s">
        <v>1052</v>
      </c>
      <c r="D548" s="234">
        <v>4</v>
      </c>
      <c r="E548" s="92">
        <v>42795</v>
      </c>
      <c r="F548" s="93"/>
      <c r="G548" s="235">
        <f t="shared" si="12"/>
        <v>1000</v>
      </c>
      <c r="H548" s="235">
        <f t="shared" si="12"/>
        <v>1096.1112700000001</v>
      </c>
      <c r="I548" s="235">
        <f t="shared" si="12"/>
        <v>1153.44</v>
      </c>
      <c r="J548" s="235">
        <f t="shared" si="12"/>
        <v>57.328729999999979</v>
      </c>
      <c r="K548" s="93"/>
      <c r="L548" s="236" t="s">
        <v>189</v>
      </c>
      <c r="M548" s="236" t="s">
        <v>179</v>
      </c>
      <c r="N548" s="236" t="s">
        <v>179</v>
      </c>
      <c r="P548" s="182">
        <v>1000000</v>
      </c>
      <c r="Q548" s="182">
        <v>1096111.27</v>
      </c>
      <c r="R548" s="182">
        <v>1153440</v>
      </c>
      <c r="S548" s="182">
        <v>57328.729999999981</v>
      </c>
    </row>
    <row r="549" spans="1:19">
      <c r="A549" s="91" t="s">
        <v>955</v>
      </c>
      <c r="B549" s="91" t="s">
        <v>330</v>
      </c>
      <c r="C549" s="91" t="s">
        <v>1052</v>
      </c>
      <c r="D549" s="234">
        <v>5</v>
      </c>
      <c r="E549" s="92">
        <v>41791</v>
      </c>
      <c r="F549" s="93"/>
      <c r="G549" s="235">
        <f t="shared" si="12"/>
        <v>400</v>
      </c>
      <c r="H549" s="235">
        <f t="shared" si="12"/>
        <v>437.09841999999998</v>
      </c>
      <c r="I549" s="235">
        <f t="shared" si="12"/>
        <v>440.32400000000001</v>
      </c>
      <c r="J549" s="235">
        <f t="shared" si="12"/>
        <v>3.2255800000000163</v>
      </c>
      <c r="K549" s="93"/>
      <c r="L549" s="236" t="s">
        <v>181</v>
      </c>
      <c r="M549" s="236" t="s">
        <v>64</v>
      </c>
      <c r="N549" s="236" t="s">
        <v>64</v>
      </c>
      <c r="P549" s="182">
        <v>400000</v>
      </c>
      <c r="Q549" s="182">
        <v>437098.42</v>
      </c>
      <c r="R549" s="182">
        <v>440324</v>
      </c>
      <c r="S549" s="182">
        <v>3225.5800000000163</v>
      </c>
    </row>
    <row r="550" spans="1:19">
      <c r="A550" s="91" t="s">
        <v>956</v>
      </c>
      <c r="B550" s="91" t="s">
        <v>205</v>
      </c>
      <c r="C550" s="91" t="s">
        <v>1051</v>
      </c>
      <c r="D550" s="234">
        <v>5.5</v>
      </c>
      <c r="E550" s="92">
        <v>41671</v>
      </c>
      <c r="F550" s="93"/>
      <c r="G550" s="235">
        <f t="shared" si="12"/>
        <v>985</v>
      </c>
      <c r="H550" s="235">
        <f t="shared" si="12"/>
        <v>1065.86743</v>
      </c>
      <c r="I550" s="235">
        <f t="shared" si="12"/>
        <v>1078.04783</v>
      </c>
      <c r="J550" s="235">
        <f t="shared" si="12"/>
        <v>12.180400000000139</v>
      </c>
      <c r="K550" s="93"/>
      <c r="L550" s="236" t="s">
        <v>194</v>
      </c>
      <c r="M550" s="236" t="s">
        <v>64</v>
      </c>
      <c r="N550" s="236" t="s">
        <v>121</v>
      </c>
      <c r="P550" s="182">
        <v>985000</v>
      </c>
      <c r="Q550" s="182">
        <v>1065867.43</v>
      </c>
      <c r="R550" s="182">
        <v>1078047.83</v>
      </c>
      <c r="S550" s="182">
        <v>12180.40000000014</v>
      </c>
    </row>
    <row r="551" spans="1:19">
      <c r="A551" s="91" t="s">
        <v>1103</v>
      </c>
      <c r="B551" s="91" t="s">
        <v>1104</v>
      </c>
      <c r="C551" s="91" t="s">
        <v>1051</v>
      </c>
      <c r="D551" s="234">
        <v>3.55</v>
      </c>
      <c r="E551" s="92">
        <v>42633</v>
      </c>
      <c r="F551" s="93"/>
      <c r="G551" s="235">
        <f t="shared" si="12"/>
        <v>4550</v>
      </c>
      <c r="H551" s="235">
        <f t="shared" si="12"/>
        <v>4597.30782</v>
      </c>
      <c r="I551" s="235">
        <f t="shared" si="12"/>
        <v>4651.2832700000008</v>
      </c>
      <c r="J551" s="235">
        <f t="shared" si="12"/>
        <v>53.975450000000244</v>
      </c>
      <c r="K551" s="93"/>
      <c r="L551" s="236" t="s">
        <v>199</v>
      </c>
      <c r="M551" s="236" t="s">
        <v>66</v>
      </c>
      <c r="N551" s="236" t="s">
        <v>66</v>
      </c>
      <c r="P551" s="182">
        <v>4550000</v>
      </c>
      <c r="Q551" s="182">
        <v>4597307.82</v>
      </c>
      <c r="R551" s="182">
        <v>4651283.2700000005</v>
      </c>
      <c r="S551" s="182">
        <v>53975.450000000244</v>
      </c>
    </row>
    <row r="552" spans="1:19">
      <c r="A552" s="91" t="s">
        <v>957</v>
      </c>
      <c r="B552" s="91" t="s">
        <v>229</v>
      </c>
      <c r="C552" s="91" t="s">
        <v>1051</v>
      </c>
      <c r="D552" s="234">
        <v>0.63314999999999999</v>
      </c>
      <c r="E552" s="92">
        <v>41628</v>
      </c>
      <c r="F552" s="93"/>
      <c r="G552" s="235">
        <f t="shared" si="12"/>
        <v>4700</v>
      </c>
      <c r="H552" s="235">
        <f t="shared" si="12"/>
        <v>4546.5515800000003</v>
      </c>
      <c r="I552" s="235">
        <f t="shared" si="12"/>
        <v>4635.2340000000004</v>
      </c>
      <c r="J552" s="235">
        <f t="shared" si="12"/>
        <v>88.682420000000164</v>
      </c>
      <c r="K552" s="93"/>
      <c r="L552" s="236" t="s">
        <v>179</v>
      </c>
      <c r="M552" s="236" t="s">
        <v>122</v>
      </c>
      <c r="N552" s="236" t="s">
        <v>179</v>
      </c>
      <c r="P552" s="182">
        <v>4700000</v>
      </c>
      <c r="Q552" s="182">
        <v>4546551.58</v>
      </c>
      <c r="R552" s="182">
        <v>4635234</v>
      </c>
      <c r="S552" s="182">
        <v>88682.420000000158</v>
      </c>
    </row>
    <row r="553" spans="1:19">
      <c r="A553" s="91"/>
      <c r="B553" s="91"/>
      <c r="C553" s="91"/>
      <c r="D553" s="234"/>
      <c r="E553" s="92"/>
      <c r="F553" s="93"/>
      <c r="G553" s="235"/>
      <c r="H553" s="235"/>
      <c r="I553" s="235"/>
      <c r="J553" s="235"/>
      <c r="K553" s="93"/>
      <c r="L553" s="236"/>
      <c r="M553" s="236"/>
      <c r="N553" s="236"/>
    </row>
    <row r="554" spans="1:19">
      <c r="G554" s="383">
        <f>SUM(G5:G553)</f>
        <v>1162495.0753599994</v>
      </c>
      <c r="H554" s="383">
        <f>SUM(H5:H553)</f>
        <v>1200674.5886499998</v>
      </c>
      <c r="I554" s="383">
        <f>SUM(I5:I553)</f>
        <v>1222947.5748299996</v>
      </c>
      <c r="J554" s="383">
        <f>SUM(J5:J553)</f>
        <v>22272.986180000004</v>
      </c>
    </row>
    <row r="555" spans="1:19">
      <c r="G555" s="237"/>
      <c r="H555" s="237">
        <f>1200674494.63/1000</f>
        <v>1200674.4946300001</v>
      </c>
      <c r="I555" s="237"/>
      <c r="J555" s="237">
        <f>22273079.79/1000</f>
        <v>22273.07979</v>
      </c>
    </row>
    <row r="556" spans="1:19">
      <c r="H556" s="470">
        <f>+H554-H555</f>
        <v>9.4019999727606773E-2</v>
      </c>
      <c r="J556" s="470">
        <f>+J554-J555</f>
        <v>-9.360999999626074E-2</v>
      </c>
    </row>
    <row r="557" spans="1:19">
      <c r="H557" s="182" t="s">
        <v>482</v>
      </c>
      <c r="I557" s="183">
        <v>0</v>
      </c>
    </row>
  </sheetData>
  <autoFilter ref="A4:S532"/>
  <mergeCells count="2">
    <mergeCell ref="G2:J2"/>
    <mergeCell ref="L3:N3"/>
  </mergeCells>
  <conditionalFormatting sqref="G1:J1">
    <cfRule type="cellIs" dxfId="5" priority="2" stopIfTrue="1" operator="notEqual">
      <formula>0</formula>
    </cfRule>
  </conditionalFormatting>
  <conditionalFormatting sqref="G1:J1">
    <cfRule type="cellIs" dxfId="4" priority="1" stopIfTrue="1" operator="notEqual">
      <formula>0</formula>
    </cfRule>
  </conditionalFormatting>
  <printOptions horizontalCentered="1"/>
  <pageMargins left="0.25" right="0.25" top="0.17" bottom="0.38" header="0.59" footer="0.17"/>
  <pageSetup scale="51" fitToHeight="2" orientation="portrait" r:id="rId1"/>
  <headerFooter alignWithMargins="0">
    <oddFooter>&amp;C&amp;9Page &amp;P of &amp;N&amp;R&amp;9&amp;D   &amp;T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 enableFormatConditionsCalculation="0">
    <tabColor rgb="FFFF0000"/>
    <pageSetUpPr fitToPage="1"/>
  </sheetPr>
  <dimension ref="A1:AF38"/>
  <sheetViews>
    <sheetView view="pageBreakPreview" zoomScaleSheetLayoutView="100" workbookViewId="0">
      <selection activeCell="J7" sqref="J7"/>
    </sheetView>
  </sheetViews>
  <sheetFormatPr defaultRowHeight="12.75"/>
  <cols>
    <col min="1" max="1" width="15" style="190" customWidth="1"/>
    <col min="2" max="2" width="3.5703125" style="190" customWidth="1"/>
    <col min="3" max="3" width="5.140625" style="190" bestFit="1" customWidth="1"/>
    <col min="4" max="4" width="7.7109375" style="190" bestFit="1" customWidth="1"/>
    <col min="5" max="5" width="6.7109375" style="190" bestFit="1" customWidth="1"/>
    <col min="6" max="10" width="5.140625" style="190" bestFit="1" customWidth="1"/>
    <col min="11" max="11" width="6.85546875" style="190" bestFit="1" customWidth="1"/>
    <col min="12" max="12" width="5.140625" style="190" bestFit="1" customWidth="1"/>
    <col min="13" max="13" width="6.85546875" style="190" bestFit="1" customWidth="1"/>
    <col min="14" max="14" width="6" style="190" bestFit="1" customWidth="1"/>
    <col min="15" max="16" width="7.42578125" style="190" bestFit="1" customWidth="1"/>
    <col min="17" max="17" width="3.7109375" style="190" customWidth="1"/>
    <col min="18" max="18" width="7.7109375" style="244" bestFit="1" customWidth="1"/>
    <col min="19" max="19" width="6.28515625" style="190" bestFit="1" customWidth="1"/>
    <col min="20" max="20" width="3.7109375" style="245" customWidth="1"/>
    <col min="21" max="21" width="7.7109375" style="245" bestFit="1" customWidth="1"/>
    <col min="22" max="22" width="6.28515625" style="222" bestFit="1" customWidth="1"/>
    <col min="23" max="23" width="2.85546875" style="222" customWidth="1"/>
    <col min="24" max="24" width="10.140625" style="245" bestFit="1" customWidth="1"/>
    <col min="25" max="26" width="7.7109375" style="245" bestFit="1" customWidth="1"/>
    <col min="27" max="27" width="6.28515625" style="245" bestFit="1" customWidth="1"/>
    <col min="28" max="28" width="2.28515625" style="245" customWidth="1"/>
    <col min="29" max="29" width="7.7109375" style="245" bestFit="1" customWidth="1"/>
    <col min="30" max="30" width="6.28515625" style="245" bestFit="1" customWidth="1"/>
    <col min="31" max="31" width="2" style="245" customWidth="1"/>
    <col min="32" max="32" width="10.140625" style="245" bestFit="1" customWidth="1"/>
    <col min="33" max="16384" width="9.140625" style="190"/>
  </cols>
  <sheetData>
    <row r="1" spans="1:32" s="186" customFormat="1">
      <c r="A1" s="120" t="s">
        <v>256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239"/>
      <c r="S1" s="120"/>
      <c r="T1" s="240"/>
      <c r="U1" s="240"/>
      <c r="V1" s="121"/>
      <c r="W1" s="121"/>
      <c r="X1" s="240"/>
      <c r="Y1" s="240"/>
      <c r="Z1" s="240"/>
      <c r="AA1" s="240"/>
      <c r="AB1" s="240"/>
      <c r="AC1" s="240"/>
      <c r="AD1" s="240"/>
      <c r="AE1" s="240"/>
      <c r="AF1" s="240"/>
    </row>
    <row r="2" spans="1:32" s="186" customFormat="1">
      <c r="A2" s="120" t="s">
        <v>151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1"/>
      <c r="W2" s="121"/>
      <c r="X2" s="240"/>
      <c r="Y2" s="240"/>
      <c r="Z2" s="240"/>
      <c r="AA2" s="240"/>
      <c r="AB2" s="240"/>
      <c r="AC2" s="240"/>
      <c r="AD2" s="240"/>
      <c r="AE2" s="240"/>
      <c r="AF2" s="240"/>
    </row>
    <row r="3" spans="1:32" s="186" customFormat="1">
      <c r="A3" s="122" t="s">
        <v>382</v>
      </c>
      <c r="B3" s="123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549" t="s">
        <v>382</v>
      </c>
      <c r="S3" s="549"/>
      <c r="T3" s="549"/>
      <c r="U3" s="549"/>
      <c r="V3" s="549"/>
      <c r="W3" s="549"/>
      <c r="X3" s="549"/>
      <c r="Y3" s="241"/>
      <c r="Z3" s="549" t="s">
        <v>352</v>
      </c>
      <c r="AA3" s="549"/>
      <c r="AB3" s="549"/>
      <c r="AC3" s="549"/>
      <c r="AD3" s="549"/>
      <c r="AE3" s="549"/>
      <c r="AF3" s="549"/>
    </row>
    <row r="4" spans="1:32" s="187" customFormat="1">
      <c r="A4" s="124" t="s">
        <v>153</v>
      </c>
      <c r="B4" s="125"/>
      <c r="C4" s="550" t="s">
        <v>169</v>
      </c>
      <c r="D4" s="550"/>
      <c r="E4" s="550"/>
      <c r="F4" s="550"/>
      <c r="G4" s="550"/>
      <c r="H4" s="550"/>
      <c r="I4" s="550"/>
      <c r="J4" s="550"/>
      <c r="K4" s="550"/>
      <c r="L4" s="550"/>
      <c r="M4" s="550"/>
      <c r="N4" s="550"/>
      <c r="O4" s="550"/>
      <c r="P4" s="550"/>
      <c r="Q4" s="126"/>
      <c r="R4" s="551" t="s">
        <v>118</v>
      </c>
      <c r="S4" s="551"/>
      <c r="T4" s="121"/>
      <c r="U4" s="551" t="s">
        <v>119</v>
      </c>
      <c r="V4" s="551"/>
      <c r="W4" s="121"/>
      <c r="X4" s="242" t="s">
        <v>170</v>
      </c>
      <c r="Y4" s="242"/>
      <c r="Z4" s="551" t="s">
        <v>118</v>
      </c>
      <c r="AA4" s="551"/>
      <c r="AB4" s="121"/>
      <c r="AC4" s="551" t="s">
        <v>119</v>
      </c>
      <c r="AD4" s="551"/>
      <c r="AE4" s="121"/>
      <c r="AF4" s="242" t="s">
        <v>170</v>
      </c>
    </row>
    <row r="5" spans="1:32" s="188" customFormat="1">
      <c r="A5" s="127"/>
      <c r="B5" s="127"/>
      <c r="C5" s="128" t="s">
        <v>63</v>
      </c>
      <c r="D5" s="128" t="s">
        <v>122</v>
      </c>
      <c r="E5" s="128" t="s">
        <v>64</v>
      </c>
      <c r="F5" s="128" t="s">
        <v>121</v>
      </c>
      <c r="G5" s="128" t="s">
        <v>65</v>
      </c>
      <c r="H5" s="128" t="s">
        <v>206</v>
      </c>
      <c r="I5" s="128" t="s">
        <v>66</v>
      </c>
      <c r="J5" s="128" t="s">
        <v>67</v>
      </c>
      <c r="K5" s="128" t="s">
        <v>281</v>
      </c>
      <c r="L5" s="128" t="s">
        <v>293</v>
      </c>
      <c r="M5" s="128" t="s">
        <v>68</v>
      </c>
      <c r="N5" s="128" t="s">
        <v>197</v>
      </c>
      <c r="O5" s="128" t="s">
        <v>69</v>
      </c>
      <c r="P5" s="128" t="s">
        <v>283</v>
      </c>
      <c r="Q5" s="128"/>
      <c r="R5" s="243" t="s">
        <v>41</v>
      </c>
      <c r="S5" s="243" t="s">
        <v>123</v>
      </c>
      <c r="T5" s="242"/>
      <c r="U5" s="242" t="s">
        <v>41</v>
      </c>
      <c r="V5" s="242" t="s">
        <v>123</v>
      </c>
      <c r="W5" s="129"/>
      <c r="X5" s="242" t="s">
        <v>41</v>
      </c>
      <c r="Y5" s="242"/>
      <c r="Z5" s="242" t="s">
        <v>41</v>
      </c>
      <c r="AA5" s="242" t="s">
        <v>123</v>
      </c>
      <c r="AB5" s="129"/>
      <c r="AC5" s="242" t="s">
        <v>41</v>
      </c>
      <c r="AD5" s="242" t="s">
        <v>123</v>
      </c>
      <c r="AE5" s="129"/>
      <c r="AF5" s="242" t="s">
        <v>41</v>
      </c>
    </row>
    <row r="6" spans="1:32" ht="5.25" customHeight="1">
      <c r="A6" s="130"/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S6" s="130"/>
      <c r="V6" s="189"/>
      <c r="W6" s="189"/>
      <c r="AA6" s="189"/>
      <c r="AB6" s="189"/>
      <c r="AD6" s="189"/>
      <c r="AE6" s="189"/>
    </row>
    <row r="7" spans="1:32">
      <c r="A7" s="130" t="s">
        <v>172</v>
      </c>
      <c r="B7" s="130"/>
      <c r="C7" s="298">
        <v>0</v>
      </c>
      <c r="D7" s="298">
        <v>2275</v>
      </c>
      <c r="E7" s="298">
        <v>4000</v>
      </c>
      <c r="F7" s="298">
        <v>0</v>
      </c>
      <c r="G7" s="298">
        <v>0</v>
      </c>
      <c r="H7" s="298">
        <v>0</v>
      </c>
      <c r="I7" s="298">
        <v>0</v>
      </c>
      <c r="J7" s="298">
        <v>0</v>
      </c>
      <c r="K7" s="298">
        <v>3500</v>
      </c>
      <c r="L7" s="298">
        <v>0</v>
      </c>
      <c r="M7" s="298">
        <v>0</v>
      </c>
      <c r="N7" s="298">
        <v>0</v>
      </c>
      <c r="O7" s="298">
        <v>0</v>
      </c>
      <c r="P7" s="298">
        <v>0</v>
      </c>
      <c r="Q7" s="246"/>
      <c r="R7" s="191">
        <v>9775</v>
      </c>
      <c r="S7" s="192">
        <v>0.45320858931118552</v>
      </c>
      <c r="T7" s="193"/>
      <c r="U7" s="193">
        <v>7417.4530000000004</v>
      </c>
      <c r="V7" s="194">
        <v>0.46920820242494404</v>
      </c>
      <c r="W7" s="189"/>
      <c r="X7" s="193">
        <v>-2357.5469999999996</v>
      </c>
      <c r="Z7" s="247">
        <v>9775</v>
      </c>
      <c r="AA7" s="248">
        <v>0.45290351450787442</v>
      </c>
      <c r="AB7" s="299"/>
      <c r="AC7" s="249">
        <v>6074.5074299999997</v>
      </c>
      <c r="AD7" s="250">
        <v>0.47357825629432154</v>
      </c>
      <c r="AE7" s="300"/>
      <c r="AF7" s="249">
        <v>-3700.4925700000003</v>
      </c>
    </row>
    <row r="8" spans="1:32" s="201" customFormat="1">
      <c r="A8" s="131" t="s">
        <v>125</v>
      </c>
      <c r="B8" s="132"/>
      <c r="C8" s="195" t="s">
        <v>284</v>
      </c>
      <c r="D8" s="195">
        <v>0.23273657289002558</v>
      </c>
      <c r="E8" s="195">
        <v>0.40920716112531969</v>
      </c>
      <c r="F8" s="195" t="s">
        <v>284</v>
      </c>
      <c r="G8" s="195" t="s">
        <v>284</v>
      </c>
      <c r="H8" s="195" t="s">
        <v>284</v>
      </c>
      <c r="I8" s="195" t="s">
        <v>284</v>
      </c>
      <c r="J8" s="195" t="s">
        <v>284</v>
      </c>
      <c r="K8" s="195">
        <v>0.35805626598465473</v>
      </c>
      <c r="L8" s="195" t="s">
        <v>284</v>
      </c>
      <c r="M8" s="195" t="s">
        <v>284</v>
      </c>
      <c r="N8" s="195" t="s">
        <v>284</v>
      </c>
      <c r="O8" s="195" t="s">
        <v>284</v>
      </c>
      <c r="P8" s="195" t="s">
        <v>284</v>
      </c>
      <c r="Q8" s="251"/>
      <c r="R8" s="196">
        <v>1</v>
      </c>
      <c r="S8" s="197"/>
      <c r="T8" s="198"/>
      <c r="U8" s="199">
        <v>0.75881872122762151</v>
      </c>
      <c r="V8" s="200" t="s">
        <v>124</v>
      </c>
      <c r="W8" s="133"/>
      <c r="X8" s="199"/>
      <c r="Y8" s="252"/>
      <c r="Z8" s="247">
        <v>1</v>
      </c>
      <c r="AA8" s="248"/>
      <c r="AB8" s="253"/>
      <c r="AC8" s="249">
        <v>0.62143298516624035</v>
      </c>
      <c r="AD8" s="250" t="s">
        <v>124</v>
      </c>
      <c r="AE8" s="300"/>
      <c r="AF8" s="249"/>
    </row>
    <row r="9" spans="1:32">
      <c r="A9" s="130"/>
      <c r="B9" s="130"/>
      <c r="C9" s="298"/>
      <c r="D9" s="298"/>
      <c r="E9" s="298"/>
      <c r="F9" s="298"/>
      <c r="G9" s="298"/>
      <c r="H9" s="298"/>
      <c r="I9" s="298"/>
      <c r="J9" s="298"/>
      <c r="K9" s="298"/>
      <c r="L9" s="298"/>
      <c r="M9" s="298"/>
      <c r="N9" s="298"/>
      <c r="O9" s="298"/>
      <c r="P9" s="298"/>
      <c r="Q9" s="246"/>
      <c r="R9" s="191"/>
      <c r="S9" s="192"/>
      <c r="T9" s="193"/>
      <c r="U9" s="193"/>
      <c r="V9" s="194"/>
      <c r="W9" s="189"/>
      <c r="X9" s="193"/>
      <c r="Z9" s="247"/>
      <c r="AA9" s="248"/>
      <c r="AB9" s="299"/>
      <c r="AC9" s="249"/>
      <c r="AD9" s="250"/>
      <c r="AE9" s="300"/>
      <c r="AF9" s="249"/>
    </row>
    <row r="10" spans="1:32">
      <c r="A10" s="130" t="s">
        <v>173</v>
      </c>
      <c r="B10" s="130"/>
      <c r="C10" s="298">
        <v>0</v>
      </c>
      <c r="D10" s="298">
        <v>0</v>
      </c>
      <c r="E10" s="298">
        <v>0</v>
      </c>
      <c r="F10" s="298">
        <v>0</v>
      </c>
      <c r="G10" s="298">
        <v>0</v>
      </c>
      <c r="H10" s="298">
        <v>0</v>
      </c>
      <c r="I10" s="298">
        <v>0</v>
      </c>
      <c r="J10" s="298">
        <v>0</v>
      </c>
      <c r="K10" s="298">
        <v>1750</v>
      </c>
      <c r="L10" s="298">
        <v>0</v>
      </c>
      <c r="M10" s="298">
        <v>0</v>
      </c>
      <c r="N10" s="298">
        <v>0</v>
      </c>
      <c r="O10" s="298">
        <v>0</v>
      </c>
      <c r="P10" s="298">
        <v>0</v>
      </c>
      <c r="Q10" s="246"/>
      <c r="R10" s="191">
        <v>1750</v>
      </c>
      <c r="S10" s="192">
        <v>8.1137087600467991E-2</v>
      </c>
      <c r="T10" s="193"/>
      <c r="U10" s="193">
        <v>901.21199999999999</v>
      </c>
      <c r="V10" s="194">
        <v>5.7008256408741471E-2</v>
      </c>
      <c r="W10" s="189"/>
      <c r="X10" s="193">
        <v>-848.78800000000001</v>
      </c>
      <c r="Z10" s="247">
        <v>1750</v>
      </c>
      <c r="AA10" s="248">
        <v>8.1082470628008205E-2</v>
      </c>
      <c r="AB10" s="299"/>
      <c r="AC10" s="249">
        <v>413.62475000000001</v>
      </c>
      <c r="AD10" s="250">
        <v>3.224684307698257E-2</v>
      </c>
      <c r="AE10" s="300"/>
      <c r="AF10" s="249">
        <v>-1336.3752500000001</v>
      </c>
    </row>
    <row r="11" spans="1:32" s="201" customFormat="1">
      <c r="A11" s="131" t="s">
        <v>125</v>
      </c>
      <c r="B11" s="132"/>
      <c r="C11" s="195" t="s">
        <v>284</v>
      </c>
      <c r="D11" s="195" t="s">
        <v>284</v>
      </c>
      <c r="E11" s="195" t="s">
        <v>284</v>
      </c>
      <c r="F11" s="195" t="s">
        <v>284</v>
      </c>
      <c r="G11" s="195" t="s">
        <v>284</v>
      </c>
      <c r="H11" s="195" t="s">
        <v>284</v>
      </c>
      <c r="I11" s="195" t="s">
        <v>284</v>
      </c>
      <c r="J11" s="195" t="s">
        <v>284</v>
      </c>
      <c r="K11" s="195">
        <v>1</v>
      </c>
      <c r="L11" s="195" t="s">
        <v>284</v>
      </c>
      <c r="M11" s="195" t="s">
        <v>284</v>
      </c>
      <c r="N11" s="195" t="s">
        <v>284</v>
      </c>
      <c r="O11" s="195" t="s">
        <v>284</v>
      </c>
      <c r="P11" s="195" t="s">
        <v>284</v>
      </c>
      <c r="Q11" s="251"/>
      <c r="R11" s="196">
        <v>1</v>
      </c>
      <c r="S11" s="197"/>
      <c r="T11" s="198"/>
      <c r="U11" s="199">
        <v>0.51497828571428572</v>
      </c>
      <c r="V11" s="200" t="s">
        <v>124</v>
      </c>
      <c r="W11" s="133"/>
      <c r="X11" s="199"/>
      <c r="Y11" s="252"/>
      <c r="Z11" s="247">
        <v>1</v>
      </c>
      <c r="AA11" s="248"/>
      <c r="AB11" s="253"/>
      <c r="AC11" s="249">
        <v>0.23635700000000001</v>
      </c>
      <c r="AD11" s="250" t="s">
        <v>124</v>
      </c>
      <c r="AE11" s="300"/>
      <c r="AF11" s="249"/>
    </row>
    <row r="12" spans="1:32">
      <c r="A12" s="130"/>
      <c r="B12" s="130"/>
      <c r="C12" s="298"/>
      <c r="D12" s="298"/>
      <c r="E12" s="298"/>
      <c r="F12" s="298"/>
      <c r="G12" s="298"/>
      <c r="H12" s="298"/>
      <c r="I12" s="298"/>
      <c r="J12" s="298"/>
      <c r="K12" s="298"/>
      <c r="L12" s="298"/>
      <c r="M12" s="298"/>
      <c r="N12" s="298"/>
      <c r="O12" s="298"/>
      <c r="P12" s="298"/>
      <c r="Q12" s="246"/>
      <c r="R12" s="191"/>
      <c r="S12" s="192"/>
      <c r="T12" s="193"/>
      <c r="U12" s="193"/>
      <c r="V12" s="194"/>
      <c r="W12" s="189"/>
      <c r="X12" s="193"/>
      <c r="Z12" s="247"/>
      <c r="AA12" s="248"/>
      <c r="AB12" s="299"/>
      <c r="AC12" s="249"/>
      <c r="AD12" s="250"/>
      <c r="AE12" s="300"/>
      <c r="AF12" s="249"/>
    </row>
    <row r="13" spans="1:32">
      <c r="A13" s="130" t="s">
        <v>174</v>
      </c>
      <c r="B13" s="130"/>
      <c r="C13" s="298">
        <v>0</v>
      </c>
      <c r="D13" s="298">
        <v>0</v>
      </c>
      <c r="E13" s="298">
        <v>0</v>
      </c>
      <c r="F13" s="298">
        <v>0</v>
      </c>
      <c r="G13" s="298">
        <v>0</v>
      </c>
      <c r="H13" s="298">
        <v>0</v>
      </c>
      <c r="I13" s="298">
        <v>0</v>
      </c>
      <c r="J13" s="298">
        <v>0</v>
      </c>
      <c r="K13" s="298">
        <v>210.09</v>
      </c>
      <c r="L13" s="298">
        <v>0</v>
      </c>
      <c r="M13" s="298">
        <v>0</v>
      </c>
      <c r="N13" s="298">
        <v>184.78</v>
      </c>
      <c r="O13" s="298">
        <v>0</v>
      </c>
      <c r="P13" s="298">
        <v>0</v>
      </c>
      <c r="Q13" s="246"/>
      <c r="R13" s="191">
        <v>394.87</v>
      </c>
      <c r="S13" s="192">
        <v>1.8307772446169598E-2</v>
      </c>
      <c r="T13" s="193"/>
      <c r="U13" s="193">
        <v>214.48099999999999</v>
      </c>
      <c r="V13" s="194">
        <v>1.3567493378698108E-2</v>
      </c>
      <c r="W13" s="189"/>
      <c r="X13" s="193">
        <v>-180.38900000000001</v>
      </c>
      <c r="Z13" s="247">
        <v>409.39871000000005</v>
      </c>
      <c r="AA13" s="248">
        <v>1.8968605073553975E-2</v>
      </c>
      <c r="AB13" s="299"/>
      <c r="AC13" s="249">
        <v>171.02799999999999</v>
      </c>
      <c r="AD13" s="250">
        <v>1.3333614774672393E-2</v>
      </c>
      <c r="AE13" s="300"/>
      <c r="AF13" s="249">
        <v>-238.37071000000006</v>
      </c>
    </row>
    <row r="14" spans="1:32" s="201" customFormat="1">
      <c r="A14" s="131" t="s">
        <v>125</v>
      </c>
      <c r="B14" s="132"/>
      <c r="C14" s="195" t="s">
        <v>284</v>
      </c>
      <c r="D14" s="195" t="s">
        <v>284</v>
      </c>
      <c r="E14" s="195" t="s">
        <v>284</v>
      </c>
      <c r="F14" s="195" t="s">
        <v>284</v>
      </c>
      <c r="G14" s="195" t="s">
        <v>284</v>
      </c>
      <c r="H14" s="195" t="s">
        <v>284</v>
      </c>
      <c r="I14" s="195" t="s">
        <v>284</v>
      </c>
      <c r="J14" s="195" t="s">
        <v>284</v>
      </c>
      <c r="K14" s="195">
        <v>0.53204852229847799</v>
      </c>
      <c r="L14" s="195" t="s">
        <v>284</v>
      </c>
      <c r="M14" s="195" t="s">
        <v>284</v>
      </c>
      <c r="N14" s="195">
        <v>0.46795147770152201</v>
      </c>
      <c r="O14" s="195" t="s">
        <v>284</v>
      </c>
      <c r="P14" s="195" t="s">
        <v>284</v>
      </c>
      <c r="Q14" s="251"/>
      <c r="R14" s="196">
        <v>1</v>
      </c>
      <c r="S14" s="197"/>
      <c r="T14" s="198"/>
      <c r="U14" s="199">
        <v>0.5431686377795224</v>
      </c>
      <c r="V14" s="200" t="s">
        <v>124</v>
      </c>
      <c r="W14" s="133"/>
      <c r="X14" s="199"/>
      <c r="Y14" s="252"/>
      <c r="Z14" s="247">
        <v>0.99999999999999989</v>
      </c>
      <c r="AA14" s="248"/>
      <c r="AB14" s="253"/>
      <c r="AC14" s="249">
        <v>0.41775412531221695</v>
      </c>
      <c r="AD14" s="250" t="s">
        <v>124</v>
      </c>
      <c r="AE14" s="300"/>
      <c r="AF14" s="249"/>
    </row>
    <row r="15" spans="1:32">
      <c r="A15" s="130"/>
      <c r="B15" s="130"/>
      <c r="C15" s="298"/>
      <c r="D15" s="298"/>
      <c r="E15" s="298"/>
      <c r="F15" s="298"/>
      <c r="G15" s="298"/>
      <c r="H15" s="298"/>
      <c r="I15" s="298"/>
      <c r="J15" s="298"/>
      <c r="K15" s="298"/>
      <c r="L15" s="298"/>
      <c r="M15" s="298"/>
      <c r="N15" s="298"/>
      <c r="O15" s="298"/>
      <c r="P15" s="298"/>
      <c r="Q15" s="246"/>
      <c r="R15" s="191"/>
      <c r="S15" s="192"/>
      <c r="T15" s="193"/>
      <c r="U15" s="193"/>
      <c r="V15" s="194"/>
      <c r="W15" s="189"/>
      <c r="X15" s="193"/>
      <c r="Z15" s="247"/>
      <c r="AA15" s="248"/>
      <c r="AB15" s="299"/>
      <c r="AC15" s="249"/>
      <c r="AD15" s="250"/>
      <c r="AE15" s="300"/>
      <c r="AF15" s="249"/>
    </row>
    <row r="16" spans="1:32">
      <c r="A16" s="130" t="s">
        <v>175</v>
      </c>
      <c r="B16" s="130"/>
      <c r="C16" s="298">
        <v>0</v>
      </c>
      <c r="D16" s="298">
        <v>4450</v>
      </c>
      <c r="E16" s="298">
        <v>0</v>
      </c>
      <c r="F16" s="298">
        <v>0</v>
      </c>
      <c r="G16" s="298">
        <v>0</v>
      </c>
      <c r="H16" s="298">
        <v>0</v>
      </c>
      <c r="I16" s="298">
        <v>0</v>
      </c>
      <c r="J16" s="298">
        <v>0</v>
      </c>
      <c r="K16" s="298">
        <v>1750</v>
      </c>
      <c r="L16" s="298">
        <v>0</v>
      </c>
      <c r="M16" s="298">
        <v>0</v>
      </c>
      <c r="N16" s="298">
        <v>0</v>
      </c>
      <c r="O16" s="298">
        <v>0</v>
      </c>
      <c r="P16" s="298">
        <v>0</v>
      </c>
      <c r="Q16" s="246"/>
      <c r="R16" s="191">
        <v>6200</v>
      </c>
      <c r="S16" s="192">
        <v>0.28745711035594373</v>
      </c>
      <c r="T16" s="193"/>
      <c r="U16" s="193">
        <v>4394.3770000000004</v>
      </c>
      <c r="V16" s="194">
        <v>0.2779765147076117</v>
      </c>
      <c r="W16" s="189"/>
      <c r="X16" s="193">
        <v>-1805.6229999999996</v>
      </c>
      <c r="Z16" s="247">
        <v>6200</v>
      </c>
      <c r="AA16" s="248">
        <v>0.2872636102249434</v>
      </c>
      <c r="AB16" s="301"/>
      <c r="AC16" s="249">
        <v>3592.26991</v>
      </c>
      <c r="AD16" s="250">
        <v>0.2800590730557983</v>
      </c>
      <c r="AE16" s="300"/>
      <c r="AF16" s="249">
        <v>-2607.73009</v>
      </c>
    </row>
    <row r="17" spans="1:32" s="201" customFormat="1">
      <c r="A17" s="131" t="s">
        <v>125</v>
      </c>
      <c r="B17" s="132"/>
      <c r="C17" s="195" t="s">
        <v>284</v>
      </c>
      <c r="D17" s="195">
        <v>0.717741935483871</v>
      </c>
      <c r="E17" s="195" t="s">
        <v>284</v>
      </c>
      <c r="F17" s="195" t="s">
        <v>284</v>
      </c>
      <c r="G17" s="195" t="s">
        <v>284</v>
      </c>
      <c r="H17" s="195" t="s">
        <v>284</v>
      </c>
      <c r="I17" s="195" t="s">
        <v>284</v>
      </c>
      <c r="J17" s="195" t="s">
        <v>284</v>
      </c>
      <c r="K17" s="195">
        <v>0.28225806451612906</v>
      </c>
      <c r="L17" s="195" t="s">
        <v>284</v>
      </c>
      <c r="M17" s="195" t="s">
        <v>284</v>
      </c>
      <c r="N17" s="195" t="s">
        <v>284</v>
      </c>
      <c r="O17" s="195" t="s">
        <v>284</v>
      </c>
      <c r="P17" s="195" t="s">
        <v>284</v>
      </c>
      <c r="Q17" s="251"/>
      <c r="R17" s="196">
        <v>1</v>
      </c>
      <c r="S17" s="197"/>
      <c r="T17" s="198"/>
      <c r="U17" s="199">
        <v>0.70877048387096786</v>
      </c>
      <c r="V17" s="200" t="s">
        <v>124</v>
      </c>
      <c r="W17" s="133"/>
      <c r="X17" s="199"/>
      <c r="Y17" s="252"/>
      <c r="Z17" s="247">
        <v>1</v>
      </c>
      <c r="AA17" s="248"/>
      <c r="AB17" s="253"/>
      <c r="AC17" s="249">
        <v>0.57939837258064519</v>
      </c>
      <c r="AD17" s="250" t="s">
        <v>124</v>
      </c>
      <c r="AE17" s="300"/>
      <c r="AF17" s="249"/>
    </row>
    <row r="18" spans="1:32">
      <c r="A18" s="130"/>
      <c r="B18" s="130"/>
      <c r="C18" s="298"/>
      <c r="D18" s="298"/>
      <c r="E18" s="298"/>
      <c r="F18" s="298"/>
      <c r="G18" s="298"/>
      <c r="H18" s="298"/>
      <c r="I18" s="298"/>
      <c r="J18" s="298"/>
      <c r="K18" s="298"/>
      <c r="L18" s="298"/>
      <c r="M18" s="298"/>
      <c r="N18" s="298"/>
      <c r="O18" s="298"/>
      <c r="P18" s="298"/>
      <c r="Q18" s="246"/>
      <c r="R18" s="191"/>
      <c r="S18" s="192"/>
      <c r="T18" s="193"/>
      <c r="U18" s="193"/>
      <c r="V18" s="194"/>
      <c r="W18" s="189"/>
      <c r="X18" s="193"/>
      <c r="Z18" s="247"/>
      <c r="AA18" s="248"/>
      <c r="AB18" s="299"/>
      <c r="AC18" s="249"/>
      <c r="AD18" s="250"/>
      <c r="AE18" s="300"/>
      <c r="AF18" s="249"/>
    </row>
    <row r="19" spans="1:32">
      <c r="A19" s="130" t="s">
        <v>154</v>
      </c>
      <c r="B19" s="130"/>
      <c r="C19" s="298">
        <v>0</v>
      </c>
      <c r="D19" s="298">
        <v>0</v>
      </c>
      <c r="E19" s="298">
        <v>0</v>
      </c>
      <c r="F19" s="298">
        <v>0</v>
      </c>
      <c r="G19" s="298">
        <v>0</v>
      </c>
      <c r="H19" s="298">
        <v>0</v>
      </c>
      <c r="I19" s="298">
        <v>0</v>
      </c>
      <c r="J19" s="298">
        <v>0</v>
      </c>
      <c r="K19" s="298">
        <v>0</v>
      </c>
      <c r="L19" s="298">
        <v>0</v>
      </c>
      <c r="M19" s="298">
        <v>173.565</v>
      </c>
      <c r="N19" s="298">
        <v>0</v>
      </c>
      <c r="O19" s="298">
        <v>0</v>
      </c>
      <c r="P19" s="298">
        <v>0</v>
      </c>
      <c r="Q19" s="246"/>
      <c r="R19" s="191">
        <v>173.565</v>
      </c>
      <c r="S19" s="192">
        <v>8.0471763482144153E-3</v>
      </c>
      <c r="T19" s="193"/>
      <c r="U19" s="193">
        <v>247.43</v>
      </c>
      <c r="V19" s="194">
        <v>1.5651758835007638E-2</v>
      </c>
      <c r="W19" s="189"/>
      <c r="X19" s="193">
        <v>73.865000000000009</v>
      </c>
      <c r="Z19" s="247">
        <v>173.56474</v>
      </c>
      <c r="AA19" s="248">
        <v>8.0417473903473605E-3</v>
      </c>
      <c r="AB19" s="299"/>
      <c r="AC19" s="249">
        <v>198.56923</v>
      </c>
      <c r="AD19" s="250">
        <v>1.5480772849611297E-2</v>
      </c>
      <c r="AE19" s="300"/>
      <c r="AF19" s="249">
        <v>25.004490000000004</v>
      </c>
    </row>
    <row r="20" spans="1:32" s="201" customFormat="1">
      <c r="A20" s="131" t="s">
        <v>125</v>
      </c>
      <c r="B20" s="132"/>
      <c r="C20" s="195" t="s">
        <v>284</v>
      </c>
      <c r="D20" s="195" t="s">
        <v>284</v>
      </c>
      <c r="E20" s="195" t="s">
        <v>284</v>
      </c>
      <c r="F20" s="195" t="s">
        <v>284</v>
      </c>
      <c r="G20" s="195" t="s">
        <v>284</v>
      </c>
      <c r="H20" s="195" t="s">
        <v>284</v>
      </c>
      <c r="I20" s="195" t="s">
        <v>284</v>
      </c>
      <c r="J20" s="195" t="s">
        <v>284</v>
      </c>
      <c r="K20" s="195" t="s">
        <v>284</v>
      </c>
      <c r="L20" s="195" t="s">
        <v>284</v>
      </c>
      <c r="M20" s="195">
        <v>1</v>
      </c>
      <c r="N20" s="195" t="s">
        <v>284</v>
      </c>
      <c r="O20" s="195" t="s">
        <v>284</v>
      </c>
      <c r="P20" s="195" t="s">
        <v>284</v>
      </c>
      <c r="Q20" s="251"/>
      <c r="R20" s="196">
        <v>1</v>
      </c>
      <c r="S20" s="197"/>
      <c r="T20" s="198"/>
      <c r="U20" s="199">
        <v>1.425575432834961</v>
      </c>
      <c r="V20" s="200" t="s">
        <v>124</v>
      </c>
      <c r="W20" s="133"/>
      <c r="X20" s="199"/>
      <c r="Y20" s="252"/>
      <c r="Z20" s="247">
        <v>1</v>
      </c>
      <c r="AA20" s="248"/>
      <c r="AB20" s="253"/>
      <c r="AC20" s="249">
        <v>1.1440643416398977</v>
      </c>
      <c r="AD20" s="250" t="s">
        <v>124</v>
      </c>
      <c r="AE20" s="300"/>
      <c r="AF20" s="249"/>
    </row>
    <row r="21" spans="1:32">
      <c r="A21" s="130"/>
      <c r="B21" s="130"/>
      <c r="C21" s="298"/>
      <c r="D21" s="298"/>
      <c r="E21" s="298"/>
      <c r="F21" s="298"/>
      <c r="G21" s="298"/>
      <c r="H21" s="298"/>
      <c r="I21" s="298"/>
      <c r="J21" s="298"/>
      <c r="K21" s="298"/>
      <c r="L21" s="298"/>
      <c r="M21" s="298"/>
      <c r="N21" s="298"/>
      <c r="O21" s="298"/>
      <c r="P21" s="298"/>
      <c r="Q21" s="246"/>
      <c r="R21" s="191"/>
      <c r="S21" s="192"/>
      <c r="T21" s="193"/>
      <c r="U21" s="193"/>
      <c r="V21" s="194"/>
      <c r="W21" s="189"/>
      <c r="X21" s="193"/>
      <c r="Z21" s="247"/>
      <c r="AA21" s="248"/>
      <c r="AB21" s="299"/>
      <c r="AC21" s="249"/>
      <c r="AD21" s="250"/>
      <c r="AE21" s="300"/>
      <c r="AF21" s="249"/>
    </row>
    <row r="22" spans="1:32">
      <c r="A22" s="130" t="s">
        <v>176</v>
      </c>
      <c r="B22" s="130"/>
      <c r="C22" s="298">
        <v>0</v>
      </c>
      <c r="D22" s="298">
        <v>1000</v>
      </c>
      <c r="E22" s="298">
        <v>0</v>
      </c>
      <c r="F22" s="298">
        <v>0</v>
      </c>
      <c r="G22" s="298">
        <v>0</v>
      </c>
      <c r="H22" s="298">
        <v>0</v>
      </c>
      <c r="I22" s="298">
        <v>0</v>
      </c>
      <c r="J22" s="298">
        <v>0</v>
      </c>
      <c r="K22" s="298">
        <v>0</v>
      </c>
      <c r="L22" s="298">
        <v>0</v>
      </c>
      <c r="M22" s="298">
        <v>0</v>
      </c>
      <c r="N22" s="298">
        <v>0</v>
      </c>
      <c r="O22" s="298">
        <v>0</v>
      </c>
      <c r="P22" s="298">
        <v>0</v>
      </c>
      <c r="Q22" s="246"/>
      <c r="R22" s="191">
        <v>1000</v>
      </c>
      <c r="S22" s="192">
        <v>4.6364050057410282E-2</v>
      </c>
      <c r="T22" s="193"/>
      <c r="U22" s="193">
        <v>844.678</v>
      </c>
      <c r="V22" s="194">
        <v>5.3432067046181066E-2</v>
      </c>
      <c r="W22" s="189"/>
      <c r="X22" s="193">
        <v>-155.322</v>
      </c>
      <c r="Z22" s="247">
        <v>1000</v>
      </c>
      <c r="AA22" s="248">
        <v>4.6332840358861836E-2</v>
      </c>
      <c r="AB22" s="299"/>
      <c r="AC22" s="249">
        <v>750.00699999999995</v>
      </c>
      <c r="AD22" s="250">
        <v>5.8471738056386773E-2</v>
      </c>
      <c r="AE22" s="300"/>
      <c r="AF22" s="249">
        <v>-249.99300000000005</v>
      </c>
    </row>
    <row r="23" spans="1:32" s="201" customFormat="1">
      <c r="A23" s="131" t="s">
        <v>125</v>
      </c>
      <c r="B23" s="132"/>
      <c r="C23" s="195" t="s">
        <v>284</v>
      </c>
      <c r="D23" s="195">
        <v>1</v>
      </c>
      <c r="E23" s="195" t="s">
        <v>284</v>
      </c>
      <c r="F23" s="195" t="s">
        <v>284</v>
      </c>
      <c r="G23" s="195" t="s">
        <v>284</v>
      </c>
      <c r="H23" s="195" t="s">
        <v>284</v>
      </c>
      <c r="I23" s="195" t="s">
        <v>284</v>
      </c>
      <c r="J23" s="195" t="s">
        <v>284</v>
      </c>
      <c r="K23" s="195" t="s">
        <v>284</v>
      </c>
      <c r="L23" s="195" t="s">
        <v>284</v>
      </c>
      <c r="M23" s="195" t="s">
        <v>284</v>
      </c>
      <c r="N23" s="195" t="s">
        <v>284</v>
      </c>
      <c r="O23" s="195" t="s">
        <v>284</v>
      </c>
      <c r="P23" s="195" t="s">
        <v>284</v>
      </c>
      <c r="Q23" s="251"/>
      <c r="R23" s="196">
        <v>1</v>
      </c>
      <c r="S23" s="197"/>
      <c r="T23" s="198"/>
      <c r="U23" s="199">
        <v>0.84467800000000004</v>
      </c>
      <c r="V23" s="200" t="s">
        <v>124</v>
      </c>
      <c r="W23" s="133"/>
      <c r="X23" s="199"/>
      <c r="Y23" s="252"/>
      <c r="Z23" s="247">
        <v>1</v>
      </c>
      <c r="AA23" s="248"/>
      <c r="AB23" s="253"/>
      <c r="AC23" s="249">
        <v>0.75000699999999998</v>
      </c>
      <c r="AD23" s="250" t="s">
        <v>124</v>
      </c>
      <c r="AE23" s="300"/>
      <c r="AF23" s="249"/>
    </row>
    <row r="24" spans="1:32">
      <c r="A24" s="130"/>
      <c r="B24" s="130"/>
      <c r="C24" s="298"/>
      <c r="D24" s="298"/>
      <c r="E24" s="298"/>
      <c r="F24" s="298"/>
      <c r="G24" s="298"/>
      <c r="H24" s="298"/>
      <c r="I24" s="298"/>
      <c r="J24" s="298"/>
      <c r="K24" s="298"/>
      <c r="L24" s="298"/>
      <c r="M24" s="298"/>
      <c r="N24" s="298"/>
      <c r="O24" s="298"/>
      <c r="P24" s="298"/>
      <c r="Q24" s="246"/>
      <c r="R24" s="191"/>
      <c r="S24" s="192"/>
      <c r="T24" s="193"/>
      <c r="U24" s="193"/>
      <c r="V24" s="194"/>
      <c r="W24" s="189"/>
      <c r="X24" s="193"/>
      <c r="Z24" s="247"/>
      <c r="AA24" s="248"/>
      <c r="AB24" s="299"/>
      <c r="AC24" s="249"/>
      <c r="AD24" s="250"/>
      <c r="AE24" s="300"/>
      <c r="AF24" s="249"/>
    </row>
    <row r="25" spans="1:32">
      <c r="A25" s="130" t="s">
        <v>155</v>
      </c>
      <c r="B25" s="130"/>
      <c r="C25" s="298">
        <v>0</v>
      </c>
      <c r="D25" s="298">
        <v>2275</v>
      </c>
      <c r="E25" s="298">
        <v>0</v>
      </c>
      <c r="F25" s="298">
        <v>0</v>
      </c>
      <c r="G25" s="298">
        <v>0</v>
      </c>
      <c r="H25" s="298">
        <v>0</v>
      </c>
      <c r="I25" s="298">
        <v>0</v>
      </c>
      <c r="J25" s="298">
        <v>0</v>
      </c>
      <c r="K25" s="298">
        <v>0</v>
      </c>
      <c r="L25" s="298">
        <v>0</v>
      </c>
      <c r="M25" s="298">
        <v>0</v>
      </c>
      <c r="N25" s="298">
        <v>0</v>
      </c>
      <c r="O25" s="298">
        <v>0</v>
      </c>
      <c r="P25" s="298">
        <v>0</v>
      </c>
      <c r="Q25" s="246"/>
      <c r="R25" s="191">
        <v>2275</v>
      </c>
      <c r="S25" s="192">
        <v>0.10547821388060839</v>
      </c>
      <c r="T25" s="193"/>
      <c r="U25" s="193">
        <v>1788.816</v>
      </c>
      <c r="V25" s="194">
        <v>0.11315570719881592</v>
      </c>
      <c r="W25" s="189"/>
      <c r="X25" s="193">
        <v>-486.18399999999997</v>
      </c>
      <c r="Z25" s="247">
        <v>2275</v>
      </c>
      <c r="AA25" s="248">
        <v>0.10540721181641068</v>
      </c>
      <c r="AB25" s="299"/>
      <c r="AC25" s="249">
        <v>1626.82293</v>
      </c>
      <c r="AD25" s="250">
        <v>0.1268297018922272</v>
      </c>
      <c r="AE25" s="300"/>
      <c r="AF25" s="249">
        <v>-648.17706999999996</v>
      </c>
    </row>
    <row r="26" spans="1:32" s="201" customFormat="1" ht="11.25">
      <c r="A26" s="131" t="s">
        <v>125</v>
      </c>
      <c r="B26" s="132"/>
      <c r="C26" s="195" t="s">
        <v>284</v>
      </c>
      <c r="D26" s="195">
        <v>1</v>
      </c>
      <c r="E26" s="195" t="s">
        <v>284</v>
      </c>
      <c r="F26" s="195" t="s">
        <v>284</v>
      </c>
      <c r="G26" s="195" t="s">
        <v>284</v>
      </c>
      <c r="H26" s="195" t="s">
        <v>284</v>
      </c>
      <c r="I26" s="195" t="s">
        <v>284</v>
      </c>
      <c r="J26" s="195" t="s">
        <v>284</v>
      </c>
      <c r="K26" s="195" t="s">
        <v>284</v>
      </c>
      <c r="L26" s="195" t="s">
        <v>284</v>
      </c>
      <c r="M26" s="195" t="s">
        <v>284</v>
      </c>
      <c r="N26" s="195" t="s">
        <v>284</v>
      </c>
      <c r="O26" s="195" t="s">
        <v>284</v>
      </c>
      <c r="P26" s="195" t="s">
        <v>284</v>
      </c>
      <c r="Q26" s="251"/>
      <c r="R26" s="196">
        <v>1</v>
      </c>
      <c r="S26" s="197"/>
      <c r="T26" s="198"/>
      <c r="U26" s="199">
        <v>0.78629274725274723</v>
      </c>
      <c r="V26" s="200" t="s">
        <v>124</v>
      </c>
      <c r="W26" s="133"/>
      <c r="X26" s="199"/>
      <c r="Y26" s="252"/>
      <c r="Z26" s="254">
        <v>1</v>
      </c>
      <c r="AA26" s="255"/>
      <c r="AB26" s="253"/>
      <c r="AC26" s="252">
        <v>0.71508700219780219</v>
      </c>
      <c r="AD26" s="256" t="s">
        <v>124</v>
      </c>
      <c r="AE26" s="302"/>
      <c r="AF26" s="252"/>
    </row>
    <row r="27" spans="1:32" ht="7.5" customHeight="1">
      <c r="A27" s="130"/>
      <c r="B27" s="130"/>
      <c r="C27" s="246"/>
      <c r="D27" s="246"/>
      <c r="E27" s="246"/>
      <c r="F27" s="246"/>
      <c r="G27" s="246"/>
      <c r="H27" s="246"/>
      <c r="I27" s="246"/>
      <c r="J27" s="246"/>
      <c r="K27" s="246"/>
      <c r="L27" s="246"/>
      <c r="M27" s="246"/>
      <c r="N27" s="246"/>
      <c r="O27" s="246"/>
      <c r="P27" s="246"/>
      <c r="Q27" s="246"/>
      <c r="R27" s="191"/>
      <c r="S27" s="130"/>
      <c r="T27" s="193"/>
      <c r="U27" s="193"/>
      <c r="V27" s="189"/>
      <c r="W27" s="189"/>
      <c r="X27" s="193"/>
      <c r="AA27" s="189"/>
      <c r="AB27" s="189"/>
      <c r="AD27" s="189"/>
      <c r="AE27" s="189"/>
    </row>
    <row r="28" spans="1:32" s="206" customFormat="1">
      <c r="A28" s="124" t="s">
        <v>126</v>
      </c>
      <c r="B28" s="134"/>
      <c r="C28" s="202">
        <v>0</v>
      </c>
      <c r="D28" s="202">
        <v>10000</v>
      </c>
      <c r="E28" s="202">
        <v>4000</v>
      </c>
      <c r="F28" s="202">
        <v>0</v>
      </c>
      <c r="G28" s="202">
        <v>0</v>
      </c>
      <c r="H28" s="202">
        <v>0</v>
      </c>
      <c r="I28" s="202">
        <v>0</v>
      </c>
      <c r="J28" s="202">
        <v>0</v>
      </c>
      <c r="K28" s="202">
        <v>7210.09</v>
      </c>
      <c r="L28" s="202">
        <v>0</v>
      </c>
      <c r="M28" s="202">
        <v>173.565</v>
      </c>
      <c r="N28" s="202">
        <v>184.78</v>
      </c>
      <c r="O28" s="202">
        <v>0</v>
      </c>
      <c r="P28" s="202">
        <v>0</v>
      </c>
      <c r="Q28" s="134"/>
      <c r="R28" s="202">
        <v>21568.435000000001</v>
      </c>
      <c r="S28" s="203">
        <v>0.99999999999999989</v>
      </c>
      <c r="T28" s="204"/>
      <c r="U28" s="204">
        <v>15808.447000000002</v>
      </c>
      <c r="V28" s="205">
        <v>1</v>
      </c>
      <c r="W28" s="135"/>
      <c r="X28" s="204">
        <v>-5759.9880000000003</v>
      </c>
      <c r="Y28" s="257"/>
      <c r="Z28" s="202">
        <v>21582.963450000003</v>
      </c>
      <c r="AA28" s="203">
        <v>0.99999999999999989</v>
      </c>
      <c r="AB28" s="204"/>
      <c r="AC28" s="204">
        <v>12826.829249999999</v>
      </c>
      <c r="AD28" s="205">
        <v>1</v>
      </c>
      <c r="AE28" s="135"/>
      <c r="AF28" s="204">
        <v>-8756.1342000000004</v>
      </c>
    </row>
    <row r="29" spans="1:32" ht="6" customHeight="1">
      <c r="A29" s="124"/>
      <c r="B29" s="130"/>
      <c r="C29" s="207"/>
      <c r="D29" s="207"/>
      <c r="E29" s="207"/>
      <c r="F29" s="207"/>
      <c r="G29" s="207"/>
      <c r="H29" s="207"/>
      <c r="I29" s="207"/>
      <c r="J29" s="207"/>
      <c r="K29" s="207"/>
      <c r="L29" s="207"/>
      <c r="M29" s="207"/>
      <c r="N29" s="207"/>
      <c r="O29" s="207"/>
      <c r="P29" s="207"/>
      <c r="Q29" s="130"/>
      <c r="R29" s="207"/>
      <c r="S29" s="208"/>
      <c r="T29" s="209"/>
      <c r="U29" s="209"/>
      <c r="V29" s="210"/>
      <c r="W29" s="189"/>
      <c r="X29" s="209"/>
      <c r="Y29" s="258"/>
      <c r="Z29" s="258"/>
      <c r="AA29" s="258"/>
      <c r="AB29" s="258"/>
      <c r="AC29" s="258"/>
      <c r="AD29" s="258"/>
      <c r="AE29" s="258"/>
      <c r="AF29" s="258"/>
    </row>
    <row r="30" spans="1:32" s="201" customFormat="1">
      <c r="A30" s="131"/>
      <c r="B30" s="132"/>
      <c r="C30" s="211" t="s">
        <v>284</v>
      </c>
      <c r="D30" s="211">
        <v>0.46364050057410283</v>
      </c>
      <c r="E30" s="211">
        <v>0.18545620022964113</v>
      </c>
      <c r="F30" s="211" t="s">
        <v>284</v>
      </c>
      <c r="G30" s="211" t="s">
        <v>284</v>
      </c>
      <c r="H30" s="211" t="s">
        <v>284</v>
      </c>
      <c r="I30" s="211" t="s">
        <v>284</v>
      </c>
      <c r="J30" s="211" t="s">
        <v>284</v>
      </c>
      <c r="K30" s="211">
        <v>0.3342889736784333</v>
      </c>
      <c r="L30" s="211" t="s">
        <v>284</v>
      </c>
      <c r="M30" s="211">
        <v>8.0471763482144153E-3</v>
      </c>
      <c r="N30" s="211">
        <v>8.5671491696082715E-3</v>
      </c>
      <c r="O30" s="211" t="s">
        <v>284</v>
      </c>
      <c r="P30" s="211" t="s">
        <v>284</v>
      </c>
      <c r="Q30" s="251"/>
      <c r="R30" s="196">
        <v>0.99999999999999989</v>
      </c>
      <c r="S30" s="212">
        <v>0</v>
      </c>
      <c r="T30" s="198"/>
      <c r="U30" s="199">
        <v>0.73294362803791746</v>
      </c>
      <c r="V30" s="200" t="s">
        <v>124</v>
      </c>
      <c r="W30" s="133"/>
      <c r="X30" s="199"/>
      <c r="Y30" s="252"/>
      <c r="Z30" s="252"/>
      <c r="AA30" s="252"/>
      <c r="AB30" s="252"/>
      <c r="AC30" s="252"/>
      <c r="AD30" s="252"/>
      <c r="AE30" s="252"/>
      <c r="AF30" s="252"/>
    </row>
    <row r="31" spans="1:32" s="216" customFormat="1" ht="6.75" customHeight="1">
      <c r="A31" s="136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36"/>
      <c r="N31" s="136"/>
      <c r="O31" s="136"/>
      <c r="P31" s="136"/>
      <c r="Q31" s="136"/>
      <c r="R31" s="213"/>
      <c r="S31" s="136"/>
      <c r="T31" s="214"/>
      <c r="U31" s="214"/>
      <c r="V31" s="215"/>
      <c r="W31" s="215"/>
      <c r="X31" s="214"/>
      <c r="Y31" s="259"/>
      <c r="Z31" s="259"/>
      <c r="AA31" s="259"/>
      <c r="AB31" s="259"/>
      <c r="AC31" s="259"/>
      <c r="AD31" s="259"/>
      <c r="AE31" s="259"/>
      <c r="AF31" s="259"/>
    </row>
    <row r="32" spans="1:32" s="206" customFormat="1">
      <c r="A32" s="137" t="s">
        <v>383</v>
      </c>
      <c r="B32" s="134"/>
      <c r="C32" s="260">
        <v>0</v>
      </c>
      <c r="D32" s="260">
        <v>10000</v>
      </c>
      <c r="E32" s="260">
        <v>4000</v>
      </c>
      <c r="F32" s="260">
        <v>0</v>
      </c>
      <c r="G32" s="260">
        <v>0</v>
      </c>
      <c r="H32" s="260">
        <v>0</v>
      </c>
      <c r="I32" s="260">
        <v>0</v>
      </c>
      <c r="J32" s="260">
        <v>0</v>
      </c>
      <c r="K32" s="260">
        <v>7219.1816200000003</v>
      </c>
      <c r="L32" s="260">
        <v>0</v>
      </c>
      <c r="M32" s="260">
        <v>173.56474</v>
      </c>
      <c r="N32" s="260">
        <v>190.21709000000001</v>
      </c>
      <c r="O32" s="260">
        <v>0</v>
      </c>
      <c r="P32" s="260">
        <v>0</v>
      </c>
      <c r="Q32" s="134"/>
      <c r="R32" s="217">
        <v>21582.963449999999</v>
      </c>
      <c r="S32" s="218">
        <v>0</v>
      </c>
      <c r="T32" s="219"/>
      <c r="U32" s="261">
        <v>12826.829249999999</v>
      </c>
      <c r="V32" s="303"/>
      <c r="W32" s="304"/>
      <c r="X32" s="261">
        <v>-8756.1342000000004</v>
      </c>
      <c r="Y32" s="260"/>
      <c r="Z32" s="260"/>
      <c r="AA32" s="260"/>
      <c r="AB32" s="260"/>
      <c r="AC32" s="260"/>
      <c r="AD32" s="260"/>
      <c r="AE32" s="260"/>
      <c r="AF32" s="260"/>
    </row>
    <row r="33" spans="1:32" ht="6" customHeight="1">
      <c r="A33" s="124"/>
      <c r="B33" s="130"/>
      <c r="C33" s="262"/>
      <c r="D33" s="262"/>
      <c r="E33" s="262"/>
      <c r="F33" s="262"/>
      <c r="G33" s="262"/>
      <c r="H33" s="262"/>
      <c r="I33" s="262"/>
      <c r="J33" s="262"/>
      <c r="K33" s="262"/>
      <c r="L33" s="262"/>
      <c r="M33" s="262"/>
      <c r="N33" s="262"/>
      <c r="O33" s="262"/>
      <c r="P33" s="262"/>
      <c r="Q33" s="130"/>
      <c r="R33" s="207"/>
      <c r="S33" s="208"/>
      <c r="T33" s="209"/>
      <c r="U33" s="209"/>
      <c r="V33" s="210"/>
      <c r="W33" s="189"/>
      <c r="X33" s="209"/>
      <c r="Y33" s="258"/>
      <c r="Z33" s="258"/>
      <c r="AA33" s="258"/>
      <c r="AB33" s="258"/>
      <c r="AC33" s="258"/>
      <c r="AD33" s="258"/>
      <c r="AE33" s="258"/>
      <c r="AF33" s="258"/>
    </row>
    <row r="34" spans="1:32" s="201" customFormat="1" ht="11.25">
      <c r="A34" s="131"/>
      <c r="B34" s="132"/>
      <c r="C34" s="263" t="s">
        <v>284</v>
      </c>
      <c r="D34" s="263">
        <v>0.46332840358861832</v>
      </c>
      <c r="E34" s="263">
        <v>0.18533136143544734</v>
      </c>
      <c r="F34" s="263" t="s">
        <v>284</v>
      </c>
      <c r="G34" s="263" t="s">
        <v>284</v>
      </c>
      <c r="H34" s="263" t="s">
        <v>284</v>
      </c>
      <c r="I34" s="263" t="s">
        <v>284</v>
      </c>
      <c r="J34" s="263" t="s">
        <v>284</v>
      </c>
      <c r="K34" s="263">
        <v>0.33448518952108958</v>
      </c>
      <c r="L34" s="263" t="s">
        <v>284</v>
      </c>
      <c r="M34" s="263">
        <v>8.0417473903473605E-3</v>
      </c>
      <c r="N34" s="263">
        <v>8.8132980644972537E-3</v>
      </c>
      <c r="O34" s="263" t="s">
        <v>284</v>
      </c>
      <c r="P34" s="263" t="s">
        <v>284</v>
      </c>
      <c r="Q34" s="251"/>
      <c r="R34" s="196">
        <v>0.99999999999999978</v>
      </c>
      <c r="S34" s="197"/>
      <c r="T34" s="198"/>
      <c r="U34" s="199">
        <v>0.59430343195062951</v>
      </c>
      <c r="V34" s="200" t="s">
        <v>124</v>
      </c>
      <c r="W34" s="133"/>
      <c r="X34" s="199"/>
      <c r="Y34" s="252"/>
      <c r="Z34" s="252"/>
      <c r="AA34" s="252"/>
      <c r="AB34" s="252"/>
      <c r="AC34" s="252"/>
      <c r="AD34" s="252"/>
      <c r="AE34" s="252"/>
      <c r="AF34" s="252"/>
    </row>
    <row r="35" spans="1:32" s="216" customFormat="1" ht="6.75" customHeight="1">
      <c r="A35" s="136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36"/>
      <c r="N35" s="136"/>
      <c r="O35" s="136"/>
      <c r="P35" s="136"/>
      <c r="Q35" s="136"/>
      <c r="R35" s="213"/>
      <c r="S35" s="136"/>
      <c r="T35" s="214"/>
      <c r="U35" s="214"/>
      <c r="V35" s="215"/>
      <c r="W35" s="215"/>
      <c r="X35" s="214"/>
      <c r="Y35" s="259"/>
      <c r="Z35" s="259"/>
      <c r="AA35" s="259"/>
      <c r="AB35" s="259"/>
      <c r="AC35" s="259"/>
      <c r="AD35" s="259"/>
      <c r="AE35" s="259"/>
      <c r="AF35" s="259"/>
    </row>
    <row r="36" spans="1:32" s="206" customFormat="1">
      <c r="A36" s="124" t="s">
        <v>115</v>
      </c>
      <c r="B36" s="134"/>
      <c r="C36" s="220">
        <v>0</v>
      </c>
      <c r="D36" s="220">
        <v>0</v>
      </c>
      <c r="E36" s="220">
        <v>0</v>
      </c>
      <c r="F36" s="220">
        <v>0</v>
      </c>
      <c r="G36" s="220">
        <v>0</v>
      </c>
      <c r="H36" s="220">
        <v>0</v>
      </c>
      <c r="I36" s="220">
        <v>0</v>
      </c>
      <c r="J36" s="220">
        <v>0</v>
      </c>
      <c r="K36" s="220">
        <v>-9.0916200000001481</v>
      </c>
      <c r="L36" s="220">
        <v>0</v>
      </c>
      <c r="M36" s="220">
        <v>2.5999999999726242E-4</v>
      </c>
      <c r="N36" s="220">
        <v>-5.437090000000012</v>
      </c>
      <c r="O36" s="220">
        <v>0</v>
      </c>
      <c r="P36" s="220">
        <v>0</v>
      </c>
      <c r="Q36" s="134"/>
      <c r="R36" s="217">
        <v>-14.528449999997974</v>
      </c>
      <c r="S36" s="221"/>
      <c r="T36" s="219"/>
      <c r="U36" s="217">
        <v>2981.6177500000031</v>
      </c>
      <c r="V36" s="221"/>
      <c r="W36" s="135"/>
      <c r="X36" s="217">
        <v>2996.1462000000001</v>
      </c>
      <c r="Y36" s="260"/>
      <c r="Z36" s="260"/>
      <c r="AA36" s="260"/>
      <c r="AB36" s="260"/>
      <c r="AC36" s="260"/>
      <c r="AD36" s="260"/>
      <c r="AE36" s="260"/>
      <c r="AF36" s="260"/>
    </row>
    <row r="37" spans="1:32" ht="6" customHeight="1">
      <c r="A37" s="124"/>
      <c r="B37" s="130"/>
      <c r="C37" s="207"/>
      <c r="D37" s="207"/>
      <c r="E37" s="207"/>
      <c r="F37" s="207"/>
      <c r="G37" s="207"/>
      <c r="H37" s="207"/>
      <c r="I37" s="207"/>
      <c r="J37" s="207"/>
      <c r="K37" s="207"/>
      <c r="L37" s="207"/>
      <c r="M37" s="207"/>
      <c r="N37" s="207"/>
      <c r="O37" s="207"/>
      <c r="P37" s="207"/>
      <c r="Q37" s="130"/>
      <c r="R37" s="207"/>
      <c r="S37" s="208"/>
      <c r="T37" s="209"/>
      <c r="U37" s="209"/>
      <c r="V37" s="210"/>
      <c r="W37" s="189"/>
      <c r="X37" s="209"/>
      <c r="Y37" s="258"/>
      <c r="Z37" s="258"/>
      <c r="AA37" s="258"/>
      <c r="AB37" s="258"/>
      <c r="AC37" s="258"/>
      <c r="AD37" s="258"/>
      <c r="AE37" s="258"/>
      <c r="AF37" s="258"/>
    </row>
    <row r="38" spans="1:32" s="201" customFormat="1" ht="11.25">
      <c r="A38" s="131"/>
      <c r="B38" s="132"/>
      <c r="C38" s="195">
        <v>0</v>
      </c>
      <c r="D38" s="195">
        <v>0</v>
      </c>
      <c r="E38" s="195">
        <v>0</v>
      </c>
      <c r="F38" s="195">
        <v>0</v>
      </c>
      <c r="G38" s="195">
        <v>0</v>
      </c>
      <c r="H38" s="195">
        <v>0</v>
      </c>
      <c r="I38" s="195">
        <v>0</v>
      </c>
      <c r="J38" s="195">
        <v>0</v>
      </c>
      <c r="K38" s="195">
        <v>-1.2609579075989548E-3</v>
      </c>
      <c r="L38" s="195">
        <v>0</v>
      </c>
      <c r="M38" s="195">
        <v>1.4979978682180303E-6</v>
      </c>
      <c r="N38" s="195">
        <v>-2.94246671717719E-2</v>
      </c>
      <c r="O38" s="195">
        <v>0</v>
      </c>
      <c r="P38" s="195">
        <v>0</v>
      </c>
      <c r="Q38" s="251"/>
      <c r="R38" s="195">
        <v>-6.7359778305648853E-4</v>
      </c>
      <c r="S38" s="197"/>
      <c r="T38" s="198"/>
      <c r="U38" s="195">
        <v>0.18860914990574359</v>
      </c>
      <c r="V38" s="200"/>
      <c r="W38" s="133"/>
      <c r="X38" s="199"/>
      <c r="Y38" s="252"/>
      <c r="Z38" s="252"/>
      <c r="AA38" s="252"/>
      <c r="AB38" s="252"/>
      <c r="AC38" s="252"/>
      <c r="AD38" s="252"/>
      <c r="AE38" s="252"/>
      <c r="AF38" s="252"/>
    </row>
  </sheetData>
  <mergeCells count="7">
    <mergeCell ref="R3:X3"/>
    <mergeCell ref="Z3:AF3"/>
    <mergeCell ref="C4:P4"/>
    <mergeCell ref="R4:S4"/>
    <mergeCell ref="U4:V4"/>
    <mergeCell ref="Z4:AA4"/>
    <mergeCell ref="AC4:AD4"/>
  </mergeCells>
  <phoneticPr fontId="39" type="noConversion"/>
  <conditionalFormatting sqref="R30:S30 R32:S32">
    <cfRule type="cellIs" dxfId="3" priority="29" stopIfTrue="1" operator="notEqual">
      <formula>0</formula>
    </cfRule>
  </conditionalFormatting>
  <pageMargins left="0.5" right="0.5" top="0.75" bottom="0.5" header="0.5" footer="0.25"/>
  <pageSetup scale="64" orientation="landscape" r:id="rId1"/>
  <headerFooter alignWithMargins="0">
    <oddFooter>&amp;L&amp;F&amp;C&amp;P&amp;R&amp;D &amp;T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rgb="FFFF0000"/>
    <pageSetUpPr fitToPage="1"/>
  </sheetPr>
  <dimension ref="A1:P48"/>
  <sheetViews>
    <sheetView view="pageBreakPreview" zoomScaleSheetLayoutView="100" workbookViewId="0">
      <selection activeCell="J7" sqref="J7"/>
    </sheetView>
  </sheetViews>
  <sheetFormatPr defaultRowHeight="12.75"/>
  <cols>
    <col min="1" max="1" width="12.7109375" style="272" customWidth="1"/>
    <col min="2" max="2" width="14.42578125" style="272" bestFit="1" customWidth="1"/>
    <col min="3" max="3" width="5.85546875" style="273" bestFit="1" customWidth="1"/>
    <col min="4" max="4" width="9" style="272" customWidth="1"/>
    <col min="5" max="5" width="6.140625" style="272" customWidth="1"/>
    <col min="6" max="6" width="1.140625" style="272" customWidth="1"/>
    <col min="7" max="7" width="6.5703125" style="274" customWidth="1"/>
    <col min="8" max="9" width="7" style="272" customWidth="1"/>
    <col min="10" max="10" width="7.28515625" style="272" customWidth="1"/>
    <col min="11" max="11" width="1" style="272" customWidth="1"/>
    <col min="12" max="14" width="6.140625" style="272" customWidth="1"/>
    <col min="15" max="16384" width="9.140625" style="272"/>
  </cols>
  <sheetData>
    <row r="1" spans="1:16" s="52" customFormat="1" ht="16.5">
      <c r="A1" s="80" t="s">
        <v>256</v>
      </c>
      <c r="B1" s="264"/>
      <c r="G1" s="265"/>
      <c r="H1" s="265"/>
      <c r="I1" s="265"/>
      <c r="J1" s="266"/>
      <c r="L1" s="267"/>
    </row>
    <row r="2" spans="1:16" s="48" customFormat="1" ht="16.5">
      <c r="A2" s="80" t="s">
        <v>384</v>
      </c>
      <c r="C2" s="49"/>
      <c r="D2" s="50"/>
      <c r="E2" s="51"/>
      <c r="F2" s="49"/>
      <c r="K2" s="49"/>
      <c r="L2" s="49"/>
      <c r="M2" s="49"/>
      <c r="N2" s="49"/>
    </row>
    <row r="3" spans="1:16" s="48" customFormat="1" ht="13.5">
      <c r="A3" s="268" t="s">
        <v>153</v>
      </c>
      <c r="C3" s="49"/>
      <c r="D3" s="50"/>
      <c r="E3" s="51"/>
      <c r="F3" s="49"/>
      <c r="K3" s="49"/>
      <c r="L3" s="49"/>
      <c r="M3" s="49"/>
      <c r="N3" s="49"/>
    </row>
    <row r="4" spans="1:16" s="48" customFormat="1" ht="14.25" customHeight="1">
      <c r="A4" s="52"/>
      <c r="B4" s="52"/>
      <c r="C4" s="53"/>
      <c r="D4" s="54" t="s">
        <v>133</v>
      </c>
      <c r="E4" s="55"/>
      <c r="F4" s="55"/>
      <c r="G4" s="56" t="s">
        <v>134</v>
      </c>
      <c r="H4" s="56" t="s">
        <v>120</v>
      </c>
      <c r="I4" s="56" t="s">
        <v>163</v>
      </c>
      <c r="J4" s="56" t="s">
        <v>164</v>
      </c>
      <c r="K4" s="57"/>
      <c r="L4" s="552" t="s">
        <v>135</v>
      </c>
      <c r="M4" s="552"/>
      <c r="N4" s="552"/>
    </row>
    <row r="5" spans="1:16" s="62" customFormat="1">
      <c r="A5" s="58" t="s">
        <v>136</v>
      </c>
      <c r="B5" s="58" t="s">
        <v>137</v>
      </c>
      <c r="C5" s="58" t="s">
        <v>138</v>
      </c>
      <c r="D5" s="59" t="s">
        <v>140</v>
      </c>
      <c r="E5" s="60" t="s">
        <v>139</v>
      </c>
      <c r="F5" s="60"/>
      <c r="G5" s="61" t="s">
        <v>141</v>
      </c>
      <c r="H5" s="61" t="s">
        <v>141</v>
      </c>
      <c r="I5" s="61" t="s">
        <v>141</v>
      </c>
      <c r="J5" s="61" t="s">
        <v>165</v>
      </c>
      <c r="K5" s="58"/>
      <c r="L5" s="58" t="s">
        <v>142</v>
      </c>
      <c r="M5" s="58" t="s">
        <v>143</v>
      </c>
      <c r="N5" s="58" t="s">
        <v>177</v>
      </c>
    </row>
    <row r="6" spans="1:16" s="63" customFormat="1">
      <c r="A6" s="63" t="s">
        <v>144</v>
      </c>
      <c r="B6" s="63" t="s">
        <v>184</v>
      </c>
      <c r="C6" s="64">
        <v>2005</v>
      </c>
      <c r="D6" s="65">
        <v>49515</v>
      </c>
      <c r="E6" s="269">
        <v>5.5050000000000002E-2</v>
      </c>
      <c r="F6" s="66"/>
      <c r="G6" s="270">
        <v>441.91212000000002</v>
      </c>
      <c r="H6" s="270">
        <v>173.56473</v>
      </c>
      <c r="I6" s="270">
        <v>247.42968999999999</v>
      </c>
      <c r="J6" s="270">
        <v>73.864960000000011</v>
      </c>
      <c r="K6" s="66"/>
      <c r="L6" s="64" t="s">
        <v>255</v>
      </c>
      <c r="M6" s="64" t="s">
        <v>68</v>
      </c>
      <c r="N6" s="64" t="s">
        <v>185</v>
      </c>
      <c r="P6" s="139"/>
    </row>
    <row r="7" spans="1:16" s="63" customFormat="1">
      <c r="A7" s="63" t="s">
        <v>145</v>
      </c>
      <c r="B7" s="63" t="s">
        <v>187</v>
      </c>
      <c r="C7" s="64">
        <v>2004</v>
      </c>
      <c r="D7" s="65">
        <v>49150</v>
      </c>
      <c r="E7" s="269">
        <v>5.5599999999999997E-2</v>
      </c>
      <c r="F7" s="66"/>
      <c r="G7" s="270">
        <v>357.78208000000001</v>
      </c>
      <c r="H7" s="270">
        <v>210.08975000000001</v>
      </c>
      <c r="I7" s="270">
        <v>142.40120000000002</v>
      </c>
      <c r="J7" s="270">
        <v>-67.688550000000006</v>
      </c>
      <c r="K7" s="66"/>
      <c r="L7" s="64" t="s">
        <v>183</v>
      </c>
      <c r="M7" s="64" t="s">
        <v>281</v>
      </c>
      <c r="N7" s="64" t="s">
        <v>70</v>
      </c>
      <c r="P7" s="139"/>
    </row>
    <row r="8" spans="1:16" s="63" customFormat="1">
      <c r="A8" s="63" t="s">
        <v>146</v>
      </c>
      <c r="B8" s="63" t="s">
        <v>186</v>
      </c>
      <c r="C8" s="64">
        <v>2006</v>
      </c>
      <c r="D8" s="65">
        <v>49881</v>
      </c>
      <c r="E8" s="269">
        <v>4.8063000000000003E-3</v>
      </c>
      <c r="F8" s="66"/>
      <c r="G8" s="270">
        <v>7000</v>
      </c>
      <c r="H8" s="270">
        <v>7000</v>
      </c>
      <c r="I8" s="270">
        <v>3604.846</v>
      </c>
      <c r="J8" s="270">
        <v>-3395.154</v>
      </c>
      <c r="K8" s="66"/>
      <c r="L8" s="64" t="s">
        <v>308</v>
      </c>
      <c r="M8" s="64" t="s">
        <v>281</v>
      </c>
      <c r="N8" s="64" t="s">
        <v>70</v>
      </c>
      <c r="P8" s="139"/>
    </row>
    <row r="9" spans="1:16" s="63" customFormat="1">
      <c r="A9" s="63" t="s">
        <v>147</v>
      </c>
      <c r="B9" s="63" t="s">
        <v>180</v>
      </c>
      <c r="C9" s="64">
        <v>2005</v>
      </c>
      <c r="D9" s="65">
        <v>49393</v>
      </c>
      <c r="E9" s="269">
        <v>7.6062999999999999E-3</v>
      </c>
      <c r="F9" s="66"/>
      <c r="G9" s="270">
        <v>4000</v>
      </c>
      <c r="H9" s="270">
        <v>4000</v>
      </c>
      <c r="I9" s="270">
        <v>3693.3879999999999</v>
      </c>
      <c r="J9" s="270">
        <v>-306.61200000000002</v>
      </c>
      <c r="K9" s="66"/>
      <c r="L9" s="64" t="s">
        <v>181</v>
      </c>
      <c r="M9" s="64" t="s">
        <v>64</v>
      </c>
      <c r="N9" s="64" t="s">
        <v>67</v>
      </c>
      <c r="P9" s="139"/>
    </row>
    <row r="10" spans="1:16" s="63" customFormat="1">
      <c r="A10" s="63" t="s">
        <v>150</v>
      </c>
      <c r="B10" s="63" t="s">
        <v>182</v>
      </c>
      <c r="C10" s="64">
        <v>2003</v>
      </c>
      <c r="D10" s="65">
        <v>48755</v>
      </c>
      <c r="E10" s="269">
        <v>5.0099999999999999E-2</v>
      </c>
      <c r="F10" s="66"/>
      <c r="G10" s="270">
        <v>290.14696000000004</v>
      </c>
      <c r="H10" s="270">
        <v>184.78017000000003</v>
      </c>
      <c r="I10" s="270">
        <v>72.08005</v>
      </c>
      <c r="J10" s="270">
        <v>-112.70012</v>
      </c>
      <c r="K10" s="66"/>
      <c r="L10" s="64" t="s">
        <v>199</v>
      </c>
      <c r="M10" s="64" t="s">
        <v>197</v>
      </c>
      <c r="N10" s="64" t="s">
        <v>185</v>
      </c>
      <c r="P10" s="139"/>
    </row>
    <row r="11" spans="1:16" s="63" customFormat="1">
      <c r="A11" s="63" t="s">
        <v>148</v>
      </c>
      <c r="B11" s="63" t="s">
        <v>156</v>
      </c>
      <c r="C11" s="64">
        <v>2005</v>
      </c>
      <c r="D11" s="65">
        <v>49577</v>
      </c>
      <c r="E11" s="269">
        <v>6.706300000000001E-3</v>
      </c>
      <c r="F11" s="66"/>
      <c r="G11" s="270">
        <v>7000</v>
      </c>
      <c r="H11" s="270">
        <v>7000</v>
      </c>
      <c r="I11" s="270">
        <v>5912.746000000001</v>
      </c>
      <c r="J11" s="270">
        <v>-1087.2539999999999</v>
      </c>
      <c r="K11" s="66"/>
      <c r="L11" s="64" t="s">
        <v>210</v>
      </c>
      <c r="M11" s="64" t="s">
        <v>122</v>
      </c>
      <c r="N11" s="64" t="s">
        <v>185</v>
      </c>
      <c r="P11" s="139"/>
    </row>
    <row r="12" spans="1:16" s="63" customFormat="1">
      <c r="A12" s="63" t="s">
        <v>149</v>
      </c>
      <c r="B12" s="63" t="s">
        <v>157</v>
      </c>
      <c r="C12" s="64">
        <v>2005</v>
      </c>
      <c r="D12" s="65">
        <v>49638</v>
      </c>
      <c r="E12" s="269">
        <v>6.706300000000001E-3</v>
      </c>
      <c r="F12" s="66"/>
      <c r="G12" s="270">
        <v>3000</v>
      </c>
      <c r="H12" s="270">
        <v>3000</v>
      </c>
      <c r="I12" s="270">
        <v>2135.556</v>
      </c>
      <c r="J12" s="270">
        <v>-864.44399999999996</v>
      </c>
      <c r="K12" s="66"/>
      <c r="L12" s="64" t="s">
        <v>310</v>
      </c>
      <c r="M12" s="64" t="s">
        <v>122</v>
      </c>
      <c r="N12" s="64" t="s">
        <v>185</v>
      </c>
      <c r="P12" s="139"/>
    </row>
    <row r="13" spans="1:16" s="48" customFormat="1">
      <c r="C13" s="49"/>
      <c r="D13" s="50"/>
      <c r="E13" s="77"/>
      <c r="F13" s="49"/>
      <c r="G13" s="77"/>
      <c r="H13" s="271"/>
      <c r="I13" s="271"/>
      <c r="J13" s="271"/>
      <c r="K13" s="49"/>
      <c r="L13" s="69"/>
      <c r="M13" s="69"/>
      <c r="N13" s="69"/>
      <c r="P13" s="140"/>
    </row>
    <row r="14" spans="1:16" s="48" customFormat="1" ht="13.5" thickBot="1">
      <c r="C14" s="49"/>
      <c r="D14" s="50"/>
      <c r="E14" s="184">
        <v>8.5961961960074138E-3</v>
      </c>
      <c r="F14" s="49"/>
      <c r="G14" s="70">
        <v>22089.84116</v>
      </c>
      <c r="H14" s="70">
        <v>21568.434650000003</v>
      </c>
      <c r="I14" s="70">
        <v>15808.446940000002</v>
      </c>
      <c r="J14" s="70">
        <v>-5759.9877099999994</v>
      </c>
      <c r="K14" s="49"/>
      <c r="L14" s="49"/>
      <c r="M14" s="49"/>
      <c r="N14" s="49"/>
    </row>
    <row r="15" spans="1:16" s="48" customFormat="1" ht="13.5" thickTop="1">
      <c r="C15" s="49"/>
      <c r="D15" s="50"/>
      <c r="E15" s="51"/>
      <c r="F15" s="49"/>
      <c r="G15" s="68"/>
      <c r="H15" s="68"/>
      <c r="I15" s="68"/>
      <c r="J15" s="68"/>
      <c r="K15" s="49"/>
      <c r="L15" s="49"/>
      <c r="M15" s="49"/>
      <c r="N15" s="49"/>
    </row>
    <row r="16" spans="1:16" s="48" customFormat="1">
      <c r="B16" s="52" t="s">
        <v>190</v>
      </c>
    </row>
    <row r="17" spans="3:14" s="48" customFormat="1">
      <c r="C17" s="49">
        <v>2003</v>
      </c>
      <c r="E17" s="140">
        <v>5.0099999999999999E-2</v>
      </c>
      <c r="G17" s="68">
        <v>290.14696000000004</v>
      </c>
      <c r="H17" s="68">
        <v>184.78017000000003</v>
      </c>
      <c r="I17" s="68">
        <v>72.08005</v>
      </c>
      <c r="J17" s="68">
        <v>-112.70012</v>
      </c>
    </row>
    <row r="18" spans="3:14" s="48" customFormat="1">
      <c r="C18" s="49">
        <v>2004</v>
      </c>
      <c r="E18" s="140">
        <v>5.5599999999999997E-2</v>
      </c>
      <c r="F18" s="49"/>
      <c r="G18" s="71">
        <v>357.78208000000001</v>
      </c>
      <c r="H18" s="68">
        <v>210.08975000000001</v>
      </c>
      <c r="I18" s="68">
        <v>142.40120000000002</v>
      </c>
      <c r="J18" s="68">
        <v>-67.688550000000006</v>
      </c>
      <c r="K18" s="49"/>
      <c r="L18" s="49"/>
      <c r="M18" s="49"/>
      <c r="N18" s="49"/>
    </row>
    <row r="19" spans="3:14" s="48" customFormat="1">
      <c r="C19" s="49">
        <v>2005</v>
      </c>
      <c r="E19" s="140">
        <v>8.4348569077153483E-3</v>
      </c>
      <c r="F19" s="49"/>
      <c r="G19" s="71">
        <v>14441.912120000001</v>
      </c>
      <c r="H19" s="68">
        <v>14173.56473</v>
      </c>
      <c r="I19" s="68">
        <v>11989.119690000001</v>
      </c>
      <c r="J19" s="68">
        <v>-2184.4450399999996</v>
      </c>
      <c r="K19" s="49"/>
      <c r="L19" s="49"/>
      <c r="M19" s="49"/>
      <c r="N19" s="49"/>
    </row>
    <row r="20" spans="3:14" s="48" customFormat="1">
      <c r="C20" s="49">
        <v>2006</v>
      </c>
      <c r="E20" s="140">
        <v>4.8063000000000003E-3</v>
      </c>
      <c r="F20" s="49"/>
      <c r="G20" s="68">
        <v>7000</v>
      </c>
      <c r="H20" s="68">
        <v>7000</v>
      </c>
      <c r="I20" s="68">
        <v>3604.846</v>
      </c>
      <c r="J20" s="68">
        <v>-3395.154</v>
      </c>
      <c r="K20" s="49"/>
      <c r="L20" s="49"/>
      <c r="M20" s="49"/>
      <c r="N20" s="49"/>
    </row>
    <row r="21" spans="3:14" s="48" customFormat="1">
      <c r="C21" s="49">
        <v>2007</v>
      </c>
      <c r="E21" s="140">
        <v>0</v>
      </c>
      <c r="F21" s="49"/>
      <c r="G21" s="67">
        <v>0</v>
      </c>
      <c r="H21" s="67">
        <v>0</v>
      </c>
      <c r="I21" s="67">
        <v>0</v>
      </c>
      <c r="J21" s="67">
        <v>0</v>
      </c>
      <c r="K21" s="49"/>
      <c r="L21" s="49"/>
      <c r="M21" s="49"/>
      <c r="N21" s="49"/>
    </row>
    <row r="22" spans="3:14" s="48" customFormat="1" ht="6.75" customHeight="1">
      <c r="C22" s="49"/>
      <c r="D22" s="50"/>
      <c r="E22" s="109"/>
      <c r="F22" s="49"/>
      <c r="G22" s="68"/>
      <c r="H22" s="185"/>
      <c r="I22" s="185"/>
      <c r="J22" s="185"/>
      <c r="K22" s="49"/>
      <c r="L22" s="49"/>
      <c r="M22" s="49"/>
      <c r="N22" s="49"/>
    </row>
    <row r="23" spans="3:14" s="48" customFormat="1" ht="13.5" thickBot="1">
      <c r="C23" s="49"/>
      <c r="D23" s="50"/>
      <c r="E23" s="184">
        <v>8.5961961960074138E-3</v>
      </c>
      <c r="F23" s="49"/>
      <c r="G23" s="70">
        <v>22089.84116</v>
      </c>
      <c r="H23" s="70">
        <v>21568.434649999999</v>
      </c>
      <c r="I23" s="70">
        <v>15808.446940000002</v>
      </c>
      <c r="J23" s="70">
        <v>-5759.9877099999994</v>
      </c>
      <c r="K23" s="49"/>
      <c r="L23" s="49"/>
      <c r="M23" s="49"/>
      <c r="N23" s="49"/>
    </row>
    <row r="24" spans="3:14" s="48" customFormat="1" ht="13.5" thickTop="1">
      <c r="C24" s="49"/>
      <c r="D24" s="50"/>
      <c r="F24" s="49"/>
      <c r="G24" s="71"/>
      <c r="H24" s="71"/>
      <c r="I24" s="71"/>
      <c r="J24" s="71"/>
      <c r="K24" s="49"/>
      <c r="L24" s="49"/>
      <c r="M24" s="49"/>
      <c r="N24" s="49"/>
    </row>
    <row r="27" spans="3:14">
      <c r="H27" s="274"/>
      <c r="I27" s="274"/>
      <c r="J27" s="274"/>
    </row>
    <row r="28" spans="3:14" ht="3.75" customHeight="1">
      <c r="H28" s="275"/>
      <c r="I28" s="275"/>
      <c r="J28" s="275"/>
    </row>
    <row r="30" spans="3:14" ht="3" customHeight="1"/>
    <row r="37" ht="3.75" customHeight="1"/>
    <row r="39" ht="3" customHeight="1"/>
    <row r="46" ht="3" customHeight="1"/>
    <row r="48" ht="3.75" customHeight="1"/>
  </sheetData>
  <mergeCells count="1">
    <mergeCell ref="L4:N4"/>
  </mergeCells>
  <conditionalFormatting sqref="G1:I1">
    <cfRule type="cellIs" dxfId="2" priority="7" stopIfTrue="1" operator="notEqual">
      <formula>0</formula>
    </cfRule>
  </conditionalFormatting>
  <pageMargins left="0.5" right="0.5" top="0.75" bottom="0.5" header="0.5" footer="0.25"/>
  <pageSetup orientation="landscape" r:id="rId1"/>
  <headerFooter alignWithMargins="0">
    <oddFooter>&amp;L&amp;F&amp;C&amp;P&amp;R&amp;D &amp;T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 enableFormatConditionsCalculation="0">
    <pageSetUpPr fitToPage="1"/>
  </sheetPr>
  <dimension ref="A1:W15"/>
  <sheetViews>
    <sheetView view="pageBreakPreview" zoomScaleNormal="100" zoomScaleSheetLayoutView="100" workbookViewId="0">
      <pane xSplit="3" ySplit="1" topLeftCell="D2" activePane="bottomRight" state="frozen"/>
      <selection activeCell="N27" sqref="N27"/>
      <selection pane="topRight" activeCell="N27" sqref="N27"/>
      <selection pane="bottomLeft" activeCell="N27" sqref="N27"/>
      <selection pane="bottomRight" activeCell="N27" sqref="N27"/>
    </sheetView>
  </sheetViews>
  <sheetFormatPr defaultColWidth="10.85546875" defaultRowHeight="13.5"/>
  <cols>
    <col min="1" max="4" width="10.85546875" style="95" customWidth="1"/>
    <col min="5" max="5" width="2.28515625" style="98" customWidth="1"/>
    <col min="6" max="6" width="10.85546875" style="150" customWidth="1"/>
    <col min="7" max="7" width="2.7109375" style="98" customWidth="1"/>
    <col min="8" max="8" width="10.85546875" style="95" customWidth="1"/>
    <col min="9" max="9" width="2.42578125" style="98" customWidth="1"/>
    <col min="10" max="10" width="10.85546875" style="95" customWidth="1"/>
    <col min="11" max="11" width="3.28515625" style="98" customWidth="1"/>
    <col min="12" max="12" width="10.85546875" style="98" customWidth="1"/>
    <col min="13" max="13" width="3.28515625" style="98" customWidth="1"/>
    <col min="14" max="14" width="10.85546875" style="98" customWidth="1"/>
    <col min="15" max="15" width="2.7109375" style="98" customWidth="1"/>
    <col min="16" max="16" width="10.85546875" style="95" customWidth="1"/>
    <col min="17" max="17" width="2.42578125" style="98" customWidth="1"/>
    <col min="18" max="18" width="10.85546875" style="95" customWidth="1"/>
    <col min="19" max="19" width="2.28515625" style="98" customWidth="1"/>
    <col min="20" max="20" width="10.85546875" style="98" customWidth="1"/>
    <col min="21" max="21" width="3.42578125" style="98" customWidth="1"/>
    <col min="22" max="23" width="10.85546875" style="98" customWidth="1"/>
    <col min="24" max="256" width="10.85546875" style="95"/>
    <col min="257" max="260" width="10.85546875" style="95" customWidth="1"/>
    <col min="261" max="261" width="2.28515625" style="95" customWidth="1"/>
    <col min="262" max="262" width="10.85546875" style="95" customWidth="1"/>
    <col min="263" max="263" width="2.7109375" style="95" customWidth="1"/>
    <col min="264" max="264" width="10.85546875" style="95" customWidth="1"/>
    <col min="265" max="265" width="2.42578125" style="95" customWidth="1"/>
    <col min="266" max="266" width="10.85546875" style="95" customWidth="1"/>
    <col min="267" max="267" width="3.28515625" style="95" customWidth="1"/>
    <col min="268" max="268" width="10.85546875" style="95" customWidth="1"/>
    <col min="269" max="269" width="3.28515625" style="95" customWidth="1"/>
    <col min="270" max="270" width="10.85546875" style="95" customWidth="1"/>
    <col min="271" max="271" width="2.7109375" style="95" customWidth="1"/>
    <col min="272" max="272" width="10.85546875" style="95" customWidth="1"/>
    <col min="273" max="273" width="2.42578125" style="95" customWidth="1"/>
    <col min="274" max="274" width="10.85546875" style="95" customWidth="1"/>
    <col min="275" max="275" width="2.28515625" style="95" customWidth="1"/>
    <col min="276" max="276" width="10.85546875" style="95" customWidth="1"/>
    <col min="277" max="277" width="3.42578125" style="95" customWidth="1"/>
    <col min="278" max="279" width="10.85546875" style="95" customWidth="1"/>
    <col min="280" max="512" width="10.85546875" style="95"/>
    <col min="513" max="516" width="10.85546875" style="95" customWidth="1"/>
    <col min="517" max="517" width="2.28515625" style="95" customWidth="1"/>
    <col min="518" max="518" width="10.85546875" style="95" customWidth="1"/>
    <col min="519" max="519" width="2.7109375" style="95" customWidth="1"/>
    <col min="520" max="520" width="10.85546875" style="95" customWidth="1"/>
    <col min="521" max="521" width="2.42578125" style="95" customWidth="1"/>
    <col min="522" max="522" width="10.85546875" style="95" customWidth="1"/>
    <col min="523" max="523" width="3.28515625" style="95" customWidth="1"/>
    <col min="524" max="524" width="10.85546875" style="95" customWidth="1"/>
    <col min="525" max="525" width="3.28515625" style="95" customWidth="1"/>
    <col min="526" max="526" width="10.85546875" style="95" customWidth="1"/>
    <col min="527" max="527" width="2.7109375" style="95" customWidth="1"/>
    <col min="528" max="528" width="10.85546875" style="95" customWidth="1"/>
    <col min="529" max="529" width="2.42578125" style="95" customWidth="1"/>
    <col min="530" max="530" width="10.85546875" style="95" customWidth="1"/>
    <col min="531" max="531" width="2.28515625" style="95" customWidth="1"/>
    <col min="532" max="532" width="10.85546875" style="95" customWidth="1"/>
    <col min="533" max="533" width="3.42578125" style="95" customWidth="1"/>
    <col min="534" max="535" width="10.85546875" style="95" customWidth="1"/>
    <col min="536" max="768" width="10.85546875" style="95"/>
    <col min="769" max="772" width="10.85546875" style="95" customWidth="1"/>
    <col min="773" max="773" width="2.28515625" style="95" customWidth="1"/>
    <col min="774" max="774" width="10.85546875" style="95" customWidth="1"/>
    <col min="775" max="775" width="2.7109375" style="95" customWidth="1"/>
    <col min="776" max="776" width="10.85546875" style="95" customWidth="1"/>
    <col min="777" max="777" width="2.42578125" style="95" customWidth="1"/>
    <col min="778" max="778" width="10.85546875" style="95" customWidth="1"/>
    <col min="779" max="779" width="3.28515625" style="95" customWidth="1"/>
    <col min="780" max="780" width="10.85546875" style="95" customWidth="1"/>
    <col min="781" max="781" width="3.28515625" style="95" customWidth="1"/>
    <col min="782" max="782" width="10.85546875" style="95" customWidth="1"/>
    <col min="783" max="783" width="2.7109375" style="95" customWidth="1"/>
    <col min="784" max="784" width="10.85546875" style="95" customWidth="1"/>
    <col min="785" max="785" width="2.42578125" style="95" customWidth="1"/>
    <col min="786" max="786" width="10.85546875" style="95" customWidth="1"/>
    <col min="787" max="787" width="2.28515625" style="95" customWidth="1"/>
    <col min="788" max="788" width="10.85546875" style="95" customWidth="1"/>
    <col min="789" max="789" width="3.42578125" style="95" customWidth="1"/>
    <col min="790" max="791" width="10.85546875" style="95" customWidth="1"/>
    <col min="792" max="1024" width="10.85546875" style="95"/>
    <col min="1025" max="1028" width="10.85546875" style="95" customWidth="1"/>
    <col min="1029" max="1029" width="2.28515625" style="95" customWidth="1"/>
    <col min="1030" max="1030" width="10.85546875" style="95" customWidth="1"/>
    <col min="1031" max="1031" width="2.7109375" style="95" customWidth="1"/>
    <col min="1032" max="1032" width="10.85546875" style="95" customWidth="1"/>
    <col min="1033" max="1033" width="2.42578125" style="95" customWidth="1"/>
    <col min="1034" max="1034" width="10.85546875" style="95" customWidth="1"/>
    <col min="1035" max="1035" width="3.28515625" style="95" customWidth="1"/>
    <col min="1036" max="1036" width="10.85546875" style="95" customWidth="1"/>
    <col min="1037" max="1037" width="3.28515625" style="95" customWidth="1"/>
    <col min="1038" max="1038" width="10.85546875" style="95" customWidth="1"/>
    <col min="1039" max="1039" width="2.7109375" style="95" customWidth="1"/>
    <col min="1040" max="1040" width="10.85546875" style="95" customWidth="1"/>
    <col min="1041" max="1041" width="2.42578125" style="95" customWidth="1"/>
    <col min="1042" max="1042" width="10.85546875" style="95" customWidth="1"/>
    <col min="1043" max="1043" width="2.28515625" style="95" customWidth="1"/>
    <col min="1044" max="1044" width="10.85546875" style="95" customWidth="1"/>
    <col min="1045" max="1045" width="3.42578125" style="95" customWidth="1"/>
    <col min="1046" max="1047" width="10.85546875" style="95" customWidth="1"/>
    <col min="1048" max="1280" width="10.85546875" style="95"/>
    <col min="1281" max="1284" width="10.85546875" style="95" customWidth="1"/>
    <col min="1285" max="1285" width="2.28515625" style="95" customWidth="1"/>
    <col min="1286" max="1286" width="10.85546875" style="95" customWidth="1"/>
    <col min="1287" max="1287" width="2.7109375" style="95" customWidth="1"/>
    <col min="1288" max="1288" width="10.85546875" style="95" customWidth="1"/>
    <col min="1289" max="1289" width="2.42578125" style="95" customWidth="1"/>
    <col min="1290" max="1290" width="10.85546875" style="95" customWidth="1"/>
    <col min="1291" max="1291" width="3.28515625" style="95" customWidth="1"/>
    <col min="1292" max="1292" width="10.85546875" style="95" customWidth="1"/>
    <col min="1293" max="1293" width="3.28515625" style="95" customWidth="1"/>
    <col min="1294" max="1294" width="10.85546875" style="95" customWidth="1"/>
    <col min="1295" max="1295" width="2.7109375" style="95" customWidth="1"/>
    <col min="1296" max="1296" width="10.85546875" style="95" customWidth="1"/>
    <col min="1297" max="1297" width="2.42578125" style="95" customWidth="1"/>
    <col min="1298" max="1298" width="10.85546875" style="95" customWidth="1"/>
    <col min="1299" max="1299" width="2.28515625" style="95" customWidth="1"/>
    <col min="1300" max="1300" width="10.85546875" style="95" customWidth="1"/>
    <col min="1301" max="1301" width="3.42578125" style="95" customWidth="1"/>
    <col min="1302" max="1303" width="10.85546875" style="95" customWidth="1"/>
    <col min="1304" max="1536" width="10.85546875" style="95"/>
    <col min="1537" max="1540" width="10.85546875" style="95" customWidth="1"/>
    <col min="1541" max="1541" width="2.28515625" style="95" customWidth="1"/>
    <col min="1542" max="1542" width="10.85546875" style="95" customWidth="1"/>
    <col min="1543" max="1543" width="2.7109375" style="95" customWidth="1"/>
    <col min="1544" max="1544" width="10.85546875" style="95" customWidth="1"/>
    <col min="1545" max="1545" width="2.42578125" style="95" customWidth="1"/>
    <col min="1546" max="1546" width="10.85546875" style="95" customWidth="1"/>
    <col min="1547" max="1547" width="3.28515625" style="95" customWidth="1"/>
    <col min="1548" max="1548" width="10.85546875" style="95" customWidth="1"/>
    <col min="1549" max="1549" width="3.28515625" style="95" customWidth="1"/>
    <col min="1550" max="1550" width="10.85546875" style="95" customWidth="1"/>
    <col min="1551" max="1551" width="2.7109375" style="95" customWidth="1"/>
    <col min="1552" max="1552" width="10.85546875" style="95" customWidth="1"/>
    <col min="1553" max="1553" width="2.42578125" style="95" customWidth="1"/>
    <col min="1554" max="1554" width="10.85546875" style="95" customWidth="1"/>
    <col min="1555" max="1555" width="2.28515625" style="95" customWidth="1"/>
    <col min="1556" max="1556" width="10.85546875" style="95" customWidth="1"/>
    <col min="1557" max="1557" width="3.42578125" style="95" customWidth="1"/>
    <col min="1558" max="1559" width="10.85546875" style="95" customWidth="1"/>
    <col min="1560" max="1792" width="10.85546875" style="95"/>
    <col min="1793" max="1796" width="10.85546875" style="95" customWidth="1"/>
    <col min="1797" max="1797" width="2.28515625" style="95" customWidth="1"/>
    <col min="1798" max="1798" width="10.85546875" style="95" customWidth="1"/>
    <col min="1799" max="1799" width="2.7109375" style="95" customWidth="1"/>
    <col min="1800" max="1800" width="10.85546875" style="95" customWidth="1"/>
    <col min="1801" max="1801" width="2.42578125" style="95" customWidth="1"/>
    <col min="1802" max="1802" width="10.85546875" style="95" customWidth="1"/>
    <col min="1803" max="1803" width="3.28515625" style="95" customWidth="1"/>
    <col min="1804" max="1804" width="10.85546875" style="95" customWidth="1"/>
    <col min="1805" max="1805" width="3.28515625" style="95" customWidth="1"/>
    <col min="1806" max="1806" width="10.85546875" style="95" customWidth="1"/>
    <col min="1807" max="1807" width="2.7109375" style="95" customWidth="1"/>
    <col min="1808" max="1808" width="10.85546875" style="95" customWidth="1"/>
    <col min="1809" max="1809" width="2.42578125" style="95" customWidth="1"/>
    <col min="1810" max="1810" width="10.85546875" style="95" customWidth="1"/>
    <col min="1811" max="1811" width="2.28515625" style="95" customWidth="1"/>
    <col min="1812" max="1812" width="10.85546875" style="95" customWidth="1"/>
    <col min="1813" max="1813" width="3.42578125" style="95" customWidth="1"/>
    <col min="1814" max="1815" width="10.85546875" style="95" customWidth="1"/>
    <col min="1816" max="2048" width="10.85546875" style="95"/>
    <col min="2049" max="2052" width="10.85546875" style="95" customWidth="1"/>
    <col min="2053" max="2053" width="2.28515625" style="95" customWidth="1"/>
    <col min="2054" max="2054" width="10.85546875" style="95" customWidth="1"/>
    <col min="2055" max="2055" width="2.7109375" style="95" customWidth="1"/>
    <col min="2056" max="2056" width="10.85546875" style="95" customWidth="1"/>
    <col min="2057" max="2057" width="2.42578125" style="95" customWidth="1"/>
    <col min="2058" max="2058" width="10.85546875" style="95" customWidth="1"/>
    <col min="2059" max="2059" width="3.28515625" style="95" customWidth="1"/>
    <col min="2060" max="2060" width="10.85546875" style="95" customWidth="1"/>
    <col min="2061" max="2061" width="3.28515625" style="95" customWidth="1"/>
    <col min="2062" max="2062" width="10.85546875" style="95" customWidth="1"/>
    <col min="2063" max="2063" width="2.7109375" style="95" customWidth="1"/>
    <col min="2064" max="2064" width="10.85546875" style="95" customWidth="1"/>
    <col min="2065" max="2065" width="2.42578125" style="95" customWidth="1"/>
    <col min="2066" max="2066" width="10.85546875" style="95" customWidth="1"/>
    <col min="2067" max="2067" width="2.28515625" style="95" customWidth="1"/>
    <col min="2068" max="2068" width="10.85546875" style="95" customWidth="1"/>
    <col min="2069" max="2069" width="3.42578125" style="95" customWidth="1"/>
    <col min="2070" max="2071" width="10.85546875" style="95" customWidth="1"/>
    <col min="2072" max="2304" width="10.85546875" style="95"/>
    <col min="2305" max="2308" width="10.85546875" style="95" customWidth="1"/>
    <col min="2309" max="2309" width="2.28515625" style="95" customWidth="1"/>
    <col min="2310" max="2310" width="10.85546875" style="95" customWidth="1"/>
    <col min="2311" max="2311" width="2.7109375" style="95" customWidth="1"/>
    <col min="2312" max="2312" width="10.85546875" style="95" customWidth="1"/>
    <col min="2313" max="2313" width="2.42578125" style="95" customWidth="1"/>
    <col min="2314" max="2314" width="10.85546875" style="95" customWidth="1"/>
    <col min="2315" max="2315" width="3.28515625" style="95" customWidth="1"/>
    <col min="2316" max="2316" width="10.85546875" style="95" customWidth="1"/>
    <col min="2317" max="2317" width="3.28515625" style="95" customWidth="1"/>
    <col min="2318" max="2318" width="10.85546875" style="95" customWidth="1"/>
    <col min="2319" max="2319" width="2.7109375" style="95" customWidth="1"/>
    <col min="2320" max="2320" width="10.85546875" style="95" customWidth="1"/>
    <col min="2321" max="2321" width="2.42578125" style="95" customWidth="1"/>
    <col min="2322" max="2322" width="10.85546875" style="95" customWidth="1"/>
    <col min="2323" max="2323" width="2.28515625" style="95" customWidth="1"/>
    <col min="2324" max="2324" width="10.85546875" style="95" customWidth="1"/>
    <col min="2325" max="2325" width="3.42578125" style="95" customWidth="1"/>
    <col min="2326" max="2327" width="10.85546875" style="95" customWidth="1"/>
    <col min="2328" max="2560" width="10.85546875" style="95"/>
    <col min="2561" max="2564" width="10.85546875" style="95" customWidth="1"/>
    <col min="2565" max="2565" width="2.28515625" style="95" customWidth="1"/>
    <col min="2566" max="2566" width="10.85546875" style="95" customWidth="1"/>
    <col min="2567" max="2567" width="2.7109375" style="95" customWidth="1"/>
    <col min="2568" max="2568" width="10.85546875" style="95" customWidth="1"/>
    <col min="2569" max="2569" width="2.42578125" style="95" customWidth="1"/>
    <col min="2570" max="2570" width="10.85546875" style="95" customWidth="1"/>
    <col min="2571" max="2571" width="3.28515625" style="95" customWidth="1"/>
    <col min="2572" max="2572" width="10.85546875" style="95" customWidth="1"/>
    <col min="2573" max="2573" width="3.28515625" style="95" customWidth="1"/>
    <col min="2574" max="2574" width="10.85546875" style="95" customWidth="1"/>
    <col min="2575" max="2575" width="2.7109375" style="95" customWidth="1"/>
    <col min="2576" max="2576" width="10.85546875" style="95" customWidth="1"/>
    <col min="2577" max="2577" width="2.42578125" style="95" customWidth="1"/>
    <col min="2578" max="2578" width="10.85546875" style="95" customWidth="1"/>
    <col min="2579" max="2579" width="2.28515625" style="95" customWidth="1"/>
    <col min="2580" max="2580" width="10.85546875" style="95" customWidth="1"/>
    <col min="2581" max="2581" width="3.42578125" style="95" customWidth="1"/>
    <col min="2582" max="2583" width="10.85546875" style="95" customWidth="1"/>
    <col min="2584" max="2816" width="10.85546875" style="95"/>
    <col min="2817" max="2820" width="10.85546875" style="95" customWidth="1"/>
    <col min="2821" max="2821" width="2.28515625" style="95" customWidth="1"/>
    <col min="2822" max="2822" width="10.85546875" style="95" customWidth="1"/>
    <col min="2823" max="2823" width="2.7109375" style="95" customWidth="1"/>
    <col min="2824" max="2824" width="10.85546875" style="95" customWidth="1"/>
    <col min="2825" max="2825" width="2.42578125" style="95" customWidth="1"/>
    <col min="2826" max="2826" width="10.85546875" style="95" customWidth="1"/>
    <col min="2827" max="2827" width="3.28515625" style="95" customWidth="1"/>
    <col min="2828" max="2828" width="10.85546875" style="95" customWidth="1"/>
    <col min="2829" max="2829" width="3.28515625" style="95" customWidth="1"/>
    <col min="2830" max="2830" width="10.85546875" style="95" customWidth="1"/>
    <col min="2831" max="2831" width="2.7109375" style="95" customWidth="1"/>
    <col min="2832" max="2832" width="10.85546875" style="95" customWidth="1"/>
    <col min="2833" max="2833" width="2.42578125" style="95" customWidth="1"/>
    <col min="2834" max="2834" width="10.85546875" style="95" customWidth="1"/>
    <col min="2835" max="2835" width="2.28515625" style="95" customWidth="1"/>
    <col min="2836" max="2836" width="10.85546875" style="95" customWidth="1"/>
    <col min="2837" max="2837" width="3.42578125" style="95" customWidth="1"/>
    <col min="2838" max="2839" width="10.85546875" style="95" customWidth="1"/>
    <col min="2840" max="3072" width="10.85546875" style="95"/>
    <col min="3073" max="3076" width="10.85546875" style="95" customWidth="1"/>
    <col min="3077" max="3077" width="2.28515625" style="95" customWidth="1"/>
    <col min="3078" max="3078" width="10.85546875" style="95" customWidth="1"/>
    <col min="3079" max="3079" width="2.7109375" style="95" customWidth="1"/>
    <col min="3080" max="3080" width="10.85546875" style="95" customWidth="1"/>
    <col min="3081" max="3081" width="2.42578125" style="95" customWidth="1"/>
    <col min="3082" max="3082" width="10.85546875" style="95" customWidth="1"/>
    <col min="3083" max="3083" width="3.28515625" style="95" customWidth="1"/>
    <col min="3084" max="3084" width="10.85546875" style="95" customWidth="1"/>
    <col min="3085" max="3085" width="3.28515625" style="95" customWidth="1"/>
    <col min="3086" max="3086" width="10.85546875" style="95" customWidth="1"/>
    <col min="3087" max="3087" width="2.7109375" style="95" customWidth="1"/>
    <col min="3088" max="3088" width="10.85546875" style="95" customWidth="1"/>
    <col min="3089" max="3089" width="2.42578125" style="95" customWidth="1"/>
    <col min="3090" max="3090" width="10.85546875" style="95" customWidth="1"/>
    <col min="3091" max="3091" width="2.28515625" style="95" customWidth="1"/>
    <col min="3092" max="3092" width="10.85546875" style="95" customWidth="1"/>
    <col min="3093" max="3093" width="3.42578125" style="95" customWidth="1"/>
    <col min="3094" max="3095" width="10.85546875" style="95" customWidth="1"/>
    <col min="3096" max="3328" width="10.85546875" style="95"/>
    <col min="3329" max="3332" width="10.85546875" style="95" customWidth="1"/>
    <col min="3333" max="3333" width="2.28515625" style="95" customWidth="1"/>
    <col min="3334" max="3334" width="10.85546875" style="95" customWidth="1"/>
    <col min="3335" max="3335" width="2.7109375" style="95" customWidth="1"/>
    <col min="3336" max="3336" width="10.85546875" style="95" customWidth="1"/>
    <col min="3337" max="3337" width="2.42578125" style="95" customWidth="1"/>
    <col min="3338" max="3338" width="10.85546875" style="95" customWidth="1"/>
    <col min="3339" max="3339" width="3.28515625" style="95" customWidth="1"/>
    <col min="3340" max="3340" width="10.85546875" style="95" customWidth="1"/>
    <col min="3341" max="3341" width="3.28515625" style="95" customWidth="1"/>
    <col min="3342" max="3342" width="10.85546875" style="95" customWidth="1"/>
    <col min="3343" max="3343" width="2.7109375" style="95" customWidth="1"/>
    <col min="3344" max="3344" width="10.85546875" style="95" customWidth="1"/>
    <col min="3345" max="3345" width="2.42578125" style="95" customWidth="1"/>
    <col min="3346" max="3346" width="10.85546875" style="95" customWidth="1"/>
    <col min="3347" max="3347" width="2.28515625" style="95" customWidth="1"/>
    <col min="3348" max="3348" width="10.85546875" style="95" customWidth="1"/>
    <col min="3349" max="3349" width="3.42578125" style="95" customWidth="1"/>
    <col min="3350" max="3351" width="10.85546875" style="95" customWidth="1"/>
    <col min="3352" max="3584" width="10.85546875" style="95"/>
    <col min="3585" max="3588" width="10.85546875" style="95" customWidth="1"/>
    <col min="3589" max="3589" width="2.28515625" style="95" customWidth="1"/>
    <col min="3590" max="3590" width="10.85546875" style="95" customWidth="1"/>
    <col min="3591" max="3591" width="2.7109375" style="95" customWidth="1"/>
    <col min="3592" max="3592" width="10.85546875" style="95" customWidth="1"/>
    <col min="3593" max="3593" width="2.42578125" style="95" customWidth="1"/>
    <col min="3594" max="3594" width="10.85546875" style="95" customWidth="1"/>
    <col min="3595" max="3595" width="3.28515625" style="95" customWidth="1"/>
    <col min="3596" max="3596" width="10.85546875" style="95" customWidth="1"/>
    <col min="3597" max="3597" width="3.28515625" style="95" customWidth="1"/>
    <col min="3598" max="3598" width="10.85546875" style="95" customWidth="1"/>
    <col min="3599" max="3599" width="2.7109375" style="95" customWidth="1"/>
    <col min="3600" max="3600" width="10.85546875" style="95" customWidth="1"/>
    <col min="3601" max="3601" width="2.42578125" style="95" customWidth="1"/>
    <col min="3602" max="3602" width="10.85546875" style="95" customWidth="1"/>
    <col min="3603" max="3603" width="2.28515625" style="95" customWidth="1"/>
    <col min="3604" max="3604" width="10.85546875" style="95" customWidth="1"/>
    <col min="3605" max="3605" width="3.42578125" style="95" customWidth="1"/>
    <col min="3606" max="3607" width="10.85546875" style="95" customWidth="1"/>
    <col min="3608" max="3840" width="10.85546875" style="95"/>
    <col min="3841" max="3844" width="10.85546875" style="95" customWidth="1"/>
    <col min="3845" max="3845" width="2.28515625" style="95" customWidth="1"/>
    <col min="3846" max="3846" width="10.85546875" style="95" customWidth="1"/>
    <col min="3847" max="3847" width="2.7109375" style="95" customWidth="1"/>
    <col min="3848" max="3848" width="10.85546875" style="95" customWidth="1"/>
    <col min="3849" max="3849" width="2.42578125" style="95" customWidth="1"/>
    <col min="3850" max="3850" width="10.85546875" style="95" customWidth="1"/>
    <col min="3851" max="3851" width="3.28515625" style="95" customWidth="1"/>
    <col min="3852" max="3852" width="10.85546875" style="95" customWidth="1"/>
    <col min="3853" max="3853" width="3.28515625" style="95" customWidth="1"/>
    <col min="3854" max="3854" width="10.85546875" style="95" customWidth="1"/>
    <col min="3855" max="3855" width="2.7109375" style="95" customWidth="1"/>
    <col min="3856" max="3856" width="10.85546875" style="95" customWidth="1"/>
    <col min="3857" max="3857" width="2.42578125" style="95" customWidth="1"/>
    <col min="3858" max="3858" width="10.85546875" style="95" customWidth="1"/>
    <col min="3859" max="3859" width="2.28515625" style="95" customWidth="1"/>
    <col min="3860" max="3860" width="10.85546875" style="95" customWidth="1"/>
    <col min="3861" max="3861" width="3.42578125" style="95" customWidth="1"/>
    <col min="3862" max="3863" width="10.85546875" style="95" customWidth="1"/>
    <col min="3864" max="4096" width="10.85546875" style="95"/>
    <col min="4097" max="4100" width="10.85546875" style="95" customWidth="1"/>
    <col min="4101" max="4101" width="2.28515625" style="95" customWidth="1"/>
    <col min="4102" max="4102" width="10.85546875" style="95" customWidth="1"/>
    <col min="4103" max="4103" width="2.7109375" style="95" customWidth="1"/>
    <col min="4104" max="4104" width="10.85546875" style="95" customWidth="1"/>
    <col min="4105" max="4105" width="2.42578125" style="95" customWidth="1"/>
    <col min="4106" max="4106" width="10.85546875" style="95" customWidth="1"/>
    <col min="4107" max="4107" width="3.28515625" style="95" customWidth="1"/>
    <col min="4108" max="4108" width="10.85546875" style="95" customWidth="1"/>
    <col min="4109" max="4109" width="3.28515625" style="95" customWidth="1"/>
    <col min="4110" max="4110" width="10.85546875" style="95" customWidth="1"/>
    <col min="4111" max="4111" width="2.7109375" style="95" customWidth="1"/>
    <col min="4112" max="4112" width="10.85546875" style="95" customWidth="1"/>
    <col min="4113" max="4113" width="2.42578125" style="95" customWidth="1"/>
    <col min="4114" max="4114" width="10.85546875" style="95" customWidth="1"/>
    <col min="4115" max="4115" width="2.28515625" style="95" customWidth="1"/>
    <col min="4116" max="4116" width="10.85546875" style="95" customWidth="1"/>
    <col min="4117" max="4117" width="3.42578125" style="95" customWidth="1"/>
    <col min="4118" max="4119" width="10.85546875" style="95" customWidth="1"/>
    <col min="4120" max="4352" width="10.85546875" style="95"/>
    <col min="4353" max="4356" width="10.85546875" style="95" customWidth="1"/>
    <col min="4357" max="4357" width="2.28515625" style="95" customWidth="1"/>
    <col min="4358" max="4358" width="10.85546875" style="95" customWidth="1"/>
    <col min="4359" max="4359" width="2.7109375" style="95" customWidth="1"/>
    <col min="4360" max="4360" width="10.85546875" style="95" customWidth="1"/>
    <col min="4361" max="4361" width="2.42578125" style="95" customWidth="1"/>
    <col min="4362" max="4362" width="10.85546875" style="95" customWidth="1"/>
    <col min="4363" max="4363" width="3.28515625" style="95" customWidth="1"/>
    <col min="4364" max="4364" width="10.85546875" style="95" customWidth="1"/>
    <col min="4365" max="4365" width="3.28515625" style="95" customWidth="1"/>
    <col min="4366" max="4366" width="10.85546875" style="95" customWidth="1"/>
    <col min="4367" max="4367" width="2.7109375" style="95" customWidth="1"/>
    <col min="4368" max="4368" width="10.85546875" style="95" customWidth="1"/>
    <col min="4369" max="4369" width="2.42578125" style="95" customWidth="1"/>
    <col min="4370" max="4370" width="10.85546875" style="95" customWidth="1"/>
    <col min="4371" max="4371" width="2.28515625" style="95" customWidth="1"/>
    <col min="4372" max="4372" width="10.85546875" style="95" customWidth="1"/>
    <col min="4373" max="4373" width="3.42578125" style="95" customWidth="1"/>
    <col min="4374" max="4375" width="10.85546875" style="95" customWidth="1"/>
    <col min="4376" max="4608" width="10.85546875" style="95"/>
    <col min="4609" max="4612" width="10.85546875" style="95" customWidth="1"/>
    <col min="4613" max="4613" width="2.28515625" style="95" customWidth="1"/>
    <col min="4614" max="4614" width="10.85546875" style="95" customWidth="1"/>
    <col min="4615" max="4615" width="2.7109375" style="95" customWidth="1"/>
    <col min="4616" max="4616" width="10.85546875" style="95" customWidth="1"/>
    <col min="4617" max="4617" width="2.42578125" style="95" customWidth="1"/>
    <col min="4618" max="4618" width="10.85546875" style="95" customWidth="1"/>
    <col min="4619" max="4619" width="3.28515625" style="95" customWidth="1"/>
    <col min="4620" max="4620" width="10.85546875" style="95" customWidth="1"/>
    <col min="4621" max="4621" width="3.28515625" style="95" customWidth="1"/>
    <col min="4622" max="4622" width="10.85546875" style="95" customWidth="1"/>
    <col min="4623" max="4623" width="2.7109375" style="95" customWidth="1"/>
    <col min="4624" max="4624" width="10.85546875" style="95" customWidth="1"/>
    <col min="4625" max="4625" width="2.42578125" style="95" customWidth="1"/>
    <col min="4626" max="4626" width="10.85546875" style="95" customWidth="1"/>
    <col min="4627" max="4627" width="2.28515625" style="95" customWidth="1"/>
    <col min="4628" max="4628" width="10.85546875" style="95" customWidth="1"/>
    <col min="4629" max="4629" width="3.42578125" style="95" customWidth="1"/>
    <col min="4630" max="4631" width="10.85546875" style="95" customWidth="1"/>
    <col min="4632" max="4864" width="10.85546875" style="95"/>
    <col min="4865" max="4868" width="10.85546875" style="95" customWidth="1"/>
    <col min="4869" max="4869" width="2.28515625" style="95" customWidth="1"/>
    <col min="4870" max="4870" width="10.85546875" style="95" customWidth="1"/>
    <col min="4871" max="4871" width="2.7109375" style="95" customWidth="1"/>
    <col min="4872" max="4872" width="10.85546875" style="95" customWidth="1"/>
    <col min="4873" max="4873" width="2.42578125" style="95" customWidth="1"/>
    <col min="4874" max="4874" width="10.85546875" style="95" customWidth="1"/>
    <col min="4875" max="4875" width="3.28515625" style="95" customWidth="1"/>
    <col min="4876" max="4876" width="10.85546875" style="95" customWidth="1"/>
    <col min="4877" max="4877" width="3.28515625" style="95" customWidth="1"/>
    <col min="4878" max="4878" width="10.85546875" style="95" customWidth="1"/>
    <col min="4879" max="4879" width="2.7109375" style="95" customWidth="1"/>
    <col min="4880" max="4880" width="10.85546875" style="95" customWidth="1"/>
    <col min="4881" max="4881" width="2.42578125" style="95" customWidth="1"/>
    <col min="4882" max="4882" width="10.85546875" style="95" customWidth="1"/>
    <col min="4883" max="4883" width="2.28515625" style="95" customWidth="1"/>
    <col min="4884" max="4884" width="10.85546875" style="95" customWidth="1"/>
    <col min="4885" max="4885" width="3.42578125" style="95" customWidth="1"/>
    <col min="4886" max="4887" width="10.85546875" style="95" customWidth="1"/>
    <col min="4888" max="5120" width="10.85546875" style="95"/>
    <col min="5121" max="5124" width="10.85546875" style="95" customWidth="1"/>
    <col min="5125" max="5125" width="2.28515625" style="95" customWidth="1"/>
    <col min="5126" max="5126" width="10.85546875" style="95" customWidth="1"/>
    <col min="5127" max="5127" width="2.7109375" style="95" customWidth="1"/>
    <col min="5128" max="5128" width="10.85546875" style="95" customWidth="1"/>
    <col min="5129" max="5129" width="2.42578125" style="95" customWidth="1"/>
    <col min="5130" max="5130" width="10.85546875" style="95" customWidth="1"/>
    <col min="5131" max="5131" width="3.28515625" style="95" customWidth="1"/>
    <col min="5132" max="5132" width="10.85546875" style="95" customWidth="1"/>
    <col min="5133" max="5133" width="3.28515625" style="95" customWidth="1"/>
    <col min="5134" max="5134" width="10.85546875" style="95" customWidth="1"/>
    <col min="5135" max="5135" width="2.7109375" style="95" customWidth="1"/>
    <col min="5136" max="5136" width="10.85546875" style="95" customWidth="1"/>
    <col min="5137" max="5137" width="2.42578125" style="95" customWidth="1"/>
    <col min="5138" max="5138" width="10.85546875" style="95" customWidth="1"/>
    <col min="5139" max="5139" width="2.28515625" style="95" customWidth="1"/>
    <col min="5140" max="5140" width="10.85546875" style="95" customWidth="1"/>
    <col min="5141" max="5141" width="3.42578125" style="95" customWidth="1"/>
    <col min="5142" max="5143" width="10.85546875" style="95" customWidth="1"/>
    <col min="5144" max="5376" width="10.85546875" style="95"/>
    <col min="5377" max="5380" width="10.85546875" style="95" customWidth="1"/>
    <col min="5381" max="5381" width="2.28515625" style="95" customWidth="1"/>
    <col min="5382" max="5382" width="10.85546875" style="95" customWidth="1"/>
    <col min="5383" max="5383" width="2.7109375" style="95" customWidth="1"/>
    <col min="5384" max="5384" width="10.85546875" style="95" customWidth="1"/>
    <col min="5385" max="5385" width="2.42578125" style="95" customWidth="1"/>
    <col min="5386" max="5386" width="10.85546875" style="95" customWidth="1"/>
    <col min="5387" max="5387" width="3.28515625" style="95" customWidth="1"/>
    <col min="5388" max="5388" width="10.85546875" style="95" customWidth="1"/>
    <col min="5389" max="5389" width="3.28515625" style="95" customWidth="1"/>
    <col min="5390" max="5390" width="10.85546875" style="95" customWidth="1"/>
    <col min="5391" max="5391" width="2.7109375" style="95" customWidth="1"/>
    <col min="5392" max="5392" width="10.85546875" style="95" customWidth="1"/>
    <col min="5393" max="5393" width="2.42578125" style="95" customWidth="1"/>
    <col min="5394" max="5394" width="10.85546875" style="95" customWidth="1"/>
    <col min="5395" max="5395" width="2.28515625" style="95" customWidth="1"/>
    <col min="5396" max="5396" width="10.85546875" style="95" customWidth="1"/>
    <col min="5397" max="5397" width="3.42578125" style="95" customWidth="1"/>
    <col min="5398" max="5399" width="10.85546875" style="95" customWidth="1"/>
    <col min="5400" max="5632" width="10.85546875" style="95"/>
    <col min="5633" max="5636" width="10.85546875" style="95" customWidth="1"/>
    <col min="5637" max="5637" width="2.28515625" style="95" customWidth="1"/>
    <col min="5638" max="5638" width="10.85546875" style="95" customWidth="1"/>
    <col min="5639" max="5639" width="2.7109375" style="95" customWidth="1"/>
    <col min="5640" max="5640" width="10.85546875" style="95" customWidth="1"/>
    <col min="5641" max="5641" width="2.42578125" style="95" customWidth="1"/>
    <col min="5642" max="5642" width="10.85546875" style="95" customWidth="1"/>
    <col min="5643" max="5643" width="3.28515625" style="95" customWidth="1"/>
    <col min="5644" max="5644" width="10.85546875" style="95" customWidth="1"/>
    <col min="5645" max="5645" width="3.28515625" style="95" customWidth="1"/>
    <col min="5646" max="5646" width="10.85546875" style="95" customWidth="1"/>
    <col min="5647" max="5647" width="2.7109375" style="95" customWidth="1"/>
    <col min="5648" max="5648" width="10.85546875" style="95" customWidth="1"/>
    <col min="5649" max="5649" width="2.42578125" style="95" customWidth="1"/>
    <col min="5650" max="5650" width="10.85546875" style="95" customWidth="1"/>
    <col min="5651" max="5651" width="2.28515625" style="95" customWidth="1"/>
    <col min="5652" max="5652" width="10.85546875" style="95" customWidth="1"/>
    <col min="5653" max="5653" width="3.42578125" style="95" customWidth="1"/>
    <col min="5654" max="5655" width="10.85546875" style="95" customWidth="1"/>
    <col min="5656" max="5888" width="10.85546875" style="95"/>
    <col min="5889" max="5892" width="10.85546875" style="95" customWidth="1"/>
    <col min="5893" max="5893" width="2.28515625" style="95" customWidth="1"/>
    <col min="5894" max="5894" width="10.85546875" style="95" customWidth="1"/>
    <col min="5895" max="5895" width="2.7109375" style="95" customWidth="1"/>
    <col min="5896" max="5896" width="10.85546875" style="95" customWidth="1"/>
    <col min="5897" max="5897" width="2.42578125" style="95" customWidth="1"/>
    <col min="5898" max="5898" width="10.85546875" style="95" customWidth="1"/>
    <col min="5899" max="5899" width="3.28515625" style="95" customWidth="1"/>
    <col min="5900" max="5900" width="10.85546875" style="95" customWidth="1"/>
    <col min="5901" max="5901" width="3.28515625" style="95" customWidth="1"/>
    <col min="5902" max="5902" width="10.85546875" style="95" customWidth="1"/>
    <col min="5903" max="5903" width="2.7109375" style="95" customWidth="1"/>
    <col min="5904" max="5904" width="10.85546875" style="95" customWidth="1"/>
    <col min="5905" max="5905" width="2.42578125" style="95" customWidth="1"/>
    <col min="5906" max="5906" width="10.85546875" style="95" customWidth="1"/>
    <col min="5907" max="5907" width="2.28515625" style="95" customWidth="1"/>
    <col min="5908" max="5908" width="10.85546875" style="95" customWidth="1"/>
    <col min="5909" max="5909" width="3.42578125" style="95" customWidth="1"/>
    <col min="5910" max="5911" width="10.85546875" style="95" customWidth="1"/>
    <col min="5912" max="6144" width="10.85546875" style="95"/>
    <col min="6145" max="6148" width="10.85546875" style="95" customWidth="1"/>
    <col min="6149" max="6149" width="2.28515625" style="95" customWidth="1"/>
    <col min="6150" max="6150" width="10.85546875" style="95" customWidth="1"/>
    <col min="6151" max="6151" width="2.7109375" style="95" customWidth="1"/>
    <col min="6152" max="6152" width="10.85546875" style="95" customWidth="1"/>
    <col min="6153" max="6153" width="2.42578125" style="95" customWidth="1"/>
    <col min="6154" max="6154" width="10.85546875" style="95" customWidth="1"/>
    <col min="6155" max="6155" width="3.28515625" style="95" customWidth="1"/>
    <col min="6156" max="6156" width="10.85546875" style="95" customWidth="1"/>
    <col min="6157" max="6157" width="3.28515625" style="95" customWidth="1"/>
    <col min="6158" max="6158" width="10.85546875" style="95" customWidth="1"/>
    <col min="6159" max="6159" width="2.7109375" style="95" customWidth="1"/>
    <col min="6160" max="6160" width="10.85546875" style="95" customWidth="1"/>
    <col min="6161" max="6161" width="2.42578125" style="95" customWidth="1"/>
    <col min="6162" max="6162" width="10.85546875" style="95" customWidth="1"/>
    <col min="6163" max="6163" width="2.28515625" style="95" customWidth="1"/>
    <col min="6164" max="6164" width="10.85546875" style="95" customWidth="1"/>
    <col min="6165" max="6165" width="3.42578125" style="95" customWidth="1"/>
    <col min="6166" max="6167" width="10.85546875" style="95" customWidth="1"/>
    <col min="6168" max="6400" width="10.85546875" style="95"/>
    <col min="6401" max="6404" width="10.85546875" style="95" customWidth="1"/>
    <col min="6405" max="6405" width="2.28515625" style="95" customWidth="1"/>
    <col min="6406" max="6406" width="10.85546875" style="95" customWidth="1"/>
    <col min="6407" max="6407" width="2.7109375" style="95" customWidth="1"/>
    <col min="6408" max="6408" width="10.85546875" style="95" customWidth="1"/>
    <col min="6409" max="6409" width="2.42578125" style="95" customWidth="1"/>
    <col min="6410" max="6410" width="10.85546875" style="95" customWidth="1"/>
    <col min="6411" max="6411" width="3.28515625" style="95" customWidth="1"/>
    <col min="6412" max="6412" width="10.85546875" style="95" customWidth="1"/>
    <col min="6413" max="6413" width="3.28515625" style="95" customWidth="1"/>
    <col min="6414" max="6414" width="10.85546875" style="95" customWidth="1"/>
    <col min="6415" max="6415" width="2.7109375" style="95" customWidth="1"/>
    <col min="6416" max="6416" width="10.85546875" style="95" customWidth="1"/>
    <col min="6417" max="6417" width="2.42578125" style="95" customWidth="1"/>
    <col min="6418" max="6418" width="10.85546875" style="95" customWidth="1"/>
    <col min="6419" max="6419" width="2.28515625" style="95" customWidth="1"/>
    <col min="6420" max="6420" width="10.85546875" style="95" customWidth="1"/>
    <col min="6421" max="6421" width="3.42578125" style="95" customWidth="1"/>
    <col min="6422" max="6423" width="10.85546875" style="95" customWidth="1"/>
    <col min="6424" max="6656" width="10.85546875" style="95"/>
    <col min="6657" max="6660" width="10.85546875" style="95" customWidth="1"/>
    <col min="6661" max="6661" width="2.28515625" style="95" customWidth="1"/>
    <col min="6662" max="6662" width="10.85546875" style="95" customWidth="1"/>
    <col min="6663" max="6663" width="2.7109375" style="95" customWidth="1"/>
    <col min="6664" max="6664" width="10.85546875" style="95" customWidth="1"/>
    <col min="6665" max="6665" width="2.42578125" style="95" customWidth="1"/>
    <col min="6666" max="6666" width="10.85546875" style="95" customWidth="1"/>
    <col min="6667" max="6667" width="3.28515625" style="95" customWidth="1"/>
    <col min="6668" max="6668" width="10.85546875" style="95" customWidth="1"/>
    <col min="6669" max="6669" width="3.28515625" style="95" customWidth="1"/>
    <col min="6670" max="6670" width="10.85546875" style="95" customWidth="1"/>
    <col min="6671" max="6671" width="2.7109375" style="95" customWidth="1"/>
    <col min="6672" max="6672" width="10.85546875" style="95" customWidth="1"/>
    <col min="6673" max="6673" width="2.42578125" style="95" customWidth="1"/>
    <col min="6674" max="6674" width="10.85546875" style="95" customWidth="1"/>
    <col min="6675" max="6675" width="2.28515625" style="95" customWidth="1"/>
    <col min="6676" max="6676" width="10.85546875" style="95" customWidth="1"/>
    <col min="6677" max="6677" width="3.42578125" style="95" customWidth="1"/>
    <col min="6678" max="6679" width="10.85546875" style="95" customWidth="1"/>
    <col min="6680" max="6912" width="10.85546875" style="95"/>
    <col min="6913" max="6916" width="10.85546875" style="95" customWidth="1"/>
    <col min="6917" max="6917" width="2.28515625" style="95" customWidth="1"/>
    <col min="6918" max="6918" width="10.85546875" style="95" customWidth="1"/>
    <col min="6919" max="6919" width="2.7109375" style="95" customWidth="1"/>
    <col min="6920" max="6920" width="10.85546875" style="95" customWidth="1"/>
    <col min="6921" max="6921" width="2.42578125" style="95" customWidth="1"/>
    <col min="6922" max="6922" width="10.85546875" style="95" customWidth="1"/>
    <col min="6923" max="6923" width="3.28515625" style="95" customWidth="1"/>
    <col min="6924" max="6924" width="10.85546875" style="95" customWidth="1"/>
    <col min="6925" max="6925" width="3.28515625" style="95" customWidth="1"/>
    <col min="6926" max="6926" width="10.85546875" style="95" customWidth="1"/>
    <col min="6927" max="6927" width="2.7109375" style="95" customWidth="1"/>
    <col min="6928" max="6928" width="10.85546875" style="95" customWidth="1"/>
    <col min="6929" max="6929" width="2.42578125" style="95" customWidth="1"/>
    <col min="6930" max="6930" width="10.85546875" style="95" customWidth="1"/>
    <col min="6931" max="6931" width="2.28515625" style="95" customWidth="1"/>
    <col min="6932" max="6932" width="10.85546875" style="95" customWidth="1"/>
    <col min="6933" max="6933" width="3.42578125" style="95" customWidth="1"/>
    <col min="6934" max="6935" width="10.85546875" style="95" customWidth="1"/>
    <col min="6936" max="7168" width="10.85546875" style="95"/>
    <col min="7169" max="7172" width="10.85546875" style="95" customWidth="1"/>
    <col min="7173" max="7173" width="2.28515625" style="95" customWidth="1"/>
    <col min="7174" max="7174" width="10.85546875" style="95" customWidth="1"/>
    <col min="7175" max="7175" width="2.7109375" style="95" customWidth="1"/>
    <col min="7176" max="7176" width="10.85546875" style="95" customWidth="1"/>
    <col min="7177" max="7177" width="2.42578125" style="95" customWidth="1"/>
    <col min="7178" max="7178" width="10.85546875" style="95" customWidth="1"/>
    <col min="7179" max="7179" width="3.28515625" style="95" customWidth="1"/>
    <col min="7180" max="7180" width="10.85546875" style="95" customWidth="1"/>
    <col min="7181" max="7181" width="3.28515625" style="95" customWidth="1"/>
    <col min="7182" max="7182" width="10.85546875" style="95" customWidth="1"/>
    <col min="7183" max="7183" width="2.7109375" style="95" customWidth="1"/>
    <col min="7184" max="7184" width="10.85546875" style="95" customWidth="1"/>
    <col min="7185" max="7185" width="2.42578125" style="95" customWidth="1"/>
    <col min="7186" max="7186" width="10.85546875" style="95" customWidth="1"/>
    <col min="7187" max="7187" width="2.28515625" style="95" customWidth="1"/>
    <col min="7188" max="7188" width="10.85546875" style="95" customWidth="1"/>
    <col min="7189" max="7189" width="3.42578125" style="95" customWidth="1"/>
    <col min="7190" max="7191" width="10.85546875" style="95" customWidth="1"/>
    <col min="7192" max="7424" width="10.85546875" style="95"/>
    <col min="7425" max="7428" width="10.85546875" style="95" customWidth="1"/>
    <col min="7429" max="7429" width="2.28515625" style="95" customWidth="1"/>
    <col min="7430" max="7430" width="10.85546875" style="95" customWidth="1"/>
    <col min="7431" max="7431" width="2.7109375" style="95" customWidth="1"/>
    <col min="7432" max="7432" width="10.85546875" style="95" customWidth="1"/>
    <col min="7433" max="7433" width="2.42578125" style="95" customWidth="1"/>
    <col min="7434" max="7434" width="10.85546875" style="95" customWidth="1"/>
    <col min="7435" max="7435" width="3.28515625" style="95" customWidth="1"/>
    <col min="7436" max="7436" width="10.85546875" style="95" customWidth="1"/>
    <col min="7437" max="7437" width="3.28515625" style="95" customWidth="1"/>
    <col min="7438" max="7438" width="10.85546875" style="95" customWidth="1"/>
    <col min="7439" max="7439" width="2.7109375" style="95" customWidth="1"/>
    <col min="7440" max="7440" width="10.85546875" style="95" customWidth="1"/>
    <col min="7441" max="7441" width="2.42578125" style="95" customWidth="1"/>
    <col min="7442" max="7442" width="10.85546875" style="95" customWidth="1"/>
    <col min="7443" max="7443" width="2.28515625" style="95" customWidth="1"/>
    <col min="7444" max="7444" width="10.85546875" style="95" customWidth="1"/>
    <col min="7445" max="7445" width="3.42578125" style="95" customWidth="1"/>
    <col min="7446" max="7447" width="10.85546875" style="95" customWidth="1"/>
    <col min="7448" max="7680" width="10.85546875" style="95"/>
    <col min="7681" max="7684" width="10.85546875" style="95" customWidth="1"/>
    <col min="7685" max="7685" width="2.28515625" style="95" customWidth="1"/>
    <col min="7686" max="7686" width="10.85546875" style="95" customWidth="1"/>
    <col min="7687" max="7687" width="2.7109375" style="95" customWidth="1"/>
    <col min="7688" max="7688" width="10.85546875" style="95" customWidth="1"/>
    <col min="7689" max="7689" width="2.42578125" style="95" customWidth="1"/>
    <col min="7690" max="7690" width="10.85546875" style="95" customWidth="1"/>
    <col min="7691" max="7691" width="3.28515625" style="95" customWidth="1"/>
    <col min="7692" max="7692" width="10.85546875" style="95" customWidth="1"/>
    <col min="7693" max="7693" width="3.28515625" style="95" customWidth="1"/>
    <col min="7694" max="7694" width="10.85546875" style="95" customWidth="1"/>
    <col min="7695" max="7695" width="2.7109375" style="95" customWidth="1"/>
    <col min="7696" max="7696" width="10.85546875" style="95" customWidth="1"/>
    <col min="7697" max="7697" width="2.42578125" style="95" customWidth="1"/>
    <col min="7698" max="7698" width="10.85546875" style="95" customWidth="1"/>
    <col min="7699" max="7699" width="2.28515625" style="95" customWidth="1"/>
    <col min="7700" max="7700" width="10.85546875" style="95" customWidth="1"/>
    <col min="7701" max="7701" width="3.42578125" style="95" customWidth="1"/>
    <col min="7702" max="7703" width="10.85546875" style="95" customWidth="1"/>
    <col min="7704" max="7936" width="10.85546875" style="95"/>
    <col min="7937" max="7940" width="10.85546875" style="95" customWidth="1"/>
    <col min="7941" max="7941" width="2.28515625" style="95" customWidth="1"/>
    <col min="7942" max="7942" width="10.85546875" style="95" customWidth="1"/>
    <col min="7943" max="7943" width="2.7109375" style="95" customWidth="1"/>
    <col min="7944" max="7944" width="10.85546875" style="95" customWidth="1"/>
    <col min="7945" max="7945" width="2.42578125" style="95" customWidth="1"/>
    <col min="7946" max="7946" width="10.85546875" style="95" customWidth="1"/>
    <col min="7947" max="7947" width="3.28515625" style="95" customWidth="1"/>
    <col min="7948" max="7948" width="10.85546875" style="95" customWidth="1"/>
    <col min="7949" max="7949" width="3.28515625" style="95" customWidth="1"/>
    <col min="7950" max="7950" width="10.85546875" style="95" customWidth="1"/>
    <col min="7951" max="7951" width="2.7109375" style="95" customWidth="1"/>
    <col min="7952" max="7952" width="10.85546875" style="95" customWidth="1"/>
    <col min="7953" max="7953" width="2.42578125" style="95" customWidth="1"/>
    <col min="7954" max="7954" width="10.85546875" style="95" customWidth="1"/>
    <col min="7955" max="7955" width="2.28515625" style="95" customWidth="1"/>
    <col min="7956" max="7956" width="10.85546875" style="95" customWidth="1"/>
    <col min="7957" max="7957" width="3.42578125" style="95" customWidth="1"/>
    <col min="7958" max="7959" width="10.85546875" style="95" customWidth="1"/>
    <col min="7960" max="8192" width="10.85546875" style="95"/>
    <col min="8193" max="8196" width="10.85546875" style="95" customWidth="1"/>
    <col min="8197" max="8197" width="2.28515625" style="95" customWidth="1"/>
    <col min="8198" max="8198" width="10.85546875" style="95" customWidth="1"/>
    <col min="8199" max="8199" width="2.7109375" style="95" customWidth="1"/>
    <col min="8200" max="8200" width="10.85546875" style="95" customWidth="1"/>
    <col min="8201" max="8201" width="2.42578125" style="95" customWidth="1"/>
    <col min="8202" max="8202" width="10.85546875" style="95" customWidth="1"/>
    <col min="8203" max="8203" width="3.28515625" style="95" customWidth="1"/>
    <col min="8204" max="8204" width="10.85546875" style="95" customWidth="1"/>
    <col min="8205" max="8205" width="3.28515625" style="95" customWidth="1"/>
    <col min="8206" max="8206" width="10.85546875" style="95" customWidth="1"/>
    <col min="8207" max="8207" width="2.7109375" style="95" customWidth="1"/>
    <col min="8208" max="8208" width="10.85546875" style="95" customWidth="1"/>
    <col min="8209" max="8209" width="2.42578125" style="95" customWidth="1"/>
    <col min="8210" max="8210" width="10.85546875" style="95" customWidth="1"/>
    <col min="8211" max="8211" width="2.28515625" style="95" customWidth="1"/>
    <col min="8212" max="8212" width="10.85546875" style="95" customWidth="1"/>
    <col min="8213" max="8213" width="3.42578125" style="95" customWidth="1"/>
    <col min="8214" max="8215" width="10.85546875" style="95" customWidth="1"/>
    <col min="8216" max="8448" width="10.85546875" style="95"/>
    <col min="8449" max="8452" width="10.85546875" style="95" customWidth="1"/>
    <col min="8453" max="8453" width="2.28515625" style="95" customWidth="1"/>
    <col min="8454" max="8454" width="10.85546875" style="95" customWidth="1"/>
    <col min="8455" max="8455" width="2.7109375" style="95" customWidth="1"/>
    <col min="8456" max="8456" width="10.85546875" style="95" customWidth="1"/>
    <col min="8457" max="8457" width="2.42578125" style="95" customWidth="1"/>
    <col min="8458" max="8458" width="10.85546875" style="95" customWidth="1"/>
    <col min="8459" max="8459" width="3.28515625" style="95" customWidth="1"/>
    <col min="8460" max="8460" width="10.85546875" style="95" customWidth="1"/>
    <col min="8461" max="8461" width="3.28515625" style="95" customWidth="1"/>
    <col min="8462" max="8462" width="10.85546875" style="95" customWidth="1"/>
    <col min="8463" max="8463" width="2.7109375" style="95" customWidth="1"/>
    <col min="8464" max="8464" width="10.85546875" style="95" customWidth="1"/>
    <col min="8465" max="8465" width="2.42578125" style="95" customWidth="1"/>
    <col min="8466" max="8466" width="10.85546875" style="95" customWidth="1"/>
    <col min="8467" max="8467" width="2.28515625" style="95" customWidth="1"/>
    <col min="8468" max="8468" width="10.85546875" style="95" customWidth="1"/>
    <col min="8469" max="8469" width="3.42578125" style="95" customWidth="1"/>
    <col min="8470" max="8471" width="10.85546875" style="95" customWidth="1"/>
    <col min="8472" max="8704" width="10.85546875" style="95"/>
    <col min="8705" max="8708" width="10.85546875" style="95" customWidth="1"/>
    <col min="8709" max="8709" width="2.28515625" style="95" customWidth="1"/>
    <col min="8710" max="8710" width="10.85546875" style="95" customWidth="1"/>
    <col min="8711" max="8711" width="2.7109375" style="95" customWidth="1"/>
    <col min="8712" max="8712" width="10.85546875" style="95" customWidth="1"/>
    <col min="8713" max="8713" width="2.42578125" style="95" customWidth="1"/>
    <col min="8714" max="8714" width="10.85546875" style="95" customWidth="1"/>
    <col min="8715" max="8715" width="3.28515625" style="95" customWidth="1"/>
    <col min="8716" max="8716" width="10.85546875" style="95" customWidth="1"/>
    <col min="8717" max="8717" width="3.28515625" style="95" customWidth="1"/>
    <col min="8718" max="8718" width="10.85546875" style="95" customWidth="1"/>
    <col min="8719" max="8719" width="2.7109375" style="95" customWidth="1"/>
    <col min="8720" max="8720" width="10.85546875" style="95" customWidth="1"/>
    <col min="8721" max="8721" width="2.42578125" style="95" customWidth="1"/>
    <col min="8722" max="8722" width="10.85546875" style="95" customWidth="1"/>
    <col min="8723" max="8723" width="2.28515625" style="95" customWidth="1"/>
    <col min="8724" max="8724" width="10.85546875" style="95" customWidth="1"/>
    <col min="8725" max="8725" width="3.42578125" style="95" customWidth="1"/>
    <col min="8726" max="8727" width="10.85546875" style="95" customWidth="1"/>
    <col min="8728" max="8960" width="10.85546875" style="95"/>
    <col min="8961" max="8964" width="10.85546875" style="95" customWidth="1"/>
    <col min="8965" max="8965" width="2.28515625" style="95" customWidth="1"/>
    <col min="8966" max="8966" width="10.85546875" style="95" customWidth="1"/>
    <col min="8967" max="8967" width="2.7109375" style="95" customWidth="1"/>
    <col min="8968" max="8968" width="10.85546875" style="95" customWidth="1"/>
    <col min="8969" max="8969" width="2.42578125" style="95" customWidth="1"/>
    <col min="8970" max="8970" width="10.85546875" style="95" customWidth="1"/>
    <col min="8971" max="8971" width="3.28515625" style="95" customWidth="1"/>
    <col min="8972" max="8972" width="10.85546875" style="95" customWidth="1"/>
    <col min="8973" max="8973" width="3.28515625" style="95" customWidth="1"/>
    <col min="8974" max="8974" width="10.85546875" style="95" customWidth="1"/>
    <col min="8975" max="8975" width="2.7109375" style="95" customWidth="1"/>
    <col min="8976" max="8976" width="10.85546875" style="95" customWidth="1"/>
    <col min="8977" max="8977" width="2.42578125" style="95" customWidth="1"/>
    <col min="8978" max="8978" width="10.85546875" style="95" customWidth="1"/>
    <col min="8979" max="8979" width="2.28515625" style="95" customWidth="1"/>
    <col min="8980" max="8980" width="10.85546875" style="95" customWidth="1"/>
    <col min="8981" max="8981" width="3.42578125" style="95" customWidth="1"/>
    <col min="8982" max="8983" width="10.85546875" style="95" customWidth="1"/>
    <col min="8984" max="9216" width="10.85546875" style="95"/>
    <col min="9217" max="9220" width="10.85546875" style="95" customWidth="1"/>
    <col min="9221" max="9221" width="2.28515625" style="95" customWidth="1"/>
    <col min="9222" max="9222" width="10.85546875" style="95" customWidth="1"/>
    <col min="9223" max="9223" width="2.7109375" style="95" customWidth="1"/>
    <col min="9224" max="9224" width="10.85546875" style="95" customWidth="1"/>
    <col min="9225" max="9225" width="2.42578125" style="95" customWidth="1"/>
    <col min="9226" max="9226" width="10.85546875" style="95" customWidth="1"/>
    <col min="9227" max="9227" width="3.28515625" style="95" customWidth="1"/>
    <col min="9228" max="9228" width="10.85546875" style="95" customWidth="1"/>
    <col min="9229" max="9229" width="3.28515625" style="95" customWidth="1"/>
    <col min="9230" max="9230" width="10.85546875" style="95" customWidth="1"/>
    <col min="9231" max="9231" width="2.7109375" style="95" customWidth="1"/>
    <col min="9232" max="9232" width="10.85546875" style="95" customWidth="1"/>
    <col min="9233" max="9233" width="2.42578125" style="95" customWidth="1"/>
    <col min="9234" max="9234" width="10.85546875" style="95" customWidth="1"/>
    <col min="9235" max="9235" width="2.28515625" style="95" customWidth="1"/>
    <col min="9236" max="9236" width="10.85546875" style="95" customWidth="1"/>
    <col min="9237" max="9237" width="3.42578125" style="95" customWidth="1"/>
    <col min="9238" max="9239" width="10.85546875" style="95" customWidth="1"/>
    <col min="9240" max="9472" width="10.85546875" style="95"/>
    <col min="9473" max="9476" width="10.85546875" style="95" customWidth="1"/>
    <col min="9477" max="9477" width="2.28515625" style="95" customWidth="1"/>
    <col min="9478" max="9478" width="10.85546875" style="95" customWidth="1"/>
    <col min="9479" max="9479" width="2.7109375" style="95" customWidth="1"/>
    <col min="9480" max="9480" width="10.85546875" style="95" customWidth="1"/>
    <col min="9481" max="9481" width="2.42578125" style="95" customWidth="1"/>
    <col min="9482" max="9482" width="10.85546875" style="95" customWidth="1"/>
    <col min="9483" max="9483" width="3.28515625" style="95" customWidth="1"/>
    <col min="9484" max="9484" width="10.85546875" style="95" customWidth="1"/>
    <col min="9485" max="9485" width="3.28515625" style="95" customWidth="1"/>
    <col min="9486" max="9486" width="10.85546875" style="95" customWidth="1"/>
    <col min="9487" max="9487" width="2.7109375" style="95" customWidth="1"/>
    <col min="9488" max="9488" width="10.85546875" style="95" customWidth="1"/>
    <col min="9489" max="9489" width="2.42578125" style="95" customWidth="1"/>
    <col min="9490" max="9490" width="10.85546875" style="95" customWidth="1"/>
    <col min="9491" max="9491" width="2.28515625" style="95" customWidth="1"/>
    <col min="9492" max="9492" width="10.85546875" style="95" customWidth="1"/>
    <col min="9493" max="9493" width="3.42578125" style="95" customWidth="1"/>
    <col min="9494" max="9495" width="10.85546875" style="95" customWidth="1"/>
    <col min="9496" max="9728" width="10.85546875" style="95"/>
    <col min="9729" max="9732" width="10.85546875" style="95" customWidth="1"/>
    <col min="9733" max="9733" width="2.28515625" style="95" customWidth="1"/>
    <col min="9734" max="9734" width="10.85546875" style="95" customWidth="1"/>
    <col min="9735" max="9735" width="2.7109375" style="95" customWidth="1"/>
    <col min="9736" max="9736" width="10.85546875" style="95" customWidth="1"/>
    <col min="9737" max="9737" width="2.42578125" style="95" customWidth="1"/>
    <col min="9738" max="9738" width="10.85546875" style="95" customWidth="1"/>
    <col min="9739" max="9739" width="3.28515625" style="95" customWidth="1"/>
    <col min="9740" max="9740" width="10.85546875" style="95" customWidth="1"/>
    <col min="9741" max="9741" width="3.28515625" style="95" customWidth="1"/>
    <col min="9742" max="9742" width="10.85546875" style="95" customWidth="1"/>
    <col min="9743" max="9743" width="2.7109375" style="95" customWidth="1"/>
    <col min="9744" max="9744" width="10.85546875" style="95" customWidth="1"/>
    <col min="9745" max="9745" width="2.42578125" style="95" customWidth="1"/>
    <col min="9746" max="9746" width="10.85546875" style="95" customWidth="1"/>
    <col min="9747" max="9747" width="2.28515625" style="95" customWidth="1"/>
    <col min="9748" max="9748" width="10.85546875" style="95" customWidth="1"/>
    <col min="9749" max="9749" width="3.42578125" style="95" customWidth="1"/>
    <col min="9750" max="9751" width="10.85546875" style="95" customWidth="1"/>
    <col min="9752" max="9984" width="10.85546875" style="95"/>
    <col min="9985" max="9988" width="10.85546875" style="95" customWidth="1"/>
    <col min="9989" max="9989" width="2.28515625" style="95" customWidth="1"/>
    <col min="9990" max="9990" width="10.85546875" style="95" customWidth="1"/>
    <col min="9991" max="9991" width="2.7109375" style="95" customWidth="1"/>
    <col min="9992" max="9992" width="10.85546875" style="95" customWidth="1"/>
    <col min="9993" max="9993" width="2.42578125" style="95" customWidth="1"/>
    <col min="9994" max="9994" width="10.85546875" style="95" customWidth="1"/>
    <col min="9995" max="9995" width="3.28515625" style="95" customWidth="1"/>
    <col min="9996" max="9996" width="10.85546875" style="95" customWidth="1"/>
    <col min="9997" max="9997" width="3.28515625" style="95" customWidth="1"/>
    <col min="9998" max="9998" width="10.85546875" style="95" customWidth="1"/>
    <col min="9999" max="9999" width="2.7109375" style="95" customWidth="1"/>
    <col min="10000" max="10000" width="10.85546875" style="95" customWidth="1"/>
    <col min="10001" max="10001" width="2.42578125" style="95" customWidth="1"/>
    <col min="10002" max="10002" width="10.85546875" style="95" customWidth="1"/>
    <col min="10003" max="10003" width="2.28515625" style="95" customWidth="1"/>
    <col min="10004" max="10004" width="10.85546875" style="95" customWidth="1"/>
    <col min="10005" max="10005" width="3.42578125" style="95" customWidth="1"/>
    <col min="10006" max="10007" width="10.85546875" style="95" customWidth="1"/>
    <col min="10008" max="10240" width="10.85546875" style="95"/>
    <col min="10241" max="10244" width="10.85546875" style="95" customWidth="1"/>
    <col min="10245" max="10245" width="2.28515625" style="95" customWidth="1"/>
    <col min="10246" max="10246" width="10.85546875" style="95" customWidth="1"/>
    <col min="10247" max="10247" width="2.7109375" style="95" customWidth="1"/>
    <col min="10248" max="10248" width="10.85546875" style="95" customWidth="1"/>
    <col min="10249" max="10249" width="2.42578125" style="95" customWidth="1"/>
    <col min="10250" max="10250" width="10.85546875" style="95" customWidth="1"/>
    <col min="10251" max="10251" width="3.28515625" style="95" customWidth="1"/>
    <col min="10252" max="10252" width="10.85546875" style="95" customWidth="1"/>
    <col min="10253" max="10253" width="3.28515625" style="95" customWidth="1"/>
    <col min="10254" max="10254" width="10.85546875" style="95" customWidth="1"/>
    <col min="10255" max="10255" width="2.7109375" style="95" customWidth="1"/>
    <col min="10256" max="10256" width="10.85546875" style="95" customWidth="1"/>
    <col min="10257" max="10257" width="2.42578125" style="95" customWidth="1"/>
    <col min="10258" max="10258" width="10.85546875" style="95" customWidth="1"/>
    <col min="10259" max="10259" width="2.28515625" style="95" customWidth="1"/>
    <col min="10260" max="10260" width="10.85546875" style="95" customWidth="1"/>
    <col min="10261" max="10261" width="3.42578125" style="95" customWidth="1"/>
    <col min="10262" max="10263" width="10.85546875" style="95" customWidth="1"/>
    <col min="10264" max="10496" width="10.85546875" style="95"/>
    <col min="10497" max="10500" width="10.85546875" style="95" customWidth="1"/>
    <col min="10501" max="10501" width="2.28515625" style="95" customWidth="1"/>
    <col min="10502" max="10502" width="10.85546875" style="95" customWidth="1"/>
    <col min="10503" max="10503" width="2.7109375" style="95" customWidth="1"/>
    <col min="10504" max="10504" width="10.85546875" style="95" customWidth="1"/>
    <col min="10505" max="10505" width="2.42578125" style="95" customWidth="1"/>
    <col min="10506" max="10506" width="10.85546875" style="95" customWidth="1"/>
    <col min="10507" max="10507" width="3.28515625" style="95" customWidth="1"/>
    <col min="10508" max="10508" width="10.85546875" style="95" customWidth="1"/>
    <col min="10509" max="10509" width="3.28515625" style="95" customWidth="1"/>
    <col min="10510" max="10510" width="10.85546875" style="95" customWidth="1"/>
    <col min="10511" max="10511" width="2.7109375" style="95" customWidth="1"/>
    <col min="10512" max="10512" width="10.85546875" style="95" customWidth="1"/>
    <col min="10513" max="10513" width="2.42578125" style="95" customWidth="1"/>
    <col min="10514" max="10514" width="10.85546875" style="95" customWidth="1"/>
    <col min="10515" max="10515" width="2.28515625" style="95" customWidth="1"/>
    <col min="10516" max="10516" width="10.85546875" style="95" customWidth="1"/>
    <col min="10517" max="10517" width="3.42578125" style="95" customWidth="1"/>
    <col min="10518" max="10519" width="10.85546875" style="95" customWidth="1"/>
    <col min="10520" max="10752" width="10.85546875" style="95"/>
    <col min="10753" max="10756" width="10.85546875" style="95" customWidth="1"/>
    <col min="10757" max="10757" width="2.28515625" style="95" customWidth="1"/>
    <col min="10758" max="10758" width="10.85546875" style="95" customWidth="1"/>
    <col min="10759" max="10759" width="2.7109375" style="95" customWidth="1"/>
    <col min="10760" max="10760" width="10.85546875" style="95" customWidth="1"/>
    <col min="10761" max="10761" width="2.42578125" style="95" customWidth="1"/>
    <col min="10762" max="10762" width="10.85546875" style="95" customWidth="1"/>
    <col min="10763" max="10763" width="3.28515625" style="95" customWidth="1"/>
    <col min="10764" max="10764" width="10.85546875" style="95" customWidth="1"/>
    <col min="10765" max="10765" width="3.28515625" style="95" customWidth="1"/>
    <col min="10766" max="10766" width="10.85546875" style="95" customWidth="1"/>
    <col min="10767" max="10767" width="2.7109375" style="95" customWidth="1"/>
    <col min="10768" max="10768" width="10.85546875" style="95" customWidth="1"/>
    <col min="10769" max="10769" width="2.42578125" style="95" customWidth="1"/>
    <col min="10770" max="10770" width="10.85546875" style="95" customWidth="1"/>
    <col min="10771" max="10771" width="2.28515625" style="95" customWidth="1"/>
    <col min="10772" max="10772" width="10.85546875" style="95" customWidth="1"/>
    <col min="10773" max="10773" width="3.42578125" style="95" customWidth="1"/>
    <col min="10774" max="10775" width="10.85546875" style="95" customWidth="1"/>
    <col min="10776" max="11008" width="10.85546875" style="95"/>
    <col min="11009" max="11012" width="10.85546875" style="95" customWidth="1"/>
    <col min="11013" max="11013" width="2.28515625" style="95" customWidth="1"/>
    <col min="11014" max="11014" width="10.85546875" style="95" customWidth="1"/>
    <col min="11015" max="11015" width="2.7109375" style="95" customWidth="1"/>
    <col min="11016" max="11016" width="10.85546875" style="95" customWidth="1"/>
    <col min="11017" max="11017" width="2.42578125" style="95" customWidth="1"/>
    <col min="11018" max="11018" width="10.85546875" style="95" customWidth="1"/>
    <col min="11019" max="11019" width="3.28515625" style="95" customWidth="1"/>
    <col min="11020" max="11020" width="10.85546875" style="95" customWidth="1"/>
    <col min="11021" max="11021" width="3.28515625" style="95" customWidth="1"/>
    <col min="11022" max="11022" width="10.85546875" style="95" customWidth="1"/>
    <col min="11023" max="11023" width="2.7109375" style="95" customWidth="1"/>
    <col min="11024" max="11024" width="10.85546875" style="95" customWidth="1"/>
    <col min="11025" max="11025" width="2.42578125" style="95" customWidth="1"/>
    <col min="11026" max="11026" width="10.85546875" style="95" customWidth="1"/>
    <col min="11027" max="11027" width="2.28515625" style="95" customWidth="1"/>
    <col min="11028" max="11028" width="10.85546875" style="95" customWidth="1"/>
    <col min="11029" max="11029" width="3.42578125" style="95" customWidth="1"/>
    <col min="11030" max="11031" width="10.85546875" style="95" customWidth="1"/>
    <col min="11032" max="11264" width="10.85546875" style="95"/>
    <col min="11265" max="11268" width="10.85546875" style="95" customWidth="1"/>
    <col min="11269" max="11269" width="2.28515625" style="95" customWidth="1"/>
    <col min="11270" max="11270" width="10.85546875" style="95" customWidth="1"/>
    <col min="11271" max="11271" width="2.7109375" style="95" customWidth="1"/>
    <col min="11272" max="11272" width="10.85546875" style="95" customWidth="1"/>
    <col min="11273" max="11273" width="2.42578125" style="95" customWidth="1"/>
    <col min="11274" max="11274" width="10.85546875" style="95" customWidth="1"/>
    <col min="11275" max="11275" width="3.28515625" style="95" customWidth="1"/>
    <col min="11276" max="11276" width="10.85546875" style="95" customWidth="1"/>
    <col min="11277" max="11277" width="3.28515625" style="95" customWidth="1"/>
    <col min="11278" max="11278" width="10.85546875" style="95" customWidth="1"/>
    <col min="11279" max="11279" width="2.7109375" style="95" customWidth="1"/>
    <col min="11280" max="11280" width="10.85546875" style="95" customWidth="1"/>
    <col min="11281" max="11281" width="2.42578125" style="95" customWidth="1"/>
    <col min="11282" max="11282" width="10.85546875" style="95" customWidth="1"/>
    <col min="11283" max="11283" width="2.28515625" style="95" customWidth="1"/>
    <col min="11284" max="11284" width="10.85546875" style="95" customWidth="1"/>
    <col min="11285" max="11285" width="3.42578125" style="95" customWidth="1"/>
    <col min="11286" max="11287" width="10.85546875" style="95" customWidth="1"/>
    <col min="11288" max="11520" width="10.85546875" style="95"/>
    <col min="11521" max="11524" width="10.85546875" style="95" customWidth="1"/>
    <col min="11525" max="11525" width="2.28515625" style="95" customWidth="1"/>
    <col min="11526" max="11526" width="10.85546875" style="95" customWidth="1"/>
    <col min="11527" max="11527" width="2.7109375" style="95" customWidth="1"/>
    <col min="11528" max="11528" width="10.85546875" style="95" customWidth="1"/>
    <col min="11529" max="11529" width="2.42578125" style="95" customWidth="1"/>
    <col min="11530" max="11530" width="10.85546875" style="95" customWidth="1"/>
    <col min="11531" max="11531" width="3.28515625" style="95" customWidth="1"/>
    <col min="11532" max="11532" width="10.85546875" style="95" customWidth="1"/>
    <col min="11533" max="11533" width="3.28515625" style="95" customWidth="1"/>
    <col min="11534" max="11534" width="10.85546875" style="95" customWidth="1"/>
    <col min="11535" max="11535" width="2.7109375" style="95" customWidth="1"/>
    <col min="11536" max="11536" width="10.85546875" style="95" customWidth="1"/>
    <col min="11537" max="11537" width="2.42578125" style="95" customWidth="1"/>
    <col min="11538" max="11538" width="10.85546875" style="95" customWidth="1"/>
    <col min="11539" max="11539" width="2.28515625" style="95" customWidth="1"/>
    <col min="11540" max="11540" width="10.85546875" style="95" customWidth="1"/>
    <col min="11541" max="11541" width="3.42578125" style="95" customWidth="1"/>
    <col min="11542" max="11543" width="10.85546875" style="95" customWidth="1"/>
    <col min="11544" max="11776" width="10.85546875" style="95"/>
    <col min="11777" max="11780" width="10.85546875" style="95" customWidth="1"/>
    <col min="11781" max="11781" width="2.28515625" style="95" customWidth="1"/>
    <col min="11782" max="11782" width="10.85546875" style="95" customWidth="1"/>
    <col min="11783" max="11783" width="2.7109375" style="95" customWidth="1"/>
    <col min="11784" max="11784" width="10.85546875" style="95" customWidth="1"/>
    <col min="11785" max="11785" width="2.42578125" style="95" customWidth="1"/>
    <col min="11786" max="11786" width="10.85546875" style="95" customWidth="1"/>
    <col min="11787" max="11787" width="3.28515625" style="95" customWidth="1"/>
    <col min="11788" max="11788" width="10.85546875" style="95" customWidth="1"/>
    <col min="11789" max="11789" width="3.28515625" style="95" customWidth="1"/>
    <col min="11790" max="11790" width="10.85546875" style="95" customWidth="1"/>
    <col min="11791" max="11791" width="2.7109375" style="95" customWidth="1"/>
    <col min="11792" max="11792" width="10.85546875" style="95" customWidth="1"/>
    <col min="11793" max="11793" width="2.42578125" style="95" customWidth="1"/>
    <col min="11794" max="11794" width="10.85546875" style="95" customWidth="1"/>
    <col min="11795" max="11795" width="2.28515625" style="95" customWidth="1"/>
    <col min="11796" max="11796" width="10.85546875" style="95" customWidth="1"/>
    <col min="11797" max="11797" width="3.42578125" style="95" customWidth="1"/>
    <col min="11798" max="11799" width="10.85546875" style="95" customWidth="1"/>
    <col min="11800" max="12032" width="10.85546875" style="95"/>
    <col min="12033" max="12036" width="10.85546875" style="95" customWidth="1"/>
    <col min="12037" max="12037" width="2.28515625" style="95" customWidth="1"/>
    <col min="12038" max="12038" width="10.85546875" style="95" customWidth="1"/>
    <col min="12039" max="12039" width="2.7109375" style="95" customWidth="1"/>
    <col min="12040" max="12040" width="10.85546875" style="95" customWidth="1"/>
    <col min="12041" max="12041" width="2.42578125" style="95" customWidth="1"/>
    <col min="12042" max="12042" width="10.85546875" style="95" customWidth="1"/>
    <col min="12043" max="12043" width="3.28515625" style="95" customWidth="1"/>
    <col min="12044" max="12044" width="10.85546875" style="95" customWidth="1"/>
    <col min="12045" max="12045" width="3.28515625" style="95" customWidth="1"/>
    <col min="12046" max="12046" width="10.85546875" style="95" customWidth="1"/>
    <col min="12047" max="12047" width="2.7109375" style="95" customWidth="1"/>
    <col min="12048" max="12048" width="10.85546875" style="95" customWidth="1"/>
    <col min="12049" max="12049" width="2.42578125" style="95" customWidth="1"/>
    <col min="12050" max="12050" width="10.85546875" style="95" customWidth="1"/>
    <col min="12051" max="12051" width="2.28515625" style="95" customWidth="1"/>
    <col min="12052" max="12052" width="10.85546875" style="95" customWidth="1"/>
    <col min="12053" max="12053" width="3.42578125" style="95" customWidth="1"/>
    <col min="12054" max="12055" width="10.85546875" style="95" customWidth="1"/>
    <col min="12056" max="12288" width="10.85546875" style="95"/>
    <col min="12289" max="12292" width="10.85546875" style="95" customWidth="1"/>
    <col min="12293" max="12293" width="2.28515625" style="95" customWidth="1"/>
    <col min="12294" max="12294" width="10.85546875" style="95" customWidth="1"/>
    <col min="12295" max="12295" width="2.7109375" style="95" customWidth="1"/>
    <col min="12296" max="12296" width="10.85546875" style="95" customWidth="1"/>
    <col min="12297" max="12297" width="2.42578125" style="95" customWidth="1"/>
    <col min="12298" max="12298" width="10.85546875" style="95" customWidth="1"/>
    <col min="12299" max="12299" width="3.28515625" style="95" customWidth="1"/>
    <col min="12300" max="12300" width="10.85546875" style="95" customWidth="1"/>
    <col min="12301" max="12301" width="3.28515625" style="95" customWidth="1"/>
    <col min="12302" max="12302" width="10.85546875" style="95" customWidth="1"/>
    <col min="12303" max="12303" width="2.7109375" style="95" customWidth="1"/>
    <col min="12304" max="12304" width="10.85546875" style="95" customWidth="1"/>
    <col min="12305" max="12305" width="2.42578125" style="95" customWidth="1"/>
    <col min="12306" max="12306" width="10.85546875" style="95" customWidth="1"/>
    <col min="12307" max="12307" width="2.28515625" style="95" customWidth="1"/>
    <col min="12308" max="12308" width="10.85546875" style="95" customWidth="1"/>
    <col min="12309" max="12309" width="3.42578125" style="95" customWidth="1"/>
    <col min="12310" max="12311" width="10.85546875" style="95" customWidth="1"/>
    <col min="12312" max="12544" width="10.85546875" style="95"/>
    <col min="12545" max="12548" width="10.85546875" style="95" customWidth="1"/>
    <col min="12549" max="12549" width="2.28515625" style="95" customWidth="1"/>
    <col min="12550" max="12550" width="10.85546875" style="95" customWidth="1"/>
    <col min="12551" max="12551" width="2.7109375" style="95" customWidth="1"/>
    <col min="12552" max="12552" width="10.85546875" style="95" customWidth="1"/>
    <col min="12553" max="12553" width="2.42578125" style="95" customWidth="1"/>
    <col min="12554" max="12554" width="10.85546875" style="95" customWidth="1"/>
    <col min="12555" max="12555" width="3.28515625" style="95" customWidth="1"/>
    <col min="12556" max="12556" width="10.85546875" style="95" customWidth="1"/>
    <col min="12557" max="12557" width="3.28515625" style="95" customWidth="1"/>
    <col min="12558" max="12558" width="10.85546875" style="95" customWidth="1"/>
    <col min="12559" max="12559" width="2.7109375" style="95" customWidth="1"/>
    <col min="12560" max="12560" width="10.85546875" style="95" customWidth="1"/>
    <col min="12561" max="12561" width="2.42578125" style="95" customWidth="1"/>
    <col min="12562" max="12562" width="10.85546875" style="95" customWidth="1"/>
    <col min="12563" max="12563" width="2.28515625" style="95" customWidth="1"/>
    <col min="12564" max="12564" width="10.85546875" style="95" customWidth="1"/>
    <col min="12565" max="12565" width="3.42578125" style="95" customWidth="1"/>
    <col min="12566" max="12567" width="10.85546875" style="95" customWidth="1"/>
    <col min="12568" max="12800" width="10.85546875" style="95"/>
    <col min="12801" max="12804" width="10.85546875" style="95" customWidth="1"/>
    <col min="12805" max="12805" width="2.28515625" style="95" customWidth="1"/>
    <col min="12806" max="12806" width="10.85546875" style="95" customWidth="1"/>
    <col min="12807" max="12807" width="2.7109375" style="95" customWidth="1"/>
    <col min="12808" max="12808" width="10.85546875" style="95" customWidth="1"/>
    <col min="12809" max="12809" width="2.42578125" style="95" customWidth="1"/>
    <col min="12810" max="12810" width="10.85546875" style="95" customWidth="1"/>
    <col min="12811" max="12811" width="3.28515625" style="95" customWidth="1"/>
    <col min="12812" max="12812" width="10.85546875" style="95" customWidth="1"/>
    <col min="12813" max="12813" width="3.28515625" style="95" customWidth="1"/>
    <col min="12814" max="12814" width="10.85546875" style="95" customWidth="1"/>
    <col min="12815" max="12815" width="2.7109375" style="95" customWidth="1"/>
    <col min="12816" max="12816" width="10.85546875" style="95" customWidth="1"/>
    <col min="12817" max="12817" width="2.42578125" style="95" customWidth="1"/>
    <col min="12818" max="12818" width="10.85546875" style="95" customWidth="1"/>
    <col min="12819" max="12819" width="2.28515625" style="95" customWidth="1"/>
    <col min="12820" max="12820" width="10.85546875" style="95" customWidth="1"/>
    <col min="12821" max="12821" width="3.42578125" style="95" customWidth="1"/>
    <col min="12822" max="12823" width="10.85546875" style="95" customWidth="1"/>
    <col min="12824" max="13056" width="10.85546875" style="95"/>
    <col min="13057" max="13060" width="10.85546875" style="95" customWidth="1"/>
    <col min="13061" max="13061" width="2.28515625" style="95" customWidth="1"/>
    <col min="13062" max="13062" width="10.85546875" style="95" customWidth="1"/>
    <col min="13063" max="13063" width="2.7109375" style="95" customWidth="1"/>
    <col min="13064" max="13064" width="10.85546875" style="95" customWidth="1"/>
    <col min="13065" max="13065" width="2.42578125" style="95" customWidth="1"/>
    <col min="13066" max="13066" width="10.85546875" style="95" customWidth="1"/>
    <col min="13067" max="13067" width="3.28515625" style="95" customWidth="1"/>
    <col min="13068" max="13068" width="10.85546875" style="95" customWidth="1"/>
    <col min="13069" max="13069" width="3.28515625" style="95" customWidth="1"/>
    <col min="13070" max="13070" width="10.85546875" style="95" customWidth="1"/>
    <col min="13071" max="13071" width="2.7109375" style="95" customWidth="1"/>
    <col min="13072" max="13072" width="10.85546875" style="95" customWidth="1"/>
    <col min="13073" max="13073" width="2.42578125" style="95" customWidth="1"/>
    <col min="13074" max="13074" width="10.85546875" style="95" customWidth="1"/>
    <col min="13075" max="13075" width="2.28515625" style="95" customWidth="1"/>
    <col min="13076" max="13076" width="10.85546875" style="95" customWidth="1"/>
    <col min="13077" max="13077" width="3.42578125" style="95" customWidth="1"/>
    <col min="13078" max="13079" width="10.85546875" style="95" customWidth="1"/>
    <col min="13080" max="13312" width="10.85546875" style="95"/>
    <col min="13313" max="13316" width="10.85546875" style="95" customWidth="1"/>
    <col min="13317" max="13317" width="2.28515625" style="95" customWidth="1"/>
    <col min="13318" max="13318" width="10.85546875" style="95" customWidth="1"/>
    <col min="13319" max="13319" width="2.7109375" style="95" customWidth="1"/>
    <col min="13320" max="13320" width="10.85546875" style="95" customWidth="1"/>
    <col min="13321" max="13321" width="2.42578125" style="95" customWidth="1"/>
    <col min="13322" max="13322" width="10.85546875" style="95" customWidth="1"/>
    <col min="13323" max="13323" width="3.28515625" style="95" customWidth="1"/>
    <col min="13324" max="13324" width="10.85546875" style="95" customWidth="1"/>
    <col min="13325" max="13325" width="3.28515625" style="95" customWidth="1"/>
    <col min="13326" max="13326" width="10.85546875" style="95" customWidth="1"/>
    <col min="13327" max="13327" width="2.7109375" style="95" customWidth="1"/>
    <col min="13328" max="13328" width="10.85546875" style="95" customWidth="1"/>
    <col min="13329" max="13329" width="2.42578125" style="95" customWidth="1"/>
    <col min="13330" max="13330" width="10.85546875" style="95" customWidth="1"/>
    <col min="13331" max="13331" width="2.28515625" style="95" customWidth="1"/>
    <col min="13332" max="13332" width="10.85546875" style="95" customWidth="1"/>
    <col min="13333" max="13333" width="3.42578125" style="95" customWidth="1"/>
    <col min="13334" max="13335" width="10.85546875" style="95" customWidth="1"/>
    <col min="13336" max="13568" width="10.85546875" style="95"/>
    <col min="13569" max="13572" width="10.85546875" style="95" customWidth="1"/>
    <col min="13573" max="13573" width="2.28515625" style="95" customWidth="1"/>
    <col min="13574" max="13574" width="10.85546875" style="95" customWidth="1"/>
    <col min="13575" max="13575" width="2.7109375" style="95" customWidth="1"/>
    <col min="13576" max="13576" width="10.85546875" style="95" customWidth="1"/>
    <col min="13577" max="13577" width="2.42578125" style="95" customWidth="1"/>
    <col min="13578" max="13578" width="10.85546875" style="95" customWidth="1"/>
    <col min="13579" max="13579" width="3.28515625" style="95" customWidth="1"/>
    <col min="13580" max="13580" width="10.85546875" style="95" customWidth="1"/>
    <col min="13581" max="13581" width="3.28515625" style="95" customWidth="1"/>
    <col min="13582" max="13582" width="10.85546875" style="95" customWidth="1"/>
    <col min="13583" max="13583" width="2.7109375" style="95" customWidth="1"/>
    <col min="13584" max="13584" width="10.85546875" style="95" customWidth="1"/>
    <col min="13585" max="13585" width="2.42578125" style="95" customWidth="1"/>
    <col min="13586" max="13586" width="10.85546875" style="95" customWidth="1"/>
    <col min="13587" max="13587" width="2.28515625" style="95" customWidth="1"/>
    <col min="13588" max="13588" width="10.85546875" style="95" customWidth="1"/>
    <col min="13589" max="13589" width="3.42578125" style="95" customWidth="1"/>
    <col min="13590" max="13591" width="10.85546875" style="95" customWidth="1"/>
    <col min="13592" max="13824" width="10.85546875" style="95"/>
    <col min="13825" max="13828" width="10.85546875" style="95" customWidth="1"/>
    <col min="13829" max="13829" width="2.28515625" style="95" customWidth="1"/>
    <col min="13830" max="13830" width="10.85546875" style="95" customWidth="1"/>
    <col min="13831" max="13831" width="2.7109375" style="95" customWidth="1"/>
    <col min="13832" max="13832" width="10.85546875" style="95" customWidth="1"/>
    <col min="13833" max="13833" width="2.42578125" style="95" customWidth="1"/>
    <col min="13834" max="13834" width="10.85546875" style="95" customWidth="1"/>
    <col min="13835" max="13835" width="3.28515625" style="95" customWidth="1"/>
    <col min="13836" max="13836" width="10.85546875" style="95" customWidth="1"/>
    <col min="13837" max="13837" width="3.28515625" style="95" customWidth="1"/>
    <col min="13838" max="13838" width="10.85546875" style="95" customWidth="1"/>
    <col min="13839" max="13839" width="2.7109375" style="95" customWidth="1"/>
    <col min="13840" max="13840" width="10.85546875" style="95" customWidth="1"/>
    <col min="13841" max="13841" width="2.42578125" style="95" customWidth="1"/>
    <col min="13842" max="13842" width="10.85546875" style="95" customWidth="1"/>
    <col min="13843" max="13843" width="2.28515625" style="95" customWidth="1"/>
    <col min="13844" max="13844" width="10.85546875" style="95" customWidth="1"/>
    <col min="13845" max="13845" width="3.42578125" style="95" customWidth="1"/>
    <col min="13846" max="13847" width="10.85546875" style="95" customWidth="1"/>
    <col min="13848" max="14080" width="10.85546875" style="95"/>
    <col min="14081" max="14084" width="10.85546875" style="95" customWidth="1"/>
    <col min="14085" max="14085" width="2.28515625" style="95" customWidth="1"/>
    <col min="14086" max="14086" width="10.85546875" style="95" customWidth="1"/>
    <col min="14087" max="14087" width="2.7109375" style="95" customWidth="1"/>
    <col min="14088" max="14088" width="10.85546875" style="95" customWidth="1"/>
    <col min="14089" max="14089" width="2.42578125" style="95" customWidth="1"/>
    <col min="14090" max="14090" width="10.85546875" style="95" customWidth="1"/>
    <col min="14091" max="14091" width="3.28515625" style="95" customWidth="1"/>
    <col min="14092" max="14092" width="10.85546875" style="95" customWidth="1"/>
    <col min="14093" max="14093" width="3.28515625" style="95" customWidth="1"/>
    <col min="14094" max="14094" width="10.85546875" style="95" customWidth="1"/>
    <col min="14095" max="14095" width="2.7109375" style="95" customWidth="1"/>
    <col min="14096" max="14096" width="10.85546875" style="95" customWidth="1"/>
    <col min="14097" max="14097" width="2.42578125" style="95" customWidth="1"/>
    <col min="14098" max="14098" width="10.85546875" style="95" customWidth="1"/>
    <col min="14099" max="14099" width="2.28515625" style="95" customWidth="1"/>
    <col min="14100" max="14100" width="10.85546875" style="95" customWidth="1"/>
    <col min="14101" max="14101" width="3.42578125" style="95" customWidth="1"/>
    <col min="14102" max="14103" width="10.85546875" style="95" customWidth="1"/>
    <col min="14104" max="14336" width="10.85546875" style="95"/>
    <col min="14337" max="14340" width="10.85546875" style="95" customWidth="1"/>
    <col min="14341" max="14341" width="2.28515625" style="95" customWidth="1"/>
    <col min="14342" max="14342" width="10.85546875" style="95" customWidth="1"/>
    <col min="14343" max="14343" width="2.7109375" style="95" customWidth="1"/>
    <col min="14344" max="14344" width="10.85546875" style="95" customWidth="1"/>
    <col min="14345" max="14345" width="2.42578125" style="95" customWidth="1"/>
    <col min="14346" max="14346" width="10.85546875" style="95" customWidth="1"/>
    <col min="14347" max="14347" width="3.28515625" style="95" customWidth="1"/>
    <col min="14348" max="14348" width="10.85546875" style="95" customWidth="1"/>
    <col min="14349" max="14349" width="3.28515625" style="95" customWidth="1"/>
    <col min="14350" max="14350" width="10.85546875" style="95" customWidth="1"/>
    <col min="14351" max="14351" width="2.7109375" style="95" customWidth="1"/>
    <col min="14352" max="14352" width="10.85546875" style="95" customWidth="1"/>
    <col min="14353" max="14353" width="2.42578125" style="95" customWidth="1"/>
    <col min="14354" max="14354" width="10.85546875" style="95" customWidth="1"/>
    <col min="14355" max="14355" width="2.28515625" style="95" customWidth="1"/>
    <col min="14356" max="14356" width="10.85546875" style="95" customWidth="1"/>
    <col min="14357" max="14357" width="3.42578125" style="95" customWidth="1"/>
    <col min="14358" max="14359" width="10.85546875" style="95" customWidth="1"/>
    <col min="14360" max="14592" width="10.85546875" style="95"/>
    <col min="14593" max="14596" width="10.85546875" style="95" customWidth="1"/>
    <col min="14597" max="14597" width="2.28515625" style="95" customWidth="1"/>
    <col min="14598" max="14598" width="10.85546875" style="95" customWidth="1"/>
    <col min="14599" max="14599" width="2.7109375" style="95" customWidth="1"/>
    <col min="14600" max="14600" width="10.85546875" style="95" customWidth="1"/>
    <col min="14601" max="14601" width="2.42578125" style="95" customWidth="1"/>
    <col min="14602" max="14602" width="10.85546875" style="95" customWidth="1"/>
    <col min="14603" max="14603" width="3.28515625" style="95" customWidth="1"/>
    <col min="14604" max="14604" width="10.85546875" style="95" customWidth="1"/>
    <col min="14605" max="14605" width="3.28515625" style="95" customWidth="1"/>
    <col min="14606" max="14606" width="10.85546875" style="95" customWidth="1"/>
    <col min="14607" max="14607" width="2.7109375" style="95" customWidth="1"/>
    <col min="14608" max="14608" width="10.85546875" style="95" customWidth="1"/>
    <col min="14609" max="14609" width="2.42578125" style="95" customWidth="1"/>
    <col min="14610" max="14610" width="10.85546875" style="95" customWidth="1"/>
    <col min="14611" max="14611" width="2.28515625" style="95" customWidth="1"/>
    <col min="14612" max="14612" width="10.85546875" style="95" customWidth="1"/>
    <col min="14613" max="14613" width="3.42578125" style="95" customWidth="1"/>
    <col min="14614" max="14615" width="10.85546875" style="95" customWidth="1"/>
    <col min="14616" max="14848" width="10.85546875" style="95"/>
    <col min="14849" max="14852" width="10.85546875" style="95" customWidth="1"/>
    <col min="14853" max="14853" width="2.28515625" style="95" customWidth="1"/>
    <col min="14854" max="14854" width="10.85546875" style="95" customWidth="1"/>
    <col min="14855" max="14855" width="2.7109375" style="95" customWidth="1"/>
    <col min="14856" max="14856" width="10.85546875" style="95" customWidth="1"/>
    <col min="14857" max="14857" width="2.42578125" style="95" customWidth="1"/>
    <col min="14858" max="14858" width="10.85546875" style="95" customWidth="1"/>
    <col min="14859" max="14859" width="3.28515625" style="95" customWidth="1"/>
    <col min="14860" max="14860" width="10.85546875" style="95" customWidth="1"/>
    <col min="14861" max="14861" width="3.28515625" style="95" customWidth="1"/>
    <col min="14862" max="14862" width="10.85546875" style="95" customWidth="1"/>
    <col min="14863" max="14863" width="2.7109375" style="95" customWidth="1"/>
    <col min="14864" max="14864" width="10.85546875" style="95" customWidth="1"/>
    <col min="14865" max="14865" width="2.42578125" style="95" customWidth="1"/>
    <col min="14866" max="14866" width="10.85546875" style="95" customWidth="1"/>
    <col min="14867" max="14867" width="2.28515625" style="95" customWidth="1"/>
    <col min="14868" max="14868" width="10.85546875" style="95" customWidth="1"/>
    <col min="14869" max="14869" width="3.42578125" style="95" customWidth="1"/>
    <col min="14870" max="14871" width="10.85546875" style="95" customWidth="1"/>
    <col min="14872" max="15104" width="10.85546875" style="95"/>
    <col min="15105" max="15108" width="10.85546875" style="95" customWidth="1"/>
    <col min="15109" max="15109" width="2.28515625" style="95" customWidth="1"/>
    <col min="15110" max="15110" width="10.85546875" style="95" customWidth="1"/>
    <col min="15111" max="15111" width="2.7109375" style="95" customWidth="1"/>
    <col min="15112" max="15112" width="10.85546875" style="95" customWidth="1"/>
    <col min="15113" max="15113" width="2.42578125" style="95" customWidth="1"/>
    <col min="15114" max="15114" width="10.85546875" style="95" customWidth="1"/>
    <col min="15115" max="15115" width="3.28515625" style="95" customWidth="1"/>
    <col min="15116" max="15116" width="10.85546875" style="95" customWidth="1"/>
    <col min="15117" max="15117" width="3.28515625" style="95" customWidth="1"/>
    <col min="15118" max="15118" width="10.85546875" style="95" customWidth="1"/>
    <col min="15119" max="15119" width="2.7109375" style="95" customWidth="1"/>
    <col min="15120" max="15120" width="10.85546875" style="95" customWidth="1"/>
    <col min="15121" max="15121" width="2.42578125" style="95" customWidth="1"/>
    <col min="15122" max="15122" width="10.85546875" style="95" customWidth="1"/>
    <col min="15123" max="15123" width="2.28515625" style="95" customWidth="1"/>
    <col min="15124" max="15124" width="10.85546875" style="95" customWidth="1"/>
    <col min="15125" max="15125" width="3.42578125" style="95" customWidth="1"/>
    <col min="15126" max="15127" width="10.85546875" style="95" customWidth="1"/>
    <col min="15128" max="15360" width="10.85546875" style="95"/>
    <col min="15361" max="15364" width="10.85546875" style="95" customWidth="1"/>
    <col min="15365" max="15365" width="2.28515625" style="95" customWidth="1"/>
    <col min="15366" max="15366" width="10.85546875" style="95" customWidth="1"/>
    <col min="15367" max="15367" width="2.7109375" style="95" customWidth="1"/>
    <col min="15368" max="15368" width="10.85546875" style="95" customWidth="1"/>
    <col min="15369" max="15369" width="2.42578125" style="95" customWidth="1"/>
    <col min="15370" max="15370" width="10.85546875" style="95" customWidth="1"/>
    <col min="15371" max="15371" width="3.28515625" style="95" customWidth="1"/>
    <col min="15372" max="15372" width="10.85546875" style="95" customWidth="1"/>
    <col min="15373" max="15373" width="3.28515625" style="95" customWidth="1"/>
    <col min="15374" max="15374" width="10.85546875" style="95" customWidth="1"/>
    <col min="15375" max="15375" width="2.7109375" style="95" customWidth="1"/>
    <col min="15376" max="15376" width="10.85546875" style="95" customWidth="1"/>
    <col min="15377" max="15377" width="2.42578125" style="95" customWidth="1"/>
    <col min="15378" max="15378" width="10.85546875" style="95" customWidth="1"/>
    <col min="15379" max="15379" width="2.28515625" style="95" customWidth="1"/>
    <col min="15380" max="15380" width="10.85546875" style="95" customWidth="1"/>
    <col min="15381" max="15381" width="3.42578125" style="95" customWidth="1"/>
    <col min="15382" max="15383" width="10.85546875" style="95" customWidth="1"/>
    <col min="15384" max="15616" width="10.85546875" style="95"/>
    <col min="15617" max="15620" width="10.85546875" style="95" customWidth="1"/>
    <col min="15621" max="15621" width="2.28515625" style="95" customWidth="1"/>
    <col min="15622" max="15622" width="10.85546875" style="95" customWidth="1"/>
    <col min="15623" max="15623" width="2.7109375" style="95" customWidth="1"/>
    <col min="15624" max="15624" width="10.85546875" style="95" customWidth="1"/>
    <col min="15625" max="15625" width="2.42578125" style="95" customWidth="1"/>
    <col min="15626" max="15626" width="10.85546875" style="95" customWidth="1"/>
    <col min="15627" max="15627" width="3.28515625" style="95" customWidth="1"/>
    <col min="15628" max="15628" width="10.85546875" style="95" customWidth="1"/>
    <col min="15629" max="15629" width="3.28515625" style="95" customWidth="1"/>
    <col min="15630" max="15630" width="10.85546875" style="95" customWidth="1"/>
    <col min="15631" max="15631" width="2.7109375" style="95" customWidth="1"/>
    <col min="15632" max="15632" width="10.85546875" style="95" customWidth="1"/>
    <col min="15633" max="15633" width="2.42578125" style="95" customWidth="1"/>
    <col min="15634" max="15634" width="10.85546875" style="95" customWidth="1"/>
    <col min="15635" max="15635" width="2.28515625" style="95" customWidth="1"/>
    <col min="15636" max="15636" width="10.85546875" style="95" customWidth="1"/>
    <col min="15637" max="15637" width="3.42578125" style="95" customWidth="1"/>
    <col min="15638" max="15639" width="10.85546875" style="95" customWidth="1"/>
    <col min="15640" max="15872" width="10.85546875" style="95"/>
    <col min="15873" max="15876" width="10.85546875" style="95" customWidth="1"/>
    <col min="15877" max="15877" width="2.28515625" style="95" customWidth="1"/>
    <col min="15878" max="15878" width="10.85546875" style="95" customWidth="1"/>
    <col min="15879" max="15879" width="2.7109375" style="95" customWidth="1"/>
    <col min="15880" max="15880" width="10.85546875" style="95" customWidth="1"/>
    <col min="15881" max="15881" width="2.42578125" style="95" customWidth="1"/>
    <col min="15882" max="15882" width="10.85546875" style="95" customWidth="1"/>
    <col min="15883" max="15883" width="3.28515625" style="95" customWidth="1"/>
    <col min="15884" max="15884" width="10.85546875" style="95" customWidth="1"/>
    <col min="15885" max="15885" width="3.28515625" style="95" customWidth="1"/>
    <col min="15886" max="15886" width="10.85546875" style="95" customWidth="1"/>
    <col min="15887" max="15887" width="2.7109375" style="95" customWidth="1"/>
    <col min="15888" max="15888" width="10.85546875" style="95" customWidth="1"/>
    <col min="15889" max="15889" width="2.42578125" style="95" customWidth="1"/>
    <col min="15890" max="15890" width="10.85546875" style="95" customWidth="1"/>
    <col min="15891" max="15891" width="2.28515625" style="95" customWidth="1"/>
    <col min="15892" max="15892" width="10.85546875" style="95" customWidth="1"/>
    <col min="15893" max="15893" width="3.42578125" style="95" customWidth="1"/>
    <col min="15894" max="15895" width="10.85546875" style="95" customWidth="1"/>
    <col min="15896" max="16128" width="10.85546875" style="95"/>
    <col min="16129" max="16132" width="10.85546875" style="95" customWidth="1"/>
    <col min="16133" max="16133" width="2.28515625" style="95" customWidth="1"/>
    <col min="16134" max="16134" width="10.85546875" style="95" customWidth="1"/>
    <col min="16135" max="16135" width="2.7109375" style="95" customWidth="1"/>
    <col min="16136" max="16136" width="10.85546875" style="95" customWidth="1"/>
    <col min="16137" max="16137" width="2.42578125" style="95" customWidth="1"/>
    <col min="16138" max="16138" width="10.85546875" style="95" customWidth="1"/>
    <col min="16139" max="16139" width="3.28515625" style="95" customWidth="1"/>
    <col min="16140" max="16140" width="10.85546875" style="95" customWidth="1"/>
    <col min="16141" max="16141" width="3.28515625" style="95" customWidth="1"/>
    <col min="16142" max="16142" width="10.85546875" style="95" customWidth="1"/>
    <col min="16143" max="16143" width="2.7109375" style="95" customWidth="1"/>
    <col min="16144" max="16144" width="10.85546875" style="95" customWidth="1"/>
    <col min="16145" max="16145" width="2.42578125" style="95" customWidth="1"/>
    <col min="16146" max="16146" width="10.85546875" style="95" customWidth="1"/>
    <col min="16147" max="16147" width="2.28515625" style="95" customWidth="1"/>
    <col min="16148" max="16148" width="10.85546875" style="95" customWidth="1"/>
    <col min="16149" max="16149" width="3.42578125" style="95" customWidth="1"/>
    <col min="16150" max="16151" width="10.85546875" style="95" customWidth="1"/>
    <col min="16152" max="16384" width="10.85546875" style="95"/>
  </cols>
  <sheetData>
    <row r="1" spans="1:23" s="288" customFormat="1" ht="15.75">
      <c r="A1" s="2" t="s">
        <v>253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310"/>
      <c r="N1" s="310"/>
      <c r="O1" s="181"/>
      <c r="P1" s="181"/>
      <c r="Q1" s="181"/>
      <c r="R1" s="181"/>
      <c r="S1" s="181"/>
      <c r="T1" s="181"/>
      <c r="U1" s="310"/>
      <c r="V1" s="310"/>
      <c r="W1" s="310"/>
    </row>
    <row r="2" spans="1:23" s="288" customFormat="1" ht="15.75">
      <c r="A2" s="2" t="s">
        <v>87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310"/>
      <c r="N2" s="310"/>
      <c r="O2" s="181"/>
      <c r="P2" s="181"/>
      <c r="Q2" s="181"/>
      <c r="R2" s="181"/>
      <c r="S2" s="181"/>
      <c r="T2" s="181"/>
      <c r="U2" s="310"/>
      <c r="V2" s="310"/>
      <c r="W2" s="310"/>
    </row>
    <row r="3" spans="1:23" s="288" customFormat="1" ht="15.75">
      <c r="A3" s="2" t="s">
        <v>103</v>
      </c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310"/>
      <c r="N3" s="310"/>
      <c r="O3" s="181"/>
      <c r="P3" s="181"/>
      <c r="Q3" s="181"/>
      <c r="R3" s="181"/>
      <c r="S3" s="181"/>
      <c r="T3" s="181"/>
      <c r="U3" s="310"/>
      <c r="V3" s="310"/>
      <c r="W3" s="310"/>
    </row>
    <row r="4" spans="1:23" s="288" customFormat="1" ht="15.75">
      <c r="A4" s="34" t="s">
        <v>1190</v>
      </c>
      <c r="B4" s="181"/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310"/>
      <c r="N4" s="310"/>
      <c r="O4" s="181"/>
      <c r="P4" s="181"/>
      <c r="Q4" s="181"/>
      <c r="R4" s="181"/>
      <c r="S4" s="181"/>
      <c r="T4" s="181"/>
      <c r="U4" s="310"/>
      <c r="V4" s="310"/>
      <c r="W4" s="310"/>
    </row>
    <row r="5" spans="1:23" s="288" customFormat="1" ht="12.75">
      <c r="A5" s="94" t="s">
        <v>107</v>
      </c>
      <c r="B5" s="181"/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310"/>
      <c r="N5" s="310"/>
      <c r="O5" s="181"/>
      <c r="P5" s="181"/>
      <c r="Q5" s="181"/>
      <c r="R5" s="181"/>
      <c r="S5" s="181"/>
      <c r="T5" s="181"/>
      <c r="U5" s="310"/>
      <c r="V5" s="310"/>
      <c r="W5" s="310"/>
    </row>
    <row r="6" spans="1:23" s="288" customFormat="1" ht="12.75">
      <c r="A6" s="94"/>
      <c r="B6" s="181"/>
      <c r="C6" s="181"/>
      <c r="D6" s="553" t="s">
        <v>114</v>
      </c>
      <c r="E6" s="553"/>
      <c r="F6" s="553"/>
      <c r="G6" s="181"/>
      <c r="H6" s="553" t="s">
        <v>113</v>
      </c>
      <c r="I6" s="553"/>
      <c r="J6" s="553"/>
      <c r="K6" s="553"/>
      <c r="L6" s="553"/>
      <c r="M6" s="553"/>
      <c r="N6" s="553"/>
      <c r="O6" s="181"/>
      <c r="P6" s="553" t="s">
        <v>192</v>
      </c>
      <c r="Q6" s="553"/>
      <c r="R6" s="553"/>
      <c r="S6" s="553"/>
      <c r="T6" s="553"/>
      <c r="U6" s="553"/>
      <c r="V6" s="553"/>
      <c r="W6" s="310"/>
    </row>
    <row r="7" spans="1:23">
      <c r="B7" s="96"/>
      <c r="D7" s="554">
        <v>40908</v>
      </c>
      <c r="E7" s="555"/>
      <c r="F7" s="555"/>
      <c r="G7" s="97"/>
      <c r="H7" s="554">
        <v>40816</v>
      </c>
      <c r="I7" s="555"/>
      <c r="J7" s="555"/>
      <c r="L7" s="556" t="s">
        <v>1188</v>
      </c>
      <c r="M7" s="556"/>
      <c r="N7" s="556"/>
      <c r="O7" s="97"/>
      <c r="P7" s="554">
        <v>40543</v>
      </c>
      <c r="Q7" s="555"/>
      <c r="R7" s="555"/>
      <c r="T7" s="556" t="s">
        <v>1189</v>
      </c>
      <c r="U7" s="556"/>
      <c r="V7" s="556"/>
      <c r="W7" s="97"/>
    </row>
    <row r="8" spans="1:23">
      <c r="B8" s="99"/>
      <c r="D8" s="468" t="s">
        <v>41</v>
      </c>
      <c r="E8" s="100"/>
      <c r="F8" s="148" t="s">
        <v>82</v>
      </c>
      <c r="H8" s="468" t="s">
        <v>41</v>
      </c>
      <c r="I8" s="100"/>
      <c r="J8" s="148" t="s">
        <v>82</v>
      </c>
      <c r="L8" s="469" t="s">
        <v>41</v>
      </c>
      <c r="M8" s="101"/>
      <c r="N8" s="149" t="s">
        <v>82</v>
      </c>
      <c r="P8" s="468" t="s">
        <v>41</v>
      </c>
      <c r="Q8" s="100"/>
      <c r="R8" s="148" t="s">
        <v>82</v>
      </c>
      <c r="T8" s="469" t="s">
        <v>41</v>
      </c>
      <c r="U8" s="101"/>
      <c r="V8" s="149" t="s">
        <v>82</v>
      </c>
    </row>
    <row r="9" spans="1:23">
      <c r="B9" s="99"/>
      <c r="D9" s="100"/>
      <c r="E9" s="100"/>
      <c r="F9" s="276"/>
      <c r="H9" s="100"/>
      <c r="I9" s="100"/>
      <c r="J9" s="276"/>
      <c r="L9" s="101"/>
      <c r="M9" s="101"/>
      <c r="N9" s="277"/>
      <c r="P9" s="100"/>
      <c r="Q9" s="100"/>
      <c r="R9" s="276"/>
      <c r="T9" s="101"/>
      <c r="U9" s="101"/>
      <c r="V9" s="277"/>
    </row>
    <row r="10" spans="1:23">
      <c r="A10" s="102" t="s">
        <v>79</v>
      </c>
      <c r="B10" s="102"/>
      <c r="D10" s="141">
        <v>1801.5098522399999</v>
      </c>
      <c r="E10" s="151"/>
      <c r="F10" s="471">
        <v>160.44999999999999</v>
      </c>
      <c r="G10" s="103"/>
      <c r="H10" s="141">
        <v>1881.1381547999999</v>
      </c>
      <c r="I10" s="151"/>
      <c r="J10" s="471">
        <v>164.02</v>
      </c>
      <c r="K10" s="103"/>
      <c r="L10" s="472">
        <v>-79.628302560000066</v>
      </c>
      <c r="M10" s="142"/>
      <c r="N10" s="152">
        <v>-3.5700000000000216</v>
      </c>
      <c r="O10" s="103"/>
      <c r="P10" s="141">
        <v>3039.25476192</v>
      </c>
      <c r="Q10" s="151"/>
      <c r="R10" s="471">
        <v>285.72800000000001</v>
      </c>
      <c r="S10" s="103"/>
      <c r="T10" s="472">
        <v>-1237.7449096800001</v>
      </c>
      <c r="U10" s="142"/>
      <c r="V10" s="152">
        <v>-125.27800000000002</v>
      </c>
    </row>
    <row r="11" spans="1:23">
      <c r="D11" s="102"/>
      <c r="E11" s="103"/>
      <c r="F11" s="153"/>
      <c r="G11" s="103"/>
      <c r="H11" s="102"/>
      <c r="I11" s="103"/>
      <c r="J11" s="153"/>
      <c r="K11" s="103"/>
      <c r="L11" s="142"/>
      <c r="M11" s="142"/>
      <c r="N11" s="142"/>
      <c r="O11" s="103"/>
      <c r="P11" s="102"/>
      <c r="Q11" s="103"/>
      <c r="R11" s="153"/>
      <c r="S11" s="103"/>
      <c r="T11" s="142"/>
      <c r="U11" s="142"/>
      <c r="V11" s="142"/>
    </row>
    <row r="12" spans="1:23">
      <c r="A12" s="102" t="s">
        <v>159</v>
      </c>
      <c r="D12" s="143">
        <v>377.40387335999975</v>
      </c>
      <c r="E12" s="103"/>
      <c r="F12" s="153">
        <v>361.16</v>
      </c>
      <c r="G12" s="103"/>
      <c r="H12" s="143">
        <v>385.70907099999999</v>
      </c>
      <c r="I12" s="103"/>
      <c r="J12" s="153">
        <v>368.84899999999999</v>
      </c>
      <c r="K12" s="103"/>
      <c r="L12" s="472">
        <v>-8.3051976400002445</v>
      </c>
      <c r="M12" s="142"/>
      <c r="N12" s="152">
        <v>-7.6889999999999645</v>
      </c>
      <c r="O12" s="103"/>
      <c r="P12" s="143">
        <v>415.14765500000004</v>
      </c>
      <c r="Q12" s="103"/>
      <c r="R12" s="153">
        <v>396.51099999999997</v>
      </c>
      <c r="S12" s="103"/>
      <c r="T12" s="472">
        <v>-37.743781640000293</v>
      </c>
      <c r="U12" s="142"/>
      <c r="V12" s="152">
        <v>-35.350999999999942</v>
      </c>
    </row>
    <row r="13" spans="1:23">
      <c r="D13" s="102"/>
      <c r="E13" s="103"/>
      <c r="F13" s="153"/>
      <c r="G13" s="103"/>
      <c r="H13" s="102"/>
      <c r="I13" s="103"/>
      <c r="J13" s="153"/>
      <c r="K13" s="103"/>
      <c r="L13" s="142"/>
      <c r="M13" s="142"/>
      <c r="N13" s="142"/>
      <c r="O13" s="103"/>
      <c r="P13" s="102"/>
      <c r="Q13" s="103"/>
      <c r="R13" s="153"/>
      <c r="S13" s="103"/>
      <c r="T13" s="142"/>
      <c r="U13" s="142"/>
      <c r="V13" s="142"/>
    </row>
    <row r="14" spans="1:23" ht="14.25" thickBot="1">
      <c r="B14" s="104" t="s">
        <v>39</v>
      </c>
      <c r="D14" s="144">
        <f>SUM(D10:D12)</f>
        <v>2178.9137255999995</v>
      </c>
      <c r="E14" s="103"/>
      <c r="F14" s="332">
        <f>SUM(F10:F12)</f>
        <v>521.61</v>
      </c>
      <c r="G14" s="103"/>
      <c r="H14" s="144">
        <f>SUM(H10:H12)</f>
        <v>2266.8472258000002</v>
      </c>
      <c r="I14" s="103"/>
      <c r="J14" s="332">
        <f>SUM(J10:J12)</f>
        <v>532.86900000000003</v>
      </c>
      <c r="K14" s="103"/>
      <c r="L14" s="144">
        <f>SUM(L10:L12)</f>
        <v>-87.93350020000031</v>
      </c>
      <c r="M14" s="103"/>
      <c r="N14" s="332">
        <f>SUM(N10:N12)</f>
        <v>-11.258999999999986</v>
      </c>
      <c r="O14" s="103"/>
      <c r="P14" s="144">
        <f>SUM(P10:P12)</f>
        <v>3454.4024169200002</v>
      </c>
      <c r="Q14" s="103"/>
      <c r="R14" s="332">
        <f>SUM(R10:R12)</f>
        <v>682.23900000000003</v>
      </c>
      <c r="S14" s="103"/>
      <c r="T14" s="144">
        <f>SUM(T10:T12)</f>
        <v>-1275.4886913200003</v>
      </c>
      <c r="U14" s="103"/>
      <c r="V14" s="332">
        <f>SUM(V10:V12)</f>
        <v>-160.62899999999996</v>
      </c>
    </row>
    <row r="15" spans="1:23" ht="14.25" thickTop="1"/>
  </sheetData>
  <mergeCells count="8">
    <mergeCell ref="D6:F6"/>
    <mergeCell ref="H6:N6"/>
    <mergeCell ref="P6:V6"/>
    <mergeCell ref="D7:F7"/>
    <mergeCell ref="H7:J7"/>
    <mergeCell ref="L7:N7"/>
    <mergeCell ref="P7:R7"/>
    <mergeCell ref="T7:V7"/>
  </mergeCells>
  <phoneticPr fontId="0" type="noConversion"/>
  <conditionalFormatting sqref="E10 I10 Q10">
    <cfRule type="cellIs" dxfId="1" priority="1" stopIfTrue="1" operator="notEqual">
      <formula>0</formula>
    </cfRule>
  </conditionalFormatting>
  <pageMargins left="0.5" right="0.5" top="0.5" bottom="0.5" header="0.25" footer="0.25"/>
  <pageSetup scale="78" fitToHeight="2" orientation="landscape" r:id="rId1"/>
  <headerFooter alignWithMargins="0">
    <oddFooter>&amp;L&amp;F&amp;C&amp;P&amp;R&amp;D &amp;T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 enableFormatConditionsCalculation="0">
    <pageSetUpPr fitToPage="1"/>
  </sheetPr>
  <dimension ref="A1:AB15"/>
  <sheetViews>
    <sheetView view="pageBreakPreview" zoomScale="85" zoomScaleSheetLayoutView="85" workbookViewId="0">
      <pane xSplit="3" ySplit="1" topLeftCell="G2" activePane="bottomRight" state="frozen"/>
      <selection activeCell="S53" sqref="S53"/>
      <selection pane="topRight" activeCell="S53" sqref="S53"/>
      <selection pane="bottomLeft" activeCell="S53" sqref="S53"/>
      <selection pane="bottomRight" activeCell="N27" sqref="N27"/>
    </sheetView>
  </sheetViews>
  <sheetFormatPr defaultRowHeight="13.5"/>
  <cols>
    <col min="1" max="1" width="1.28515625" style="95" customWidth="1"/>
    <col min="2" max="2" width="19" style="95" customWidth="1"/>
    <col min="3" max="3" width="1.5703125" style="95" customWidth="1"/>
    <col min="4" max="4" width="12.7109375" style="95" customWidth="1"/>
    <col min="5" max="5" width="10.140625" style="95" customWidth="1"/>
    <col min="6" max="6" width="15.5703125" style="95" customWidth="1"/>
    <col min="7" max="7" width="1.42578125" style="98" customWidth="1"/>
    <col min="8" max="8" width="9.28515625" style="150" bestFit="1" customWidth="1"/>
    <col min="9" max="9" width="3.7109375" style="98" customWidth="1"/>
    <col min="10" max="10" width="12.42578125" style="95" customWidth="1"/>
    <col min="11" max="11" width="10.85546875" style="95" customWidth="1"/>
    <col min="12" max="12" width="11.28515625" style="95" customWidth="1"/>
    <col min="13" max="13" width="1.42578125" style="98" customWidth="1"/>
    <col min="14" max="14" width="9.28515625" style="95" bestFit="1" customWidth="1"/>
    <col min="15" max="15" width="3.7109375" style="98" customWidth="1"/>
    <col min="16" max="16" width="10.140625" style="98" customWidth="1"/>
    <col min="17" max="17" width="1.42578125" style="98" customWidth="1"/>
    <col min="18" max="18" width="9.85546875" style="98" bestFit="1" customWidth="1"/>
    <col min="19" max="19" width="3.7109375" style="98" customWidth="1"/>
    <col min="20" max="20" width="13.42578125" style="95" customWidth="1"/>
    <col min="21" max="21" width="13.5703125" style="95" customWidth="1"/>
    <col min="22" max="22" width="13.42578125" style="95" customWidth="1"/>
    <col min="23" max="23" width="1.42578125" style="98" customWidth="1"/>
    <col min="24" max="24" width="14.5703125" style="95" customWidth="1"/>
    <col min="25" max="25" width="3.7109375" style="98" customWidth="1"/>
    <col min="26" max="26" width="13.28515625" style="98" bestFit="1" customWidth="1"/>
    <col min="27" max="27" width="1.42578125" style="98" customWidth="1"/>
    <col min="28" max="28" width="16" style="98" customWidth="1"/>
    <col min="29" max="256" width="9.140625" style="95"/>
    <col min="257" max="257" width="1.28515625" style="95" customWidth="1"/>
    <col min="258" max="258" width="19" style="95" customWidth="1"/>
    <col min="259" max="259" width="1.5703125" style="95" customWidth="1"/>
    <col min="260" max="260" width="12.7109375" style="95" customWidth="1"/>
    <col min="261" max="261" width="10.140625" style="95" customWidth="1"/>
    <col min="262" max="262" width="15.5703125" style="95" customWidth="1"/>
    <col min="263" max="263" width="1.42578125" style="95" customWidth="1"/>
    <col min="264" max="264" width="9.28515625" style="95" bestFit="1" customWidth="1"/>
    <col min="265" max="265" width="3.7109375" style="95" customWidth="1"/>
    <col min="266" max="266" width="12.42578125" style="95" customWidth="1"/>
    <col min="267" max="267" width="10.85546875" style="95" customWidth="1"/>
    <col min="268" max="268" width="11.28515625" style="95" customWidth="1"/>
    <col min="269" max="269" width="1.42578125" style="95" customWidth="1"/>
    <col min="270" max="270" width="9.28515625" style="95" bestFit="1" customWidth="1"/>
    <col min="271" max="271" width="3.7109375" style="95" customWidth="1"/>
    <col min="272" max="272" width="10.140625" style="95" customWidth="1"/>
    <col min="273" max="273" width="1.42578125" style="95" customWidth="1"/>
    <col min="274" max="274" width="9.85546875" style="95" bestFit="1" customWidth="1"/>
    <col min="275" max="275" width="3.7109375" style="95" customWidth="1"/>
    <col min="276" max="276" width="13.42578125" style="95" customWidth="1"/>
    <col min="277" max="277" width="13.5703125" style="95" customWidth="1"/>
    <col min="278" max="278" width="13.42578125" style="95" customWidth="1"/>
    <col min="279" max="279" width="1.42578125" style="95" customWidth="1"/>
    <col min="280" max="280" width="14.5703125" style="95" customWidth="1"/>
    <col min="281" max="281" width="3.7109375" style="95" customWidth="1"/>
    <col min="282" max="282" width="10.28515625" style="95" customWidth="1"/>
    <col min="283" max="283" width="1.42578125" style="95" customWidth="1"/>
    <col min="284" max="284" width="16" style="95" customWidth="1"/>
    <col min="285" max="512" width="9.140625" style="95"/>
    <col min="513" max="513" width="1.28515625" style="95" customWidth="1"/>
    <col min="514" max="514" width="19" style="95" customWidth="1"/>
    <col min="515" max="515" width="1.5703125" style="95" customWidth="1"/>
    <col min="516" max="516" width="12.7109375" style="95" customWidth="1"/>
    <col min="517" max="517" width="10.140625" style="95" customWidth="1"/>
    <col min="518" max="518" width="15.5703125" style="95" customWidth="1"/>
    <col min="519" max="519" width="1.42578125" style="95" customWidth="1"/>
    <col min="520" max="520" width="9.28515625" style="95" bestFit="1" customWidth="1"/>
    <col min="521" max="521" width="3.7109375" style="95" customWidth="1"/>
    <col min="522" max="522" width="12.42578125" style="95" customWidth="1"/>
    <col min="523" max="523" width="10.85546875" style="95" customWidth="1"/>
    <col min="524" max="524" width="11.28515625" style="95" customWidth="1"/>
    <col min="525" max="525" width="1.42578125" style="95" customWidth="1"/>
    <col min="526" max="526" width="9.28515625" style="95" bestFit="1" customWidth="1"/>
    <col min="527" max="527" width="3.7109375" style="95" customWidth="1"/>
    <col min="528" max="528" width="10.140625" style="95" customWidth="1"/>
    <col min="529" max="529" width="1.42578125" style="95" customWidth="1"/>
    <col min="530" max="530" width="9.85546875" style="95" bestFit="1" customWidth="1"/>
    <col min="531" max="531" width="3.7109375" style="95" customWidth="1"/>
    <col min="532" max="532" width="13.42578125" style="95" customWidth="1"/>
    <col min="533" max="533" width="13.5703125" style="95" customWidth="1"/>
    <col min="534" max="534" width="13.42578125" style="95" customWidth="1"/>
    <col min="535" max="535" width="1.42578125" style="95" customWidth="1"/>
    <col min="536" max="536" width="14.5703125" style="95" customWidth="1"/>
    <col min="537" max="537" width="3.7109375" style="95" customWidth="1"/>
    <col min="538" max="538" width="10.28515625" style="95" customWidth="1"/>
    <col min="539" max="539" width="1.42578125" style="95" customWidth="1"/>
    <col min="540" max="540" width="16" style="95" customWidth="1"/>
    <col min="541" max="768" width="9.140625" style="95"/>
    <col min="769" max="769" width="1.28515625" style="95" customWidth="1"/>
    <col min="770" max="770" width="19" style="95" customWidth="1"/>
    <col min="771" max="771" width="1.5703125" style="95" customWidth="1"/>
    <col min="772" max="772" width="12.7109375" style="95" customWidth="1"/>
    <col min="773" max="773" width="10.140625" style="95" customWidth="1"/>
    <col min="774" max="774" width="15.5703125" style="95" customWidth="1"/>
    <col min="775" max="775" width="1.42578125" style="95" customWidth="1"/>
    <col min="776" max="776" width="9.28515625" style="95" bestFit="1" customWidth="1"/>
    <col min="777" max="777" width="3.7109375" style="95" customWidth="1"/>
    <col min="778" max="778" width="12.42578125" style="95" customWidth="1"/>
    <col min="779" max="779" width="10.85546875" style="95" customWidth="1"/>
    <col min="780" max="780" width="11.28515625" style="95" customWidth="1"/>
    <col min="781" max="781" width="1.42578125" style="95" customWidth="1"/>
    <col min="782" max="782" width="9.28515625" style="95" bestFit="1" customWidth="1"/>
    <col min="783" max="783" width="3.7109375" style="95" customWidth="1"/>
    <col min="784" max="784" width="10.140625" style="95" customWidth="1"/>
    <col min="785" max="785" width="1.42578125" style="95" customWidth="1"/>
    <col min="786" max="786" width="9.85546875" style="95" bestFit="1" customWidth="1"/>
    <col min="787" max="787" width="3.7109375" style="95" customWidth="1"/>
    <col min="788" max="788" width="13.42578125" style="95" customWidth="1"/>
    <col min="789" max="789" width="13.5703125" style="95" customWidth="1"/>
    <col min="790" max="790" width="13.42578125" style="95" customWidth="1"/>
    <col min="791" max="791" width="1.42578125" style="95" customWidth="1"/>
    <col min="792" max="792" width="14.5703125" style="95" customWidth="1"/>
    <col min="793" max="793" width="3.7109375" style="95" customWidth="1"/>
    <col min="794" max="794" width="10.28515625" style="95" customWidth="1"/>
    <col min="795" max="795" width="1.42578125" style="95" customWidth="1"/>
    <col min="796" max="796" width="16" style="95" customWidth="1"/>
    <col min="797" max="1024" width="9.140625" style="95"/>
    <col min="1025" max="1025" width="1.28515625" style="95" customWidth="1"/>
    <col min="1026" max="1026" width="19" style="95" customWidth="1"/>
    <col min="1027" max="1027" width="1.5703125" style="95" customWidth="1"/>
    <col min="1028" max="1028" width="12.7109375" style="95" customWidth="1"/>
    <col min="1029" max="1029" width="10.140625" style="95" customWidth="1"/>
    <col min="1030" max="1030" width="15.5703125" style="95" customWidth="1"/>
    <col min="1031" max="1031" width="1.42578125" style="95" customWidth="1"/>
    <col min="1032" max="1032" width="9.28515625" style="95" bestFit="1" customWidth="1"/>
    <col min="1033" max="1033" width="3.7109375" style="95" customWidth="1"/>
    <col min="1034" max="1034" width="12.42578125" style="95" customWidth="1"/>
    <col min="1035" max="1035" width="10.85546875" style="95" customWidth="1"/>
    <col min="1036" max="1036" width="11.28515625" style="95" customWidth="1"/>
    <col min="1037" max="1037" width="1.42578125" style="95" customWidth="1"/>
    <col min="1038" max="1038" width="9.28515625" style="95" bestFit="1" customWidth="1"/>
    <col min="1039" max="1039" width="3.7109375" style="95" customWidth="1"/>
    <col min="1040" max="1040" width="10.140625" style="95" customWidth="1"/>
    <col min="1041" max="1041" width="1.42578125" style="95" customWidth="1"/>
    <col min="1042" max="1042" width="9.85546875" style="95" bestFit="1" customWidth="1"/>
    <col min="1043" max="1043" width="3.7109375" style="95" customWidth="1"/>
    <col min="1044" max="1044" width="13.42578125" style="95" customWidth="1"/>
    <col min="1045" max="1045" width="13.5703125" style="95" customWidth="1"/>
    <col min="1046" max="1046" width="13.42578125" style="95" customWidth="1"/>
    <col min="1047" max="1047" width="1.42578125" style="95" customWidth="1"/>
    <col min="1048" max="1048" width="14.5703125" style="95" customWidth="1"/>
    <col min="1049" max="1049" width="3.7109375" style="95" customWidth="1"/>
    <col min="1050" max="1050" width="10.28515625" style="95" customWidth="1"/>
    <col min="1051" max="1051" width="1.42578125" style="95" customWidth="1"/>
    <col min="1052" max="1052" width="16" style="95" customWidth="1"/>
    <col min="1053" max="1280" width="9.140625" style="95"/>
    <col min="1281" max="1281" width="1.28515625" style="95" customWidth="1"/>
    <col min="1282" max="1282" width="19" style="95" customWidth="1"/>
    <col min="1283" max="1283" width="1.5703125" style="95" customWidth="1"/>
    <col min="1284" max="1284" width="12.7109375" style="95" customWidth="1"/>
    <col min="1285" max="1285" width="10.140625" style="95" customWidth="1"/>
    <col min="1286" max="1286" width="15.5703125" style="95" customWidth="1"/>
    <col min="1287" max="1287" width="1.42578125" style="95" customWidth="1"/>
    <col min="1288" max="1288" width="9.28515625" style="95" bestFit="1" customWidth="1"/>
    <col min="1289" max="1289" width="3.7109375" style="95" customWidth="1"/>
    <col min="1290" max="1290" width="12.42578125" style="95" customWidth="1"/>
    <col min="1291" max="1291" width="10.85546875" style="95" customWidth="1"/>
    <col min="1292" max="1292" width="11.28515625" style="95" customWidth="1"/>
    <col min="1293" max="1293" width="1.42578125" style="95" customWidth="1"/>
    <col min="1294" max="1294" width="9.28515625" style="95" bestFit="1" customWidth="1"/>
    <col min="1295" max="1295" width="3.7109375" style="95" customWidth="1"/>
    <col min="1296" max="1296" width="10.140625" style="95" customWidth="1"/>
    <col min="1297" max="1297" width="1.42578125" style="95" customWidth="1"/>
    <col min="1298" max="1298" width="9.85546875" style="95" bestFit="1" customWidth="1"/>
    <col min="1299" max="1299" width="3.7109375" style="95" customWidth="1"/>
    <col min="1300" max="1300" width="13.42578125" style="95" customWidth="1"/>
    <col min="1301" max="1301" width="13.5703125" style="95" customWidth="1"/>
    <col min="1302" max="1302" width="13.42578125" style="95" customWidth="1"/>
    <col min="1303" max="1303" width="1.42578125" style="95" customWidth="1"/>
    <col min="1304" max="1304" width="14.5703125" style="95" customWidth="1"/>
    <col min="1305" max="1305" width="3.7109375" style="95" customWidth="1"/>
    <col min="1306" max="1306" width="10.28515625" style="95" customWidth="1"/>
    <col min="1307" max="1307" width="1.42578125" style="95" customWidth="1"/>
    <col min="1308" max="1308" width="16" style="95" customWidth="1"/>
    <col min="1309" max="1536" width="9.140625" style="95"/>
    <col min="1537" max="1537" width="1.28515625" style="95" customWidth="1"/>
    <col min="1538" max="1538" width="19" style="95" customWidth="1"/>
    <col min="1539" max="1539" width="1.5703125" style="95" customWidth="1"/>
    <col min="1540" max="1540" width="12.7109375" style="95" customWidth="1"/>
    <col min="1541" max="1541" width="10.140625" style="95" customWidth="1"/>
    <col min="1542" max="1542" width="15.5703125" style="95" customWidth="1"/>
    <col min="1543" max="1543" width="1.42578125" style="95" customWidth="1"/>
    <col min="1544" max="1544" width="9.28515625" style="95" bestFit="1" customWidth="1"/>
    <col min="1545" max="1545" width="3.7109375" style="95" customWidth="1"/>
    <col min="1546" max="1546" width="12.42578125" style="95" customWidth="1"/>
    <col min="1547" max="1547" width="10.85546875" style="95" customWidth="1"/>
    <col min="1548" max="1548" width="11.28515625" style="95" customWidth="1"/>
    <col min="1549" max="1549" width="1.42578125" style="95" customWidth="1"/>
    <col min="1550" max="1550" width="9.28515625" style="95" bestFit="1" customWidth="1"/>
    <col min="1551" max="1551" width="3.7109375" style="95" customWidth="1"/>
    <col min="1552" max="1552" width="10.140625" style="95" customWidth="1"/>
    <col min="1553" max="1553" width="1.42578125" style="95" customWidth="1"/>
    <col min="1554" max="1554" width="9.85546875" style="95" bestFit="1" customWidth="1"/>
    <col min="1555" max="1555" width="3.7109375" style="95" customWidth="1"/>
    <col min="1556" max="1556" width="13.42578125" style="95" customWidth="1"/>
    <col min="1557" max="1557" width="13.5703125" style="95" customWidth="1"/>
    <col min="1558" max="1558" width="13.42578125" style="95" customWidth="1"/>
    <col min="1559" max="1559" width="1.42578125" style="95" customWidth="1"/>
    <col min="1560" max="1560" width="14.5703125" style="95" customWidth="1"/>
    <col min="1561" max="1561" width="3.7109375" style="95" customWidth="1"/>
    <col min="1562" max="1562" width="10.28515625" style="95" customWidth="1"/>
    <col min="1563" max="1563" width="1.42578125" style="95" customWidth="1"/>
    <col min="1564" max="1564" width="16" style="95" customWidth="1"/>
    <col min="1565" max="1792" width="9.140625" style="95"/>
    <col min="1793" max="1793" width="1.28515625" style="95" customWidth="1"/>
    <col min="1794" max="1794" width="19" style="95" customWidth="1"/>
    <col min="1795" max="1795" width="1.5703125" style="95" customWidth="1"/>
    <col min="1796" max="1796" width="12.7109375" style="95" customWidth="1"/>
    <col min="1797" max="1797" width="10.140625" style="95" customWidth="1"/>
    <col min="1798" max="1798" width="15.5703125" style="95" customWidth="1"/>
    <col min="1799" max="1799" width="1.42578125" style="95" customWidth="1"/>
    <col min="1800" max="1800" width="9.28515625" style="95" bestFit="1" customWidth="1"/>
    <col min="1801" max="1801" width="3.7109375" style="95" customWidth="1"/>
    <col min="1802" max="1802" width="12.42578125" style="95" customWidth="1"/>
    <col min="1803" max="1803" width="10.85546875" style="95" customWidth="1"/>
    <col min="1804" max="1804" width="11.28515625" style="95" customWidth="1"/>
    <col min="1805" max="1805" width="1.42578125" style="95" customWidth="1"/>
    <col min="1806" max="1806" width="9.28515625" style="95" bestFit="1" customWidth="1"/>
    <col min="1807" max="1807" width="3.7109375" style="95" customWidth="1"/>
    <col min="1808" max="1808" width="10.140625" style="95" customWidth="1"/>
    <col min="1809" max="1809" width="1.42578125" style="95" customWidth="1"/>
    <col min="1810" max="1810" width="9.85546875" style="95" bestFit="1" customWidth="1"/>
    <col min="1811" max="1811" width="3.7109375" style="95" customWidth="1"/>
    <col min="1812" max="1812" width="13.42578125" style="95" customWidth="1"/>
    <col min="1813" max="1813" width="13.5703125" style="95" customWidth="1"/>
    <col min="1814" max="1814" width="13.42578125" style="95" customWidth="1"/>
    <col min="1815" max="1815" width="1.42578125" style="95" customWidth="1"/>
    <col min="1816" max="1816" width="14.5703125" style="95" customWidth="1"/>
    <col min="1817" max="1817" width="3.7109375" style="95" customWidth="1"/>
    <col min="1818" max="1818" width="10.28515625" style="95" customWidth="1"/>
    <col min="1819" max="1819" width="1.42578125" style="95" customWidth="1"/>
    <col min="1820" max="1820" width="16" style="95" customWidth="1"/>
    <col min="1821" max="2048" width="9.140625" style="95"/>
    <col min="2049" max="2049" width="1.28515625" style="95" customWidth="1"/>
    <col min="2050" max="2050" width="19" style="95" customWidth="1"/>
    <col min="2051" max="2051" width="1.5703125" style="95" customWidth="1"/>
    <col min="2052" max="2052" width="12.7109375" style="95" customWidth="1"/>
    <col min="2053" max="2053" width="10.140625" style="95" customWidth="1"/>
    <col min="2054" max="2054" width="15.5703125" style="95" customWidth="1"/>
    <col min="2055" max="2055" width="1.42578125" style="95" customWidth="1"/>
    <col min="2056" max="2056" width="9.28515625" style="95" bestFit="1" customWidth="1"/>
    <col min="2057" max="2057" width="3.7109375" style="95" customWidth="1"/>
    <col min="2058" max="2058" width="12.42578125" style="95" customWidth="1"/>
    <col min="2059" max="2059" width="10.85546875" style="95" customWidth="1"/>
    <col min="2060" max="2060" width="11.28515625" style="95" customWidth="1"/>
    <col min="2061" max="2061" width="1.42578125" style="95" customWidth="1"/>
    <col min="2062" max="2062" width="9.28515625" style="95" bestFit="1" customWidth="1"/>
    <col min="2063" max="2063" width="3.7109375" style="95" customWidth="1"/>
    <col min="2064" max="2064" width="10.140625" style="95" customWidth="1"/>
    <col min="2065" max="2065" width="1.42578125" style="95" customWidth="1"/>
    <col min="2066" max="2066" width="9.85546875" style="95" bestFit="1" customWidth="1"/>
    <col min="2067" max="2067" width="3.7109375" style="95" customWidth="1"/>
    <col min="2068" max="2068" width="13.42578125" style="95" customWidth="1"/>
    <col min="2069" max="2069" width="13.5703125" style="95" customWidth="1"/>
    <col min="2070" max="2070" width="13.42578125" style="95" customWidth="1"/>
    <col min="2071" max="2071" width="1.42578125" style="95" customWidth="1"/>
    <col min="2072" max="2072" width="14.5703125" style="95" customWidth="1"/>
    <col min="2073" max="2073" width="3.7109375" style="95" customWidth="1"/>
    <col min="2074" max="2074" width="10.28515625" style="95" customWidth="1"/>
    <col min="2075" max="2075" width="1.42578125" style="95" customWidth="1"/>
    <col min="2076" max="2076" width="16" style="95" customWidth="1"/>
    <col min="2077" max="2304" width="9.140625" style="95"/>
    <col min="2305" max="2305" width="1.28515625" style="95" customWidth="1"/>
    <col min="2306" max="2306" width="19" style="95" customWidth="1"/>
    <col min="2307" max="2307" width="1.5703125" style="95" customWidth="1"/>
    <col min="2308" max="2308" width="12.7109375" style="95" customWidth="1"/>
    <col min="2309" max="2309" width="10.140625" style="95" customWidth="1"/>
    <col min="2310" max="2310" width="15.5703125" style="95" customWidth="1"/>
    <col min="2311" max="2311" width="1.42578125" style="95" customWidth="1"/>
    <col min="2312" max="2312" width="9.28515625" style="95" bestFit="1" customWidth="1"/>
    <col min="2313" max="2313" width="3.7109375" style="95" customWidth="1"/>
    <col min="2314" max="2314" width="12.42578125" style="95" customWidth="1"/>
    <col min="2315" max="2315" width="10.85546875" style="95" customWidth="1"/>
    <col min="2316" max="2316" width="11.28515625" style="95" customWidth="1"/>
    <col min="2317" max="2317" width="1.42578125" style="95" customWidth="1"/>
    <col min="2318" max="2318" width="9.28515625" style="95" bestFit="1" customWidth="1"/>
    <col min="2319" max="2319" width="3.7109375" style="95" customWidth="1"/>
    <col min="2320" max="2320" width="10.140625" style="95" customWidth="1"/>
    <col min="2321" max="2321" width="1.42578125" style="95" customWidth="1"/>
    <col min="2322" max="2322" width="9.85546875" style="95" bestFit="1" customWidth="1"/>
    <col min="2323" max="2323" width="3.7109375" style="95" customWidth="1"/>
    <col min="2324" max="2324" width="13.42578125" style="95" customWidth="1"/>
    <col min="2325" max="2325" width="13.5703125" style="95" customWidth="1"/>
    <col min="2326" max="2326" width="13.42578125" style="95" customWidth="1"/>
    <col min="2327" max="2327" width="1.42578125" style="95" customWidth="1"/>
    <col min="2328" max="2328" width="14.5703125" style="95" customWidth="1"/>
    <col min="2329" max="2329" width="3.7109375" style="95" customWidth="1"/>
    <col min="2330" max="2330" width="10.28515625" style="95" customWidth="1"/>
    <col min="2331" max="2331" width="1.42578125" style="95" customWidth="1"/>
    <col min="2332" max="2332" width="16" style="95" customWidth="1"/>
    <col min="2333" max="2560" width="9.140625" style="95"/>
    <col min="2561" max="2561" width="1.28515625" style="95" customWidth="1"/>
    <col min="2562" max="2562" width="19" style="95" customWidth="1"/>
    <col min="2563" max="2563" width="1.5703125" style="95" customWidth="1"/>
    <col min="2564" max="2564" width="12.7109375" style="95" customWidth="1"/>
    <col min="2565" max="2565" width="10.140625" style="95" customWidth="1"/>
    <col min="2566" max="2566" width="15.5703125" style="95" customWidth="1"/>
    <col min="2567" max="2567" width="1.42578125" style="95" customWidth="1"/>
    <col min="2568" max="2568" width="9.28515625" style="95" bestFit="1" customWidth="1"/>
    <col min="2569" max="2569" width="3.7109375" style="95" customWidth="1"/>
    <col min="2570" max="2570" width="12.42578125" style="95" customWidth="1"/>
    <col min="2571" max="2571" width="10.85546875" style="95" customWidth="1"/>
    <col min="2572" max="2572" width="11.28515625" style="95" customWidth="1"/>
    <col min="2573" max="2573" width="1.42578125" style="95" customWidth="1"/>
    <col min="2574" max="2574" width="9.28515625" style="95" bestFit="1" customWidth="1"/>
    <col min="2575" max="2575" width="3.7109375" style="95" customWidth="1"/>
    <col min="2576" max="2576" width="10.140625" style="95" customWidth="1"/>
    <col min="2577" max="2577" width="1.42578125" style="95" customWidth="1"/>
    <col min="2578" max="2578" width="9.85546875" style="95" bestFit="1" customWidth="1"/>
    <col min="2579" max="2579" width="3.7109375" style="95" customWidth="1"/>
    <col min="2580" max="2580" width="13.42578125" style="95" customWidth="1"/>
    <col min="2581" max="2581" width="13.5703125" style="95" customWidth="1"/>
    <col min="2582" max="2582" width="13.42578125" style="95" customWidth="1"/>
    <col min="2583" max="2583" width="1.42578125" style="95" customWidth="1"/>
    <col min="2584" max="2584" width="14.5703125" style="95" customWidth="1"/>
    <col min="2585" max="2585" width="3.7109375" style="95" customWidth="1"/>
    <col min="2586" max="2586" width="10.28515625" style="95" customWidth="1"/>
    <col min="2587" max="2587" width="1.42578125" style="95" customWidth="1"/>
    <col min="2588" max="2588" width="16" style="95" customWidth="1"/>
    <col min="2589" max="2816" width="9.140625" style="95"/>
    <col min="2817" max="2817" width="1.28515625" style="95" customWidth="1"/>
    <col min="2818" max="2818" width="19" style="95" customWidth="1"/>
    <col min="2819" max="2819" width="1.5703125" style="95" customWidth="1"/>
    <col min="2820" max="2820" width="12.7109375" style="95" customWidth="1"/>
    <col min="2821" max="2821" width="10.140625" style="95" customWidth="1"/>
    <col min="2822" max="2822" width="15.5703125" style="95" customWidth="1"/>
    <col min="2823" max="2823" width="1.42578125" style="95" customWidth="1"/>
    <col min="2824" max="2824" width="9.28515625" style="95" bestFit="1" customWidth="1"/>
    <col min="2825" max="2825" width="3.7109375" style="95" customWidth="1"/>
    <col min="2826" max="2826" width="12.42578125" style="95" customWidth="1"/>
    <col min="2827" max="2827" width="10.85546875" style="95" customWidth="1"/>
    <col min="2828" max="2828" width="11.28515625" style="95" customWidth="1"/>
    <col min="2829" max="2829" width="1.42578125" style="95" customWidth="1"/>
    <col min="2830" max="2830" width="9.28515625" style="95" bestFit="1" customWidth="1"/>
    <col min="2831" max="2831" width="3.7109375" style="95" customWidth="1"/>
    <col min="2832" max="2832" width="10.140625" style="95" customWidth="1"/>
    <col min="2833" max="2833" width="1.42578125" style="95" customWidth="1"/>
    <col min="2834" max="2834" width="9.85546875" style="95" bestFit="1" customWidth="1"/>
    <col min="2835" max="2835" width="3.7109375" style="95" customWidth="1"/>
    <col min="2836" max="2836" width="13.42578125" style="95" customWidth="1"/>
    <col min="2837" max="2837" width="13.5703125" style="95" customWidth="1"/>
    <col min="2838" max="2838" width="13.42578125" style="95" customWidth="1"/>
    <col min="2839" max="2839" width="1.42578125" style="95" customWidth="1"/>
    <col min="2840" max="2840" width="14.5703125" style="95" customWidth="1"/>
    <col min="2841" max="2841" width="3.7109375" style="95" customWidth="1"/>
    <col min="2842" max="2842" width="10.28515625" style="95" customWidth="1"/>
    <col min="2843" max="2843" width="1.42578125" style="95" customWidth="1"/>
    <col min="2844" max="2844" width="16" style="95" customWidth="1"/>
    <col min="2845" max="3072" width="9.140625" style="95"/>
    <col min="3073" max="3073" width="1.28515625" style="95" customWidth="1"/>
    <col min="3074" max="3074" width="19" style="95" customWidth="1"/>
    <col min="3075" max="3075" width="1.5703125" style="95" customWidth="1"/>
    <col min="3076" max="3076" width="12.7109375" style="95" customWidth="1"/>
    <col min="3077" max="3077" width="10.140625" style="95" customWidth="1"/>
    <col min="3078" max="3078" width="15.5703125" style="95" customWidth="1"/>
    <col min="3079" max="3079" width="1.42578125" style="95" customWidth="1"/>
    <col min="3080" max="3080" width="9.28515625" style="95" bestFit="1" customWidth="1"/>
    <col min="3081" max="3081" width="3.7109375" style="95" customWidth="1"/>
    <col min="3082" max="3082" width="12.42578125" style="95" customWidth="1"/>
    <col min="3083" max="3083" width="10.85546875" style="95" customWidth="1"/>
    <col min="3084" max="3084" width="11.28515625" style="95" customWidth="1"/>
    <col min="3085" max="3085" width="1.42578125" style="95" customWidth="1"/>
    <col min="3086" max="3086" width="9.28515625" style="95" bestFit="1" customWidth="1"/>
    <col min="3087" max="3087" width="3.7109375" style="95" customWidth="1"/>
    <col min="3088" max="3088" width="10.140625" style="95" customWidth="1"/>
    <col min="3089" max="3089" width="1.42578125" style="95" customWidth="1"/>
    <col min="3090" max="3090" width="9.85546875" style="95" bestFit="1" customWidth="1"/>
    <col min="3091" max="3091" width="3.7109375" style="95" customWidth="1"/>
    <col min="3092" max="3092" width="13.42578125" style="95" customWidth="1"/>
    <col min="3093" max="3093" width="13.5703125" style="95" customWidth="1"/>
    <col min="3094" max="3094" width="13.42578125" style="95" customWidth="1"/>
    <col min="3095" max="3095" width="1.42578125" style="95" customWidth="1"/>
    <col min="3096" max="3096" width="14.5703125" style="95" customWidth="1"/>
    <col min="3097" max="3097" width="3.7109375" style="95" customWidth="1"/>
    <col min="3098" max="3098" width="10.28515625" style="95" customWidth="1"/>
    <col min="3099" max="3099" width="1.42578125" style="95" customWidth="1"/>
    <col min="3100" max="3100" width="16" style="95" customWidth="1"/>
    <col min="3101" max="3328" width="9.140625" style="95"/>
    <col min="3329" max="3329" width="1.28515625" style="95" customWidth="1"/>
    <col min="3330" max="3330" width="19" style="95" customWidth="1"/>
    <col min="3331" max="3331" width="1.5703125" style="95" customWidth="1"/>
    <col min="3332" max="3332" width="12.7109375" style="95" customWidth="1"/>
    <col min="3333" max="3333" width="10.140625" style="95" customWidth="1"/>
    <col min="3334" max="3334" width="15.5703125" style="95" customWidth="1"/>
    <col min="3335" max="3335" width="1.42578125" style="95" customWidth="1"/>
    <col min="3336" max="3336" width="9.28515625" style="95" bestFit="1" customWidth="1"/>
    <col min="3337" max="3337" width="3.7109375" style="95" customWidth="1"/>
    <col min="3338" max="3338" width="12.42578125" style="95" customWidth="1"/>
    <col min="3339" max="3339" width="10.85546875" style="95" customWidth="1"/>
    <col min="3340" max="3340" width="11.28515625" style="95" customWidth="1"/>
    <col min="3341" max="3341" width="1.42578125" style="95" customWidth="1"/>
    <col min="3342" max="3342" width="9.28515625" style="95" bestFit="1" customWidth="1"/>
    <col min="3343" max="3343" width="3.7109375" style="95" customWidth="1"/>
    <col min="3344" max="3344" width="10.140625" style="95" customWidth="1"/>
    <col min="3345" max="3345" width="1.42578125" style="95" customWidth="1"/>
    <col min="3346" max="3346" width="9.85546875" style="95" bestFit="1" customWidth="1"/>
    <col min="3347" max="3347" width="3.7109375" style="95" customWidth="1"/>
    <col min="3348" max="3348" width="13.42578125" style="95" customWidth="1"/>
    <col min="3349" max="3349" width="13.5703125" style="95" customWidth="1"/>
    <col min="3350" max="3350" width="13.42578125" style="95" customWidth="1"/>
    <col min="3351" max="3351" width="1.42578125" style="95" customWidth="1"/>
    <col min="3352" max="3352" width="14.5703125" style="95" customWidth="1"/>
    <col min="3353" max="3353" width="3.7109375" style="95" customWidth="1"/>
    <col min="3354" max="3354" width="10.28515625" style="95" customWidth="1"/>
    <col min="3355" max="3355" width="1.42578125" style="95" customWidth="1"/>
    <col min="3356" max="3356" width="16" style="95" customWidth="1"/>
    <col min="3357" max="3584" width="9.140625" style="95"/>
    <col min="3585" max="3585" width="1.28515625" style="95" customWidth="1"/>
    <col min="3586" max="3586" width="19" style="95" customWidth="1"/>
    <col min="3587" max="3587" width="1.5703125" style="95" customWidth="1"/>
    <col min="3588" max="3588" width="12.7109375" style="95" customWidth="1"/>
    <col min="3589" max="3589" width="10.140625" style="95" customWidth="1"/>
    <col min="3590" max="3590" width="15.5703125" style="95" customWidth="1"/>
    <col min="3591" max="3591" width="1.42578125" style="95" customWidth="1"/>
    <col min="3592" max="3592" width="9.28515625" style="95" bestFit="1" customWidth="1"/>
    <col min="3593" max="3593" width="3.7109375" style="95" customWidth="1"/>
    <col min="3594" max="3594" width="12.42578125" style="95" customWidth="1"/>
    <col min="3595" max="3595" width="10.85546875" style="95" customWidth="1"/>
    <col min="3596" max="3596" width="11.28515625" style="95" customWidth="1"/>
    <col min="3597" max="3597" width="1.42578125" style="95" customWidth="1"/>
    <col min="3598" max="3598" width="9.28515625" style="95" bestFit="1" customWidth="1"/>
    <col min="3599" max="3599" width="3.7109375" style="95" customWidth="1"/>
    <col min="3600" max="3600" width="10.140625" style="95" customWidth="1"/>
    <col min="3601" max="3601" width="1.42578125" style="95" customWidth="1"/>
    <col min="3602" max="3602" width="9.85546875" style="95" bestFit="1" customWidth="1"/>
    <col min="3603" max="3603" width="3.7109375" style="95" customWidth="1"/>
    <col min="3604" max="3604" width="13.42578125" style="95" customWidth="1"/>
    <col min="3605" max="3605" width="13.5703125" style="95" customWidth="1"/>
    <col min="3606" max="3606" width="13.42578125" style="95" customWidth="1"/>
    <col min="3607" max="3607" width="1.42578125" style="95" customWidth="1"/>
    <col min="3608" max="3608" width="14.5703125" style="95" customWidth="1"/>
    <col min="3609" max="3609" width="3.7109375" style="95" customWidth="1"/>
    <col min="3610" max="3610" width="10.28515625" style="95" customWidth="1"/>
    <col min="3611" max="3611" width="1.42578125" style="95" customWidth="1"/>
    <col min="3612" max="3612" width="16" style="95" customWidth="1"/>
    <col min="3613" max="3840" width="9.140625" style="95"/>
    <col min="3841" max="3841" width="1.28515625" style="95" customWidth="1"/>
    <col min="3842" max="3842" width="19" style="95" customWidth="1"/>
    <col min="3843" max="3843" width="1.5703125" style="95" customWidth="1"/>
    <col min="3844" max="3844" width="12.7109375" style="95" customWidth="1"/>
    <col min="3845" max="3845" width="10.140625" style="95" customWidth="1"/>
    <col min="3846" max="3846" width="15.5703125" style="95" customWidth="1"/>
    <col min="3847" max="3847" width="1.42578125" style="95" customWidth="1"/>
    <col min="3848" max="3848" width="9.28515625" style="95" bestFit="1" customWidth="1"/>
    <col min="3849" max="3849" width="3.7109375" style="95" customWidth="1"/>
    <col min="3850" max="3850" width="12.42578125" style="95" customWidth="1"/>
    <col min="3851" max="3851" width="10.85546875" style="95" customWidth="1"/>
    <col min="3852" max="3852" width="11.28515625" style="95" customWidth="1"/>
    <col min="3853" max="3853" width="1.42578125" style="95" customWidth="1"/>
    <col min="3854" max="3854" width="9.28515625" style="95" bestFit="1" customWidth="1"/>
    <col min="3855" max="3855" width="3.7109375" style="95" customWidth="1"/>
    <col min="3856" max="3856" width="10.140625" style="95" customWidth="1"/>
    <col min="3857" max="3857" width="1.42578125" style="95" customWidth="1"/>
    <col min="3858" max="3858" width="9.85546875" style="95" bestFit="1" customWidth="1"/>
    <col min="3859" max="3859" width="3.7109375" style="95" customWidth="1"/>
    <col min="3860" max="3860" width="13.42578125" style="95" customWidth="1"/>
    <col min="3861" max="3861" width="13.5703125" style="95" customWidth="1"/>
    <col min="3862" max="3862" width="13.42578125" style="95" customWidth="1"/>
    <col min="3863" max="3863" width="1.42578125" style="95" customWidth="1"/>
    <col min="3864" max="3864" width="14.5703125" style="95" customWidth="1"/>
    <col min="3865" max="3865" width="3.7109375" style="95" customWidth="1"/>
    <col min="3866" max="3866" width="10.28515625" style="95" customWidth="1"/>
    <col min="3867" max="3867" width="1.42578125" style="95" customWidth="1"/>
    <col min="3868" max="3868" width="16" style="95" customWidth="1"/>
    <col min="3869" max="4096" width="9.140625" style="95"/>
    <col min="4097" max="4097" width="1.28515625" style="95" customWidth="1"/>
    <col min="4098" max="4098" width="19" style="95" customWidth="1"/>
    <col min="4099" max="4099" width="1.5703125" style="95" customWidth="1"/>
    <col min="4100" max="4100" width="12.7109375" style="95" customWidth="1"/>
    <col min="4101" max="4101" width="10.140625" style="95" customWidth="1"/>
    <col min="4102" max="4102" width="15.5703125" style="95" customWidth="1"/>
    <col min="4103" max="4103" width="1.42578125" style="95" customWidth="1"/>
    <col min="4104" max="4104" width="9.28515625" style="95" bestFit="1" customWidth="1"/>
    <col min="4105" max="4105" width="3.7109375" style="95" customWidth="1"/>
    <col min="4106" max="4106" width="12.42578125" style="95" customWidth="1"/>
    <col min="4107" max="4107" width="10.85546875" style="95" customWidth="1"/>
    <col min="4108" max="4108" width="11.28515625" style="95" customWidth="1"/>
    <col min="4109" max="4109" width="1.42578125" style="95" customWidth="1"/>
    <col min="4110" max="4110" width="9.28515625" style="95" bestFit="1" customWidth="1"/>
    <col min="4111" max="4111" width="3.7109375" style="95" customWidth="1"/>
    <col min="4112" max="4112" width="10.140625" style="95" customWidth="1"/>
    <col min="4113" max="4113" width="1.42578125" style="95" customWidth="1"/>
    <col min="4114" max="4114" width="9.85546875" style="95" bestFit="1" customWidth="1"/>
    <col min="4115" max="4115" width="3.7109375" style="95" customWidth="1"/>
    <col min="4116" max="4116" width="13.42578125" style="95" customWidth="1"/>
    <col min="4117" max="4117" width="13.5703125" style="95" customWidth="1"/>
    <col min="4118" max="4118" width="13.42578125" style="95" customWidth="1"/>
    <col min="4119" max="4119" width="1.42578125" style="95" customWidth="1"/>
    <col min="4120" max="4120" width="14.5703125" style="95" customWidth="1"/>
    <col min="4121" max="4121" width="3.7109375" style="95" customWidth="1"/>
    <col min="4122" max="4122" width="10.28515625" style="95" customWidth="1"/>
    <col min="4123" max="4123" width="1.42578125" style="95" customWidth="1"/>
    <col min="4124" max="4124" width="16" style="95" customWidth="1"/>
    <col min="4125" max="4352" width="9.140625" style="95"/>
    <col min="4353" max="4353" width="1.28515625" style="95" customWidth="1"/>
    <col min="4354" max="4354" width="19" style="95" customWidth="1"/>
    <col min="4355" max="4355" width="1.5703125" style="95" customWidth="1"/>
    <col min="4356" max="4356" width="12.7109375" style="95" customWidth="1"/>
    <col min="4357" max="4357" width="10.140625" style="95" customWidth="1"/>
    <col min="4358" max="4358" width="15.5703125" style="95" customWidth="1"/>
    <col min="4359" max="4359" width="1.42578125" style="95" customWidth="1"/>
    <col min="4360" max="4360" width="9.28515625" style="95" bestFit="1" customWidth="1"/>
    <col min="4361" max="4361" width="3.7109375" style="95" customWidth="1"/>
    <col min="4362" max="4362" width="12.42578125" style="95" customWidth="1"/>
    <col min="4363" max="4363" width="10.85546875" style="95" customWidth="1"/>
    <col min="4364" max="4364" width="11.28515625" style="95" customWidth="1"/>
    <col min="4365" max="4365" width="1.42578125" style="95" customWidth="1"/>
    <col min="4366" max="4366" width="9.28515625" style="95" bestFit="1" customWidth="1"/>
    <col min="4367" max="4367" width="3.7109375" style="95" customWidth="1"/>
    <col min="4368" max="4368" width="10.140625" style="95" customWidth="1"/>
    <col min="4369" max="4369" width="1.42578125" style="95" customWidth="1"/>
    <col min="4370" max="4370" width="9.85546875" style="95" bestFit="1" customWidth="1"/>
    <col min="4371" max="4371" width="3.7109375" style="95" customWidth="1"/>
    <col min="4372" max="4372" width="13.42578125" style="95" customWidth="1"/>
    <col min="4373" max="4373" width="13.5703125" style="95" customWidth="1"/>
    <col min="4374" max="4374" width="13.42578125" style="95" customWidth="1"/>
    <col min="4375" max="4375" width="1.42578125" style="95" customWidth="1"/>
    <col min="4376" max="4376" width="14.5703125" style="95" customWidth="1"/>
    <col min="4377" max="4377" width="3.7109375" style="95" customWidth="1"/>
    <col min="4378" max="4378" width="10.28515625" style="95" customWidth="1"/>
    <col min="4379" max="4379" width="1.42578125" style="95" customWidth="1"/>
    <col min="4380" max="4380" width="16" style="95" customWidth="1"/>
    <col min="4381" max="4608" width="9.140625" style="95"/>
    <col min="4609" max="4609" width="1.28515625" style="95" customWidth="1"/>
    <col min="4610" max="4610" width="19" style="95" customWidth="1"/>
    <col min="4611" max="4611" width="1.5703125" style="95" customWidth="1"/>
    <col min="4612" max="4612" width="12.7109375" style="95" customWidth="1"/>
    <col min="4613" max="4613" width="10.140625" style="95" customWidth="1"/>
    <col min="4614" max="4614" width="15.5703125" style="95" customWidth="1"/>
    <col min="4615" max="4615" width="1.42578125" style="95" customWidth="1"/>
    <col min="4616" max="4616" width="9.28515625" style="95" bestFit="1" customWidth="1"/>
    <col min="4617" max="4617" width="3.7109375" style="95" customWidth="1"/>
    <col min="4618" max="4618" width="12.42578125" style="95" customWidth="1"/>
    <col min="4619" max="4619" width="10.85546875" style="95" customWidth="1"/>
    <col min="4620" max="4620" width="11.28515625" style="95" customWidth="1"/>
    <col min="4621" max="4621" width="1.42578125" style="95" customWidth="1"/>
    <col min="4622" max="4622" width="9.28515625" style="95" bestFit="1" customWidth="1"/>
    <col min="4623" max="4623" width="3.7109375" style="95" customWidth="1"/>
    <col min="4624" max="4624" width="10.140625" style="95" customWidth="1"/>
    <col min="4625" max="4625" width="1.42578125" style="95" customWidth="1"/>
    <col min="4626" max="4626" width="9.85546875" style="95" bestFit="1" customWidth="1"/>
    <col min="4627" max="4627" width="3.7109375" style="95" customWidth="1"/>
    <col min="4628" max="4628" width="13.42578125" style="95" customWidth="1"/>
    <col min="4629" max="4629" width="13.5703125" style="95" customWidth="1"/>
    <col min="4630" max="4630" width="13.42578125" style="95" customWidth="1"/>
    <col min="4631" max="4631" width="1.42578125" style="95" customWidth="1"/>
    <col min="4632" max="4632" width="14.5703125" style="95" customWidth="1"/>
    <col min="4633" max="4633" width="3.7109375" style="95" customWidth="1"/>
    <col min="4634" max="4634" width="10.28515625" style="95" customWidth="1"/>
    <col min="4635" max="4635" width="1.42578125" style="95" customWidth="1"/>
    <col min="4636" max="4636" width="16" style="95" customWidth="1"/>
    <col min="4637" max="4864" width="9.140625" style="95"/>
    <col min="4865" max="4865" width="1.28515625" style="95" customWidth="1"/>
    <col min="4866" max="4866" width="19" style="95" customWidth="1"/>
    <col min="4867" max="4867" width="1.5703125" style="95" customWidth="1"/>
    <col min="4868" max="4868" width="12.7109375" style="95" customWidth="1"/>
    <col min="4869" max="4869" width="10.140625" style="95" customWidth="1"/>
    <col min="4870" max="4870" width="15.5703125" style="95" customWidth="1"/>
    <col min="4871" max="4871" width="1.42578125" style="95" customWidth="1"/>
    <col min="4872" max="4872" width="9.28515625" style="95" bestFit="1" customWidth="1"/>
    <col min="4873" max="4873" width="3.7109375" style="95" customWidth="1"/>
    <col min="4874" max="4874" width="12.42578125" style="95" customWidth="1"/>
    <col min="4875" max="4875" width="10.85546875" style="95" customWidth="1"/>
    <col min="4876" max="4876" width="11.28515625" style="95" customWidth="1"/>
    <col min="4877" max="4877" width="1.42578125" style="95" customWidth="1"/>
    <col min="4878" max="4878" width="9.28515625" style="95" bestFit="1" customWidth="1"/>
    <col min="4879" max="4879" width="3.7109375" style="95" customWidth="1"/>
    <col min="4880" max="4880" width="10.140625" style="95" customWidth="1"/>
    <col min="4881" max="4881" width="1.42578125" style="95" customWidth="1"/>
    <col min="4882" max="4882" width="9.85546875" style="95" bestFit="1" customWidth="1"/>
    <col min="4883" max="4883" width="3.7109375" style="95" customWidth="1"/>
    <col min="4884" max="4884" width="13.42578125" style="95" customWidth="1"/>
    <col min="4885" max="4885" width="13.5703125" style="95" customWidth="1"/>
    <col min="4886" max="4886" width="13.42578125" style="95" customWidth="1"/>
    <col min="4887" max="4887" width="1.42578125" style="95" customWidth="1"/>
    <col min="4888" max="4888" width="14.5703125" style="95" customWidth="1"/>
    <col min="4889" max="4889" width="3.7109375" style="95" customWidth="1"/>
    <col min="4890" max="4890" width="10.28515625" style="95" customWidth="1"/>
    <col min="4891" max="4891" width="1.42578125" style="95" customWidth="1"/>
    <col min="4892" max="4892" width="16" style="95" customWidth="1"/>
    <col min="4893" max="5120" width="9.140625" style="95"/>
    <col min="5121" max="5121" width="1.28515625" style="95" customWidth="1"/>
    <col min="5122" max="5122" width="19" style="95" customWidth="1"/>
    <col min="5123" max="5123" width="1.5703125" style="95" customWidth="1"/>
    <col min="5124" max="5124" width="12.7109375" style="95" customWidth="1"/>
    <col min="5125" max="5125" width="10.140625" style="95" customWidth="1"/>
    <col min="5126" max="5126" width="15.5703125" style="95" customWidth="1"/>
    <col min="5127" max="5127" width="1.42578125" style="95" customWidth="1"/>
    <col min="5128" max="5128" width="9.28515625" style="95" bestFit="1" customWidth="1"/>
    <col min="5129" max="5129" width="3.7109375" style="95" customWidth="1"/>
    <col min="5130" max="5130" width="12.42578125" style="95" customWidth="1"/>
    <col min="5131" max="5131" width="10.85546875" style="95" customWidth="1"/>
    <col min="5132" max="5132" width="11.28515625" style="95" customWidth="1"/>
    <col min="5133" max="5133" width="1.42578125" style="95" customWidth="1"/>
    <col min="5134" max="5134" width="9.28515625" style="95" bestFit="1" customWidth="1"/>
    <col min="5135" max="5135" width="3.7109375" style="95" customWidth="1"/>
    <col min="5136" max="5136" width="10.140625" style="95" customWidth="1"/>
    <col min="5137" max="5137" width="1.42578125" style="95" customWidth="1"/>
    <col min="5138" max="5138" width="9.85546875" style="95" bestFit="1" customWidth="1"/>
    <col min="5139" max="5139" width="3.7109375" style="95" customWidth="1"/>
    <col min="5140" max="5140" width="13.42578125" style="95" customWidth="1"/>
    <col min="5141" max="5141" width="13.5703125" style="95" customWidth="1"/>
    <col min="5142" max="5142" width="13.42578125" style="95" customWidth="1"/>
    <col min="5143" max="5143" width="1.42578125" style="95" customWidth="1"/>
    <col min="5144" max="5144" width="14.5703125" style="95" customWidth="1"/>
    <col min="5145" max="5145" width="3.7109375" style="95" customWidth="1"/>
    <col min="5146" max="5146" width="10.28515625" style="95" customWidth="1"/>
    <col min="5147" max="5147" width="1.42578125" style="95" customWidth="1"/>
    <col min="5148" max="5148" width="16" style="95" customWidth="1"/>
    <col min="5149" max="5376" width="9.140625" style="95"/>
    <col min="5377" max="5377" width="1.28515625" style="95" customWidth="1"/>
    <col min="5378" max="5378" width="19" style="95" customWidth="1"/>
    <col min="5379" max="5379" width="1.5703125" style="95" customWidth="1"/>
    <col min="5380" max="5380" width="12.7109375" style="95" customWidth="1"/>
    <col min="5381" max="5381" width="10.140625" style="95" customWidth="1"/>
    <col min="5382" max="5382" width="15.5703125" style="95" customWidth="1"/>
    <col min="5383" max="5383" width="1.42578125" style="95" customWidth="1"/>
    <col min="5384" max="5384" width="9.28515625" style="95" bestFit="1" customWidth="1"/>
    <col min="5385" max="5385" width="3.7109375" style="95" customWidth="1"/>
    <col min="5386" max="5386" width="12.42578125" style="95" customWidth="1"/>
    <col min="5387" max="5387" width="10.85546875" style="95" customWidth="1"/>
    <col min="5388" max="5388" width="11.28515625" style="95" customWidth="1"/>
    <col min="5389" max="5389" width="1.42578125" style="95" customWidth="1"/>
    <col min="5390" max="5390" width="9.28515625" style="95" bestFit="1" customWidth="1"/>
    <col min="5391" max="5391" width="3.7109375" style="95" customWidth="1"/>
    <col min="5392" max="5392" width="10.140625" style="95" customWidth="1"/>
    <col min="5393" max="5393" width="1.42578125" style="95" customWidth="1"/>
    <col min="5394" max="5394" width="9.85546875" style="95" bestFit="1" customWidth="1"/>
    <col min="5395" max="5395" width="3.7109375" style="95" customWidth="1"/>
    <col min="5396" max="5396" width="13.42578125" style="95" customWidth="1"/>
    <col min="5397" max="5397" width="13.5703125" style="95" customWidth="1"/>
    <col min="5398" max="5398" width="13.42578125" style="95" customWidth="1"/>
    <col min="5399" max="5399" width="1.42578125" style="95" customWidth="1"/>
    <col min="5400" max="5400" width="14.5703125" style="95" customWidth="1"/>
    <col min="5401" max="5401" width="3.7109375" style="95" customWidth="1"/>
    <col min="5402" max="5402" width="10.28515625" style="95" customWidth="1"/>
    <col min="5403" max="5403" width="1.42578125" style="95" customWidth="1"/>
    <col min="5404" max="5404" width="16" style="95" customWidth="1"/>
    <col min="5405" max="5632" width="9.140625" style="95"/>
    <col min="5633" max="5633" width="1.28515625" style="95" customWidth="1"/>
    <col min="5634" max="5634" width="19" style="95" customWidth="1"/>
    <col min="5635" max="5635" width="1.5703125" style="95" customWidth="1"/>
    <col min="5636" max="5636" width="12.7109375" style="95" customWidth="1"/>
    <col min="5637" max="5637" width="10.140625" style="95" customWidth="1"/>
    <col min="5638" max="5638" width="15.5703125" style="95" customWidth="1"/>
    <col min="5639" max="5639" width="1.42578125" style="95" customWidth="1"/>
    <col min="5640" max="5640" width="9.28515625" style="95" bestFit="1" customWidth="1"/>
    <col min="5641" max="5641" width="3.7109375" style="95" customWidth="1"/>
    <col min="5642" max="5642" width="12.42578125" style="95" customWidth="1"/>
    <col min="5643" max="5643" width="10.85546875" style="95" customWidth="1"/>
    <col min="5644" max="5644" width="11.28515625" style="95" customWidth="1"/>
    <col min="5645" max="5645" width="1.42578125" style="95" customWidth="1"/>
    <col min="5646" max="5646" width="9.28515625" style="95" bestFit="1" customWidth="1"/>
    <col min="5647" max="5647" width="3.7109375" style="95" customWidth="1"/>
    <col min="5648" max="5648" width="10.140625" style="95" customWidth="1"/>
    <col min="5649" max="5649" width="1.42578125" style="95" customWidth="1"/>
    <col min="5650" max="5650" width="9.85546875" style="95" bestFit="1" customWidth="1"/>
    <col min="5651" max="5651" width="3.7109375" style="95" customWidth="1"/>
    <col min="5652" max="5652" width="13.42578125" style="95" customWidth="1"/>
    <col min="5653" max="5653" width="13.5703125" style="95" customWidth="1"/>
    <col min="5654" max="5654" width="13.42578125" style="95" customWidth="1"/>
    <col min="5655" max="5655" width="1.42578125" style="95" customWidth="1"/>
    <col min="5656" max="5656" width="14.5703125" style="95" customWidth="1"/>
    <col min="5657" max="5657" width="3.7109375" style="95" customWidth="1"/>
    <col min="5658" max="5658" width="10.28515625" style="95" customWidth="1"/>
    <col min="5659" max="5659" width="1.42578125" style="95" customWidth="1"/>
    <col min="5660" max="5660" width="16" style="95" customWidth="1"/>
    <col min="5661" max="5888" width="9.140625" style="95"/>
    <col min="5889" max="5889" width="1.28515625" style="95" customWidth="1"/>
    <col min="5890" max="5890" width="19" style="95" customWidth="1"/>
    <col min="5891" max="5891" width="1.5703125" style="95" customWidth="1"/>
    <col min="5892" max="5892" width="12.7109375" style="95" customWidth="1"/>
    <col min="5893" max="5893" width="10.140625" style="95" customWidth="1"/>
    <col min="5894" max="5894" width="15.5703125" style="95" customWidth="1"/>
    <col min="5895" max="5895" width="1.42578125" style="95" customWidth="1"/>
    <col min="5896" max="5896" width="9.28515625" style="95" bestFit="1" customWidth="1"/>
    <col min="5897" max="5897" width="3.7109375" style="95" customWidth="1"/>
    <col min="5898" max="5898" width="12.42578125" style="95" customWidth="1"/>
    <col min="5899" max="5899" width="10.85546875" style="95" customWidth="1"/>
    <col min="5900" max="5900" width="11.28515625" style="95" customWidth="1"/>
    <col min="5901" max="5901" width="1.42578125" style="95" customWidth="1"/>
    <col min="5902" max="5902" width="9.28515625" style="95" bestFit="1" customWidth="1"/>
    <col min="5903" max="5903" width="3.7109375" style="95" customWidth="1"/>
    <col min="5904" max="5904" width="10.140625" style="95" customWidth="1"/>
    <col min="5905" max="5905" width="1.42578125" style="95" customWidth="1"/>
    <col min="5906" max="5906" width="9.85546875" style="95" bestFit="1" customWidth="1"/>
    <col min="5907" max="5907" width="3.7109375" style="95" customWidth="1"/>
    <col min="5908" max="5908" width="13.42578125" style="95" customWidth="1"/>
    <col min="5909" max="5909" width="13.5703125" style="95" customWidth="1"/>
    <col min="5910" max="5910" width="13.42578125" style="95" customWidth="1"/>
    <col min="5911" max="5911" width="1.42578125" style="95" customWidth="1"/>
    <col min="5912" max="5912" width="14.5703125" style="95" customWidth="1"/>
    <col min="5913" max="5913" width="3.7109375" style="95" customWidth="1"/>
    <col min="5914" max="5914" width="10.28515625" style="95" customWidth="1"/>
    <col min="5915" max="5915" width="1.42578125" style="95" customWidth="1"/>
    <col min="5916" max="5916" width="16" style="95" customWidth="1"/>
    <col min="5917" max="6144" width="9.140625" style="95"/>
    <col min="6145" max="6145" width="1.28515625" style="95" customWidth="1"/>
    <col min="6146" max="6146" width="19" style="95" customWidth="1"/>
    <col min="6147" max="6147" width="1.5703125" style="95" customWidth="1"/>
    <col min="6148" max="6148" width="12.7109375" style="95" customWidth="1"/>
    <col min="6149" max="6149" width="10.140625" style="95" customWidth="1"/>
    <col min="6150" max="6150" width="15.5703125" style="95" customWidth="1"/>
    <col min="6151" max="6151" width="1.42578125" style="95" customWidth="1"/>
    <col min="6152" max="6152" width="9.28515625" style="95" bestFit="1" customWidth="1"/>
    <col min="6153" max="6153" width="3.7109375" style="95" customWidth="1"/>
    <col min="6154" max="6154" width="12.42578125" style="95" customWidth="1"/>
    <col min="6155" max="6155" width="10.85546875" style="95" customWidth="1"/>
    <col min="6156" max="6156" width="11.28515625" style="95" customWidth="1"/>
    <col min="6157" max="6157" width="1.42578125" style="95" customWidth="1"/>
    <col min="6158" max="6158" width="9.28515625" style="95" bestFit="1" customWidth="1"/>
    <col min="6159" max="6159" width="3.7109375" style="95" customWidth="1"/>
    <col min="6160" max="6160" width="10.140625" style="95" customWidth="1"/>
    <col min="6161" max="6161" width="1.42578125" style="95" customWidth="1"/>
    <col min="6162" max="6162" width="9.85546875" style="95" bestFit="1" customWidth="1"/>
    <col min="6163" max="6163" width="3.7109375" style="95" customWidth="1"/>
    <col min="6164" max="6164" width="13.42578125" style="95" customWidth="1"/>
    <col min="6165" max="6165" width="13.5703125" style="95" customWidth="1"/>
    <col min="6166" max="6166" width="13.42578125" style="95" customWidth="1"/>
    <col min="6167" max="6167" width="1.42578125" style="95" customWidth="1"/>
    <col min="6168" max="6168" width="14.5703125" style="95" customWidth="1"/>
    <col min="6169" max="6169" width="3.7109375" style="95" customWidth="1"/>
    <col min="6170" max="6170" width="10.28515625" style="95" customWidth="1"/>
    <col min="6171" max="6171" width="1.42578125" style="95" customWidth="1"/>
    <col min="6172" max="6172" width="16" style="95" customWidth="1"/>
    <col min="6173" max="6400" width="9.140625" style="95"/>
    <col min="6401" max="6401" width="1.28515625" style="95" customWidth="1"/>
    <col min="6402" max="6402" width="19" style="95" customWidth="1"/>
    <col min="6403" max="6403" width="1.5703125" style="95" customWidth="1"/>
    <col min="6404" max="6404" width="12.7109375" style="95" customWidth="1"/>
    <col min="6405" max="6405" width="10.140625" style="95" customWidth="1"/>
    <col min="6406" max="6406" width="15.5703125" style="95" customWidth="1"/>
    <col min="6407" max="6407" width="1.42578125" style="95" customWidth="1"/>
    <col min="6408" max="6408" width="9.28515625" style="95" bestFit="1" customWidth="1"/>
    <col min="6409" max="6409" width="3.7109375" style="95" customWidth="1"/>
    <col min="6410" max="6410" width="12.42578125" style="95" customWidth="1"/>
    <col min="6411" max="6411" width="10.85546875" style="95" customWidth="1"/>
    <col min="6412" max="6412" width="11.28515625" style="95" customWidth="1"/>
    <col min="6413" max="6413" width="1.42578125" style="95" customWidth="1"/>
    <col min="6414" max="6414" width="9.28515625" style="95" bestFit="1" customWidth="1"/>
    <col min="6415" max="6415" width="3.7109375" style="95" customWidth="1"/>
    <col min="6416" max="6416" width="10.140625" style="95" customWidth="1"/>
    <col min="6417" max="6417" width="1.42578125" style="95" customWidth="1"/>
    <col min="6418" max="6418" width="9.85546875" style="95" bestFit="1" customWidth="1"/>
    <col min="6419" max="6419" width="3.7109375" style="95" customWidth="1"/>
    <col min="6420" max="6420" width="13.42578125" style="95" customWidth="1"/>
    <col min="6421" max="6421" width="13.5703125" style="95" customWidth="1"/>
    <col min="6422" max="6422" width="13.42578125" style="95" customWidth="1"/>
    <col min="6423" max="6423" width="1.42578125" style="95" customWidth="1"/>
    <col min="6424" max="6424" width="14.5703125" style="95" customWidth="1"/>
    <col min="6425" max="6425" width="3.7109375" style="95" customWidth="1"/>
    <col min="6426" max="6426" width="10.28515625" style="95" customWidth="1"/>
    <col min="6427" max="6427" width="1.42578125" style="95" customWidth="1"/>
    <col min="6428" max="6428" width="16" style="95" customWidth="1"/>
    <col min="6429" max="6656" width="9.140625" style="95"/>
    <col min="6657" max="6657" width="1.28515625" style="95" customWidth="1"/>
    <col min="6658" max="6658" width="19" style="95" customWidth="1"/>
    <col min="6659" max="6659" width="1.5703125" style="95" customWidth="1"/>
    <col min="6660" max="6660" width="12.7109375" style="95" customWidth="1"/>
    <col min="6661" max="6661" width="10.140625" style="95" customWidth="1"/>
    <col min="6662" max="6662" width="15.5703125" style="95" customWidth="1"/>
    <col min="6663" max="6663" width="1.42578125" style="95" customWidth="1"/>
    <col min="6664" max="6664" width="9.28515625" style="95" bestFit="1" customWidth="1"/>
    <col min="6665" max="6665" width="3.7109375" style="95" customWidth="1"/>
    <col min="6666" max="6666" width="12.42578125" style="95" customWidth="1"/>
    <col min="6667" max="6667" width="10.85546875" style="95" customWidth="1"/>
    <col min="6668" max="6668" width="11.28515625" style="95" customWidth="1"/>
    <col min="6669" max="6669" width="1.42578125" style="95" customWidth="1"/>
    <col min="6670" max="6670" width="9.28515625" style="95" bestFit="1" customWidth="1"/>
    <col min="6671" max="6671" width="3.7109375" style="95" customWidth="1"/>
    <col min="6672" max="6672" width="10.140625" style="95" customWidth="1"/>
    <col min="6673" max="6673" width="1.42578125" style="95" customWidth="1"/>
    <col min="6674" max="6674" width="9.85546875" style="95" bestFit="1" customWidth="1"/>
    <col min="6675" max="6675" width="3.7109375" style="95" customWidth="1"/>
    <col min="6676" max="6676" width="13.42578125" style="95" customWidth="1"/>
    <col min="6677" max="6677" width="13.5703125" style="95" customWidth="1"/>
    <col min="6678" max="6678" width="13.42578125" style="95" customWidth="1"/>
    <col min="6679" max="6679" width="1.42578125" style="95" customWidth="1"/>
    <col min="6680" max="6680" width="14.5703125" style="95" customWidth="1"/>
    <col min="6681" max="6681" width="3.7109375" style="95" customWidth="1"/>
    <col min="6682" max="6682" width="10.28515625" style="95" customWidth="1"/>
    <col min="6683" max="6683" width="1.42578125" style="95" customWidth="1"/>
    <col min="6684" max="6684" width="16" style="95" customWidth="1"/>
    <col min="6685" max="6912" width="9.140625" style="95"/>
    <col min="6913" max="6913" width="1.28515625" style="95" customWidth="1"/>
    <col min="6914" max="6914" width="19" style="95" customWidth="1"/>
    <col min="6915" max="6915" width="1.5703125" style="95" customWidth="1"/>
    <col min="6916" max="6916" width="12.7109375" style="95" customWidth="1"/>
    <col min="6917" max="6917" width="10.140625" style="95" customWidth="1"/>
    <col min="6918" max="6918" width="15.5703125" style="95" customWidth="1"/>
    <col min="6919" max="6919" width="1.42578125" style="95" customWidth="1"/>
    <col min="6920" max="6920" width="9.28515625" style="95" bestFit="1" customWidth="1"/>
    <col min="6921" max="6921" width="3.7109375" style="95" customWidth="1"/>
    <col min="6922" max="6922" width="12.42578125" style="95" customWidth="1"/>
    <col min="6923" max="6923" width="10.85546875" style="95" customWidth="1"/>
    <col min="6924" max="6924" width="11.28515625" style="95" customWidth="1"/>
    <col min="6925" max="6925" width="1.42578125" style="95" customWidth="1"/>
    <col min="6926" max="6926" width="9.28515625" style="95" bestFit="1" customWidth="1"/>
    <col min="6927" max="6927" width="3.7109375" style="95" customWidth="1"/>
    <col min="6928" max="6928" width="10.140625" style="95" customWidth="1"/>
    <col min="6929" max="6929" width="1.42578125" style="95" customWidth="1"/>
    <col min="6930" max="6930" width="9.85546875" style="95" bestFit="1" customWidth="1"/>
    <col min="6931" max="6931" width="3.7109375" style="95" customWidth="1"/>
    <col min="6932" max="6932" width="13.42578125" style="95" customWidth="1"/>
    <col min="6933" max="6933" width="13.5703125" style="95" customWidth="1"/>
    <col min="6934" max="6934" width="13.42578125" style="95" customWidth="1"/>
    <col min="6935" max="6935" width="1.42578125" style="95" customWidth="1"/>
    <col min="6936" max="6936" width="14.5703125" style="95" customWidth="1"/>
    <col min="6937" max="6937" width="3.7109375" style="95" customWidth="1"/>
    <col min="6938" max="6938" width="10.28515625" style="95" customWidth="1"/>
    <col min="6939" max="6939" width="1.42578125" style="95" customWidth="1"/>
    <col min="6940" max="6940" width="16" style="95" customWidth="1"/>
    <col min="6941" max="7168" width="9.140625" style="95"/>
    <col min="7169" max="7169" width="1.28515625" style="95" customWidth="1"/>
    <col min="7170" max="7170" width="19" style="95" customWidth="1"/>
    <col min="7171" max="7171" width="1.5703125" style="95" customWidth="1"/>
    <col min="7172" max="7172" width="12.7109375" style="95" customWidth="1"/>
    <col min="7173" max="7173" width="10.140625" style="95" customWidth="1"/>
    <col min="7174" max="7174" width="15.5703125" style="95" customWidth="1"/>
    <col min="7175" max="7175" width="1.42578125" style="95" customWidth="1"/>
    <col min="7176" max="7176" width="9.28515625" style="95" bestFit="1" customWidth="1"/>
    <col min="7177" max="7177" width="3.7109375" style="95" customWidth="1"/>
    <col min="7178" max="7178" width="12.42578125" style="95" customWidth="1"/>
    <col min="7179" max="7179" width="10.85546875" style="95" customWidth="1"/>
    <col min="7180" max="7180" width="11.28515625" style="95" customWidth="1"/>
    <col min="7181" max="7181" width="1.42578125" style="95" customWidth="1"/>
    <col min="7182" max="7182" width="9.28515625" style="95" bestFit="1" customWidth="1"/>
    <col min="7183" max="7183" width="3.7109375" style="95" customWidth="1"/>
    <col min="7184" max="7184" width="10.140625" style="95" customWidth="1"/>
    <col min="7185" max="7185" width="1.42578125" style="95" customWidth="1"/>
    <col min="7186" max="7186" width="9.85546875" style="95" bestFit="1" customWidth="1"/>
    <col min="7187" max="7187" width="3.7109375" style="95" customWidth="1"/>
    <col min="7188" max="7188" width="13.42578125" style="95" customWidth="1"/>
    <col min="7189" max="7189" width="13.5703125" style="95" customWidth="1"/>
    <col min="7190" max="7190" width="13.42578125" style="95" customWidth="1"/>
    <col min="7191" max="7191" width="1.42578125" style="95" customWidth="1"/>
    <col min="7192" max="7192" width="14.5703125" style="95" customWidth="1"/>
    <col min="7193" max="7193" width="3.7109375" style="95" customWidth="1"/>
    <col min="7194" max="7194" width="10.28515625" style="95" customWidth="1"/>
    <col min="7195" max="7195" width="1.42578125" style="95" customWidth="1"/>
    <col min="7196" max="7196" width="16" style="95" customWidth="1"/>
    <col min="7197" max="7424" width="9.140625" style="95"/>
    <col min="7425" max="7425" width="1.28515625" style="95" customWidth="1"/>
    <col min="7426" max="7426" width="19" style="95" customWidth="1"/>
    <col min="7427" max="7427" width="1.5703125" style="95" customWidth="1"/>
    <col min="7428" max="7428" width="12.7109375" style="95" customWidth="1"/>
    <col min="7429" max="7429" width="10.140625" style="95" customWidth="1"/>
    <col min="7430" max="7430" width="15.5703125" style="95" customWidth="1"/>
    <col min="7431" max="7431" width="1.42578125" style="95" customWidth="1"/>
    <col min="7432" max="7432" width="9.28515625" style="95" bestFit="1" customWidth="1"/>
    <col min="7433" max="7433" width="3.7109375" style="95" customWidth="1"/>
    <col min="7434" max="7434" width="12.42578125" style="95" customWidth="1"/>
    <col min="7435" max="7435" width="10.85546875" style="95" customWidth="1"/>
    <col min="7436" max="7436" width="11.28515625" style="95" customWidth="1"/>
    <col min="7437" max="7437" width="1.42578125" style="95" customWidth="1"/>
    <col min="7438" max="7438" width="9.28515625" style="95" bestFit="1" customWidth="1"/>
    <col min="7439" max="7439" width="3.7109375" style="95" customWidth="1"/>
    <col min="7440" max="7440" width="10.140625" style="95" customWidth="1"/>
    <col min="7441" max="7441" width="1.42578125" style="95" customWidth="1"/>
    <col min="7442" max="7442" width="9.85546875" style="95" bestFit="1" customWidth="1"/>
    <col min="7443" max="7443" width="3.7109375" style="95" customWidth="1"/>
    <col min="7444" max="7444" width="13.42578125" style="95" customWidth="1"/>
    <col min="7445" max="7445" width="13.5703125" style="95" customWidth="1"/>
    <col min="7446" max="7446" width="13.42578125" style="95" customWidth="1"/>
    <col min="7447" max="7447" width="1.42578125" style="95" customWidth="1"/>
    <col min="7448" max="7448" width="14.5703125" style="95" customWidth="1"/>
    <col min="7449" max="7449" width="3.7109375" style="95" customWidth="1"/>
    <col min="7450" max="7450" width="10.28515625" style="95" customWidth="1"/>
    <col min="7451" max="7451" width="1.42578125" style="95" customWidth="1"/>
    <col min="7452" max="7452" width="16" style="95" customWidth="1"/>
    <col min="7453" max="7680" width="9.140625" style="95"/>
    <col min="7681" max="7681" width="1.28515625" style="95" customWidth="1"/>
    <col min="7682" max="7682" width="19" style="95" customWidth="1"/>
    <col min="7683" max="7683" width="1.5703125" style="95" customWidth="1"/>
    <col min="7684" max="7684" width="12.7109375" style="95" customWidth="1"/>
    <col min="7685" max="7685" width="10.140625" style="95" customWidth="1"/>
    <col min="7686" max="7686" width="15.5703125" style="95" customWidth="1"/>
    <col min="7687" max="7687" width="1.42578125" style="95" customWidth="1"/>
    <col min="7688" max="7688" width="9.28515625" style="95" bestFit="1" customWidth="1"/>
    <col min="7689" max="7689" width="3.7109375" style="95" customWidth="1"/>
    <col min="7690" max="7690" width="12.42578125" style="95" customWidth="1"/>
    <col min="7691" max="7691" width="10.85546875" style="95" customWidth="1"/>
    <col min="7692" max="7692" width="11.28515625" style="95" customWidth="1"/>
    <col min="7693" max="7693" width="1.42578125" style="95" customWidth="1"/>
    <col min="7694" max="7694" width="9.28515625" style="95" bestFit="1" customWidth="1"/>
    <col min="7695" max="7695" width="3.7109375" style="95" customWidth="1"/>
    <col min="7696" max="7696" width="10.140625" style="95" customWidth="1"/>
    <col min="7697" max="7697" width="1.42578125" style="95" customWidth="1"/>
    <col min="7698" max="7698" width="9.85546875" style="95" bestFit="1" customWidth="1"/>
    <col min="7699" max="7699" width="3.7109375" style="95" customWidth="1"/>
    <col min="7700" max="7700" width="13.42578125" style="95" customWidth="1"/>
    <col min="7701" max="7701" width="13.5703125" style="95" customWidth="1"/>
    <col min="7702" max="7702" width="13.42578125" style="95" customWidth="1"/>
    <col min="7703" max="7703" width="1.42578125" style="95" customWidth="1"/>
    <col min="7704" max="7704" width="14.5703125" style="95" customWidth="1"/>
    <col min="7705" max="7705" width="3.7109375" style="95" customWidth="1"/>
    <col min="7706" max="7706" width="10.28515625" style="95" customWidth="1"/>
    <col min="7707" max="7707" width="1.42578125" style="95" customWidth="1"/>
    <col min="7708" max="7708" width="16" style="95" customWidth="1"/>
    <col min="7709" max="7936" width="9.140625" style="95"/>
    <col min="7937" max="7937" width="1.28515625" style="95" customWidth="1"/>
    <col min="7938" max="7938" width="19" style="95" customWidth="1"/>
    <col min="7939" max="7939" width="1.5703125" style="95" customWidth="1"/>
    <col min="7940" max="7940" width="12.7109375" style="95" customWidth="1"/>
    <col min="7941" max="7941" width="10.140625" style="95" customWidth="1"/>
    <col min="7942" max="7942" width="15.5703125" style="95" customWidth="1"/>
    <col min="7943" max="7943" width="1.42578125" style="95" customWidth="1"/>
    <col min="7944" max="7944" width="9.28515625" style="95" bestFit="1" customWidth="1"/>
    <col min="7945" max="7945" width="3.7109375" style="95" customWidth="1"/>
    <col min="7946" max="7946" width="12.42578125" style="95" customWidth="1"/>
    <col min="7947" max="7947" width="10.85546875" style="95" customWidth="1"/>
    <col min="7948" max="7948" width="11.28515625" style="95" customWidth="1"/>
    <col min="7949" max="7949" width="1.42578125" style="95" customWidth="1"/>
    <col min="7950" max="7950" width="9.28515625" style="95" bestFit="1" customWidth="1"/>
    <col min="7951" max="7951" width="3.7109375" style="95" customWidth="1"/>
    <col min="7952" max="7952" width="10.140625" style="95" customWidth="1"/>
    <col min="7953" max="7953" width="1.42578125" style="95" customWidth="1"/>
    <col min="7954" max="7954" width="9.85546875" style="95" bestFit="1" customWidth="1"/>
    <col min="7955" max="7955" width="3.7109375" style="95" customWidth="1"/>
    <col min="7956" max="7956" width="13.42578125" style="95" customWidth="1"/>
    <col min="7957" max="7957" width="13.5703125" style="95" customWidth="1"/>
    <col min="7958" max="7958" width="13.42578125" style="95" customWidth="1"/>
    <col min="7959" max="7959" width="1.42578125" style="95" customWidth="1"/>
    <col min="7960" max="7960" width="14.5703125" style="95" customWidth="1"/>
    <col min="7961" max="7961" width="3.7109375" style="95" customWidth="1"/>
    <col min="7962" max="7962" width="10.28515625" style="95" customWidth="1"/>
    <col min="7963" max="7963" width="1.42578125" style="95" customWidth="1"/>
    <col min="7964" max="7964" width="16" style="95" customWidth="1"/>
    <col min="7965" max="8192" width="9.140625" style="95"/>
    <col min="8193" max="8193" width="1.28515625" style="95" customWidth="1"/>
    <col min="8194" max="8194" width="19" style="95" customWidth="1"/>
    <col min="8195" max="8195" width="1.5703125" style="95" customWidth="1"/>
    <col min="8196" max="8196" width="12.7109375" style="95" customWidth="1"/>
    <col min="8197" max="8197" width="10.140625" style="95" customWidth="1"/>
    <col min="8198" max="8198" width="15.5703125" style="95" customWidth="1"/>
    <col min="8199" max="8199" width="1.42578125" style="95" customWidth="1"/>
    <col min="8200" max="8200" width="9.28515625" style="95" bestFit="1" customWidth="1"/>
    <col min="8201" max="8201" width="3.7109375" style="95" customWidth="1"/>
    <col min="8202" max="8202" width="12.42578125" style="95" customWidth="1"/>
    <col min="8203" max="8203" width="10.85546875" style="95" customWidth="1"/>
    <col min="8204" max="8204" width="11.28515625" style="95" customWidth="1"/>
    <col min="8205" max="8205" width="1.42578125" style="95" customWidth="1"/>
    <col min="8206" max="8206" width="9.28515625" style="95" bestFit="1" customWidth="1"/>
    <col min="8207" max="8207" width="3.7109375" style="95" customWidth="1"/>
    <col min="8208" max="8208" width="10.140625" style="95" customWidth="1"/>
    <col min="8209" max="8209" width="1.42578125" style="95" customWidth="1"/>
    <col min="8210" max="8210" width="9.85546875" style="95" bestFit="1" customWidth="1"/>
    <col min="8211" max="8211" width="3.7109375" style="95" customWidth="1"/>
    <col min="8212" max="8212" width="13.42578125" style="95" customWidth="1"/>
    <col min="8213" max="8213" width="13.5703125" style="95" customWidth="1"/>
    <col min="8214" max="8214" width="13.42578125" style="95" customWidth="1"/>
    <col min="8215" max="8215" width="1.42578125" style="95" customWidth="1"/>
    <col min="8216" max="8216" width="14.5703125" style="95" customWidth="1"/>
    <col min="8217" max="8217" width="3.7109375" style="95" customWidth="1"/>
    <col min="8218" max="8218" width="10.28515625" style="95" customWidth="1"/>
    <col min="8219" max="8219" width="1.42578125" style="95" customWidth="1"/>
    <col min="8220" max="8220" width="16" style="95" customWidth="1"/>
    <col min="8221" max="8448" width="9.140625" style="95"/>
    <col min="8449" max="8449" width="1.28515625" style="95" customWidth="1"/>
    <col min="8450" max="8450" width="19" style="95" customWidth="1"/>
    <col min="8451" max="8451" width="1.5703125" style="95" customWidth="1"/>
    <col min="8452" max="8452" width="12.7109375" style="95" customWidth="1"/>
    <col min="8453" max="8453" width="10.140625" style="95" customWidth="1"/>
    <col min="8454" max="8454" width="15.5703125" style="95" customWidth="1"/>
    <col min="8455" max="8455" width="1.42578125" style="95" customWidth="1"/>
    <col min="8456" max="8456" width="9.28515625" style="95" bestFit="1" customWidth="1"/>
    <col min="8457" max="8457" width="3.7109375" style="95" customWidth="1"/>
    <col min="8458" max="8458" width="12.42578125" style="95" customWidth="1"/>
    <col min="8459" max="8459" width="10.85546875" style="95" customWidth="1"/>
    <col min="8460" max="8460" width="11.28515625" style="95" customWidth="1"/>
    <col min="8461" max="8461" width="1.42578125" style="95" customWidth="1"/>
    <col min="8462" max="8462" width="9.28515625" style="95" bestFit="1" customWidth="1"/>
    <col min="8463" max="8463" width="3.7109375" style="95" customWidth="1"/>
    <col min="8464" max="8464" width="10.140625" style="95" customWidth="1"/>
    <col min="8465" max="8465" width="1.42578125" style="95" customWidth="1"/>
    <col min="8466" max="8466" width="9.85546875" style="95" bestFit="1" customWidth="1"/>
    <col min="8467" max="8467" width="3.7109375" style="95" customWidth="1"/>
    <col min="8468" max="8468" width="13.42578125" style="95" customWidth="1"/>
    <col min="8469" max="8469" width="13.5703125" style="95" customWidth="1"/>
    <col min="8470" max="8470" width="13.42578125" style="95" customWidth="1"/>
    <col min="8471" max="8471" width="1.42578125" style="95" customWidth="1"/>
    <col min="8472" max="8472" width="14.5703125" style="95" customWidth="1"/>
    <col min="8473" max="8473" width="3.7109375" style="95" customWidth="1"/>
    <col min="8474" max="8474" width="10.28515625" style="95" customWidth="1"/>
    <col min="8475" max="8475" width="1.42578125" style="95" customWidth="1"/>
    <col min="8476" max="8476" width="16" style="95" customWidth="1"/>
    <col min="8477" max="8704" width="9.140625" style="95"/>
    <col min="8705" max="8705" width="1.28515625" style="95" customWidth="1"/>
    <col min="8706" max="8706" width="19" style="95" customWidth="1"/>
    <col min="8707" max="8707" width="1.5703125" style="95" customWidth="1"/>
    <col min="8708" max="8708" width="12.7109375" style="95" customWidth="1"/>
    <col min="8709" max="8709" width="10.140625" style="95" customWidth="1"/>
    <col min="8710" max="8710" width="15.5703125" style="95" customWidth="1"/>
    <col min="8711" max="8711" width="1.42578125" style="95" customWidth="1"/>
    <col min="8712" max="8712" width="9.28515625" style="95" bestFit="1" customWidth="1"/>
    <col min="8713" max="8713" width="3.7109375" style="95" customWidth="1"/>
    <col min="8714" max="8714" width="12.42578125" style="95" customWidth="1"/>
    <col min="8715" max="8715" width="10.85546875" style="95" customWidth="1"/>
    <col min="8716" max="8716" width="11.28515625" style="95" customWidth="1"/>
    <col min="8717" max="8717" width="1.42578125" style="95" customWidth="1"/>
    <col min="8718" max="8718" width="9.28515625" style="95" bestFit="1" customWidth="1"/>
    <col min="8719" max="8719" width="3.7109375" style="95" customWidth="1"/>
    <col min="8720" max="8720" width="10.140625" style="95" customWidth="1"/>
    <col min="8721" max="8721" width="1.42578125" style="95" customWidth="1"/>
    <col min="8722" max="8722" width="9.85546875" style="95" bestFit="1" customWidth="1"/>
    <col min="8723" max="8723" width="3.7109375" style="95" customWidth="1"/>
    <col min="8724" max="8724" width="13.42578125" style="95" customWidth="1"/>
    <col min="8725" max="8725" width="13.5703125" style="95" customWidth="1"/>
    <col min="8726" max="8726" width="13.42578125" style="95" customWidth="1"/>
    <col min="8727" max="8727" width="1.42578125" style="95" customWidth="1"/>
    <col min="8728" max="8728" width="14.5703125" style="95" customWidth="1"/>
    <col min="8729" max="8729" width="3.7109375" style="95" customWidth="1"/>
    <col min="8730" max="8730" width="10.28515625" style="95" customWidth="1"/>
    <col min="8731" max="8731" width="1.42578125" style="95" customWidth="1"/>
    <col min="8732" max="8732" width="16" style="95" customWidth="1"/>
    <col min="8733" max="8960" width="9.140625" style="95"/>
    <col min="8961" max="8961" width="1.28515625" style="95" customWidth="1"/>
    <col min="8962" max="8962" width="19" style="95" customWidth="1"/>
    <col min="8963" max="8963" width="1.5703125" style="95" customWidth="1"/>
    <col min="8964" max="8964" width="12.7109375" style="95" customWidth="1"/>
    <col min="8965" max="8965" width="10.140625" style="95" customWidth="1"/>
    <col min="8966" max="8966" width="15.5703125" style="95" customWidth="1"/>
    <col min="8967" max="8967" width="1.42578125" style="95" customWidth="1"/>
    <col min="8968" max="8968" width="9.28515625" style="95" bestFit="1" customWidth="1"/>
    <col min="8969" max="8969" width="3.7109375" style="95" customWidth="1"/>
    <col min="8970" max="8970" width="12.42578125" style="95" customWidth="1"/>
    <col min="8971" max="8971" width="10.85546875" style="95" customWidth="1"/>
    <col min="8972" max="8972" width="11.28515625" style="95" customWidth="1"/>
    <col min="8973" max="8973" width="1.42578125" style="95" customWidth="1"/>
    <col min="8974" max="8974" width="9.28515625" style="95" bestFit="1" customWidth="1"/>
    <col min="8975" max="8975" width="3.7109375" style="95" customWidth="1"/>
    <col min="8976" max="8976" width="10.140625" style="95" customWidth="1"/>
    <col min="8977" max="8977" width="1.42578125" style="95" customWidth="1"/>
    <col min="8978" max="8978" width="9.85546875" style="95" bestFit="1" customWidth="1"/>
    <col min="8979" max="8979" width="3.7109375" style="95" customWidth="1"/>
    <col min="8980" max="8980" width="13.42578125" style="95" customWidth="1"/>
    <col min="8981" max="8981" width="13.5703125" style="95" customWidth="1"/>
    <col min="8982" max="8982" width="13.42578125" style="95" customWidth="1"/>
    <col min="8983" max="8983" width="1.42578125" style="95" customWidth="1"/>
    <col min="8984" max="8984" width="14.5703125" style="95" customWidth="1"/>
    <col min="8985" max="8985" width="3.7109375" style="95" customWidth="1"/>
    <col min="8986" max="8986" width="10.28515625" style="95" customWidth="1"/>
    <col min="8987" max="8987" width="1.42578125" style="95" customWidth="1"/>
    <col min="8988" max="8988" width="16" style="95" customWidth="1"/>
    <col min="8989" max="9216" width="9.140625" style="95"/>
    <col min="9217" max="9217" width="1.28515625" style="95" customWidth="1"/>
    <col min="9218" max="9218" width="19" style="95" customWidth="1"/>
    <col min="9219" max="9219" width="1.5703125" style="95" customWidth="1"/>
    <col min="9220" max="9220" width="12.7109375" style="95" customWidth="1"/>
    <col min="9221" max="9221" width="10.140625" style="95" customWidth="1"/>
    <col min="9222" max="9222" width="15.5703125" style="95" customWidth="1"/>
    <col min="9223" max="9223" width="1.42578125" style="95" customWidth="1"/>
    <col min="9224" max="9224" width="9.28515625" style="95" bestFit="1" customWidth="1"/>
    <col min="9225" max="9225" width="3.7109375" style="95" customWidth="1"/>
    <col min="9226" max="9226" width="12.42578125" style="95" customWidth="1"/>
    <col min="9227" max="9227" width="10.85546875" style="95" customWidth="1"/>
    <col min="9228" max="9228" width="11.28515625" style="95" customWidth="1"/>
    <col min="9229" max="9229" width="1.42578125" style="95" customWidth="1"/>
    <col min="9230" max="9230" width="9.28515625" style="95" bestFit="1" customWidth="1"/>
    <col min="9231" max="9231" width="3.7109375" style="95" customWidth="1"/>
    <col min="9232" max="9232" width="10.140625" style="95" customWidth="1"/>
    <col min="9233" max="9233" width="1.42578125" style="95" customWidth="1"/>
    <col min="9234" max="9234" width="9.85546875" style="95" bestFit="1" customWidth="1"/>
    <col min="9235" max="9235" width="3.7109375" style="95" customWidth="1"/>
    <col min="9236" max="9236" width="13.42578125" style="95" customWidth="1"/>
    <col min="9237" max="9237" width="13.5703125" style="95" customWidth="1"/>
    <col min="9238" max="9238" width="13.42578125" style="95" customWidth="1"/>
    <col min="9239" max="9239" width="1.42578125" style="95" customWidth="1"/>
    <col min="9240" max="9240" width="14.5703125" style="95" customWidth="1"/>
    <col min="9241" max="9241" width="3.7109375" style="95" customWidth="1"/>
    <col min="9242" max="9242" width="10.28515625" style="95" customWidth="1"/>
    <col min="9243" max="9243" width="1.42578125" style="95" customWidth="1"/>
    <col min="9244" max="9244" width="16" style="95" customWidth="1"/>
    <col min="9245" max="9472" width="9.140625" style="95"/>
    <col min="9473" max="9473" width="1.28515625" style="95" customWidth="1"/>
    <col min="9474" max="9474" width="19" style="95" customWidth="1"/>
    <col min="9475" max="9475" width="1.5703125" style="95" customWidth="1"/>
    <col min="9476" max="9476" width="12.7109375" style="95" customWidth="1"/>
    <col min="9477" max="9477" width="10.140625" style="95" customWidth="1"/>
    <col min="9478" max="9478" width="15.5703125" style="95" customWidth="1"/>
    <col min="9479" max="9479" width="1.42578125" style="95" customWidth="1"/>
    <col min="9480" max="9480" width="9.28515625" style="95" bestFit="1" customWidth="1"/>
    <col min="9481" max="9481" width="3.7109375" style="95" customWidth="1"/>
    <col min="9482" max="9482" width="12.42578125" style="95" customWidth="1"/>
    <col min="9483" max="9483" width="10.85546875" style="95" customWidth="1"/>
    <col min="9484" max="9484" width="11.28515625" style="95" customWidth="1"/>
    <col min="9485" max="9485" width="1.42578125" style="95" customWidth="1"/>
    <col min="9486" max="9486" width="9.28515625" style="95" bestFit="1" customWidth="1"/>
    <col min="9487" max="9487" width="3.7109375" style="95" customWidth="1"/>
    <col min="9488" max="9488" width="10.140625" style="95" customWidth="1"/>
    <col min="9489" max="9489" width="1.42578125" style="95" customWidth="1"/>
    <col min="9490" max="9490" width="9.85546875" style="95" bestFit="1" customWidth="1"/>
    <col min="9491" max="9491" width="3.7109375" style="95" customWidth="1"/>
    <col min="9492" max="9492" width="13.42578125" style="95" customWidth="1"/>
    <col min="9493" max="9493" width="13.5703125" style="95" customWidth="1"/>
    <col min="9494" max="9494" width="13.42578125" style="95" customWidth="1"/>
    <col min="9495" max="9495" width="1.42578125" style="95" customWidth="1"/>
    <col min="9496" max="9496" width="14.5703125" style="95" customWidth="1"/>
    <col min="9497" max="9497" width="3.7109375" style="95" customWidth="1"/>
    <col min="9498" max="9498" width="10.28515625" style="95" customWidth="1"/>
    <col min="9499" max="9499" width="1.42578125" style="95" customWidth="1"/>
    <col min="9500" max="9500" width="16" style="95" customWidth="1"/>
    <col min="9501" max="9728" width="9.140625" style="95"/>
    <col min="9729" max="9729" width="1.28515625" style="95" customWidth="1"/>
    <col min="9730" max="9730" width="19" style="95" customWidth="1"/>
    <col min="9731" max="9731" width="1.5703125" style="95" customWidth="1"/>
    <col min="9732" max="9732" width="12.7109375" style="95" customWidth="1"/>
    <col min="9733" max="9733" width="10.140625" style="95" customWidth="1"/>
    <col min="9734" max="9734" width="15.5703125" style="95" customWidth="1"/>
    <col min="9735" max="9735" width="1.42578125" style="95" customWidth="1"/>
    <col min="9736" max="9736" width="9.28515625" style="95" bestFit="1" customWidth="1"/>
    <col min="9737" max="9737" width="3.7109375" style="95" customWidth="1"/>
    <col min="9738" max="9738" width="12.42578125" style="95" customWidth="1"/>
    <col min="9739" max="9739" width="10.85546875" style="95" customWidth="1"/>
    <col min="9740" max="9740" width="11.28515625" style="95" customWidth="1"/>
    <col min="9741" max="9741" width="1.42578125" style="95" customWidth="1"/>
    <col min="9742" max="9742" width="9.28515625" style="95" bestFit="1" customWidth="1"/>
    <col min="9743" max="9743" width="3.7109375" style="95" customWidth="1"/>
    <col min="9744" max="9744" width="10.140625" style="95" customWidth="1"/>
    <col min="9745" max="9745" width="1.42578125" style="95" customWidth="1"/>
    <col min="9746" max="9746" width="9.85546875" style="95" bestFit="1" customWidth="1"/>
    <col min="9747" max="9747" width="3.7109375" style="95" customWidth="1"/>
    <col min="9748" max="9748" width="13.42578125" style="95" customWidth="1"/>
    <col min="9749" max="9749" width="13.5703125" style="95" customWidth="1"/>
    <col min="9750" max="9750" width="13.42578125" style="95" customWidth="1"/>
    <col min="9751" max="9751" width="1.42578125" style="95" customWidth="1"/>
    <col min="9752" max="9752" width="14.5703125" style="95" customWidth="1"/>
    <col min="9753" max="9753" width="3.7109375" style="95" customWidth="1"/>
    <col min="9754" max="9754" width="10.28515625" style="95" customWidth="1"/>
    <col min="9755" max="9755" width="1.42578125" style="95" customWidth="1"/>
    <col min="9756" max="9756" width="16" style="95" customWidth="1"/>
    <col min="9757" max="9984" width="9.140625" style="95"/>
    <col min="9985" max="9985" width="1.28515625" style="95" customWidth="1"/>
    <col min="9986" max="9986" width="19" style="95" customWidth="1"/>
    <col min="9987" max="9987" width="1.5703125" style="95" customWidth="1"/>
    <col min="9988" max="9988" width="12.7109375" style="95" customWidth="1"/>
    <col min="9989" max="9989" width="10.140625" style="95" customWidth="1"/>
    <col min="9990" max="9990" width="15.5703125" style="95" customWidth="1"/>
    <col min="9991" max="9991" width="1.42578125" style="95" customWidth="1"/>
    <col min="9992" max="9992" width="9.28515625" style="95" bestFit="1" customWidth="1"/>
    <col min="9993" max="9993" width="3.7109375" style="95" customWidth="1"/>
    <col min="9994" max="9994" width="12.42578125" style="95" customWidth="1"/>
    <col min="9995" max="9995" width="10.85546875" style="95" customWidth="1"/>
    <col min="9996" max="9996" width="11.28515625" style="95" customWidth="1"/>
    <col min="9997" max="9997" width="1.42578125" style="95" customWidth="1"/>
    <col min="9998" max="9998" width="9.28515625" style="95" bestFit="1" customWidth="1"/>
    <col min="9999" max="9999" width="3.7109375" style="95" customWidth="1"/>
    <col min="10000" max="10000" width="10.140625" style="95" customWidth="1"/>
    <col min="10001" max="10001" width="1.42578125" style="95" customWidth="1"/>
    <col min="10002" max="10002" width="9.85546875" style="95" bestFit="1" customWidth="1"/>
    <col min="10003" max="10003" width="3.7109375" style="95" customWidth="1"/>
    <col min="10004" max="10004" width="13.42578125" style="95" customWidth="1"/>
    <col min="10005" max="10005" width="13.5703125" style="95" customWidth="1"/>
    <col min="10006" max="10006" width="13.42578125" style="95" customWidth="1"/>
    <col min="10007" max="10007" width="1.42578125" style="95" customWidth="1"/>
    <col min="10008" max="10008" width="14.5703125" style="95" customWidth="1"/>
    <col min="10009" max="10009" width="3.7109375" style="95" customWidth="1"/>
    <col min="10010" max="10010" width="10.28515625" style="95" customWidth="1"/>
    <col min="10011" max="10011" width="1.42578125" style="95" customWidth="1"/>
    <col min="10012" max="10012" width="16" style="95" customWidth="1"/>
    <col min="10013" max="10240" width="9.140625" style="95"/>
    <col min="10241" max="10241" width="1.28515625" style="95" customWidth="1"/>
    <col min="10242" max="10242" width="19" style="95" customWidth="1"/>
    <col min="10243" max="10243" width="1.5703125" style="95" customWidth="1"/>
    <col min="10244" max="10244" width="12.7109375" style="95" customWidth="1"/>
    <col min="10245" max="10245" width="10.140625" style="95" customWidth="1"/>
    <col min="10246" max="10246" width="15.5703125" style="95" customWidth="1"/>
    <col min="10247" max="10247" width="1.42578125" style="95" customWidth="1"/>
    <col min="10248" max="10248" width="9.28515625" style="95" bestFit="1" customWidth="1"/>
    <col min="10249" max="10249" width="3.7109375" style="95" customWidth="1"/>
    <col min="10250" max="10250" width="12.42578125" style="95" customWidth="1"/>
    <col min="10251" max="10251" width="10.85546875" style="95" customWidth="1"/>
    <col min="10252" max="10252" width="11.28515625" style="95" customWidth="1"/>
    <col min="10253" max="10253" width="1.42578125" style="95" customWidth="1"/>
    <col min="10254" max="10254" width="9.28515625" style="95" bestFit="1" customWidth="1"/>
    <col min="10255" max="10255" width="3.7109375" style="95" customWidth="1"/>
    <col min="10256" max="10256" width="10.140625" style="95" customWidth="1"/>
    <col min="10257" max="10257" width="1.42578125" style="95" customWidth="1"/>
    <col min="10258" max="10258" width="9.85546875" style="95" bestFit="1" customWidth="1"/>
    <col min="10259" max="10259" width="3.7109375" style="95" customWidth="1"/>
    <col min="10260" max="10260" width="13.42578125" style="95" customWidth="1"/>
    <col min="10261" max="10261" width="13.5703125" style="95" customWidth="1"/>
    <col min="10262" max="10262" width="13.42578125" style="95" customWidth="1"/>
    <col min="10263" max="10263" width="1.42578125" style="95" customWidth="1"/>
    <col min="10264" max="10264" width="14.5703125" style="95" customWidth="1"/>
    <col min="10265" max="10265" width="3.7109375" style="95" customWidth="1"/>
    <col min="10266" max="10266" width="10.28515625" style="95" customWidth="1"/>
    <col min="10267" max="10267" width="1.42578125" style="95" customWidth="1"/>
    <col min="10268" max="10268" width="16" style="95" customWidth="1"/>
    <col min="10269" max="10496" width="9.140625" style="95"/>
    <col min="10497" max="10497" width="1.28515625" style="95" customWidth="1"/>
    <col min="10498" max="10498" width="19" style="95" customWidth="1"/>
    <col min="10499" max="10499" width="1.5703125" style="95" customWidth="1"/>
    <col min="10500" max="10500" width="12.7109375" style="95" customWidth="1"/>
    <col min="10501" max="10501" width="10.140625" style="95" customWidth="1"/>
    <col min="10502" max="10502" width="15.5703125" style="95" customWidth="1"/>
    <col min="10503" max="10503" width="1.42578125" style="95" customWidth="1"/>
    <col min="10504" max="10504" width="9.28515625" style="95" bestFit="1" customWidth="1"/>
    <col min="10505" max="10505" width="3.7109375" style="95" customWidth="1"/>
    <col min="10506" max="10506" width="12.42578125" style="95" customWidth="1"/>
    <col min="10507" max="10507" width="10.85546875" style="95" customWidth="1"/>
    <col min="10508" max="10508" width="11.28515625" style="95" customWidth="1"/>
    <col min="10509" max="10509" width="1.42578125" style="95" customWidth="1"/>
    <col min="10510" max="10510" width="9.28515625" style="95" bestFit="1" customWidth="1"/>
    <col min="10511" max="10511" width="3.7109375" style="95" customWidth="1"/>
    <col min="10512" max="10512" width="10.140625" style="95" customWidth="1"/>
    <col min="10513" max="10513" width="1.42578125" style="95" customWidth="1"/>
    <col min="10514" max="10514" width="9.85546875" style="95" bestFit="1" customWidth="1"/>
    <col min="10515" max="10515" width="3.7109375" style="95" customWidth="1"/>
    <col min="10516" max="10516" width="13.42578125" style="95" customWidth="1"/>
    <col min="10517" max="10517" width="13.5703125" style="95" customWidth="1"/>
    <col min="10518" max="10518" width="13.42578125" style="95" customWidth="1"/>
    <col min="10519" max="10519" width="1.42578125" style="95" customWidth="1"/>
    <col min="10520" max="10520" width="14.5703125" style="95" customWidth="1"/>
    <col min="10521" max="10521" width="3.7109375" style="95" customWidth="1"/>
    <col min="10522" max="10522" width="10.28515625" style="95" customWidth="1"/>
    <col min="10523" max="10523" width="1.42578125" style="95" customWidth="1"/>
    <col min="10524" max="10524" width="16" style="95" customWidth="1"/>
    <col min="10525" max="10752" width="9.140625" style="95"/>
    <col min="10753" max="10753" width="1.28515625" style="95" customWidth="1"/>
    <col min="10754" max="10754" width="19" style="95" customWidth="1"/>
    <col min="10755" max="10755" width="1.5703125" style="95" customWidth="1"/>
    <col min="10756" max="10756" width="12.7109375" style="95" customWidth="1"/>
    <col min="10757" max="10757" width="10.140625" style="95" customWidth="1"/>
    <col min="10758" max="10758" width="15.5703125" style="95" customWidth="1"/>
    <col min="10759" max="10759" width="1.42578125" style="95" customWidth="1"/>
    <col min="10760" max="10760" width="9.28515625" style="95" bestFit="1" customWidth="1"/>
    <col min="10761" max="10761" width="3.7109375" style="95" customWidth="1"/>
    <col min="10762" max="10762" width="12.42578125" style="95" customWidth="1"/>
    <col min="10763" max="10763" width="10.85546875" style="95" customWidth="1"/>
    <col min="10764" max="10764" width="11.28515625" style="95" customWidth="1"/>
    <col min="10765" max="10765" width="1.42578125" style="95" customWidth="1"/>
    <col min="10766" max="10766" width="9.28515625" style="95" bestFit="1" customWidth="1"/>
    <col min="10767" max="10767" width="3.7109375" style="95" customWidth="1"/>
    <col min="10768" max="10768" width="10.140625" style="95" customWidth="1"/>
    <col min="10769" max="10769" width="1.42578125" style="95" customWidth="1"/>
    <col min="10770" max="10770" width="9.85546875" style="95" bestFit="1" customWidth="1"/>
    <col min="10771" max="10771" width="3.7109375" style="95" customWidth="1"/>
    <col min="10772" max="10772" width="13.42578125" style="95" customWidth="1"/>
    <col min="10773" max="10773" width="13.5703125" style="95" customWidth="1"/>
    <col min="10774" max="10774" width="13.42578125" style="95" customWidth="1"/>
    <col min="10775" max="10775" width="1.42578125" style="95" customWidth="1"/>
    <col min="10776" max="10776" width="14.5703125" style="95" customWidth="1"/>
    <col min="10777" max="10777" width="3.7109375" style="95" customWidth="1"/>
    <col min="10778" max="10778" width="10.28515625" style="95" customWidth="1"/>
    <col min="10779" max="10779" width="1.42578125" style="95" customWidth="1"/>
    <col min="10780" max="10780" width="16" style="95" customWidth="1"/>
    <col min="10781" max="11008" width="9.140625" style="95"/>
    <col min="11009" max="11009" width="1.28515625" style="95" customWidth="1"/>
    <col min="11010" max="11010" width="19" style="95" customWidth="1"/>
    <col min="11011" max="11011" width="1.5703125" style="95" customWidth="1"/>
    <col min="11012" max="11012" width="12.7109375" style="95" customWidth="1"/>
    <col min="11013" max="11013" width="10.140625" style="95" customWidth="1"/>
    <col min="11014" max="11014" width="15.5703125" style="95" customWidth="1"/>
    <col min="11015" max="11015" width="1.42578125" style="95" customWidth="1"/>
    <col min="11016" max="11016" width="9.28515625" style="95" bestFit="1" customWidth="1"/>
    <col min="11017" max="11017" width="3.7109375" style="95" customWidth="1"/>
    <col min="11018" max="11018" width="12.42578125" style="95" customWidth="1"/>
    <col min="11019" max="11019" width="10.85546875" style="95" customWidth="1"/>
    <col min="11020" max="11020" width="11.28515625" style="95" customWidth="1"/>
    <col min="11021" max="11021" width="1.42578125" style="95" customWidth="1"/>
    <col min="11022" max="11022" width="9.28515625" style="95" bestFit="1" customWidth="1"/>
    <col min="11023" max="11023" width="3.7109375" style="95" customWidth="1"/>
    <col min="11024" max="11024" width="10.140625" style="95" customWidth="1"/>
    <col min="11025" max="11025" width="1.42578125" style="95" customWidth="1"/>
    <col min="11026" max="11026" width="9.85546875" style="95" bestFit="1" customWidth="1"/>
    <col min="11027" max="11027" width="3.7109375" style="95" customWidth="1"/>
    <col min="11028" max="11028" width="13.42578125" style="95" customWidth="1"/>
    <col min="11029" max="11029" width="13.5703125" style="95" customWidth="1"/>
    <col min="11030" max="11030" width="13.42578125" style="95" customWidth="1"/>
    <col min="11031" max="11031" width="1.42578125" style="95" customWidth="1"/>
    <col min="11032" max="11032" width="14.5703125" style="95" customWidth="1"/>
    <col min="11033" max="11033" width="3.7109375" style="95" customWidth="1"/>
    <col min="11034" max="11034" width="10.28515625" style="95" customWidth="1"/>
    <col min="11035" max="11035" width="1.42578125" style="95" customWidth="1"/>
    <col min="11036" max="11036" width="16" style="95" customWidth="1"/>
    <col min="11037" max="11264" width="9.140625" style="95"/>
    <col min="11265" max="11265" width="1.28515625" style="95" customWidth="1"/>
    <col min="11266" max="11266" width="19" style="95" customWidth="1"/>
    <col min="11267" max="11267" width="1.5703125" style="95" customWidth="1"/>
    <col min="11268" max="11268" width="12.7109375" style="95" customWidth="1"/>
    <col min="11269" max="11269" width="10.140625" style="95" customWidth="1"/>
    <col min="11270" max="11270" width="15.5703125" style="95" customWidth="1"/>
    <col min="11271" max="11271" width="1.42578125" style="95" customWidth="1"/>
    <col min="11272" max="11272" width="9.28515625" style="95" bestFit="1" customWidth="1"/>
    <col min="11273" max="11273" width="3.7109375" style="95" customWidth="1"/>
    <col min="11274" max="11274" width="12.42578125" style="95" customWidth="1"/>
    <col min="11275" max="11275" width="10.85546875" style="95" customWidth="1"/>
    <col min="11276" max="11276" width="11.28515625" style="95" customWidth="1"/>
    <col min="11277" max="11277" width="1.42578125" style="95" customWidth="1"/>
    <col min="11278" max="11278" width="9.28515625" style="95" bestFit="1" customWidth="1"/>
    <col min="11279" max="11279" width="3.7109375" style="95" customWidth="1"/>
    <col min="11280" max="11280" width="10.140625" style="95" customWidth="1"/>
    <col min="11281" max="11281" width="1.42578125" style="95" customWidth="1"/>
    <col min="11282" max="11282" width="9.85546875" style="95" bestFit="1" customWidth="1"/>
    <col min="11283" max="11283" width="3.7109375" style="95" customWidth="1"/>
    <col min="11284" max="11284" width="13.42578125" style="95" customWidth="1"/>
    <col min="11285" max="11285" width="13.5703125" style="95" customWidth="1"/>
    <col min="11286" max="11286" width="13.42578125" style="95" customWidth="1"/>
    <col min="11287" max="11287" width="1.42578125" style="95" customWidth="1"/>
    <col min="11288" max="11288" width="14.5703125" style="95" customWidth="1"/>
    <col min="11289" max="11289" width="3.7109375" style="95" customWidth="1"/>
    <col min="11290" max="11290" width="10.28515625" style="95" customWidth="1"/>
    <col min="11291" max="11291" width="1.42578125" style="95" customWidth="1"/>
    <col min="11292" max="11292" width="16" style="95" customWidth="1"/>
    <col min="11293" max="11520" width="9.140625" style="95"/>
    <col min="11521" max="11521" width="1.28515625" style="95" customWidth="1"/>
    <col min="11522" max="11522" width="19" style="95" customWidth="1"/>
    <col min="11523" max="11523" width="1.5703125" style="95" customWidth="1"/>
    <col min="11524" max="11524" width="12.7109375" style="95" customWidth="1"/>
    <col min="11525" max="11525" width="10.140625" style="95" customWidth="1"/>
    <col min="11526" max="11526" width="15.5703125" style="95" customWidth="1"/>
    <col min="11527" max="11527" width="1.42578125" style="95" customWidth="1"/>
    <col min="11528" max="11528" width="9.28515625" style="95" bestFit="1" customWidth="1"/>
    <col min="11529" max="11529" width="3.7109375" style="95" customWidth="1"/>
    <col min="11530" max="11530" width="12.42578125" style="95" customWidth="1"/>
    <col min="11531" max="11531" width="10.85546875" style="95" customWidth="1"/>
    <col min="11532" max="11532" width="11.28515625" style="95" customWidth="1"/>
    <col min="11533" max="11533" width="1.42578125" style="95" customWidth="1"/>
    <col min="11534" max="11534" width="9.28515625" style="95" bestFit="1" customWidth="1"/>
    <col min="11535" max="11535" width="3.7109375" style="95" customWidth="1"/>
    <col min="11536" max="11536" width="10.140625" style="95" customWidth="1"/>
    <col min="11537" max="11537" width="1.42578125" style="95" customWidth="1"/>
    <col min="11538" max="11538" width="9.85546875" style="95" bestFit="1" customWidth="1"/>
    <col min="11539" max="11539" width="3.7109375" style="95" customWidth="1"/>
    <col min="11540" max="11540" width="13.42578125" style="95" customWidth="1"/>
    <col min="11541" max="11541" width="13.5703125" style="95" customWidth="1"/>
    <col min="11542" max="11542" width="13.42578125" style="95" customWidth="1"/>
    <col min="11543" max="11543" width="1.42578125" style="95" customWidth="1"/>
    <col min="11544" max="11544" width="14.5703125" style="95" customWidth="1"/>
    <col min="11545" max="11545" width="3.7109375" style="95" customWidth="1"/>
    <col min="11546" max="11546" width="10.28515625" style="95" customWidth="1"/>
    <col min="11547" max="11547" width="1.42578125" style="95" customWidth="1"/>
    <col min="11548" max="11548" width="16" style="95" customWidth="1"/>
    <col min="11549" max="11776" width="9.140625" style="95"/>
    <col min="11777" max="11777" width="1.28515625" style="95" customWidth="1"/>
    <col min="11778" max="11778" width="19" style="95" customWidth="1"/>
    <col min="11779" max="11779" width="1.5703125" style="95" customWidth="1"/>
    <col min="11780" max="11780" width="12.7109375" style="95" customWidth="1"/>
    <col min="11781" max="11781" width="10.140625" style="95" customWidth="1"/>
    <col min="11782" max="11782" width="15.5703125" style="95" customWidth="1"/>
    <col min="11783" max="11783" width="1.42578125" style="95" customWidth="1"/>
    <col min="11784" max="11784" width="9.28515625" style="95" bestFit="1" customWidth="1"/>
    <col min="11785" max="11785" width="3.7109375" style="95" customWidth="1"/>
    <col min="11786" max="11786" width="12.42578125" style="95" customWidth="1"/>
    <col min="11787" max="11787" width="10.85546875" style="95" customWidth="1"/>
    <col min="11788" max="11788" width="11.28515625" style="95" customWidth="1"/>
    <col min="11789" max="11789" width="1.42578125" style="95" customWidth="1"/>
    <col min="11790" max="11790" width="9.28515625" style="95" bestFit="1" customWidth="1"/>
    <col min="11791" max="11791" width="3.7109375" style="95" customWidth="1"/>
    <col min="11792" max="11792" width="10.140625" style="95" customWidth="1"/>
    <col min="11793" max="11793" width="1.42578125" style="95" customWidth="1"/>
    <col min="11794" max="11794" width="9.85546875" style="95" bestFit="1" customWidth="1"/>
    <col min="11795" max="11795" width="3.7109375" style="95" customWidth="1"/>
    <col min="11796" max="11796" width="13.42578125" style="95" customWidth="1"/>
    <col min="11797" max="11797" width="13.5703125" style="95" customWidth="1"/>
    <col min="11798" max="11798" width="13.42578125" style="95" customWidth="1"/>
    <col min="11799" max="11799" width="1.42578125" style="95" customWidth="1"/>
    <col min="11800" max="11800" width="14.5703125" style="95" customWidth="1"/>
    <col min="11801" max="11801" width="3.7109375" style="95" customWidth="1"/>
    <col min="11802" max="11802" width="10.28515625" style="95" customWidth="1"/>
    <col min="11803" max="11803" width="1.42578125" style="95" customWidth="1"/>
    <col min="11804" max="11804" width="16" style="95" customWidth="1"/>
    <col min="11805" max="12032" width="9.140625" style="95"/>
    <col min="12033" max="12033" width="1.28515625" style="95" customWidth="1"/>
    <col min="12034" max="12034" width="19" style="95" customWidth="1"/>
    <col min="12035" max="12035" width="1.5703125" style="95" customWidth="1"/>
    <col min="12036" max="12036" width="12.7109375" style="95" customWidth="1"/>
    <col min="12037" max="12037" width="10.140625" style="95" customWidth="1"/>
    <col min="12038" max="12038" width="15.5703125" style="95" customWidth="1"/>
    <col min="12039" max="12039" width="1.42578125" style="95" customWidth="1"/>
    <col min="12040" max="12040" width="9.28515625" style="95" bestFit="1" customWidth="1"/>
    <col min="12041" max="12041" width="3.7109375" style="95" customWidth="1"/>
    <col min="12042" max="12042" width="12.42578125" style="95" customWidth="1"/>
    <col min="12043" max="12043" width="10.85546875" style="95" customWidth="1"/>
    <col min="12044" max="12044" width="11.28515625" style="95" customWidth="1"/>
    <col min="12045" max="12045" width="1.42578125" style="95" customWidth="1"/>
    <col min="12046" max="12046" width="9.28515625" style="95" bestFit="1" customWidth="1"/>
    <col min="12047" max="12047" width="3.7109375" style="95" customWidth="1"/>
    <col min="12048" max="12048" width="10.140625" style="95" customWidth="1"/>
    <col min="12049" max="12049" width="1.42578125" style="95" customWidth="1"/>
    <col min="12050" max="12050" width="9.85546875" style="95" bestFit="1" customWidth="1"/>
    <col min="12051" max="12051" width="3.7109375" style="95" customWidth="1"/>
    <col min="12052" max="12052" width="13.42578125" style="95" customWidth="1"/>
    <col min="12053" max="12053" width="13.5703125" style="95" customWidth="1"/>
    <col min="12054" max="12054" width="13.42578125" style="95" customWidth="1"/>
    <col min="12055" max="12055" width="1.42578125" style="95" customWidth="1"/>
    <col min="12056" max="12056" width="14.5703125" style="95" customWidth="1"/>
    <col min="12057" max="12057" width="3.7109375" style="95" customWidth="1"/>
    <col min="12058" max="12058" width="10.28515625" style="95" customWidth="1"/>
    <col min="12059" max="12059" width="1.42578125" style="95" customWidth="1"/>
    <col min="12060" max="12060" width="16" style="95" customWidth="1"/>
    <col min="12061" max="12288" width="9.140625" style="95"/>
    <col min="12289" max="12289" width="1.28515625" style="95" customWidth="1"/>
    <col min="12290" max="12290" width="19" style="95" customWidth="1"/>
    <col min="12291" max="12291" width="1.5703125" style="95" customWidth="1"/>
    <col min="12292" max="12292" width="12.7109375" style="95" customWidth="1"/>
    <col min="12293" max="12293" width="10.140625" style="95" customWidth="1"/>
    <col min="12294" max="12294" width="15.5703125" style="95" customWidth="1"/>
    <col min="12295" max="12295" width="1.42578125" style="95" customWidth="1"/>
    <col min="12296" max="12296" width="9.28515625" style="95" bestFit="1" customWidth="1"/>
    <col min="12297" max="12297" width="3.7109375" style="95" customWidth="1"/>
    <col min="12298" max="12298" width="12.42578125" style="95" customWidth="1"/>
    <col min="12299" max="12299" width="10.85546875" style="95" customWidth="1"/>
    <col min="12300" max="12300" width="11.28515625" style="95" customWidth="1"/>
    <col min="12301" max="12301" width="1.42578125" style="95" customWidth="1"/>
    <col min="12302" max="12302" width="9.28515625" style="95" bestFit="1" customWidth="1"/>
    <col min="12303" max="12303" width="3.7109375" style="95" customWidth="1"/>
    <col min="12304" max="12304" width="10.140625" style="95" customWidth="1"/>
    <col min="12305" max="12305" width="1.42578125" style="95" customWidth="1"/>
    <col min="12306" max="12306" width="9.85546875" style="95" bestFit="1" customWidth="1"/>
    <col min="12307" max="12307" width="3.7109375" style="95" customWidth="1"/>
    <col min="12308" max="12308" width="13.42578125" style="95" customWidth="1"/>
    <col min="12309" max="12309" width="13.5703125" style="95" customWidth="1"/>
    <col min="12310" max="12310" width="13.42578125" style="95" customWidth="1"/>
    <col min="12311" max="12311" width="1.42578125" style="95" customWidth="1"/>
    <col min="12312" max="12312" width="14.5703125" style="95" customWidth="1"/>
    <col min="12313" max="12313" width="3.7109375" style="95" customWidth="1"/>
    <col min="12314" max="12314" width="10.28515625" style="95" customWidth="1"/>
    <col min="12315" max="12315" width="1.42578125" style="95" customWidth="1"/>
    <col min="12316" max="12316" width="16" style="95" customWidth="1"/>
    <col min="12317" max="12544" width="9.140625" style="95"/>
    <col min="12545" max="12545" width="1.28515625" style="95" customWidth="1"/>
    <col min="12546" max="12546" width="19" style="95" customWidth="1"/>
    <col min="12547" max="12547" width="1.5703125" style="95" customWidth="1"/>
    <col min="12548" max="12548" width="12.7109375" style="95" customWidth="1"/>
    <col min="12549" max="12549" width="10.140625" style="95" customWidth="1"/>
    <col min="12550" max="12550" width="15.5703125" style="95" customWidth="1"/>
    <col min="12551" max="12551" width="1.42578125" style="95" customWidth="1"/>
    <col min="12552" max="12552" width="9.28515625" style="95" bestFit="1" customWidth="1"/>
    <col min="12553" max="12553" width="3.7109375" style="95" customWidth="1"/>
    <col min="12554" max="12554" width="12.42578125" style="95" customWidth="1"/>
    <col min="12555" max="12555" width="10.85546875" style="95" customWidth="1"/>
    <col min="12556" max="12556" width="11.28515625" style="95" customWidth="1"/>
    <col min="12557" max="12557" width="1.42578125" style="95" customWidth="1"/>
    <col min="12558" max="12558" width="9.28515625" style="95" bestFit="1" customWidth="1"/>
    <col min="12559" max="12559" width="3.7109375" style="95" customWidth="1"/>
    <col min="12560" max="12560" width="10.140625" style="95" customWidth="1"/>
    <col min="12561" max="12561" width="1.42578125" style="95" customWidth="1"/>
    <col min="12562" max="12562" width="9.85546875" style="95" bestFit="1" customWidth="1"/>
    <col min="12563" max="12563" width="3.7109375" style="95" customWidth="1"/>
    <col min="12564" max="12564" width="13.42578125" style="95" customWidth="1"/>
    <col min="12565" max="12565" width="13.5703125" style="95" customWidth="1"/>
    <col min="12566" max="12566" width="13.42578125" style="95" customWidth="1"/>
    <col min="12567" max="12567" width="1.42578125" style="95" customWidth="1"/>
    <col min="12568" max="12568" width="14.5703125" style="95" customWidth="1"/>
    <col min="12569" max="12569" width="3.7109375" style="95" customWidth="1"/>
    <col min="12570" max="12570" width="10.28515625" style="95" customWidth="1"/>
    <col min="12571" max="12571" width="1.42578125" style="95" customWidth="1"/>
    <col min="12572" max="12572" width="16" style="95" customWidth="1"/>
    <col min="12573" max="12800" width="9.140625" style="95"/>
    <col min="12801" max="12801" width="1.28515625" style="95" customWidth="1"/>
    <col min="12802" max="12802" width="19" style="95" customWidth="1"/>
    <col min="12803" max="12803" width="1.5703125" style="95" customWidth="1"/>
    <col min="12804" max="12804" width="12.7109375" style="95" customWidth="1"/>
    <col min="12805" max="12805" width="10.140625" style="95" customWidth="1"/>
    <col min="12806" max="12806" width="15.5703125" style="95" customWidth="1"/>
    <col min="12807" max="12807" width="1.42578125" style="95" customWidth="1"/>
    <col min="12808" max="12808" width="9.28515625" style="95" bestFit="1" customWidth="1"/>
    <col min="12809" max="12809" width="3.7109375" style="95" customWidth="1"/>
    <col min="12810" max="12810" width="12.42578125" style="95" customWidth="1"/>
    <col min="12811" max="12811" width="10.85546875" style="95" customWidth="1"/>
    <col min="12812" max="12812" width="11.28515625" style="95" customWidth="1"/>
    <col min="12813" max="12813" width="1.42578125" style="95" customWidth="1"/>
    <col min="12814" max="12814" width="9.28515625" style="95" bestFit="1" customWidth="1"/>
    <col min="12815" max="12815" width="3.7109375" style="95" customWidth="1"/>
    <col min="12816" max="12816" width="10.140625" style="95" customWidth="1"/>
    <col min="12817" max="12817" width="1.42578125" style="95" customWidth="1"/>
    <col min="12818" max="12818" width="9.85546875" style="95" bestFit="1" customWidth="1"/>
    <col min="12819" max="12819" width="3.7109375" style="95" customWidth="1"/>
    <col min="12820" max="12820" width="13.42578125" style="95" customWidth="1"/>
    <col min="12821" max="12821" width="13.5703125" style="95" customWidth="1"/>
    <col min="12822" max="12822" width="13.42578125" style="95" customWidth="1"/>
    <col min="12823" max="12823" width="1.42578125" style="95" customWidth="1"/>
    <col min="12824" max="12824" width="14.5703125" style="95" customWidth="1"/>
    <col min="12825" max="12825" width="3.7109375" style="95" customWidth="1"/>
    <col min="12826" max="12826" width="10.28515625" style="95" customWidth="1"/>
    <col min="12827" max="12827" width="1.42578125" style="95" customWidth="1"/>
    <col min="12828" max="12828" width="16" style="95" customWidth="1"/>
    <col min="12829" max="13056" width="9.140625" style="95"/>
    <col min="13057" max="13057" width="1.28515625" style="95" customWidth="1"/>
    <col min="13058" max="13058" width="19" style="95" customWidth="1"/>
    <col min="13059" max="13059" width="1.5703125" style="95" customWidth="1"/>
    <col min="13060" max="13060" width="12.7109375" style="95" customWidth="1"/>
    <col min="13061" max="13061" width="10.140625" style="95" customWidth="1"/>
    <col min="13062" max="13062" width="15.5703125" style="95" customWidth="1"/>
    <col min="13063" max="13063" width="1.42578125" style="95" customWidth="1"/>
    <col min="13064" max="13064" width="9.28515625" style="95" bestFit="1" customWidth="1"/>
    <col min="13065" max="13065" width="3.7109375" style="95" customWidth="1"/>
    <col min="13066" max="13066" width="12.42578125" style="95" customWidth="1"/>
    <col min="13067" max="13067" width="10.85546875" style="95" customWidth="1"/>
    <col min="13068" max="13068" width="11.28515625" style="95" customWidth="1"/>
    <col min="13069" max="13069" width="1.42578125" style="95" customWidth="1"/>
    <col min="13070" max="13070" width="9.28515625" style="95" bestFit="1" customWidth="1"/>
    <col min="13071" max="13071" width="3.7109375" style="95" customWidth="1"/>
    <col min="13072" max="13072" width="10.140625" style="95" customWidth="1"/>
    <col min="13073" max="13073" width="1.42578125" style="95" customWidth="1"/>
    <col min="13074" max="13074" width="9.85546875" style="95" bestFit="1" customWidth="1"/>
    <col min="13075" max="13075" width="3.7109375" style="95" customWidth="1"/>
    <col min="13076" max="13076" width="13.42578125" style="95" customWidth="1"/>
    <col min="13077" max="13077" width="13.5703125" style="95" customWidth="1"/>
    <col min="13078" max="13078" width="13.42578125" style="95" customWidth="1"/>
    <col min="13079" max="13079" width="1.42578125" style="95" customWidth="1"/>
    <col min="13080" max="13080" width="14.5703125" style="95" customWidth="1"/>
    <col min="13081" max="13081" width="3.7109375" style="95" customWidth="1"/>
    <col min="13082" max="13082" width="10.28515625" style="95" customWidth="1"/>
    <col min="13083" max="13083" width="1.42578125" style="95" customWidth="1"/>
    <col min="13084" max="13084" width="16" style="95" customWidth="1"/>
    <col min="13085" max="13312" width="9.140625" style="95"/>
    <col min="13313" max="13313" width="1.28515625" style="95" customWidth="1"/>
    <col min="13314" max="13314" width="19" style="95" customWidth="1"/>
    <col min="13315" max="13315" width="1.5703125" style="95" customWidth="1"/>
    <col min="13316" max="13316" width="12.7109375" style="95" customWidth="1"/>
    <col min="13317" max="13317" width="10.140625" style="95" customWidth="1"/>
    <col min="13318" max="13318" width="15.5703125" style="95" customWidth="1"/>
    <col min="13319" max="13319" width="1.42578125" style="95" customWidth="1"/>
    <col min="13320" max="13320" width="9.28515625" style="95" bestFit="1" customWidth="1"/>
    <col min="13321" max="13321" width="3.7109375" style="95" customWidth="1"/>
    <col min="13322" max="13322" width="12.42578125" style="95" customWidth="1"/>
    <col min="13323" max="13323" width="10.85546875" style="95" customWidth="1"/>
    <col min="13324" max="13324" width="11.28515625" style="95" customWidth="1"/>
    <col min="13325" max="13325" width="1.42578125" style="95" customWidth="1"/>
    <col min="13326" max="13326" width="9.28515625" style="95" bestFit="1" customWidth="1"/>
    <col min="13327" max="13327" width="3.7109375" style="95" customWidth="1"/>
    <col min="13328" max="13328" width="10.140625" style="95" customWidth="1"/>
    <col min="13329" max="13329" width="1.42578125" style="95" customWidth="1"/>
    <col min="13330" max="13330" width="9.85546875" style="95" bestFit="1" customWidth="1"/>
    <col min="13331" max="13331" width="3.7109375" style="95" customWidth="1"/>
    <col min="13332" max="13332" width="13.42578125" style="95" customWidth="1"/>
    <col min="13333" max="13333" width="13.5703125" style="95" customWidth="1"/>
    <col min="13334" max="13334" width="13.42578125" style="95" customWidth="1"/>
    <col min="13335" max="13335" width="1.42578125" style="95" customWidth="1"/>
    <col min="13336" max="13336" width="14.5703125" style="95" customWidth="1"/>
    <col min="13337" max="13337" width="3.7109375" style="95" customWidth="1"/>
    <col min="13338" max="13338" width="10.28515625" style="95" customWidth="1"/>
    <col min="13339" max="13339" width="1.42578125" style="95" customWidth="1"/>
    <col min="13340" max="13340" width="16" style="95" customWidth="1"/>
    <col min="13341" max="13568" width="9.140625" style="95"/>
    <col min="13569" max="13569" width="1.28515625" style="95" customWidth="1"/>
    <col min="13570" max="13570" width="19" style="95" customWidth="1"/>
    <col min="13571" max="13571" width="1.5703125" style="95" customWidth="1"/>
    <col min="13572" max="13572" width="12.7109375" style="95" customWidth="1"/>
    <col min="13573" max="13573" width="10.140625" style="95" customWidth="1"/>
    <col min="13574" max="13574" width="15.5703125" style="95" customWidth="1"/>
    <col min="13575" max="13575" width="1.42578125" style="95" customWidth="1"/>
    <col min="13576" max="13576" width="9.28515625" style="95" bestFit="1" customWidth="1"/>
    <col min="13577" max="13577" width="3.7109375" style="95" customWidth="1"/>
    <col min="13578" max="13578" width="12.42578125" style="95" customWidth="1"/>
    <col min="13579" max="13579" width="10.85546875" style="95" customWidth="1"/>
    <col min="13580" max="13580" width="11.28515625" style="95" customWidth="1"/>
    <col min="13581" max="13581" width="1.42578125" style="95" customWidth="1"/>
    <col min="13582" max="13582" width="9.28515625" style="95" bestFit="1" customWidth="1"/>
    <col min="13583" max="13583" width="3.7109375" style="95" customWidth="1"/>
    <col min="13584" max="13584" width="10.140625" style="95" customWidth="1"/>
    <col min="13585" max="13585" width="1.42578125" style="95" customWidth="1"/>
    <col min="13586" max="13586" width="9.85546875" style="95" bestFit="1" customWidth="1"/>
    <col min="13587" max="13587" width="3.7109375" style="95" customWidth="1"/>
    <col min="13588" max="13588" width="13.42578125" style="95" customWidth="1"/>
    <col min="13589" max="13589" width="13.5703125" style="95" customWidth="1"/>
    <col min="13590" max="13590" width="13.42578125" style="95" customWidth="1"/>
    <col min="13591" max="13591" width="1.42578125" style="95" customWidth="1"/>
    <col min="13592" max="13592" width="14.5703125" style="95" customWidth="1"/>
    <col min="13593" max="13593" width="3.7109375" style="95" customWidth="1"/>
    <col min="13594" max="13594" width="10.28515625" style="95" customWidth="1"/>
    <col min="13595" max="13595" width="1.42578125" style="95" customWidth="1"/>
    <col min="13596" max="13596" width="16" style="95" customWidth="1"/>
    <col min="13597" max="13824" width="9.140625" style="95"/>
    <col min="13825" max="13825" width="1.28515625" style="95" customWidth="1"/>
    <col min="13826" max="13826" width="19" style="95" customWidth="1"/>
    <col min="13827" max="13827" width="1.5703125" style="95" customWidth="1"/>
    <col min="13828" max="13828" width="12.7109375" style="95" customWidth="1"/>
    <col min="13829" max="13829" width="10.140625" style="95" customWidth="1"/>
    <col min="13830" max="13830" width="15.5703125" style="95" customWidth="1"/>
    <col min="13831" max="13831" width="1.42578125" style="95" customWidth="1"/>
    <col min="13832" max="13832" width="9.28515625" style="95" bestFit="1" customWidth="1"/>
    <col min="13833" max="13833" width="3.7109375" style="95" customWidth="1"/>
    <col min="13834" max="13834" width="12.42578125" style="95" customWidth="1"/>
    <col min="13835" max="13835" width="10.85546875" style="95" customWidth="1"/>
    <col min="13836" max="13836" width="11.28515625" style="95" customWidth="1"/>
    <col min="13837" max="13837" width="1.42578125" style="95" customWidth="1"/>
    <col min="13838" max="13838" width="9.28515625" style="95" bestFit="1" customWidth="1"/>
    <col min="13839" max="13839" width="3.7109375" style="95" customWidth="1"/>
    <col min="13840" max="13840" width="10.140625" style="95" customWidth="1"/>
    <col min="13841" max="13841" width="1.42578125" style="95" customWidth="1"/>
    <col min="13842" max="13842" width="9.85546875" style="95" bestFit="1" customWidth="1"/>
    <col min="13843" max="13843" width="3.7109375" style="95" customWidth="1"/>
    <col min="13844" max="13844" width="13.42578125" style="95" customWidth="1"/>
    <col min="13845" max="13845" width="13.5703125" style="95" customWidth="1"/>
    <col min="13846" max="13846" width="13.42578125" style="95" customWidth="1"/>
    <col min="13847" max="13847" width="1.42578125" style="95" customWidth="1"/>
    <col min="13848" max="13848" width="14.5703125" style="95" customWidth="1"/>
    <col min="13849" max="13849" width="3.7109375" style="95" customWidth="1"/>
    <col min="13850" max="13850" width="10.28515625" style="95" customWidth="1"/>
    <col min="13851" max="13851" width="1.42578125" style="95" customWidth="1"/>
    <col min="13852" max="13852" width="16" style="95" customWidth="1"/>
    <col min="13853" max="14080" width="9.140625" style="95"/>
    <col min="14081" max="14081" width="1.28515625" style="95" customWidth="1"/>
    <col min="14082" max="14082" width="19" style="95" customWidth="1"/>
    <col min="14083" max="14083" width="1.5703125" style="95" customWidth="1"/>
    <col min="14084" max="14084" width="12.7109375" style="95" customWidth="1"/>
    <col min="14085" max="14085" width="10.140625" style="95" customWidth="1"/>
    <col min="14086" max="14086" width="15.5703125" style="95" customWidth="1"/>
    <col min="14087" max="14087" width="1.42578125" style="95" customWidth="1"/>
    <col min="14088" max="14088" width="9.28515625" style="95" bestFit="1" customWidth="1"/>
    <col min="14089" max="14089" width="3.7109375" style="95" customWidth="1"/>
    <col min="14090" max="14090" width="12.42578125" style="95" customWidth="1"/>
    <col min="14091" max="14091" width="10.85546875" style="95" customWidth="1"/>
    <col min="14092" max="14092" width="11.28515625" style="95" customWidth="1"/>
    <col min="14093" max="14093" width="1.42578125" style="95" customWidth="1"/>
    <col min="14094" max="14094" width="9.28515625" style="95" bestFit="1" customWidth="1"/>
    <col min="14095" max="14095" width="3.7109375" style="95" customWidth="1"/>
    <col min="14096" max="14096" width="10.140625" style="95" customWidth="1"/>
    <col min="14097" max="14097" width="1.42578125" style="95" customWidth="1"/>
    <col min="14098" max="14098" width="9.85546875" style="95" bestFit="1" customWidth="1"/>
    <col min="14099" max="14099" width="3.7109375" style="95" customWidth="1"/>
    <col min="14100" max="14100" width="13.42578125" style="95" customWidth="1"/>
    <col min="14101" max="14101" width="13.5703125" style="95" customWidth="1"/>
    <col min="14102" max="14102" width="13.42578125" style="95" customWidth="1"/>
    <col min="14103" max="14103" width="1.42578125" style="95" customWidth="1"/>
    <col min="14104" max="14104" width="14.5703125" style="95" customWidth="1"/>
    <col min="14105" max="14105" width="3.7109375" style="95" customWidth="1"/>
    <col min="14106" max="14106" width="10.28515625" style="95" customWidth="1"/>
    <col min="14107" max="14107" width="1.42578125" style="95" customWidth="1"/>
    <col min="14108" max="14108" width="16" style="95" customWidth="1"/>
    <col min="14109" max="14336" width="9.140625" style="95"/>
    <col min="14337" max="14337" width="1.28515625" style="95" customWidth="1"/>
    <col min="14338" max="14338" width="19" style="95" customWidth="1"/>
    <col min="14339" max="14339" width="1.5703125" style="95" customWidth="1"/>
    <col min="14340" max="14340" width="12.7109375" style="95" customWidth="1"/>
    <col min="14341" max="14341" width="10.140625" style="95" customWidth="1"/>
    <col min="14342" max="14342" width="15.5703125" style="95" customWidth="1"/>
    <col min="14343" max="14343" width="1.42578125" style="95" customWidth="1"/>
    <col min="14344" max="14344" width="9.28515625" style="95" bestFit="1" customWidth="1"/>
    <col min="14345" max="14345" width="3.7109375" style="95" customWidth="1"/>
    <col min="14346" max="14346" width="12.42578125" style="95" customWidth="1"/>
    <col min="14347" max="14347" width="10.85546875" style="95" customWidth="1"/>
    <col min="14348" max="14348" width="11.28515625" style="95" customWidth="1"/>
    <col min="14349" max="14349" width="1.42578125" style="95" customWidth="1"/>
    <col min="14350" max="14350" width="9.28515625" style="95" bestFit="1" customWidth="1"/>
    <col min="14351" max="14351" width="3.7109375" style="95" customWidth="1"/>
    <col min="14352" max="14352" width="10.140625" style="95" customWidth="1"/>
    <col min="14353" max="14353" width="1.42578125" style="95" customWidth="1"/>
    <col min="14354" max="14354" width="9.85546875" style="95" bestFit="1" customWidth="1"/>
    <col min="14355" max="14355" width="3.7109375" style="95" customWidth="1"/>
    <col min="14356" max="14356" width="13.42578125" style="95" customWidth="1"/>
    <col min="14357" max="14357" width="13.5703125" style="95" customWidth="1"/>
    <col min="14358" max="14358" width="13.42578125" style="95" customWidth="1"/>
    <col min="14359" max="14359" width="1.42578125" style="95" customWidth="1"/>
    <col min="14360" max="14360" width="14.5703125" style="95" customWidth="1"/>
    <col min="14361" max="14361" width="3.7109375" style="95" customWidth="1"/>
    <col min="14362" max="14362" width="10.28515625" style="95" customWidth="1"/>
    <col min="14363" max="14363" width="1.42578125" style="95" customWidth="1"/>
    <col min="14364" max="14364" width="16" style="95" customWidth="1"/>
    <col min="14365" max="14592" width="9.140625" style="95"/>
    <col min="14593" max="14593" width="1.28515625" style="95" customWidth="1"/>
    <col min="14594" max="14594" width="19" style="95" customWidth="1"/>
    <col min="14595" max="14595" width="1.5703125" style="95" customWidth="1"/>
    <col min="14596" max="14596" width="12.7109375" style="95" customWidth="1"/>
    <col min="14597" max="14597" width="10.140625" style="95" customWidth="1"/>
    <col min="14598" max="14598" width="15.5703125" style="95" customWidth="1"/>
    <col min="14599" max="14599" width="1.42578125" style="95" customWidth="1"/>
    <col min="14600" max="14600" width="9.28515625" style="95" bestFit="1" customWidth="1"/>
    <col min="14601" max="14601" width="3.7109375" style="95" customWidth="1"/>
    <col min="14602" max="14602" width="12.42578125" style="95" customWidth="1"/>
    <col min="14603" max="14603" width="10.85546875" style="95" customWidth="1"/>
    <col min="14604" max="14604" width="11.28515625" style="95" customWidth="1"/>
    <col min="14605" max="14605" width="1.42578125" style="95" customWidth="1"/>
    <col min="14606" max="14606" width="9.28515625" style="95" bestFit="1" customWidth="1"/>
    <col min="14607" max="14607" width="3.7109375" style="95" customWidth="1"/>
    <col min="14608" max="14608" width="10.140625" style="95" customWidth="1"/>
    <col min="14609" max="14609" width="1.42578125" style="95" customWidth="1"/>
    <col min="14610" max="14610" width="9.85546875" style="95" bestFit="1" customWidth="1"/>
    <col min="14611" max="14611" width="3.7109375" style="95" customWidth="1"/>
    <col min="14612" max="14612" width="13.42578125" style="95" customWidth="1"/>
    <col min="14613" max="14613" width="13.5703125" style="95" customWidth="1"/>
    <col min="14614" max="14614" width="13.42578125" style="95" customWidth="1"/>
    <col min="14615" max="14615" width="1.42578125" style="95" customWidth="1"/>
    <col min="14616" max="14616" width="14.5703125" style="95" customWidth="1"/>
    <col min="14617" max="14617" width="3.7109375" style="95" customWidth="1"/>
    <col min="14618" max="14618" width="10.28515625" style="95" customWidth="1"/>
    <col min="14619" max="14619" width="1.42578125" style="95" customWidth="1"/>
    <col min="14620" max="14620" width="16" style="95" customWidth="1"/>
    <col min="14621" max="14848" width="9.140625" style="95"/>
    <col min="14849" max="14849" width="1.28515625" style="95" customWidth="1"/>
    <col min="14850" max="14850" width="19" style="95" customWidth="1"/>
    <col min="14851" max="14851" width="1.5703125" style="95" customWidth="1"/>
    <col min="14852" max="14852" width="12.7109375" style="95" customWidth="1"/>
    <col min="14853" max="14853" width="10.140625" style="95" customWidth="1"/>
    <col min="14854" max="14854" width="15.5703125" style="95" customWidth="1"/>
    <col min="14855" max="14855" width="1.42578125" style="95" customWidth="1"/>
    <col min="14856" max="14856" width="9.28515625" style="95" bestFit="1" customWidth="1"/>
    <col min="14857" max="14857" width="3.7109375" style="95" customWidth="1"/>
    <col min="14858" max="14858" width="12.42578125" style="95" customWidth="1"/>
    <col min="14859" max="14859" width="10.85546875" style="95" customWidth="1"/>
    <col min="14860" max="14860" width="11.28515625" style="95" customWidth="1"/>
    <col min="14861" max="14861" width="1.42578125" style="95" customWidth="1"/>
    <col min="14862" max="14862" width="9.28515625" style="95" bestFit="1" customWidth="1"/>
    <col min="14863" max="14863" width="3.7109375" style="95" customWidth="1"/>
    <col min="14864" max="14864" width="10.140625" style="95" customWidth="1"/>
    <col min="14865" max="14865" width="1.42578125" style="95" customWidth="1"/>
    <col min="14866" max="14866" width="9.85546875" style="95" bestFit="1" customWidth="1"/>
    <col min="14867" max="14867" width="3.7109375" style="95" customWidth="1"/>
    <col min="14868" max="14868" width="13.42578125" style="95" customWidth="1"/>
    <col min="14869" max="14869" width="13.5703125" style="95" customWidth="1"/>
    <col min="14870" max="14870" width="13.42578125" style="95" customWidth="1"/>
    <col min="14871" max="14871" width="1.42578125" style="95" customWidth="1"/>
    <col min="14872" max="14872" width="14.5703125" style="95" customWidth="1"/>
    <col min="14873" max="14873" width="3.7109375" style="95" customWidth="1"/>
    <col min="14874" max="14874" width="10.28515625" style="95" customWidth="1"/>
    <col min="14875" max="14875" width="1.42578125" style="95" customWidth="1"/>
    <col min="14876" max="14876" width="16" style="95" customWidth="1"/>
    <col min="14877" max="15104" width="9.140625" style="95"/>
    <col min="15105" max="15105" width="1.28515625" style="95" customWidth="1"/>
    <col min="15106" max="15106" width="19" style="95" customWidth="1"/>
    <col min="15107" max="15107" width="1.5703125" style="95" customWidth="1"/>
    <col min="15108" max="15108" width="12.7109375" style="95" customWidth="1"/>
    <col min="15109" max="15109" width="10.140625" style="95" customWidth="1"/>
    <col min="15110" max="15110" width="15.5703125" style="95" customWidth="1"/>
    <col min="15111" max="15111" width="1.42578125" style="95" customWidth="1"/>
    <col min="15112" max="15112" width="9.28515625" style="95" bestFit="1" customWidth="1"/>
    <col min="15113" max="15113" width="3.7109375" style="95" customWidth="1"/>
    <col min="15114" max="15114" width="12.42578125" style="95" customWidth="1"/>
    <col min="15115" max="15115" width="10.85546875" style="95" customWidth="1"/>
    <col min="15116" max="15116" width="11.28515625" style="95" customWidth="1"/>
    <col min="15117" max="15117" width="1.42578125" style="95" customWidth="1"/>
    <col min="15118" max="15118" width="9.28515625" style="95" bestFit="1" customWidth="1"/>
    <col min="15119" max="15119" width="3.7109375" style="95" customWidth="1"/>
    <col min="15120" max="15120" width="10.140625" style="95" customWidth="1"/>
    <col min="15121" max="15121" width="1.42578125" style="95" customWidth="1"/>
    <col min="15122" max="15122" width="9.85546875" style="95" bestFit="1" customWidth="1"/>
    <col min="15123" max="15123" width="3.7109375" style="95" customWidth="1"/>
    <col min="15124" max="15124" width="13.42578125" style="95" customWidth="1"/>
    <col min="15125" max="15125" width="13.5703125" style="95" customWidth="1"/>
    <col min="15126" max="15126" width="13.42578125" style="95" customWidth="1"/>
    <col min="15127" max="15127" width="1.42578125" style="95" customWidth="1"/>
    <col min="15128" max="15128" width="14.5703125" style="95" customWidth="1"/>
    <col min="15129" max="15129" width="3.7109375" style="95" customWidth="1"/>
    <col min="15130" max="15130" width="10.28515625" style="95" customWidth="1"/>
    <col min="15131" max="15131" width="1.42578125" style="95" customWidth="1"/>
    <col min="15132" max="15132" width="16" style="95" customWidth="1"/>
    <col min="15133" max="15360" width="9.140625" style="95"/>
    <col min="15361" max="15361" width="1.28515625" style="95" customWidth="1"/>
    <col min="15362" max="15362" width="19" style="95" customWidth="1"/>
    <col min="15363" max="15363" width="1.5703125" style="95" customWidth="1"/>
    <col min="15364" max="15364" width="12.7109375" style="95" customWidth="1"/>
    <col min="15365" max="15365" width="10.140625" style="95" customWidth="1"/>
    <col min="15366" max="15366" width="15.5703125" style="95" customWidth="1"/>
    <col min="15367" max="15367" width="1.42578125" style="95" customWidth="1"/>
    <col min="15368" max="15368" width="9.28515625" style="95" bestFit="1" customWidth="1"/>
    <col min="15369" max="15369" width="3.7109375" style="95" customWidth="1"/>
    <col min="15370" max="15370" width="12.42578125" style="95" customWidth="1"/>
    <col min="15371" max="15371" width="10.85546875" style="95" customWidth="1"/>
    <col min="15372" max="15372" width="11.28515625" style="95" customWidth="1"/>
    <col min="15373" max="15373" width="1.42578125" style="95" customWidth="1"/>
    <col min="15374" max="15374" width="9.28515625" style="95" bestFit="1" customWidth="1"/>
    <col min="15375" max="15375" width="3.7109375" style="95" customWidth="1"/>
    <col min="15376" max="15376" width="10.140625" style="95" customWidth="1"/>
    <col min="15377" max="15377" width="1.42578125" style="95" customWidth="1"/>
    <col min="15378" max="15378" width="9.85546875" style="95" bestFit="1" customWidth="1"/>
    <col min="15379" max="15379" width="3.7109375" style="95" customWidth="1"/>
    <col min="15380" max="15380" width="13.42578125" style="95" customWidth="1"/>
    <col min="15381" max="15381" width="13.5703125" style="95" customWidth="1"/>
    <col min="15382" max="15382" width="13.42578125" style="95" customWidth="1"/>
    <col min="15383" max="15383" width="1.42578125" style="95" customWidth="1"/>
    <col min="15384" max="15384" width="14.5703125" style="95" customWidth="1"/>
    <col min="15385" max="15385" width="3.7109375" style="95" customWidth="1"/>
    <col min="15386" max="15386" width="10.28515625" style="95" customWidth="1"/>
    <col min="15387" max="15387" width="1.42578125" style="95" customWidth="1"/>
    <col min="15388" max="15388" width="16" style="95" customWidth="1"/>
    <col min="15389" max="15616" width="9.140625" style="95"/>
    <col min="15617" max="15617" width="1.28515625" style="95" customWidth="1"/>
    <col min="15618" max="15618" width="19" style="95" customWidth="1"/>
    <col min="15619" max="15619" width="1.5703125" style="95" customWidth="1"/>
    <col min="15620" max="15620" width="12.7109375" style="95" customWidth="1"/>
    <col min="15621" max="15621" width="10.140625" style="95" customWidth="1"/>
    <col min="15622" max="15622" width="15.5703125" style="95" customWidth="1"/>
    <col min="15623" max="15623" width="1.42578125" style="95" customWidth="1"/>
    <col min="15624" max="15624" width="9.28515625" style="95" bestFit="1" customWidth="1"/>
    <col min="15625" max="15625" width="3.7109375" style="95" customWidth="1"/>
    <col min="15626" max="15626" width="12.42578125" style="95" customWidth="1"/>
    <col min="15627" max="15627" width="10.85546875" style="95" customWidth="1"/>
    <col min="15628" max="15628" width="11.28515625" style="95" customWidth="1"/>
    <col min="15629" max="15629" width="1.42578125" style="95" customWidth="1"/>
    <col min="15630" max="15630" width="9.28515625" style="95" bestFit="1" customWidth="1"/>
    <col min="15631" max="15631" width="3.7109375" style="95" customWidth="1"/>
    <col min="15632" max="15632" width="10.140625" style="95" customWidth="1"/>
    <col min="15633" max="15633" width="1.42578125" style="95" customWidth="1"/>
    <col min="15634" max="15634" width="9.85546875" style="95" bestFit="1" customWidth="1"/>
    <col min="15635" max="15635" width="3.7109375" style="95" customWidth="1"/>
    <col min="15636" max="15636" width="13.42578125" style="95" customWidth="1"/>
    <col min="15637" max="15637" width="13.5703125" style="95" customWidth="1"/>
    <col min="15638" max="15638" width="13.42578125" style="95" customWidth="1"/>
    <col min="15639" max="15639" width="1.42578125" style="95" customWidth="1"/>
    <col min="15640" max="15640" width="14.5703125" style="95" customWidth="1"/>
    <col min="15641" max="15641" width="3.7109375" style="95" customWidth="1"/>
    <col min="15642" max="15642" width="10.28515625" style="95" customWidth="1"/>
    <col min="15643" max="15643" width="1.42578125" style="95" customWidth="1"/>
    <col min="15644" max="15644" width="16" style="95" customWidth="1"/>
    <col min="15645" max="15872" width="9.140625" style="95"/>
    <col min="15873" max="15873" width="1.28515625" style="95" customWidth="1"/>
    <col min="15874" max="15874" width="19" style="95" customWidth="1"/>
    <col min="15875" max="15875" width="1.5703125" style="95" customWidth="1"/>
    <col min="15876" max="15876" width="12.7109375" style="95" customWidth="1"/>
    <col min="15877" max="15877" width="10.140625" style="95" customWidth="1"/>
    <col min="15878" max="15878" width="15.5703125" style="95" customWidth="1"/>
    <col min="15879" max="15879" width="1.42578125" style="95" customWidth="1"/>
    <col min="15880" max="15880" width="9.28515625" style="95" bestFit="1" customWidth="1"/>
    <col min="15881" max="15881" width="3.7109375" style="95" customWidth="1"/>
    <col min="15882" max="15882" width="12.42578125" style="95" customWidth="1"/>
    <col min="15883" max="15883" width="10.85546875" style="95" customWidth="1"/>
    <col min="15884" max="15884" width="11.28515625" style="95" customWidth="1"/>
    <col min="15885" max="15885" width="1.42578125" style="95" customWidth="1"/>
    <col min="15886" max="15886" width="9.28515625" style="95" bestFit="1" customWidth="1"/>
    <col min="15887" max="15887" width="3.7109375" style="95" customWidth="1"/>
    <col min="15888" max="15888" width="10.140625" style="95" customWidth="1"/>
    <col min="15889" max="15889" width="1.42578125" style="95" customWidth="1"/>
    <col min="15890" max="15890" width="9.85546875" style="95" bestFit="1" customWidth="1"/>
    <col min="15891" max="15891" width="3.7109375" style="95" customWidth="1"/>
    <col min="15892" max="15892" width="13.42578125" style="95" customWidth="1"/>
    <col min="15893" max="15893" width="13.5703125" style="95" customWidth="1"/>
    <col min="15894" max="15894" width="13.42578125" style="95" customWidth="1"/>
    <col min="15895" max="15895" width="1.42578125" style="95" customWidth="1"/>
    <col min="15896" max="15896" width="14.5703125" style="95" customWidth="1"/>
    <col min="15897" max="15897" width="3.7109375" style="95" customWidth="1"/>
    <col min="15898" max="15898" width="10.28515625" style="95" customWidth="1"/>
    <col min="15899" max="15899" width="1.42578125" style="95" customWidth="1"/>
    <col min="15900" max="15900" width="16" style="95" customWidth="1"/>
    <col min="15901" max="16128" width="9.140625" style="95"/>
    <col min="16129" max="16129" width="1.28515625" style="95" customWidth="1"/>
    <col min="16130" max="16130" width="19" style="95" customWidth="1"/>
    <col min="16131" max="16131" width="1.5703125" style="95" customWidth="1"/>
    <col min="16132" max="16132" width="12.7109375" style="95" customWidth="1"/>
    <col min="16133" max="16133" width="10.140625" style="95" customWidth="1"/>
    <col min="16134" max="16134" width="15.5703125" style="95" customWidth="1"/>
    <col min="16135" max="16135" width="1.42578125" style="95" customWidth="1"/>
    <col min="16136" max="16136" width="9.28515625" style="95" bestFit="1" customWidth="1"/>
    <col min="16137" max="16137" width="3.7109375" style="95" customWidth="1"/>
    <col min="16138" max="16138" width="12.42578125" style="95" customWidth="1"/>
    <col min="16139" max="16139" width="10.85546875" style="95" customWidth="1"/>
    <col min="16140" max="16140" width="11.28515625" style="95" customWidth="1"/>
    <col min="16141" max="16141" width="1.42578125" style="95" customWidth="1"/>
    <col min="16142" max="16142" width="9.28515625" style="95" bestFit="1" customWidth="1"/>
    <col min="16143" max="16143" width="3.7109375" style="95" customWidth="1"/>
    <col min="16144" max="16144" width="10.140625" style="95" customWidth="1"/>
    <col min="16145" max="16145" width="1.42578125" style="95" customWidth="1"/>
    <col min="16146" max="16146" width="9.85546875" style="95" bestFit="1" customWidth="1"/>
    <col min="16147" max="16147" width="3.7109375" style="95" customWidth="1"/>
    <col min="16148" max="16148" width="13.42578125" style="95" customWidth="1"/>
    <col min="16149" max="16149" width="13.5703125" style="95" customWidth="1"/>
    <col min="16150" max="16150" width="13.42578125" style="95" customWidth="1"/>
    <col min="16151" max="16151" width="1.42578125" style="95" customWidth="1"/>
    <col min="16152" max="16152" width="14.5703125" style="95" customWidth="1"/>
    <col min="16153" max="16153" width="3.7109375" style="95" customWidth="1"/>
    <col min="16154" max="16154" width="10.28515625" style="95" customWidth="1"/>
    <col min="16155" max="16155" width="1.42578125" style="95" customWidth="1"/>
    <col min="16156" max="16156" width="16" style="95" customWidth="1"/>
    <col min="16157" max="16384" width="9.140625" style="95"/>
  </cols>
  <sheetData>
    <row r="1" spans="1:28" s="288" customFormat="1" ht="15.75">
      <c r="A1" s="2" t="s">
        <v>253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</row>
    <row r="2" spans="1:28" s="288" customFormat="1" ht="15.75">
      <c r="A2" s="2" t="s">
        <v>108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</row>
    <row r="3" spans="1:28" s="288" customFormat="1" ht="15.75">
      <c r="A3" s="2" t="s">
        <v>103</v>
      </c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</row>
    <row r="4" spans="1:28" s="288" customFormat="1" ht="15.75">
      <c r="A4" s="34" t="s">
        <v>1190</v>
      </c>
      <c r="B4" s="181"/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1"/>
      <c r="AA4" s="181"/>
      <c r="AB4" s="181"/>
    </row>
    <row r="5" spans="1:28" s="288" customFormat="1" ht="12.75">
      <c r="A5" s="94" t="s">
        <v>1191</v>
      </c>
      <c r="B5" s="181"/>
      <c r="C5" s="181"/>
      <c r="D5" s="181"/>
      <c r="E5" s="181"/>
      <c r="F5" s="181"/>
      <c r="G5" s="181"/>
      <c r="H5" s="181"/>
      <c r="I5" s="181"/>
      <c r="J5" s="35"/>
      <c r="K5" s="181"/>
      <c r="L5" s="181"/>
      <c r="M5" s="181"/>
      <c r="N5" s="181"/>
      <c r="O5" s="181"/>
      <c r="P5" s="181"/>
      <c r="Q5" s="181"/>
      <c r="R5" s="181"/>
      <c r="S5" s="181"/>
      <c r="T5" s="35"/>
      <c r="U5" s="181"/>
      <c r="V5" s="181"/>
      <c r="W5" s="181"/>
      <c r="X5" s="181"/>
      <c r="Y5" s="181"/>
      <c r="Z5" s="181"/>
      <c r="AA5" s="181"/>
      <c r="AB5" s="181"/>
    </row>
    <row r="6" spans="1:28" s="288" customFormat="1" ht="12.75">
      <c r="A6" s="94"/>
      <c r="B6" s="181"/>
      <c r="C6" s="181"/>
      <c r="D6" s="553" t="s">
        <v>114</v>
      </c>
      <c r="E6" s="553"/>
      <c r="F6" s="553"/>
      <c r="G6" s="553"/>
      <c r="H6" s="553"/>
      <c r="I6" s="181"/>
      <c r="J6" s="553" t="s">
        <v>112</v>
      </c>
      <c r="K6" s="553"/>
      <c r="L6" s="553"/>
      <c r="M6" s="553"/>
      <c r="N6" s="553"/>
      <c r="O6" s="553"/>
      <c r="P6" s="553"/>
      <c r="Q6" s="553"/>
      <c r="R6" s="553"/>
      <c r="S6" s="181"/>
      <c r="T6" s="553" t="s">
        <v>192</v>
      </c>
      <c r="U6" s="553"/>
      <c r="V6" s="553"/>
      <c r="W6" s="553"/>
      <c r="X6" s="553"/>
      <c r="Y6" s="553"/>
      <c r="Z6" s="553"/>
      <c r="AA6" s="553"/>
      <c r="AB6" s="553"/>
    </row>
    <row r="7" spans="1:28">
      <c r="B7" s="96"/>
      <c r="D7" s="557">
        <v>40908</v>
      </c>
      <c r="E7" s="555"/>
      <c r="F7" s="555"/>
      <c r="G7" s="555"/>
      <c r="H7" s="555"/>
      <c r="I7" s="97"/>
      <c r="J7" s="558">
        <v>40816</v>
      </c>
      <c r="K7" s="558"/>
      <c r="L7" s="558"/>
      <c r="M7" s="558"/>
      <c r="N7" s="558"/>
      <c r="P7" s="559" t="s">
        <v>1188</v>
      </c>
      <c r="Q7" s="559"/>
      <c r="R7" s="559"/>
      <c r="S7" s="97"/>
      <c r="T7" s="558">
        <v>40543</v>
      </c>
      <c r="U7" s="558"/>
      <c r="V7" s="558"/>
      <c r="W7" s="558"/>
      <c r="X7" s="558"/>
      <c r="Z7" s="473" t="s">
        <v>1189</v>
      </c>
      <c r="AA7" s="473"/>
      <c r="AB7" s="473"/>
    </row>
    <row r="8" spans="1:28">
      <c r="B8" s="99"/>
      <c r="D8" s="468" t="s">
        <v>83</v>
      </c>
      <c r="E8" s="468" t="s">
        <v>84</v>
      </c>
      <c r="F8" s="468" t="s">
        <v>85</v>
      </c>
      <c r="G8" s="100"/>
      <c r="H8" s="148" t="s">
        <v>106</v>
      </c>
      <c r="J8" s="468" t="str">
        <f>D8</f>
        <v>Gross</v>
      </c>
      <c r="K8" s="468" t="str">
        <f>E8</f>
        <v>Ceded</v>
      </c>
      <c r="L8" s="468" t="str">
        <f>F8</f>
        <v>Net</v>
      </c>
      <c r="M8" s="100"/>
      <c r="N8" s="148" t="str">
        <f>H8</f>
        <v>% Retained</v>
      </c>
      <c r="P8" s="469" t="s">
        <v>85</v>
      </c>
      <c r="Q8" s="101"/>
      <c r="R8" s="149" t="str">
        <f>+N8</f>
        <v>% Retained</v>
      </c>
      <c r="T8" s="468" t="s">
        <v>83</v>
      </c>
      <c r="U8" s="468" t="str">
        <f>+K8</f>
        <v>Ceded</v>
      </c>
      <c r="V8" s="468" t="str">
        <f>P8</f>
        <v>Net</v>
      </c>
      <c r="W8" s="100"/>
      <c r="X8" s="148" t="str">
        <f>R8</f>
        <v>% Retained</v>
      </c>
      <c r="Z8" s="469" t="s">
        <v>85</v>
      </c>
      <c r="AA8" s="101"/>
      <c r="AB8" s="149" t="str">
        <f>+X8</f>
        <v>% Retained</v>
      </c>
    </row>
    <row r="9" spans="1:28">
      <c r="D9" s="105"/>
      <c r="E9" s="105"/>
      <c r="F9" s="105"/>
      <c r="G9" s="106"/>
      <c r="H9" s="105"/>
      <c r="J9" s="105"/>
      <c r="K9" s="105"/>
      <c r="L9" s="105"/>
      <c r="M9" s="106"/>
      <c r="N9" s="105"/>
      <c r="P9" s="107"/>
      <c r="Q9" s="108"/>
      <c r="R9" s="107"/>
      <c r="T9" s="105"/>
      <c r="U9" s="105"/>
      <c r="V9" s="105"/>
      <c r="W9" s="106"/>
      <c r="X9" s="105"/>
      <c r="Z9" s="107"/>
      <c r="AA9" s="108"/>
      <c r="AB9" s="107"/>
    </row>
    <row r="10" spans="1:28">
      <c r="A10" s="102" t="s">
        <v>79</v>
      </c>
      <c r="B10" s="102"/>
      <c r="D10" s="141">
        <v>1801.5098522399999</v>
      </c>
      <c r="E10" s="141">
        <v>-4.8719999999999999</v>
      </c>
      <c r="F10" s="141">
        <v>1796.6378522399998</v>
      </c>
      <c r="G10" s="151"/>
      <c r="H10" s="154">
        <v>0.99729560180093257</v>
      </c>
      <c r="I10" s="103"/>
      <c r="J10" s="141">
        <v>1881.1381547999999</v>
      </c>
      <c r="K10" s="141">
        <v>-3.1930000000000005</v>
      </c>
      <c r="L10" s="141">
        <v>1877.9451548</v>
      </c>
      <c r="M10" s="151"/>
      <c r="N10" s="154">
        <v>0.99830262333903941</v>
      </c>
      <c r="O10" s="103"/>
      <c r="P10" s="146">
        <v>-81.307302560000153</v>
      </c>
      <c r="Q10" s="142"/>
      <c r="R10" s="155">
        <v>-1.0070215381068337E-3</v>
      </c>
      <c r="S10" s="103"/>
      <c r="T10" s="141">
        <v>3039.25476192</v>
      </c>
      <c r="U10" s="141">
        <v>-37.752000000000002</v>
      </c>
      <c r="V10" s="141">
        <v>3001.50276192</v>
      </c>
      <c r="W10" s="151"/>
      <c r="X10" s="154">
        <v>0.98757853389817485</v>
      </c>
      <c r="Y10" s="103"/>
      <c r="Z10" s="146">
        <v>-1204.8649096800002</v>
      </c>
      <c r="AA10" s="142"/>
      <c r="AB10" s="155">
        <v>9.7170679027577256E-3</v>
      </c>
    </row>
    <row r="11" spans="1:28">
      <c r="D11" s="102"/>
      <c r="E11" s="102"/>
      <c r="F11" s="102"/>
      <c r="G11" s="103"/>
      <c r="H11" s="156"/>
      <c r="I11" s="103"/>
      <c r="J11" s="102"/>
      <c r="K11" s="102"/>
      <c r="L11" s="102"/>
      <c r="M11" s="103"/>
      <c r="N11" s="156"/>
      <c r="O11" s="103"/>
      <c r="P11" s="142"/>
      <c r="Q11" s="142"/>
      <c r="R11" s="142"/>
      <c r="S11" s="103"/>
      <c r="T11" s="102"/>
      <c r="U11" s="102"/>
      <c r="V11" s="102"/>
      <c r="W11" s="103"/>
      <c r="X11" s="156"/>
      <c r="Y11" s="103"/>
      <c r="Z11" s="142"/>
      <c r="AA11" s="142"/>
      <c r="AB11" s="142"/>
    </row>
    <row r="12" spans="1:28" ht="13.5" customHeight="1">
      <c r="A12" s="102" t="s">
        <v>159</v>
      </c>
      <c r="D12" s="143">
        <v>377.40387335999975</v>
      </c>
      <c r="E12" s="143">
        <v>-116.19815125708058</v>
      </c>
      <c r="F12" s="143">
        <v>261.20572210291914</v>
      </c>
      <c r="G12" s="103"/>
      <c r="H12" s="154">
        <v>0.69211192714431691</v>
      </c>
      <c r="I12" s="103"/>
      <c r="J12" s="143">
        <v>385.70907099999999</v>
      </c>
      <c r="K12" s="143">
        <v>-118.21225958798681</v>
      </c>
      <c r="L12" s="143">
        <v>267.49681141201319</v>
      </c>
      <c r="M12" s="103"/>
      <c r="N12" s="154">
        <v>0.69351962793743371</v>
      </c>
      <c r="O12" s="103"/>
      <c r="P12" s="146">
        <v>-6.2910893090940476</v>
      </c>
      <c r="Q12" s="142"/>
      <c r="R12" s="155">
        <v>-1.4077007931168062E-3</v>
      </c>
      <c r="S12" s="103"/>
      <c r="T12" s="143">
        <v>415.14765500000004</v>
      </c>
      <c r="U12" s="143">
        <v>-130.58187207655283</v>
      </c>
      <c r="V12" s="143">
        <v>284.56578292344722</v>
      </c>
      <c r="W12" s="103"/>
      <c r="X12" s="154">
        <v>0.68545679951738425</v>
      </c>
      <c r="Y12" s="103"/>
      <c r="Z12" s="146">
        <v>-23.360060820528076</v>
      </c>
      <c r="AA12" s="142"/>
      <c r="AB12" s="155">
        <v>6.6551276269326554E-3</v>
      </c>
    </row>
    <row r="13" spans="1:28" ht="13.5" customHeight="1">
      <c r="D13" s="102"/>
      <c r="E13" s="102"/>
      <c r="F13" s="102"/>
      <c r="G13" s="103"/>
      <c r="H13" s="156"/>
      <c r="I13" s="103"/>
      <c r="J13" s="102"/>
      <c r="K13" s="102"/>
      <c r="L13" s="102"/>
      <c r="M13" s="103"/>
      <c r="N13" s="156"/>
      <c r="O13" s="103"/>
      <c r="P13" s="142"/>
      <c r="Q13" s="142"/>
      <c r="R13" s="142"/>
      <c r="S13" s="103"/>
      <c r="T13" s="102"/>
      <c r="U13" s="102"/>
      <c r="V13" s="102"/>
      <c r="W13" s="103"/>
      <c r="X13" s="156"/>
      <c r="Y13" s="103"/>
      <c r="Z13" s="142"/>
      <c r="AA13" s="142"/>
      <c r="AB13" s="142"/>
    </row>
    <row r="14" spans="1:28" ht="14.25" thickBot="1">
      <c r="B14" s="104" t="s">
        <v>39</v>
      </c>
      <c r="D14" s="144">
        <v>2178.9137255999995</v>
      </c>
      <c r="E14" s="144">
        <v>-121.07015125708058</v>
      </c>
      <c r="F14" s="144">
        <v>2057.8435743429191</v>
      </c>
      <c r="G14" s="103"/>
      <c r="H14" s="157">
        <v>0.94443554610050395</v>
      </c>
      <c r="I14" s="103"/>
      <c r="J14" s="144">
        <v>2266.8472258000002</v>
      </c>
      <c r="K14" s="144">
        <v>-121.40525958798681</v>
      </c>
      <c r="L14" s="144">
        <v>2145.4419662120131</v>
      </c>
      <c r="M14" s="103"/>
      <c r="N14" s="157">
        <v>0.94644312232151351</v>
      </c>
      <c r="O14" s="103"/>
      <c r="P14" s="145">
        <v>-87.598391869094201</v>
      </c>
      <c r="Q14" s="142"/>
      <c r="R14" s="147">
        <v>-2.0075762210095549E-3</v>
      </c>
      <c r="S14" s="103"/>
      <c r="T14" s="144">
        <v>3454.4024169200002</v>
      </c>
      <c r="U14" s="144">
        <v>-168.33387207655284</v>
      </c>
      <c r="V14" s="144">
        <v>3286.0685448434474</v>
      </c>
      <c r="W14" s="103"/>
      <c r="X14" s="157">
        <v>0.95126975616620779</v>
      </c>
      <c r="Y14" s="103"/>
      <c r="Z14" s="145">
        <v>-1228.2249705005283</v>
      </c>
      <c r="AA14" s="142"/>
      <c r="AB14" s="147">
        <v>-6.8342100657038385E-3</v>
      </c>
    </row>
    <row r="15" spans="1:28" ht="14.25" thickTop="1"/>
  </sheetData>
  <mergeCells count="7">
    <mergeCell ref="D6:H6"/>
    <mergeCell ref="J6:R6"/>
    <mergeCell ref="T6:AB6"/>
    <mergeCell ref="D7:H7"/>
    <mergeCell ref="J7:N7"/>
    <mergeCell ref="P7:R7"/>
    <mergeCell ref="T7:X7"/>
  </mergeCells>
  <phoneticPr fontId="0" type="noConversion"/>
  <conditionalFormatting sqref="G10 M10 W10">
    <cfRule type="cellIs" dxfId="0" priority="4" stopIfTrue="1" operator="notEqual">
      <formula>0</formula>
    </cfRule>
  </conditionalFormatting>
  <pageMargins left="0.5" right="0.5" top="0.5" bottom="0.5" header="0.25" footer="0.25"/>
  <pageSetup scale="54" orientation="landscape" r:id="rId1"/>
  <headerFooter alignWithMargins="0">
    <oddFooter>&amp;L&amp;F&amp;C&amp;P&amp;R&amp;D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10</vt:i4>
      </vt:variant>
    </vt:vector>
  </HeadingPairs>
  <TitlesOfParts>
    <vt:vector size="22" baseType="lpstr">
      <vt:lpstr>Balance Sheet - New Present.</vt:lpstr>
      <vt:lpstr>Income Statement QTD</vt:lpstr>
      <vt:lpstr>Income Statement 10-K</vt:lpstr>
      <vt:lpstr>Income Statement YTD</vt:lpstr>
      <vt:lpstr>Quarterly Trend</vt:lpstr>
      <vt:lpstr>MD&amp;A</vt:lpstr>
      <vt:lpstr>Cash and Investments</vt:lpstr>
      <vt:lpstr>Fixed Maturities by CUSIP</vt:lpstr>
      <vt:lpstr>Sub-Prime Exposure - Summary</vt:lpstr>
      <vt:lpstr>Sub-Prime Exposure - Detail</vt:lpstr>
      <vt:lpstr>In-force - Gross</vt:lpstr>
      <vt:lpstr>In-force - Net</vt:lpstr>
      <vt:lpstr>'Fixed Maturities by CUSIP'!ALLVIEWS</vt:lpstr>
      <vt:lpstr>'Balance Sheet - New Present.'!Print_Area</vt:lpstr>
      <vt:lpstr>'Fixed Maturities by CUSIP'!Print_Area</vt:lpstr>
      <vt:lpstr>'Income Statement 10-K'!Print_Area</vt:lpstr>
      <vt:lpstr>'Income Statement QTD'!Print_Area</vt:lpstr>
      <vt:lpstr>'Income Statement YTD'!Print_Area</vt:lpstr>
      <vt:lpstr>'MD&amp;A'!Print_Area</vt:lpstr>
      <vt:lpstr>'Quarterly Trend'!Print_Area</vt:lpstr>
      <vt:lpstr>'Fixed Maturities by CUSIP'!Print_Titles</vt:lpstr>
      <vt:lpstr>'Fixed Maturities by CUSIP'!TotalbyCUSIP</vt:lpstr>
    </vt:vector>
  </TitlesOfParts>
  <Company>American Progressive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Cushman</dc:creator>
  <cp:lastModifiedBy>George Collister</cp:lastModifiedBy>
  <cp:lastPrinted>2012-03-08T19:24:32Z</cp:lastPrinted>
  <dcterms:created xsi:type="dcterms:W3CDTF">2001-03-22T14:46:51Z</dcterms:created>
  <dcterms:modified xsi:type="dcterms:W3CDTF">2012-03-13T19:35:48Z</dcterms:modified>
</cp:coreProperties>
</file>