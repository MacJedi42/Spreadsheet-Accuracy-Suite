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-6495" yWindow="1500" windowWidth="19200" windowHeight="11640" activeTab="1"/>
  </bookViews>
  <sheets>
    <sheet name="Single Voucher" sheetId="1" r:id="rId1"/>
    <sheet name="Voucher x 2" sheetId="2" r:id="rId2"/>
  </sheets>
  <definedNames>
    <definedName name="Dept">#REF!</definedName>
    <definedName name="NvsEndTime">39664.6946759259</definedName>
    <definedName name="_xlnm.Print_Area" localSheetId="0">'Single Voucher'!$A$1:$M$27</definedName>
    <definedName name="_xlnm.Print_Area" localSheetId="1">'Voucher x 2'!$A$1:$M$59</definedName>
    <definedName name="Projects">#REF!</definedName>
  </definedNames>
  <calcPr calcId="125725"/>
</workbook>
</file>

<file path=xl/calcChain.xml><?xml version="1.0" encoding="utf-8"?>
<calcChain xmlns="http://schemas.openxmlformats.org/spreadsheetml/2006/main">
  <c r="I16" i="1"/>
  <c r="H46" i="2"/>
  <c r="I48" s="1"/>
  <c r="G46"/>
  <c r="F45"/>
  <c r="F44"/>
  <c r="F43"/>
  <c r="F42"/>
  <c r="M40"/>
  <c r="H14"/>
  <c r="I16" s="1"/>
  <c r="G14"/>
  <c r="F13"/>
  <c r="F12"/>
  <c r="F11"/>
  <c r="F10"/>
  <c r="F14" s="1"/>
  <c r="M8"/>
  <c r="H14" i="1"/>
  <c r="G14"/>
  <c r="F10"/>
  <c r="M8"/>
  <c r="F11"/>
  <c r="F12"/>
  <c r="F13"/>
  <c r="F46" i="2" l="1"/>
  <c r="F14" i="1"/>
</calcChain>
</file>

<file path=xl/sharedStrings.xml><?xml version="1.0" encoding="utf-8"?>
<sst xmlns="http://schemas.openxmlformats.org/spreadsheetml/2006/main" count="113" uniqueCount="37">
  <si>
    <t>Particulars of Claim</t>
  </si>
  <si>
    <t>GST Excl
Amount</t>
  </si>
  <si>
    <t>Gross
Amount</t>
  </si>
  <si>
    <t>Dept</t>
  </si>
  <si>
    <t>Proj</t>
  </si>
  <si>
    <t>Name of Purchaser:</t>
  </si>
  <si>
    <t>Account</t>
  </si>
  <si>
    <t>Prg</t>
  </si>
  <si>
    <t>Fd</t>
  </si>
  <si>
    <t>GST Amount</t>
  </si>
  <si>
    <t>Signature of Purchaser</t>
  </si>
  <si>
    <t>DEPARTMENT:</t>
  </si>
  <si>
    <t xml:space="preserve">     …………………………………………………</t>
  </si>
  <si>
    <t xml:space="preserve">     …………………………………………………………….</t>
  </si>
  <si>
    <t>Cash Reimbursement for Expenditure</t>
  </si>
  <si>
    <t>USQ Petty Cash Policy</t>
  </si>
  <si>
    <t xml:space="preserve"> </t>
  </si>
  <si>
    <t xml:space="preserve">Total of Claim    </t>
  </si>
  <si>
    <t>Rec #</t>
  </si>
  <si>
    <t>Version 2.1              Mar 2012</t>
  </si>
  <si>
    <t>PETTY CASH VOUCHER</t>
  </si>
  <si>
    <t>Note:  Please ensure you attach Tax Invoices or Receipts (and Entertainment Form where necessary).</t>
  </si>
  <si>
    <t>Date of Reimbursement:</t>
  </si>
  <si>
    <t xml:space="preserve">     $...................................    </t>
  </si>
  <si>
    <t>…../…../…..</t>
  </si>
  <si>
    <t>Date</t>
  </si>
  <si>
    <t xml:space="preserve">      ………………………………..……………………….</t>
  </si>
  <si>
    <t xml:space="preserve">      …...………..…………..………………………………</t>
  </si>
  <si>
    <t xml:space="preserve">  Signature of Petty Cash Custodian </t>
  </si>
  <si>
    <t xml:space="preserve">Signature of Petty Cash Custodian </t>
  </si>
  <si>
    <t>Receipt for Cash Advance**</t>
  </si>
  <si>
    <t>**USQ Petty Cash Policy</t>
  </si>
  <si>
    <t xml:space="preserve">I certify that the above claim is properly due and payable and I approve the relevant expenditure in accordance with Section 3.5 of the </t>
  </si>
  <si>
    <t>By signing for this advance I have read and agree to the procedures outlined in Sections 3.5 and 3.6 of the</t>
  </si>
  <si>
    <t xml:space="preserve">  Received from University of Southern Queensland</t>
  </si>
  <si>
    <t xml:space="preserve">   Signature, purchaser **</t>
  </si>
  <si>
    <t xml:space="preserve">   Signature, purchaser ** </t>
  </si>
</sst>
</file>

<file path=xl/styles.xml><?xml version="1.0" encoding="utf-8"?>
<styleSheet xmlns="http://schemas.openxmlformats.org/spreadsheetml/2006/main">
  <numFmts count="2">
    <numFmt numFmtId="44" formatCode="_-&quot;$&quot;* #,##0.00_-;\-&quot;$&quot;* #,##0.00_-;_-&quot;$&quot;* &quot;-&quot;??_-;_-@_-"/>
    <numFmt numFmtId="164" formatCode="dd/mm/yyyy"/>
  </numFmts>
  <fonts count="19">
    <font>
      <sz val="10"/>
      <name val="Arial"/>
    </font>
    <font>
      <sz val="10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7"/>
      <color indexed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color indexed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i/>
      <sz val="18"/>
      <name val="Arial"/>
      <family val="2"/>
    </font>
    <font>
      <sz val="12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</cellStyleXfs>
  <cellXfs count="157">
    <xf numFmtId="0" fontId="0" fillId="0" borderId="0" xfId="0"/>
    <xf numFmtId="0" fontId="7" fillId="0" borderId="0" xfId="0" applyFont="1"/>
    <xf numFmtId="0" fontId="0" fillId="2" borderId="0" xfId="0" applyFill="1"/>
    <xf numFmtId="0" fontId="7" fillId="2" borderId="0" xfId="0" applyFont="1" applyFill="1"/>
    <xf numFmtId="0" fontId="11" fillId="2" borderId="0" xfId="0" applyFont="1" applyFill="1"/>
    <xf numFmtId="0" fontId="1" fillId="2" borderId="0" xfId="0" applyFont="1" applyFill="1" applyBorder="1" applyAlignment="1" applyProtection="1">
      <alignment horizontal="left" vertical="top" wrapText="1"/>
    </xf>
    <xf numFmtId="0" fontId="0" fillId="2" borderId="0" xfId="0" applyFill="1" applyBorder="1"/>
    <xf numFmtId="0" fontId="1" fillId="2" borderId="4" xfId="0" applyFont="1" applyFill="1" applyBorder="1" applyAlignment="1" applyProtection="1">
      <alignment horizontal="left" vertical="top" wrapText="1"/>
    </xf>
    <xf numFmtId="0" fontId="3" fillId="2" borderId="6" xfId="0" applyFont="1" applyFill="1" applyBorder="1" applyProtection="1"/>
    <xf numFmtId="0" fontId="4" fillId="2" borderId="7" xfId="0" applyFont="1" applyFill="1" applyBorder="1" applyProtection="1"/>
    <xf numFmtId="0" fontId="0" fillId="2" borderId="6" xfId="0" applyFill="1" applyBorder="1" applyProtection="1"/>
    <xf numFmtId="0" fontId="0" fillId="2" borderId="0" xfId="0" applyFill="1" applyBorder="1" applyProtection="1"/>
    <xf numFmtId="0" fontId="4" fillId="2" borderId="0" xfId="0" applyFont="1" applyFill="1" applyBorder="1" applyProtection="1"/>
    <xf numFmtId="0" fontId="0" fillId="2" borderId="3" xfId="0" applyFill="1" applyBorder="1" applyProtection="1"/>
    <xf numFmtId="164" fontId="0" fillId="2" borderId="0" xfId="0" applyNumberFormat="1" applyFill="1" applyBorder="1" applyAlignment="1" applyProtection="1">
      <alignment vertical="center"/>
    </xf>
    <xf numFmtId="0" fontId="0" fillId="2" borderId="4" xfId="0" applyFill="1" applyBorder="1" applyProtection="1"/>
    <xf numFmtId="0" fontId="0" fillId="2" borderId="0" xfId="0" applyFill="1" applyProtection="1"/>
    <xf numFmtId="0" fontId="3" fillId="2" borderId="4" xfId="0" applyFont="1" applyFill="1" applyBorder="1" applyAlignment="1" applyProtection="1"/>
    <xf numFmtId="0" fontId="3" fillId="2" borderId="0" xfId="0" applyFont="1" applyFill="1" applyBorder="1" applyAlignment="1" applyProtection="1"/>
    <xf numFmtId="0" fontId="0" fillId="2" borderId="19" xfId="0" applyFill="1" applyBorder="1" applyProtection="1"/>
    <xf numFmtId="0" fontId="0" fillId="2" borderId="20" xfId="0" applyFill="1" applyBorder="1" applyProtection="1"/>
    <xf numFmtId="0" fontId="0" fillId="2" borderId="21" xfId="0" applyFill="1" applyBorder="1" applyProtection="1"/>
    <xf numFmtId="0" fontId="12" fillId="0" borderId="33" xfId="0" applyFont="1" applyBorder="1" applyAlignment="1" applyProtection="1">
      <alignment horizontal="center" wrapText="1"/>
    </xf>
    <xf numFmtId="0" fontId="5" fillId="2" borderId="0" xfId="0" applyFont="1" applyFill="1" applyBorder="1" applyProtection="1"/>
    <xf numFmtId="0" fontId="12" fillId="0" borderId="29" xfId="0" applyFont="1" applyBorder="1" applyAlignment="1" applyProtection="1">
      <alignment wrapText="1"/>
    </xf>
    <xf numFmtId="0" fontId="2" fillId="0" borderId="0" xfId="0" applyFont="1" applyFill="1" applyBorder="1" applyAlignment="1" applyProtection="1">
      <alignment horizontal="center"/>
    </xf>
    <xf numFmtId="0" fontId="14" fillId="2" borderId="0" xfId="0" applyFont="1" applyFill="1"/>
    <xf numFmtId="0" fontId="2" fillId="0" borderId="41" xfId="0" applyFont="1" applyFill="1" applyBorder="1" applyAlignment="1" applyProtection="1">
      <alignment horizontal="center"/>
    </xf>
    <xf numFmtId="0" fontId="7" fillId="0" borderId="15" xfId="0" applyFont="1" applyBorder="1" applyAlignment="1" applyProtection="1">
      <alignment horizontal="center" vertical="center" wrapText="1"/>
    </xf>
    <xf numFmtId="44" fontId="7" fillId="2" borderId="1" xfId="0" applyNumberFormat="1" applyFont="1" applyFill="1" applyBorder="1" applyAlignment="1" applyProtection="1">
      <alignment vertical="center"/>
    </xf>
    <xf numFmtId="4" fontId="7" fillId="2" borderId="1" xfId="0" applyNumberFormat="1" applyFont="1" applyFill="1" applyBorder="1" applyAlignment="1" applyProtection="1">
      <alignment vertical="center"/>
      <protection locked="0"/>
    </xf>
    <xf numFmtId="0" fontId="7" fillId="2" borderId="22" xfId="0" applyFont="1" applyFill="1" applyBorder="1" applyAlignment="1" applyProtection="1">
      <alignment vertical="center"/>
      <protection locked="0"/>
    </xf>
    <xf numFmtId="0" fontId="7" fillId="2" borderId="1" xfId="0" applyFont="1" applyFill="1" applyBorder="1" applyAlignment="1" applyProtection="1">
      <alignment horizontal="right" vertical="center"/>
      <protection locked="0"/>
    </xf>
    <xf numFmtId="0" fontId="7" fillId="2" borderId="23" xfId="0" applyFont="1" applyFill="1" applyBorder="1" applyAlignment="1" applyProtection="1">
      <alignment vertical="center"/>
      <protection locked="0"/>
    </xf>
    <xf numFmtId="0" fontId="7" fillId="0" borderId="16" xfId="0" applyFont="1" applyBorder="1" applyAlignment="1" applyProtection="1">
      <alignment horizontal="center" vertical="center" wrapText="1"/>
    </xf>
    <xf numFmtId="0" fontId="7" fillId="0" borderId="4" xfId="0" applyFont="1" applyBorder="1" applyAlignment="1" applyProtection="1">
      <alignment horizontal="center" vertical="center" wrapText="1"/>
    </xf>
    <xf numFmtId="0" fontId="0" fillId="2" borderId="0" xfId="0" applyFill="1" applyAlignment="1" applyProtection="1">
      <alignment vertical="center"/>
      <protection locked="0"/>
    </xf>
    <xf numFmtId="0" fontId="7" fillId="2" borderId="2" xfId="0" applyFont="1" applyFill="1" applyBorder="1" applyAlignment="1" applyProtection="1">
      <alignment horizontal="right" vertical="center"/>
      <protection locked="0"/>
    </xf>
    <xf numFmtId="0" fontId="7" fillId="2" borderId="24" xfId="0" applyFont="1" applyFill="1" applyBorder="1" applyAlignment="1" applyProtection="1">
      <alignment vertical="center"/>
      <protection locked="0"/>
    </xf>
    <xf numFmtId="44" fontId="7" fillId="2" borderId="17" xfId="1" applyFont="1" applyFill="1" applyBorder="1" applyAlignment="1" applyProtection="1">
      <alignment vertical="center"/>
    </xf>
    <xf numFmtId="44" fontId="7" fillId="2" borderId="17" xfId="0" applyNumberFormat="1" applyFont="1" applyFill="1" applyBorder="1" applyAlignment="1" applyProtection="1">
      <alignment vertical="center"/>
    </xf>
    <xf numFmtId="0" fontId="5" fillId="3" borderId="18" xfId="0" applyFont="1" applyFill="1" applyBorder="1" applyAlignment="1" applyProtection="1">
      <alignment vertical="center"/>
    </xf>
    <xf numFmtId="0" fontId="5" fillId="3" borderId="13" xfId="0" applyFont="1" applyFill="1" applyBorder="1" applyAlignment="1" applyProtection="1">
      <alignment vertical="center"/>
    </xf>
    <xf numFmtId="0" fontId="5" fillId="3" borderId="14" xfId="0" applyFont="1" applyFill="1" applyBorder="1" applyAlignment="1" applyProtection="1">
      <alignment vertical="center"/>
    </xf>
    <xf numFmtId="0" fontId="2" fillId="0" borderId="19" xfId="0" applyFont="1" applyFill="1" applyBorder="1" applyAlignment="1" applyProtection="1">
      <alignment horizontal="center"/>
    </xf>
    <xf numFmtId="0" fontId="2" fillId="0" borderId="20" xfId="0" applyFont="1" applyFill="1" applyBorder="1" applyAlignment="1" applyProtection="1">
      <alignment horizontal="center"/>
    </xf>
    <xf numFmtId="0" fontId="2" fillId="0" borderId="21" xfId="0" applyFont="1" applyFill="1" applyBorder="1" applyAlignment="1" applyProtection="1">
      <alignment horizontal="center"/>
    </xf>
    <xf numFmtId="0" fontId="3" fillId="4" borderId="8" xfId="0" applyFont="1" applyFill="1" applyBorder="1" applyAlignment="1" applyProtection="1">
      <alignment horizontal="center" vertical="center" wrapText="1"/>
    </xf>
    <xf numFmtId="0" fontId="3" fillId="4" borderId="9" xfId="0" applyFont="1" applyFill="1" applyBorder="1" applyAlignment="1" applyProtection="1">
      <alignment horizontal="center" vertical="center" wrapText="1"/>
    </xf>
    <xf numFmtId="0" fontId="3" fillId="4" borderId="10" xfId="0" applyFont="1" applyFill="1" applyBorder="1" applyAlignment="1" applyProtection="1">
      <alignment horizontal="center" vertical="center" wrapText="1"/>
    </xf>
    <xf numFmtId="0" fontId="3" fillId="4" borderId="11" xfId="0" applyFont="1" applyFill="1" applyBorder="1" applyAlignment="1" applyProtection="1">
      <alignment horizontal="center" vertical="center" wrapText="1"/>
    </xf>
    <xf numFmtId="0" fontId="3" fillId="4" borderId="12" xfId="0" applyFont="1" applyFill="1" applyBorder="1" applyAlignment="1" applyProtection="1">
      <alignment horizontal="center" vertical="center" wrapText="1"/>
    </xf>
    <xf numFmtId="0" fontId="3" fillId="4" borderId="13" xfId="0" applyFont="1" applyFill="1" applyBorder="1" applyAlignment="1" applyProtection="1">
      <alignment horizontal="center" vertical="center" wrapText="1"/>
    </xf>
    <xf numFmtId="0" fontId="3" fillId="4" borderId="14" xfId="0" applyFont="1" applyFill="1" applyBorder="1" applyAlignment="1" applyProtection="1">
      <alignment horizontal="center" vertical="center" wrapText="1"/>
    </xf>
    <xf numFmtId="4" fontId="7" fillId="4" borderId="1" xfId="0" applyNumberFormat="1" applyFont="1" applyFill="1" applyBorder="1" applyAlignment="1" applyProtection="1">
      <alignment vertical="center"/>
      <protection locked="0"/>
    </xf>
    <xf numFmtId="44" fontId="7" fillId="4" borderId="17" xfId="0" applyNumberFormat="1" applyFont="1" applyFill="1" applyBorder="1" applyAlignment="1" applyProtection="1">
      <alignment vertical="center"/>
    </xf>
    <xf numFmtId="0" fontId="7" fillId="4" borderId="1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/>
    </xf>
    <xf numFmtId="0" fontId="15" fillId="0" borderId="39" xfId="0" applyFont="1" applyFill="1" applyBorder="1" applyAlignment="1" applyProtection="1"/>
    <xf numFmtId="0" fontId="15" fillId="0" borderId="40" xfId="0" applyFont="1" applyFill="1" applyBorder="1" applyAlignment="1" applyProtection="1"/>
    <xf numFmtId="0" fontId="2" fillId="0" borderId="40" xfId="0" applyFont="1" applyFill="1" applyBorder="1" applyAlignment="1" applyProtection="1"/>
    <xf numFmtId="0" fontId="4" fillId="0" borderId="32" xfId="0" applyFont="1" applyBorder="1" applyAlignment="1" applyProtection="1">
      <alignment vertical="center"/>
    </xf>
    <xf numFmtId="0" fontId="4" fillId="0" borderId="5" xfId="0" applyFont="1" applyBorder="1" applyAlignment="1" applyProtection="1">
      <alignment vertical="center"/>
    </xf>
    <xf numFmtId="0" fontId="3" fillId="2" borderId="0" xfId="0" applyFont="1" applyFill="1" applyBorder="1" applyProtection="1"/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7" fillId="2" borderId="0" xfId="0" applyFont="1" applyFill="1" applyBorder="1" applyAlignment="1" applyProtection="1"/>
    <xf numFmtId="0" fontId="3" fillId="2" borderId="4" xfId="0" applyFont="1" applyFill="1" applyBorder="1" applyAlignment="1" applyProtection="1">
      <alignment horizontal="left"/>
    </xf>
    <xf numFmtId="0" fontId="3" fillId="2" borderId="4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164" fontId="0" fillId="2" borderId="43" xfId="0" applyNumberFormat="1" applyFill="1" applyBorder="1" applyAlignment="1" applyProtection="1">
      <alignment horizontal="left" vertical="center"/>
      <protection locked="0"/>
    </xf>
    <xf numFmtId="0" fontId="3" fillId="2" borderId="48" xfId="0" applyFont="1" applyFill="1" applyBorder="1" applyAlignment="1" applyProtection="1"/>
    <xf numFmtId="0" fontId="5" fillId="2" borderId="4" xfId="0" applyFont="1" applyFill="1" applyBorder="1" applyProtection="1"/>
    <xf numFmtId="0" fontId="0" fillId="2" borderId="48" xfId="0" applyFill="1" applyBorder="1" applyProtection="1"/>
    <xf numFmtId="0" fontId="3" fillId="2" borderId="3" xfId="0" applyFont="1" applyFill="1" applyBorder="1" applyAlignment="1" applyProtection="1">
      <alignment horizontal="left"/>
    </xf>
    <xf numFmtId="0" fontId="0" fillId="2" borderId="49" xfId="0" applyFill="1" applyBorder="1" applyProtection="1"/>
    <xf numFmtId="0" fontId="10" fillId="2" borderId="47" xfId="0" applyFont="1" applyFill="1" applyBorder="1" applyAlignment="1" applyProtection="1">
      <alignment vertical="center" wrapText="1"/>
    </xf>
    <xf numFmtId="0" fontId="12" fillId="2" borderId="3" xfId="0" applyFont="1" applyFill="1" applyBorder="1" applyAlignment="1" applyProtection="1">
      <alignment vertical="center" wrapText="1"/>
    </xf>
    <xf numFmtId="0" fontId="1" fillId="2" borderId="48" xfId="0" applyFont="1" applyFill="1" applyBorder="1" applyAlignment="1" applyProtection="1">
      <alignment vertical="top" wrapText="1"/>
    </xf>
    <xf numFmtId="0" fontId="0" fillId="0" borderId="0" xfId="0"/>
    <xf numFmtId="0" fontId="0" fillId="2" borderId="0" xfId="0" applyFill="1"/>
    <xf numFmtId="0" fontId="0" fillId="2" borderId="0" xfId="0" applyFill="1" applyBorder="1"/>
    <xf numFmtId="0" fontId="1" fillId="2" borderId="0" xfId="0" applyFont="1" applyFill="1" applyBorder="1" applyAlignment="1" applyProtection="1">
      <alignment vertical="top" wrapText="1"/>
    </xf>
    <xf numFmtId="0" fontId="1" fillId="2" borderId="3" xfId="0" applyFont="1" applyFill="1" applyBorder="1" applyAlignment="1" applyProtection="1">
      <alignment vertical="top" wrapText="1"/>
    </xf>
    <xf numFmtId="0" fontId="0" fillId="2" borderId="0" xfId="0" applyFill="1" applyBorder="1" applyProtection="1"/>
    <xf numFmtId="0" fontId="0" fillId="2" borderId="3" xfId="0" applyFill="1" applyBorder="1" applyProtection="1"/>
    <xf numFmtId="0" fontId="0" fillId="2" borderId="4" xfId="0" applyFill="1" applyBorder="1" applyProtection="1"/>
    <xf numFmtId="0" fontId="0" fillId="2" borderId="0" xfId="0" applyFill="1" applyProtection="1"/>
    <xf numFmtId="0" fontId="3" fillId="2" borderId="4" xfId="0" applyFont="1" applyFill="1" applyBorder="1" applyAlignment="1" applyProtection="1"/>
    <xf numFmtId="0" fontId="3" fillId="2" borderId="0" xfId="0" applyFont="1" applyFill="1" applyBorder="1" applyAlignment="1" applyProtection="1"/>
    <xf numFmtId="0" fontId="0" fillId="2" borderId="19" xfId="0" applyFill="1" applyBorder="1" applyProtection="1"/>
    <xf numFmtId="0" fontId="0" fillId="2" borderId="20" xfId="0" applyFill="1" applyBorder="1" applyProtection="1"/>
    <xf numFmtId="0" fontId="0" fillId="2" borderId="21" xfId="0" applyFill="1" applyBorder="1" applyProtection="1"/>
    <xf numFmtId="0" fontId="10" fillId="2" borderId="4" xfId="0" applyFont="1" applyFill="1" applyBorder="1" applyAlignment="1" applyProtection="1">
      <alignment vertical="center" wrapText="1"/>
    </xf>
    <xf numFmtId="0" fontId="10" fillId="2" borderId="0" xfId="0" applyFont="1" applyFill="1" applyBorder="1" applyAlignment="1" applyProtection="1">
      <alignment vertical="center" wrapText="1"/>
    </xf>
    <xf numFmtId="0" fontId="14" fillId="2" borderId="4" xfId="0" applyFont="1" applyFill="1" applyBorder="1" applyProtection="1"/>
    <xf numFmtId="0" fontId="3" fillId="2" borderId="0" xfId="0" applyFont="1" applyFill="1" applyBorder="1" applyAlignment="1" applyProtection="1">
      <alignment horizontal="center"/>
    </xf>
    <xf numFmtId="0" fontId="0" fillId="0" borderId="36" xfId="0" applyBorder="1" applyAlignment="1" applyProtection="1"/>
    <xf numFmtId="0" fontId="0" fillId="0" borderId="34" xfId="0" applyBorder="1" applyAlignment="1" applyProtection="1"/>
    <xf numFmtId="0" fontId="0" fillId="2" borderId="40" xfId="0" applyFill="1" applyBorder="1"/>
    <xf numFmtId="0" fontId="0" fillId="0" borderId="36" xfId="0" applyBorder="1" applyAlignment="1" applyProtection="1">
      <alignment horizontal="center"/>
    </xf>
    <xf numFmtId="0" fontId="0" fillId="0" borderId="34" xfId="0" applyBorder="1" applyAlignment="1" applyProtection="1">
      <alignment horizontal="center"/>
    </xf>
    <xf numFmtId="0" fontId="0" fillId="0" borderId="35" xfId="0" applyBorder="1" applyAlignment="1" applyProtection="1">
      <alignment horizontal="center"/>
    </xf>
    <xf numFmtId="0" fontId="10" fillId="2" borderId="37" xfId="0" applyFont="1" applyFill="1" applyBorder="1" applyAlignment="1" applyProtection="1">
      <alignment horizontal="center" vertical="center" wrapText="1"/>
    </xf>
    <xf numFmtId="0" fontId="10" fillId="2" borderId="38" xfId="0" applyFont="1" applyFill="1" applyBorder="1" applyAlignment="1" applyProtection="1">
      <alignment horizontal="center" vertical="center" wrapText="1"/>
    </xf>
    <xf numFmtId="0" fontId="10" fillId="2" borderId="50" xfId="0" applyFont="1" applyFill="1" applyBorder="1" applyAlignment="1" applyProtection="1">
      <alignment horizontal="center" vertical="center" wrapText="1"/>
    </xf>
    <xf numFmtId="0" fontId="10" fillId="2" borderId="4" xfId="0" applyFont="1" applyFill="1" applyBorder="1" applyAlignment="1" applyProtection="1">
      <alignment horizontal="center" vertical="center" wrapText="1"/>
    </xf>
    <xf numFmtId="0" fontId="10" fillId="2" borderId="0" xfId="0" applyFont="1" applyFill="1" applyBorder="1" applyAlignment="1" applyProtection="1">
      <alignment horizontal="center" vertical="center" wrapText="1"/>
    </xf>
    <xf numFmtId="0" fontId="10" fillId="2" borderId="47" xfId="0" applyFont="1" applyFill="1" applyBorder="1" applyAlignment="1" applyProtection="1">
      <alignment horizontal="center" vertical="center" wrapText="1"/>
    </xf>
    <xf numFmtId="0" fontId="1" fillId="2" borderId="51" xfId="0" applyFont="1" applyFill="1" applyBorder="1" applyAlignment="1" applyProtection="1">
      <alignment horizontal="center" vertical="center" wrapText="1"/>
    </xf>
    <xf numFmtId="0" fontId="1" fillId="2" borderId="38" xfId="0" applyFont="1" applyFill="1" applyBorder="1" applyAlignment="1" applyProtection="1">
      <alignment horizontal="center" vertical="center" wrapText="1"/>
    </xf>
    <xf numFmtId="0" fontId="1" fillId="2" borderId="42" xfId="0" applyFont="1" applyFill="1" applyBorder="1" applyAlignment="1" applyProtection="1">
      <alignment horizontal="center" vertical="center" wrapText="1"/>
    </xf>
    <xf numFmtId="0" fontId="1" fillId="2" borderId="48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13" fillId="2" borderId="0" xfId="2" applyFont="1" applyFill="1" applyBorder="1" applyAlignment="1" applyProtection="1">
      <alignment horizontal="left" vertical="center" wrapText="1"/>
      <protection locked="0"/>
    </xf>
    <xf numFmtId="0" fontId="13" fillId="2" borderId="3" xfId="2" applyFont="1" applyFill="1" applyBorder="1" applyAlignment="1" applyProtection="1">
      <alignment horizontal="left" vertical="center" wrapText="1"/>
      <protection locked="0"/>
    </xf>
    <xf numFmtId="0" fontId="13" fillId="2" borderId="0" xfId="2" applyFont="1" applyFill="1" applyBorder="1" applyAlignment="1" applyProtection="1">
      <alignment horizontal="center" vertical="center" wrapText="1"/>
    </xf>
    <xf numFmtId="0" fontId="13" fillId="2" borderId="0" xfId="2" applyFont="1" applyFill="1" applyBorder="1" applyAlignment="1" applyProtection="1">
      <alignment horizontal="center" vertical="center" wrapText="1"/>
      <protection locked="0"/>
    </xf>
    <xf numFmtId="0" fontId="13" fillId="2" borderId="4" xfId="2" applyFont="1" applyFill="1" applyBorder="1" applyAlignment="1" applyProtection="1">
      <alignment horizontal="center" vertical="center" wrapText="1"/>
      <protection locked="0"/>
    </xf>
    <xf numFmtId="0" fontId="18" fillId="2" borderId="4" xfId="0" applyFont="1" applyFill="1" applyBorder="1" applyAlignment="1" applyProtection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 wrapText="1"/>
    </xf>
    <xf numFmtId="0" fontId="18" fillId="2" borderId="3" xfId="0" applyFont="1" applyFill="1" applyBorder="1" applyAlignment="1" applyProtection="1">
      <alignment horizontal="center" vertical="center" wrapText="1"/>
    </xf>
    <xf numFmtId="0" fontId="0" fillId="0" borderId="48" xfId="0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3" xfId="0" applyBorder="1" applyAlignment="1" applyProtection="1">
      <alignment horizontal="center"/>
    </xf>
    <xf numFmtId="0" fontId="3" fillId="2" borderId="4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center"/>
    </xf>
    <xf numFmtId="0" fontId="3" fillId="2" borderId="47" xfId="0" applyFont="1" applyFill="1" applyBorder="1" applyAlignment="1" applyProtection="1">
      <alignment horizontal="center"/>
    </xf>
    <xf numFmtId="0" fontId="3" fillId="2" borderId="48" xfId="0" applyFont="1" applyFill="1" applyBorder="1" applyAlignment="1" applyProtection="1">
      <alignment horizontal="center"/>
    </xf>
    <xf numFmtId="0" fontId="3" fillId="2" borderId="3" xfId="0" applyFont="1" applyFill="1" applyBorder="1" applyAlignment="1" applyProtection="1">
      <alignment horizontal="center"/>
    </xf>
    <xf numFmtId="0" fontId="17" fillId="2" borderId="0" xfId="0" applyFont="1" applyFill="1" applyBorder="1" applyAlignment="1" applyProtection="1">
      <alignment horizontal="center"/>
    </xf>
    <xf numFmtId="0" fontId="0" fillId="2" borderId="0" xfId="0" applyFill="1" applyBorder="1" applyAlignment="1" applyProtection="1">
      <alignment horizontal="center"/>
    </xf>
    <xf numFmtId="0" fontId="0" fillId="2" borderId="0" xfId="0" applyFill="1" applyBorder="1" applyAlignment="1" applyProtection="1">
      <alignment horizontal="center" vertical="top"/>
    </xf>
    <xf numFmtId="0" fontId="0" fillId="2" borderId="3" xfId="0" applyFill="1" applyBorder="1" applyAlignment="1" applyProtection="1">
      <alignment horizontal="center" vertical="top"/>
    </xf>
    <xf numFmtId="0" fontId="7" fillId="0" borderId="28" xfId="0" applyFont="1" applyBorder="1" applyAlignment="1" applyProtection="1">
      <alignment horizontal="left" vertical="center" wrapText="1"/>
      <protection locked="0"/>
    </xf>
    <xf numFmtId="0" fontId="7" fillId="0" borderId="29" xfId="0" applyFont="1" applyBorder="1" applyAlignment="1" applyProtection="1">
      <alignment horizontal="left" vertical="center" wrapText="1"/>
      <protection locked="0"/>
    </xf>
    <xf numFmtId="0" fontId="7" fillId="0" borderId="30" xfId="0" applyFont="1" applyBorder="1" applyAlignment="1" applyProtection="1">
      <alignment horizontal="left" vertical="center" wrapText="1"/>
      <protection locked="0"/>
    </xf>
    <xf numFmtId="0" fontId="3" fillId="4" borderId="31" xfId="0" applyFont="1" applyFill="1" applyBorder="1" applyAlignment="1" applyProtection="1">
      <alignment horizontal="center" vertical="center"/>
    </xf>
    <xf numFmtId="0" fontId="3" fillId="4" borderId="9" xfId="0" applyFont="1" applyFill="1" applyBorder="1" applyAlignment="1" applyProtection="1">
      <alignment horizontal="center" vertical="center"/>
    </xf>
    <xf numFmtId="0" fontId="3" fillId="0" borderId="25" xfId="0" applyFont="1" applyBorder="1" applyAlignment="1" applyProtection="1">
      <alignment horizontal="center" vertical="center"/>
    </xf>
    <xf numFmtId="0" fontId="3" fillId="0" borderId="26" xfId="0" applyFont="1" applyBorder="1" applyAlignment="1" applyProtection="1">
      <alignment horizontal="center" vertical="center"/>
    </xf>
    <xf numFmtId="0" fontId="3" fillId="0" borderId="27" xfId="0" applyFont="1" applyBorder="1" applyAlignment="1" applyProtection="1">
      <alignment horizontal="center" vertical="center"/>
    </xf>
    <xf numFmtId="0" fontId="4" fillId="0" borderId="16" xfId="0" applyFont="1" applyBorder="1" applyAlignment="1" applyProtection="1">
      <alignment horizontal="left"/>
    </xf>
    <xf numFmtId="0" fontId="4" fillId="0" borderId="29" xfId="0" applyFont="1" applyBorder="1" applyAlignment="1" applyProtection="1">
      <alignment horizontal="left"/>
    </xf>
    <xf numFmtId="0" fontId="16" fillId="4" borderId="4" xfId="0" applyFont="1" applyFill="1" applyBorder="1" applyAlignment="1" applyProtection="1">
      <alignment horizontal="center"/>
    </xf>
    <xf numFmtId="0" fontId="16" fillId="4" borderId="0" xfId="0" applyFont="1" applyFill="1" applyBorder="1" applyAlignment="1" applyProtection="1">
      <alignment horizontal="center"/>
    </xf>
    <xf numFmtId="0" fontId="16" fillId="4" borderId="3" xfId="0" applyFont="1" applyFill="1" applyBorder="1" applyAlignment="1" applyProtection="1">
      <alignment horizontal="center"/>
    </xf>
    <xf numFmtId="0" fontId="4" fillId="0" borderId="44" xfId="0" applyFont="1" applyFill="1" applyBorder="1" applyAlignment="1" applyProtection="1">
      <alignment horizontal="right" vertical="center"/>
    </xf>
    <xf numFmtId="0" fontId="8" fillId="0" borderId="45" xfId="0" applyFont="1" applyFill="1" applyBorder="1" applyAlignment="1" applyProtection="1">
      <alignment horizontal="right" vertical="center"/>
    </xf>
    <xf numFmtId="0" fontId="8" fillId="0" borderId="46" xfId="0" applyFont="1" applyFill="1" applyBorder="1" applyAlignment="1" applyProtection="1">
      <alignment horizontal="right" vertical="center"/>
    </xf>
    <xf numFmtId="0" fontId="2" fillId="0" borderId="40" xfId="0" applyFont="1" applyFill="1" applyBorder="1" applyAlignment="1" applyProtection="1">
      <alignment horizontal="left" vertical="center"/>
      <protection locked="0"/>
    </xf>
    <xf numFmtId="0" fontId="4" fillId="0" borderId="5" xfId="0" applyFont="1" applyBorder="1" applyAlignment="1" applyProtection="1">
      <alignment horizontal="left" vertical="center"/>
      <protection locked="0"/>
    </xf>
    <xf numFmtId="0" fontId="4" fillId="2" borderId="5" xfId="0" applyFont="1" applyFill="1" applyBorder="1" applyAlignment="1" applyProtection="1">
      <alignment horizontal="right" vertical="center"/>
    </xf>
    <xf numFmtId="0" fontId="3" fillId="0" borderId="25" xfId="0" applyFont="1" applyBorder="1" applyAlignment="1" applyProtection="1">
      <alignment horizontal="center"/>
    </xf>
    <xf numFmtId="0" fontId="3" fillId="0" borderId="26" xfId="0" applyFont="1" applyBorder="1" applyAlignment="1" applyProtection="1">
      <alignment horizontal="center"/>
    </xf>
    <xf numFmtId="0" fontId="3" fillId="0" borderId="27" xfId="0" applyFont="1" applyBorder="1" applyAlignment="1" applyProtection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2">
    <dxf>
      <font>
        <condense val="0"/>
        <extend val="0"/>
        <color indexed="41"/>
      </font>
    </dxf>
    <dxf>
      <font>
        <condense val="0"/>
        <extend val="0"/>
        <color indexed="41"/>
      </font>
    </dxf>
  </dxfs>
  <tableStyles count="0" defaultTableStyle="TableStyleMedium9" defaultPivotStyle="PivotStyleLight16"/>
  <colors>
    <mruColors>
      <color rgb="FFE4E4E4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1</xdr:row>
      <xdr:rowOff>23813</xdr:rowOff>
    </xdr:from>
    <xdr:to>
      <xdr:col>1</xdr:col>
      <xdr:colOff>702469</xdr:colOff>
      <xdr:row>6</xdr:row>
      <xdr:rowOff>226220</xdr:rowOff>
    </xdr:to>
    <xdr:sp macro="" textlink="">
      <xdr:nvSpPr>
        <xdr:cNvPr id="3" name="TextBox 2"/>
        <xdr:cNvSpPr txBox="1"/>
      </xdr:nvSpPr>
      <xdr:spPr>
        <a:xfrm>
          <a:off x="23812" y="190501"/>
          <a:ext cx="1071563" cy="16906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AU" sz="1100"/>
        </a:p>
      </xdr:txBody>
    </xdr:sp>
    <xdr:clientData/>
  </xdr:twoCellAnchor>
  <xdr:twoCellAnchor editAs="oneCell">
    <xdr:from>
      <xdr:col>0</xdr:col>
      <xdr:colOff>83345</xdr:colOff>
      <xdr:row>1</xdr:row>
      <xdr:rowOff>95250</xdr:rowOff>
    </xdr:from>
    <xdr:to>
      <xdr:col>1</xdr:col>
      <xdr:colOff>654844</xdr:colOff>
      <xdr:row>6</xdr:row>
      <xdr:rowOff>142874</xdr:rowOff>
    </xdr:to>
    <xdr:pic>
      <xdr:nvPicPr>
        <xdr:cNvPr id="4" name="Picture 3" descr="USQAust-bw-small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345" y="261938"/>
          <a:ext cx="964405" cy="153590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23813</xdr:colOff>
      <xdr:row>1</xdr:row>
      <xdr:rowOff>23811</xdr:rowOff>
    </xdr:from>
    <xdr:to>
      <xdr:col>1</xdr:col>
      <xdr:colOff>785812</xdr:colOff>
      <xdr:row>7</xdr:row>
      <xdr:rowOff>83344</xdr:rowOff>
    </xdr:to>
    <xdr:sp macro="" textlink="">
      <xdr:nvSpPr>
        <xdr:cNvPr id="2" name="TextBox 1"/>
        <xdr:cNvSpPr txBox="1"/>
      </xdr:nvSpPr>
      <xdr:spPr>
        <a:xfrm>
          <a:off x="23813" y="190499"/>
          <a:ext cx="1119187" cy="17621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AU" sz="1100"/>
        </a:p>
      </xdr:txBody>
    </xdr:sp>
    <xdr:clientData/>
  </xdr:twoCellAnchor>
  <xdr:twoCellAnchor editAs="oneCell">
    <xdr:from>
      <xdr:col>0</xdr:col>
      <xdr:colOff>83344</xdr:colOff>
      <xdr:row>1</xdr:row>
      <xdr:rowOff>83342</xdr:rowOff>
    </xdr:from>
    <xdr:to>
      <xdr:col>1</xdr:col>
      <xdr:colOff>714375</xdr:colOff>
      <xdr:row>7</xdr:row>
      <xdr:rowOff>11907</xdr:rowOff>
    </xdr:to>
    <xdr:pic>
      <xdr:nvPicPr>
        <xdr:cNvPr id="3" name="Picture 2" descr="USQAust-bw-small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344" y="250030"/>
          <a:ext cx="988219" cy="1631158"/>
        </a:xfrm>
        <a:prstGeom prst="rect">
          <a:avLst/>
        </a:prstGeom>
        <a:noFill/>
      </xdr:spPr>
    </xdr:pic>
    <xdr:clientData/>
  </xdr:twoCellAnchor>
  <xdr:twoCellAnchor>
    <xdr:from>
      <xdr:col>0</xdr:col>
      <xdr:colOff>23812</xdr:colOff>
      <xdr:row>33</xdr:row>
      <xdr:rowOff>23810</xdr:rowOff>
    </xdr:from>
    <xdr:to>
      <xdr:col>1</xdr:col>
      <xdr:colOff>738187</xdr:colOff>
      <xdr:row>39</xdr:row>
      <xdr:rowOff>59532</xdr:rowOff>
    </xdr:to>
    <xdr:sp macro="" textlink="">
      <xdr:nvSpPr>
        <xdr:cNvPr id="4" name="TextBox 3"/>
        <xdr:cNvSpPr txBox="1"/>
      </xdr:nvSpPr>
      <xdr:spPr>
        <a:xfrm>
          <a:off x="23812" y="8703466"/>
          <a:ext cx="1071563" cy="17025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AU" sz="1100"/>
        </a:p>
      </xdr:txBody>
    </xdr:sp>
    <xdr:clientData/>
  </xdr:twoCellAnchor>
  <xdr:twoCellAnchor editAs="oneCell">
    <xdr:from>
      <xdr:col>0</xdr:col>
      <xdr:colOff>23812</xdr:colOff>
      <xdr:row>33</xdr:row>
      <xdr:rowOff>23810</xdr:rowOff>
    </xdr:from>
    <xdr:to>
      <xdr:col>1</xdr:col>
      <xdr:colOff>654843</xdr:colOff>
      <xdr:row>38</xdr:row>
      <xdr:rowOff>369093</xdr:rowOff>
    </xdr:to>
    <xdr:pic>
      <xdr:nvPicPr>
        <xdr:cNvPr id="6" name="Picture 5" descr="USQAust-bw-small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" y="8703466"/>
          <a:ext cx="988219" cy="163115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olicy.usq.edu.au/portal/custom/detail/petty-cash/index.html" TargetMode="External"/><Relationship Id="rId2" Type="http://schemas.openxmlformats.org/officeDocument/2006/relationships/hyperlink" Target="http://policy.usq.edu.au/portal/custom/detail/petty-cash/index.html" TargetMode="External"/><Relationship Id="rId1" Type="http://schemas.openxmlformats.org/officeDocument/2006/relationships/hyperlink" Target="http://policy.usq.edu.au/portal/custom/detail/petty-cash/index.html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http://policy.usq.edu.au/portal/custom/detail/petty-cash/index.html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://policy.usq.edu.au/portal/custom/detail/petty-cash/index.html" TargetMode="External"/><Relationship Id="rId1" Type="http://schemas.openxmlformats.org/officeDocument/2006/relationships/hyperlink" Target="http://policy.usq.edu.au/portal/custom/detail/petty-cash/index.html" TargetMode="External"/><Relationship Id="rId6" Type="http://schemas.openxmlformats.org/officeDocument/2006/relationships/hyperlink" Target="http://policy.usq.edu.au/portal/custom/detail/petty-cash/index.html" TargetMode="External"/><Relationship Id="rId5" Type="http://schemas.openxmlformats.org/officeDocument/2006/relationships/hyperlink" Target="http://policy.usq.edu.au/portal/custom/detail/petty-cash/index.html" TargetMode="External"/><Relationship Id="rId4" Type="http://schemas.openxmlformats.org/officeDocument/2006/relationships/hyperlink" Target="http://policy.usq.edu.au/portal/custom/detail/petty-cash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AA78"/>
  <sheetViews>
    <sheetView showGridLines="0" zoomScale="80" zoomScaleNormal="80" zoomScaleSheetLayoutView="75" workbookViewId="0">
      <selection activeCell="E7" sqref="E7:I7"/>
    </sheetView>
  </sheetViews>
  <sheetFormatPr defaultRowHeight="12.75"/>
  <cols>
    <col min="1" max="1" width="5.85546875" customWidth="1"/>
    <col min="2" max="2" width="15.42578125" customWidth="1"/>
    <col min="4" max="4" width="19.85546875" customWidth="1"/>
    <col min="5" max="5" width="19.42578125" customWidth="1"/>
    <col min="6" max="6" width="14.85546875" customWidth="1"/>
    <col min="7" max="7" width="10.85546875" customWidth="1"/>
    <col min="8" max="8" width="14.85546875" customWidth="1"/>
    <col min="9" max="9" width="12.85546875" customWidth="1"/>
    <col min="10" max="10" width="4.42578125" customWidth="1"/>
    <col min="11" max="11" width="10.5703125" customWidth="1"/>
    <col min="12" max="12" width="6" customWidth="1"/>
    <col min="13" max="13" width="14.85546875" customWidth="1"/>
    <col min="14" max="14" width="17.7109375" style="2" customWidth="1"/>
    <col min="15" max="15" width="14.28515625" customWidth="1"/>
    <col min="16" max="16" width="3.28515625" customWidth="1"/>
    <col min="17" max="17" width="13.28515625" customWidth="1"/>
    <col min="18" max="18" width="15.140625" customWidth="1"/>
  </cols>
  <sheetData>
    <row r="1" spans="1:27" ht="13.5" thickBo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6"/>
      <c r="O1" s="2"/>
      <c r="P1" s="2"/>
      <c r="Q1" s="2"/>
      <c r="R1" s="2"/>
      <c r="S1" s="2"/>
      <c r="T1" s="2"/>
      <c r="U1" s="2"/>
    </row>
    <row r="2" spans="1:27" ht="23.25" customHeight="1" thickTop="1">
      <c r="A2" s="154" t="s">
        <v>21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6"/>
      <c r="N2" s="16"/>
      <c r="O2" s="2"/>
      <c r="P2" s="2"/>
      <c r="Q2" s="2"/>
      <c r="R2" s="2"/>
      <c r="S2" s="2"/>
      <c r="T2" s="2"/>
      <c r="U2" s="2"/>
    </row>
    <row r="3" spans="1:27" ht="31.5" customHeight="1">
      <c r="A3" s="143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24"/>
      <c r="M3" s="22" t="s">
        <v>19</v>
      </c>
      <c r="N3" s="6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>
      <c r="A4" s="9"/>
      <c r="B4" s="8"/>
      <c r="C4" s="10"/>
      <c r="D4" s="11"/>
      <c r="E4" s="11"/>
      <c r="F4" s="11"/>
      <c r="G4" s="12"/>
      <c r="H4" s="11"/>
      <c r="I4" s="11"/>
      <c r="J4" s="11"/>
      <c r="K4" s="11"/>
      <c r="L4" s="11"/>
      <c r="M4" s="13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23.25">
      <c r="A5" s="145" t="s">
        <v>20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7"/>
      <c r="N5" s="64"/>
      <c r="O5" s="2"/>
      <c r="P5" s="3"/>
      <c r="Q5" s="3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4" thickBot="1">
      <c r="A6" s="44" t="s">
        <v>16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6"/>
      <c r="N6" s="69"/>
      <c r="O6" s="2"/>
      <c r="P6" s="3"/>
      <c r="Q6" s="3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24" thickTop="1">
      <c r="A7" s="58"/>
      <c r="B7" s="59"/>
      <c r="C7" s="59" t="s">
        <v>11</v>
      </c>
      <c r="D7" s="60"/>
      <c r="E7" s="151"/>
      <c r="F7" s="151"/>
      <c r="G7" s="151"/>
      <c r="H7" s="151"/>
      <c r="I7" s="151"/>
      <c r="J7" s="25"/>
      <c r="K7" s="25"/>
      <c r="L7" s="25"/>
      <c r="M7" s="27"/>
      <c r="N7" s="69"/>
      <c r="O7" s="2"/>
      <c r="P7" s="3"/>
      <c r="Q7" s="3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27" customHeight="1" thickBot="1">
      <c r="A8" s="61"/>
      <c r="B8" s="62"/>
      <c r="C8" s="62" t="s">
        <v>5</v>
      </c>
      <c r="D8" s="62"/>
      <c r="E8" s="152"/>
      <c r="F8" s="152"/>
      <c r="G8" s="152"/>
      <c r="H8" s="152"/>
      <c r="I8" s="153" t="s">
        <v>22</v>
      </c>
      <c r="J8" s="153"/>
      <c r="K8" s="153"/>
      <c r="L8" s="14"/>
      <c r="M8" s="70">
        <f ca="1">TODAY()</f>
        <v>40988</v>
      </c>
      <c r="N8" s="15"/>
      <c r="O8" s="3"/>
      <c r="P8" s="3"/>
      <c r="Q8" s="3"/>
      <c r="R8" s="3"/>
      <c r="S8" s="3"/>
      <c r="T8" s="3"/>
      <c r="U8" s="3"/>
      <c r="V8" s="3"/>
      <c r="W8" s="2"/>
      <c r="X8" s="2"/>
      <c r="Y8" s="2"/>
      <c r="Z8" s="2"/>
      <c r="AA8" s="2"/>
    </row>
    <row r="9" spans="1:27" ht="30" customHeight="1">
      <c r="A9" s="47" t="s">
        <v>18</v>
      </c>
      <c r="B9" s="138" t="s">
        <v>0</v>
      </c>
      <c r="C9" s="138"/>
      <c r="D9" s="138"/>
      <c r="E9" s="139"/>
      <c r="F9" s="48" t="s">
        <v>1</v>
      </c>
      <c r="G9" s="49" t="s">
        <v>9</v>
      </c>
      <c r="H9" s="50" t="s">
        <v>2</v>
      </c>
      <c r="I9" s="51" t="s">
        <v>6</v>
      </c>
      <c r="J9" s="52" t="s">
        <v>8</v>
      </c>
      <c r="K9" s="52" t="s">
        <v>3</v>
      </c>
      <c r="L9" s="52" t="s">
        <v>7</v>
      </c>
      <c r="M9" s="53" t="s">
        <v>4</v>
      </c>
      <c r="N9" s="65"/>
      <c r="O9" s="3"/>
      <c r="P9" s="3"/>
      <c r="Q9" s="3"/>
      <c r="R9" s="3"/>
      <c r="S9" s="3"/>
      <c r="T9" s="3"/>
      <c r="U9" s="3"/>
      <c r="V9" s="3"/>
      <c r="W9" s="2"/>
      <c r="X9" s="2"/>
      <c r="Y9" s="2"/>
      <c r="Z9" s="2"/>
      <c r="AA9" s="2"/>
    </row>
    <row r="10" spans="1:27" s="1" customFormat="1" ht="30" customHeight="1">
      <c r="A10" s="28">
        <v>1</v>
      </c>
      <c r="B10" s="136" t="s">
        <v>16</v>
      </c>
      <c r="C10" s="136"/>
      <c r="D10" s="136"/>
      <c r="E10" s="137"/>
      <c r="F10" s="29">
        <f>$H10-$G10</f>
        <v>0</v>
      </c>
      <c r="G10" s="30"/>
      <c r="H10" s="54"/>
      <c r="I10" s="31"/>
      <c r="J10" s="56">
        <v>2</v>
      </c>
      <c r="K10" s="32"/>
      <c r="L10" s="32"/>
      <c r="M10" s="33"/>
      <c r="N10" s="66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s="1" customFormat="1" ht="30" customHeight="1">
      <c r="A11" s="34">
        <v>2</v>
      </c>
      <c r="B11" s="135"/>
      <c r="C11" s="136"/>
      <c r="D11" s="136"/>
      <c r="E11" s="137"/>
      <c r="F11" s="29">
        <f>$H11-$G11</f>
        <v>0</v>
      </c>
      <c r="G11" s="30"/>
      <c r="H11" s="54"/>
      <c r="I11" s="31"/>
      <c r="J11" s="56">
        <v>2</v>
      </c>
      <c r="K11" s="32"/>
      <c r="L11" s="32"/>
      <c r="M11" s="33"/>
      <c r="N11" s="66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s="1" customFormat="1" ht="30" customHeight="1">
      <c r="A12" s="34">
        <v>3</v>
      </c>
      <c r="B12" s="135"/>
      <c r="C12" s="136"/>
      <c r="D12" s="136"/>
      <c r="E12" s="137"/>
      <c r="F12" s="29">
        <f>$H12-$G12</f>
        <v>0</v>
      </c>
      <c r="G12" s="30"/>
      <c r="H12" s="54"/>
      <c r="I12" s="31"/>
      <c r="J12" s="56">
        <v>2</v>
      </c>
      <c r="K12" s="32"/>
      <c r="L12" s="32"/>
      <c r="M12" s="33"/>
      <c r="N12" s="66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s="1" customFormat="1" ht="30" customHeight="1" thickBot="1">
      <c r="A13" s="35">
        <v>4</v>
      </c>
      <c r="B13" s="135"/>
      <c r="C13" s="136"/>
      <c r="D13" s="136"/>
      <c r="E13" s="137"/>
      <c r="F13" s="29">
        <f>$H13-$G13</f>
        <v>0</v>
      </c>
      <c r="G13" s="30"/>
      <c r="H13" s="54"/>
      <c r="I13" s="31"/>
      <c r="J13" s="56">
        <v>2</v>
      </c>
      <c r="K13" s="36"/>
      <c r="L13" s="37"/>
      <c r="M13" s="38"/>
      <c r="N13" s="66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s="1" customFormat="1" ht="30" customHeight="1" thickBot="1">
      <c r="A14" s="148" t="s">
        <v>17</v>
      </c>
      <c r="B14" s="149"/>
      <c r="C14" s="149"/>
      <c r="D14" s="149"/>
      <c r="E14" s="150"/>
      <c r="F14" s="39">
        <f>SUM(F10:F13)</f>
        <v>0</v>
      </c>
      <c r="G14" s="40">
        <f>SUM(G10:G13)</f>
        <v>0</v>
      </c>
      <c r="H14" s="55">
        <f>SUM(H10:H13)</f>
        <v>0</v>
      </c>
      <c r="I14" s="41"/>
      <c r="J14" s="42"/>
      <c r="K14" s="42"/>
      <c r="L14" s="42"/>
      <c r="M14" s="43"/>
      <c r="N14" s="2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4.25" customHeight="1" thickBot="1">
      <c r="A15" s="97"/>
      <c r="B15" s="98" t="s">
        <v>30</v>
      </c>
      <c r="C15" s="98"/>
      <c r="D15" s="98"/>
      <c r="E15" s="100" t="s">
        <v>14</v>
      </c>
      <c r="F15" s="101"/>
      <c r="G15" s="101"/>
      <c r="H15" s="101"/>
      <c r="I15" s="101"/>
      <c r="J15" s="101"/>
      <c r="K15" s="101"/>
      <c r="L15" s="101"/>
      <c r="M15" s="102"/>
      <c r="N15" s="15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>
      <c r="A16" s="86" t="s">
        <v>34</v>
      </c>
      <c r="B16" s="84"/>
      <c r="C16" s="84"/>
      <c r="D16" s="84"/>
      <c r="E16" s="103" t="s">
        <v>32</v>
      </c>
      <c r="F16" s="104"/>
      <c r="G16" s="104"/>
      <c r="H16" s="105"/>
      <c r="I16" s="109" t="str">
        <f>"I certify that the sum of "&amp;TEXT( H14, "$0.00")&amp;"                         is due and payable to me and I acknowledge receipt of that sum in accordance with Section 3.5 of the"</f>
        <v>I certify that the sum of $0.00                         is due and payable to me and I acknowledge receipt of that sum in accordance with Section 3.5 of the</v>
      </c>
      <c r="J16" s="110"/>
      <c r="K16" s="110"/>
      <c r="L16" s="110"/>
      <c r="M16" s="111"/>
      <c r="N16" s="1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7" customHeight="1">
      <c r="A17" s="86"/>
      <c r="B17" s="87"/>
      <c r="C17" s="87"/>
      <c r="D17" s="87"/>
      <c r="E17" s="106"/>
      <c r="F17" s="107"/>
      <c r="G17" s="107"/>
      <c r="H17" s="108"/>
      <c r="I17" s="112"/>
      <c r="J17" s="113"/>
      <c r="K17" s="113"/>
      <c r="L17" s="113"/>
      <c r="M17" s="114"/>
      <c r="N17" s="5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7.25" customHeight="1">
      <c r="A18" s="86" t="s">
        <v>23</v>
      </c>
      <c r="B18" s="84"/>
      <c r="C18" s="131" t="s">
        <v>24</v>
      </c>
      <c r="D18" s="132"/>
      <c r="E18" s="106"/>
      <c r="F18" s="107"/>
      <c r="G18" s="107"/>
      <c r="H18" s="108"/>
      <c r="I18" s="112"/>
      <c r="J18" s="113"/>
      <c r="K18" s="113"/>
      <c r="L18" s="113"/>
      <c r="M18" s="114"/>
      <c r="N18" s="7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" customHeight="1">
      <c r="A19" s="86"/>
      <c r="B19" s="87"/>
      <c r="C19" s="133" t="s">
        <v>25</v>
      </c>
      <c r="D19" s="134"/>
      <c r="E19" s="93"/>
      <c r="F19" s="118" t="s">
        <v>15</v>
      </c>
      <c r="G19" s="118"/>
      <c r="H19" s="76"/>
      <c r="I19" s="78"/>
      <c r="J19" s="115" t="s">
        <v>15</v>
      </c>
      <c r="K19" s="115"/>
      <c r="L19" s="115"/>
      <c r="M19" s="116"/>
      <c r="N19" s="5"/>
      <c r="O19" s="2"/>
      <c r="P19" s="2"/>
      <c r="Q19" s="2"/>
      <c r="R19" s="6"/>
      <c r="S19" s="2"/>
      <c r="T19" s="2"/>
      <c r="U19" s="2"/>
      <c r="V19" s="2"/>
      <c r="W19" s="2"/>
      <c r="X19" s="2"/>
      <c r="Y19" s="2"/>
      <c r="Z19" s="2"/>
      <c r="AA19" s="2"/>
    </row>
    <row r="20" spans="1:27" ht="27" customHeight="1">
      <c r="A20" s="88" t="s">
        <v>26</v>
      </c>
      <c r="B20" s="89"/>
      <c r="C20" s="89"/>
      <c r="D20" s="89"/>
      <c r="E20" s="93"/>
      <c r="F20" s="94"/>
      <c r="G20" s="94"/>
      <c r="H20" s="76"/>
      <c r="I20" s="78"/>
      <c r="J20" s="82"/>
      <c r="K20" s="82"/>
      <c r="L20" s="82"/>
      <c r="M20" s="83"/>
      <c r="N20" s="5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6.5" customHeight="1">
      <c r="A21" s="95" t="s">
        <v>36</v>
      </c>
      <c r="B21" s="87"/>
      <c r="C21" s="87"/>
      <c r="D21" s="84"/>
      <c r="E21" s="86"/>
      <c r="F21" s="79"/>
      <c r="G21" s="79"/>
      <c r="H21" s="87"/>
      <c r="I21" s="71"/>
      <c r="J21" s="87"/>
      <c r="K21" s="117"/>
      <c r="L21" s="117"/>
      <c r="M21" s="85"/>
      <c r="N21" s="67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28.5" customHeight="1">
      <c r="A22" s="120" t="s">
        <v>33</v>
      </c>
      <c r="B22" s="121"/>
      <c r="C22" s="121"/>
      <c r="D22" s="122"/>
      <c r="E22" s="86"/>
      <c r="F22" s="87"/>
      <c r="G22" s="87"/>
      <c r="H22" s="87"/>
      <c r="I22" s="123"/>
      <c r="J22" s="124"/>
      <c r="K22" s="124"/>
      <c r="L22" s="124"/>
      <c r="M22" s="125"/>
      <c r="N22" s="67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1.75" customHeight="1">
      <c r="A23" s="119" t="s">
        <v>31</v>
      </c>
      <c r="B23" s="118"/>
      <c r="C23" s="118"/>
      <c r="D23" s="77"/>
      <c r="E23" s="72"/>
      <c r="F23" s="87"/>
      <c r="G23" s="87"/>
      <c r="H23" s="87"/>
      <c r="I23" s="73"/>
      <c r="J23" s="87"/>
      <c r="K23" s="87"/>
      <c r="L23" s="87"/>
      <c r="M23" s="85"/>
      <c r="N23" s="67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27.75" customHeight="1">
      <c r="A24" s="88" t="s">
        <v>27</v>
      </c>
      <c r="B24" s="89"/>
      <c r="C24" s="89"/>
      <c r="D24" s="89"/>
      <c r="E24" s="88" t="s">
        <v>13</v>
      </c>
      <c r="F24" s="96"/>
      <c r="G24" s="84"/>
      <c r="H24" s="84"/>
      <c r="I24" s="71" t="s">
        <v>12</v>
      </c>
      <c r="J24" s="89"/>
      <c r="K24" s="89"/>
      <c r="L24" s="89"/>
      <c r="M24" s="74"/>
      <c r="N24" s="1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>
      <c r="A25" s="126" t="s">
        <v>28</v>
      </c>
      <c r="B25" s="127"/>
      <c r="C25" s="127"/>
      <c r="D25" s="127"/>
      <c r="E25" s="126" t="s">
        <v>29</v>
      </c>
      <c r="F25" s="127"/>
      <c r="G25" s="127"/>
      <c r="H25" s="128"/>
      <c r="I25" s="129" t="s">
        <v>10</v>
      </c>
      <c r="J25" s="127"/>
      <c r="K25" s="127"/>
      <c r="L25" s="127"/>
      <c r="M25" s="130"/>
      <c r="N25" s="1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3.5" thickBot="1">
      <c r="A26" s="86"/>
      <c r="B26" s="84"/>
      <c r="C26" s="91"/>
      <c r="D26" s="91"/>
      <c r="E26" s="90"/>
      <c r="F26" s="91"/>
      <c r="G26" s="91"/>
      <c r="H26" s="75"/>
      <c r="I26" s="91"/>
      <c r="J26" s="91"/>
      <c r="K26" s="91"/>
      <c r="L26" s="91"/>
      <c r="M26" s="92"/>
      <c r="N26" s="1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3.5" thickTop="1">
      <c r="A27" s="99"/>
      <c r="B27" s="99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1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4"/>
      <c r="M28" s="2"/>
      <c r="N28" s="1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2"/>
      <c r="B29" s="2"/>
      <c r="C29" s="2"/>
      <c r="D29" s="2"/>
      <c r="E29" s="6"/>
      <c r="F29" s="2"/>
      <c r="G29" s="2"/>
      <c r="H29" s="2"/>
      <c r="I29" s="2"/>
      <c r="J29" s="2"/>
      <c r="K29" s="2"/>
      <c r="L29" s="2"/>
      <c r="M29" s="2"/>
      <c r="N29" s="1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1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M31" s="2"/>
      <c r="N31" s="1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1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2"/>
      <c r="B33" s="2"/>
      <c r="C33" s="2"/>
      <c r="D33" s="2"/>
      <c r="E33" s="26" t="s">
        <v>16</v>
      </c>
      <c r="F33" s="2"/>
      <c r="G33" s="2"/>
      <c r="H33" s="2"/>
      <c r="I33" s="2"/>
      <c r="J33" s="2"/>
      <c r="K33" s="2"/>
      <c r="L33" s="2"/>
      <c r="M33" s="2"/>
      <c r="N33" s="1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1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1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1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</sheetData>
  <sheetProtection password="9B65" sheet="1" objects="1" scenarios="1" insertRows="0" deleteRows="0" selectLockedCells="1"/>
  <mergeCells count="27">
    <mergeCell ref="A2:M2"/>
    <mergeCell ref="B13:E13"/>
    <mergeCell ref="B9:E9"/>
    <mergeCell ref="A5:M5"/>
    <mergeCell ref="A3:B3"/>
    <mergeCell ref="I8:K8"/>
    <mergeCell ref="C3:K3"/>
    <mergeCell ref="B10:E10"/>
    <mergeCell ref="B11:E11"/>
    <mergeCell ref="B12:E12"/>
    <mergeCell ref="E7:I7"/>
    <mergeCell ref="E8:H8"/>
    <mergeCell ref="A25:D25"/>
    <mergeCell ref="E25:H25"/>
    <mergeCell ref="I25:M25"/>
    <mergeCell ref="A23:C23"/>
    <mergeCell ref="A14:E14"/>
    <mergeCell ref="C18:D18"/>
    <mergeCell ref="C19:D19"/>
    <mergeCell ref="A22:D22"/>
    <mergeCell ref="I22:M22"/>
    <mergeCell ref="E15:M15"/>
    <mergeCell ref="E16:H18"/>
    <mergeCell ref="I16:M18"/>
    <mergeCell ref="F19:G19"/>
    <mergeCell ref="J19:M19"/>
    <mergeCell ref="K21:L21"/>
  </mergeCells>
  <phoneticPr fontId="6" type="noConversion"/>
  <conditionalFormatting sqref="M10:N13 I10:I13">
    <cfRule type="cellIs" dxfId="0" priority="1" stopIfTrue="1" operator="equal">
      <formula>0</formula>
    </cfRule>
  </conditionalFormatting>
  <hyperlinks>
    <hyperlink ref="F19" r:id="rId1"/>
    <hyperlink ref="A23" r:id="rId2" display="USQ Petty Cash Policy"/>
    <hyperlink ref="J19" r:id="rId3"/>
  </hyperlinks>
  <pageMargins left="0.35433070866141736" right="0.19685039370078741" top="0.74803149606299213" bottom="0.70866141732283472" header="0.51181102362204722" footer="0.51181102362204722"/>
  <pageSetup paperSize="9" scale="62" orientation="portrait" r:id="rId4"/>
  <headerFooter alignWithMargins="0"/>
  <ignoredErrors>
    <ignoredError sqref="F11:F13" unlockedFormula="1"/>
  </ignoredErrors>
  <drawing r:id="rId5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1:AA59"/>
  <sheetViews>
    <sheetView showGridLines="0" tabSelected="1" topLeftCell="A16" zoomScale="80" zoomScaleNormal="80" zoomScaleSheetLayoutView="75" workbookViewId="0">
      <selection activeCell="E7" sqref="E7:I7"/>
    </sheetView>
  </sheetViews>
  <sheetFormatPr defaultRowHeight="12.75"/>
  <cols>
    <col min="1" max="1" width="5.28515625" customWidth="1"/>
    <col min="2" max="2" width="14.5703125" customWidth="1"/>
    <col min="4" max="4" width="20.85546875" customWidth="1"/>
    <col min="5" max="5" width="16.7109375" customWidth="1"/>
    <col min="6" max="6" width="13.140625" customWidth="1"/>
    <col min="7" max="7" width="10.85546875" customWidth="1"/>
    <col min="8" max="8" width="14.85546875" customWidth="1"/>
    <col min="9" max="9" width="13.28515625" customWidth="1"/>
    <col min="10" max="10" width="4.42578125" customWidth="1"/>
    <col min="11" max="11" width="10.5703125" customWidth="1"/>
    <col min="12" max="12" width="7.140625" customWidth="1"/>
    <col min="13" max="13" width="15.5703125" customWidth="1"/>
    <col min="14" max="14" width="17.7109375" style="2" customWidth="1"/>
    <col min="15" max="15" width="14.28515625" customWidth="1"/>
    <col min="16" max="16" width="3.28515625" customWidth="1"/>
    <col min="17" max="17" width="13.28515625" customWidth="1"/>
    <col min="18" max="18" width="15.140625" customWidth="1"/>
  </cols>
  <sheetData>
    <row r="1" spans="1:27" ht="13.5" thickBo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6"/>
      <c r="O1" s="2"/>
      <c r="P1" s="2"/>
      <c r="Q1" s="2"/>
      <c r="R1" s="2"/>
      <c r="S1" s="2"/>
      <c r="T1" s="2"/>
      <c r="U1" s="2"/>
    </row>
    <row r="2" spans="1:27" ht="21" customHeight="1" thickTop="1">
      <c r="A2" s="140" t="s">
        <v>21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2"/>
      <c r="N2" s="16"/>
      <c r="O2" s="2"/>
      <c r="P2" s="2"/>
      <c r="Q2" s="2"/>
      <c r="R2" s="2"/>
      <c r="S2" s="2"/>
      <c r="T2" s="2"/>
      <c r="U2" s="2"/>
    </row>
    <row r="3" spans="1:27" ht="25.5" customHeight="1">
      <c r="A3" s="143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24"/>
      <c r="M3" s="22" t="s">
        <v>19</v>
      </c>
      <c r="N3" s="6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>
      <c r="A4" s="9"/>
      <c r="B4" s="8"/>
      <c r="C4" s="10"/>
      <c r="D4" s="11"/>
      <c r="E4" s="11"/>
      <c r="F4" s="11"/>
      <c r="G4" s="12"/>
      <c r="H4" s="11"/>
      <c r="I4" s="11"/>
      <c r="J4" s="11"/>
      <c r="K4" s="11"/>
      <c r="L4" s="11"/>
      <c r="M4" s="13"/>
      <c r="N4" s="1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23.25">
      <c r="A5" s="145" t="s">
        <v>20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7"/>
      <c r="N5" s="64"/>
      <c r="O5" s="2"/>
      <c r="P5" s="3"/>
      <c r="Q5" s="3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0.25" customHeight="1" thickBot="1">
      <c r="A6" s="44" t="s">
        <v>16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6"/>
      <c r="N6" s="15"/>
      <c r="O6" s="3"/>
      <c r="P6" s="3"/>
      <c r="Q6" s="3"/>
      <c r="R6" s="3"/>
      <c r="S6" s="3"/>
      <c r="T6" s="3"/>
      <c r="U6" s="3"/>
      <c r="V6" s="3"/>
      <c r="W6" s="2"/>
      <c r="X6" s="2"/>
      <c r="Y6" s="2"/>
      <c r="Z6" s="2"/>
      <c r="AA6" s="2"/>
    </row>
    <row r="7" spans="1:27" ht="30" customHeight="1" thickTop="1">
      <c r="A7" s="58"/>
      <c r="B7" s="59"/>
      <c r="C7" s="59" t="s">
        <v>11</v>
      </c>
      <c r="D7" s="60"/>
      <c r="E7" s="151"/>
      <c r="F7" s="151"/>
      <c r="G7" s="151"/>
      <c r="H7" s="151"/>
      <c r="I7" s="151"/>
      <c r="J7" s="25"/>
      <c r="K7" s="25"/>
      <c r="L7" s="25"/>
      <c r="M7" s="27"/>
      <c r="N7" s="65"/>
      <c r="O7" s="3"/>
      <c r="P7" s="3"/>
      <c r="Q7" s="3"/>
      <c r="R7" s="3"/>
      <c r="S7" s="3"/>
      <c r="T7" s="3"/>
      <c r="U7" s="3"/>
      <c r="V7" s="3"/>
      <c r="W7" s="2"/>
      <c r="X7" s="2"/>
      <c r="Y7" s="2"/>
      <c r="Z7" s="2"/>
      <c r="AA7" s="2"/>
    </row>
    <row r="8" spans="1:27" s="1" customFormat="1" ht="30" customHeight="1" thickBot="1">
      <c r="A8" s="61"/>
      <c r="B8" s="62"/>
      <c r="C8" s="62" t="s">
        <v>5</v>
      </c>
      <c r="D8" s="62"/>
      <c r="E8" s="152"/>
      <c r="F8" s="152"/>
      <c r="G8" s="152"/>
      <c r="H8" s="152"/>
      <c r="I8" s="153" t="s">
        <v>22</v>
      </c>
      <c r="J8" s="153"/>
      <c r="K8" s="153"/>
      <c r="L8" s="14"/>
      <c r="M8" s="70">
        <f ca="1">TODAY()</f>
        <v>40988</v>
      </c>
      <c r="N8" s="66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s="1" customFormat="1" ht="30" customHeight="1">
      <c r="A9" s="47" t="s">
        <v>18</v>
      </c>
      <c r="B9" s="138" t="s">
        <v>0</v>
      </c>
      <c r="C9" s="138"/>
      <c r="D9" s="138"/>
      <c r="E9" s="139"/>
      <c r="F9" s="48" t="s">
        <v>1</v>
      </c>
      <c r="G9" s="49" t="s">
        <v>9</v>
      </c>
      <c r="H9" s="50" t="s">
        <v>2</v>
      </c>
      <c r="I9" s="51" t="s">
        <v>6</v>
      </c>
      <c r="J9" s="52" t="s">
        <v>8</v>
      </c>
      <c r="K9" s="52" t="s">
        <v>3</v>
      </c>
      <c r="L9" s="52" t="s">
        <v>7</v>
      </c>
      <c r="M9" s="53" t="s">
        <v>4</v>
      </c>
      <c r="N9" s="66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s="1" customFormat="1" ht="30" customHeight="1">
      <c r="A10" s="28">
        <v>1</v>
      </c>
      <c r="B10" s="136"/>
      <c r="C10" s="136"/>
      <c r="D10" s="136"/>
      <c r="E10" s="137"/>
      <c r="F10" s="29">
        <f>$H10-$G10</f>
        <v>0</v>
      </c>
      <c r="G10" s="30"/>
      <c r="H10" s="54"/>
      <c r="I10" s="31"/>
      <c r="J10" s="56">
        <v>2</v>
      </c>
      <c r="K10" s="32"/>
      <c r="L10" s="32"/>
      <c r="M10" s="33"/>
      <c r="N10" s="66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s="1" customFormat="1" ht="30" customHeight="1">
      <c r="A11" s="34">
        <v>2</v>
      </c>
      <c r="B11" s="135"/>
      <c r="C11" s="136"/>
      <c r="D11" s="136"/>
      <c r="E11" s="137"/>
      <c r="F11" s="29">
        <f>$H11-$G11</f>
        <v>0</v>
      </c>
      <c r="G11" s="30"/>
      <c r="H11" s="54"/>
      <c r="I11" s="31"/>
      <c r="J11" s="56">
        <v>2</v>
      </c>
      <c r="K11" s="32"/>
      <c r="L11" s="32"/>
      <c r="M11" s="33"/>
      <c r="N11" s="66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s="1" customFormat="1" ht="30" customHeight="1">
      <c r="A12" s="34">
        <v>3</v>
      </c>
      <c r="B12" s="135"/>
      <c r="C12" s="136"/>
      <c r="D12" s="136"/>
      <c r="E12" s="137"/>
      <c r="F12" s="29">
        <f>$H12-$G12</f>
        <v>0</v>
      </c>
      <c r="G12" s="30"/>
      <c r="H12" s="54"/>
      <c r="I12" s="31"/>
      <c r="J12" s="56">
        <v>2</v>
      </c>
      <c r="K12" s="32"/>
      <c r="L12" s="32"/>
      <c r="M12" s="33"/>
      <c r="N12" s="2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30" customHeight="1" thickBot="1">
      <c r="A13" s="35">
        <v>4</v>
      </c>
      <c r="B13" s="135"/>
      <c r="C13" s="136"/>
      <c r="D13" s="136"/>
      <c r="E13" s="137"/>
      <c r="F13" s="29">
        <f>$H13-$G13</f>
        <v>0</v>
      </c>
      <c r="G13" s="30"/>
      <c r="H13" s="54"/>
      <c r="I13" s="31"/>
      <c r="J13" s="56">
        <v>2</v>
      </c>
      <c r="K13" s="36"/>
      <c r="L13" s="37"/>
      <c r="M13" s="38"/>
      <c r="N13" s="1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30" customHeight="1" thickBot="1">
      <c r="A14" s="148" t="s">
        <v>17</v>
      </c>
      <c r="B14" s="149"/>
      <c r="C14" s="149"/>
      <c r="D14" s="149"/>
      <c r="E14" s="150"/>
      <c r="F14" s="39">
        <f>SUM(F10:F13)</f>
        <v>0</v>
      </c>
      <c r="G14" s="40">
        <f>SUM(G10:G13)</f>
        <v>0</v>
      </c>
      <c r="H14" s="55">
        <f>SUM(H10:H13)</f>
        <v>0</v>
      </c>
      <c r="I14" s="41"/>
      <c r="J14" s="42"/>
      <c r="K14" s="42"/>
      <c r="L14" s="42"/>
      <c r="M14" s="43"/>
      <c r="N14" s="1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2.75" customHeight="1" thickBot="1">
      <c r="A15" s="97"/>
      <c r="B15" s="98" t="s">
        <v>30</v>
      </c>
      <c r="C15" s="98"/>
      <c r="D15" s="98"/>
      <c r="E15" s="100" t="s">
        <v>14</v>
      </c>
      <c r="F15" s="101"/>
      <c r="G15" s="101"/>
      <c r="H15" s="101"/>
      <c r="I15" s="101"/>
      <c r="J15" s="101"/>
      <c r="K15" s="101"/>
      <c r="L15" s="101"/>
      <c r="M15" s="102"/>
      <c r="N15" s="5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7.25" customHeight="1">
      <c r="A16" s="86" t="s">
        <v>34</v>
      </c>
      <c r="B16" s="11"/>
      <c r="C16" s="11"/>
      <c r="D16" s="11"/>
      <c r="E16" s="103" t="s">
        <v>32</v>
      </c>
      <c r="F16" s="104"/>
      <c r="G16" s="104"/>
      <c r="H16" s="105"/>
      <c r="I16" s="109" t="str">
        <f>"I certify that the sum of "&amp;TEXT( H14, "$0.00")&amp;"                         is due and payable to me and I acknowledge receipt of that sum in accordance with Section 3.5 of the"</f>
        <v>I certify that the sum of $0.00                         is due and payable to me and I acknowledge receipt of that sum in accordance with Section 3.5 of the</v>
      </c>
      <c r="J16" s="110"/>
      <c r="K16" s="110"/>
      <c r="L16" s="110"/>
      <c r="M16" s="111"/>
      <c r="N16" s="5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5.5" customHeight="1">
      <c r="A17" s="15"/>
      <c r="B17" s="16"/>
      <c r="C17" s="16"/>
      <c r="D17" s="16"/>
      <c r="E17" s="106"/>
      <c r="F17" s="107"/>
      <c r="G17" s="107"/>
      <c r="H17" s="108"/>
      <c r="I17" s="112"/>
      <c r="J17" s="113"/>
      <c r="K17" s="113"/>
      <c r="L17" s="113"/>
      <c r="M17" s="114"/>
      <c r="N17" s="5"/>
      <c r="O17" s="2"/>
      <c r="P17" s="2"/>
      <c r="Q17" s="2"/>
      <c r="R17" s="6"/>
      <c r="S17" s="2"/>
      <c r="T17" s="2"/>
      <c r="U17" s="2"/>
      <c r="V17" s="2"/>
      <c r="W17" s="2"/>
      <c r="X17" s="2"/>
      <c r="Y17" s="2"/>
      <c r="Z17" s="2"/>
      <c r="AA17" s="2"/>
    </row>
    <row r="18" spans="1:27" ht="22.5" customHeight="1">
      <c r="A18" s="15" t="s">
        <v>23</v>
      </c>
      <c r="B18" s="11"/>
      <c r="C18" s="131" t="s">
        <v>24</v>
      </c>
      <c r="D18" s="132"/>
      <c r="E18" s="106"/>
      <c r="F18" s="107"/>
      <c r="G18" s="107"/>
      <c r="H18" s="108"/>
      <c r="I18" s="112"/>
      <c r="J18" s="113"/>
      <c r="K18" s="113"/>
      <c r="L18" s="113"/>
      <c r="M18" s="114"/>
      <c r="N18" s="7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6.5" customHeight="1">
      <c r="A19" s="15"/>
      <c r="B19" s="16"/>
      <c r="C19" s="132" t="s">
        <v>25</v>
      </c>
      <c r="D19" s="132"/>
      <c r="E19" s="93"/>
      <c r="F19" s="118" t="s">
        <v>15</v>
      </c>
      <c r="G19" s="118"/>
      <c r="H19" s="76"/>
      <c r="I19" s="78"/>
      <c r="J19" s="82"/>
      <c r="K19" s="115" t="s">
        <v>15</v>
      </c>
      <c r="L19" s="115"/>
      <c r="M19" s="116"/>
      <c r="N19" s="67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28.5" customHeight="1">
      <c r="A20" s="17" t="s">
        <v>26</v>
      </c>
      <c r="B20" s="18"/>
      <c r="C20" s="18"/>
      <c r="D20" s="18"/>
      <c r="E20" s="93"/>
      <c r="F20" s="94"/>
      <c r="G20" s="94"/>
      <c r="H20" s="76"/>
      <c r="I20" s="78"/>
      <c r="J20" s="82"/>
      <c r="K20" s="82"/>
      <c r="L20" s="82"/>
      <c r="M20" s="83"/>
      <c r="N20" s="67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>
      <c r="A21" s="95" t="s">
        <v>35</v>
      </c>
      <c r="B21" s="16"/>
      <c r="C21" s="16"/>
      <c r="D21" s="11"/>
      <c r="E21" s="15"/>
      <c r="H21" s="16"/>
      <c r="I21" s="71"/>
      <c r="J21" s="16"/>
      <c r="K21" s="117"/>
      <c r="L21" s="117"/>
      <c r="M21" s="13"/>
      <c r="N21" s="67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27.75" customHeight="1">
      <c r="A22" s="120" t="s">
        <v>33</v>
      </c>
      <c r="B22" s="121"/>
      <c r="C22" s="121"/>
      <c r="D22" s="122"/>
      <c r="E22" s="15"/>
      <c r="F22" s="16"/>
      <c r="G22" s="16"/>
      <c r="H22" s="16"/>
      <c r="I22" s="123"/>
      <c r="J22" s="124"/>
      <c r="K22" s="124"/>
      <c r="L22" s="124"/>
      <c r="M22" s="125"/>
      <c r="N22" s="68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119" t="s">
        <v>31</v>
      </c>
      <c r="B23" s="118"/>
      <c r="C23" s="118"/>
      <c r="D23" s="77"/>
      <c r="E23" s="72"/>
      <c r="F23" s="16"/>
      <c r="G23" s="16"/>
      <c r="H23" s="16"/>
      <c r="I23" s="73"/>
      <c r="J23" s="16"/>
      <c r="K23" s="16"/>
      <c r="L23" s="16"/>
      <c r="M23" s="13"/>
      <c r="N23" s="1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27" customHeight="1">
      <c r="A24" s="17" t="s">
        <v>27</v>
      </c>
      <c r="B24" s="18"/>
      <c r="C24" s="18"/>
      <c r="D24" s="18"/>
      <c r="E24" s="17" t="s">
        <v>13</v>
      </c>
      <c r="F24" s="57"/>
      <c r="G24" s="11"/>
      <c r="H24" s="11"/>
      <c r="I24" s="71" t="s">
        <v>12</v>
      </c>
      <c r="J24" s="18"/>
      <c r="K24" s="18"/>
      <c r="L24" s="18"/>
      <c r="M24" s="74"/>
      <c r="N24" s="1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>
      <c r="A25" s="126" t="s">
        <v>28</v>
      </c>
      <c r="B25" s="127"/>
      <c r="C25" s="127"/>
      <c r="D25" s="127"/>
      <c r="E25" s="126" t="s">
        <v>29</v>
      </c>
      <c r="F25" s="127"/>
      <c r="G25" s="127"/>
      <c r="H25" s="128"/>
      <c r="I25" s="129" t="s">
        <v>10</v>
      </c>
      <c r="J25" s="127"/>
      <c r="K25" s="127"/>
      <c r="L25" s="127"/>
      <c r="M25" s="130"/>
      <c r="N25" s="1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3.5" thickBot="1">
      <c r="A26" s="19"/>
      <c r="B26" s="20"/>
      <c r="C26" s="20"/>
      <c r="D26" s="20"/>
      <c r="E26" s="19"/>
      <c r="F26" s="20"/>
      <c r="G26" s="20"/>
      <c r="H26" s="75"/>
      <c r="I26" s="20"/>
      <c r="J26" s="20"/>
      <c r="K26" s="20"/>
      <c r="L26" s="20"/>
      <c r="M26" s="21"/>
      <c r="N26" s="1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3.5" thickTop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1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1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s="79" customFormat="1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7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</row>
    <row r="31" spans="1:27" s="79" customFormat="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7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</row>
    <row r="32" spans="1:2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16"/>
      <c r="O32" s="2"/>
      <c r="P32" s="2"/>
      <c r="Q32" s="2"/>
      <c r="R32" s="2"/>
      <c r="S32" s="2"/>
      <c r="T32" s="2"/>
      <c r="U32" s="2"/>
    </row>
    <row r="33" spans="1:27" ht="13.5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16"/>
      <c r="O33" s="2"/>
      <c r="P33" s="2"/>
      <c r="Q33" s="2"/>
      <c r="R33" s="2"/>
      <c r="S33" s="2"/>
      <c r="T33" s="2"/>
      <c r="U33" s="2"/>
    </row>
    <row r="34" spans="1:27" ht="21" customHeight="1" thickTop="1">
      <c r="A34" s="140" t="s">
        <v>21</v>
      </c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2"/>
      <c r="N34" s="63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26.25" customHeight="1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24"/>
      <c r="M35" s="22" t="s">
        <v>19</v>
      </c>
      <c r="N35" s="11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>
      <c r="A36" s="9"/>
      <c r="B36" s="8"/>
      <c r="C36" s="10"/>
      <c r="D36" s="11"/>
      <c r="E36" s="11"/>
      <c r="F36" s="11"/>
      <c r="G36" s="12"/>
      <c r="H36" s="11"/>
      <c r="I36" s="11"/>
      <c r="J36" s="11"/>
      <c r="K36" s="11"/>
      <c r="L36" s="11"/>
      <c r="M36" s="13"/>
      <c r="N36" s="64"/>
      <c r="O36" s="2"/>
      <c r="P36" s="3"/>
      <c r="Q36" s="3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26.25" customHeight="1">
      <c r="A37" s="145" t="s">
        <v>20</v>
      </c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7"/>
      <c r="N37" s="15"/>
      <c r="O37" s="3"/>
      <c r="P37" s="3"/>
      <c r="Q37" s="3"/>
      <c r="R37" s="3"/>
      <c r="S37" s="3"/>
      <c r="T37" s="3"/>
      <c r="U37" s="3"/>
      <c r="V37" s="3"/>
      <c r="W37" s="2"/>
      <c r="X37" s="2"/>
      <c r="Y37" s="2"/>
      <c r="Z37" s="2"/>
      <c r="AA37" s="2"/>
    </row>
    <row r="38" spans="1:27" ht="15" customHeight="1" thickBot="1">
      <c r="A38" s="44" t="s">
        <v>16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6"/>
      <c r="N38" s="65"/>
      <c r="O38" s="3"/>
      <c r="P38" s="3"/>
      <c r="Q38" s="3"/>
      <c r="R38" s="3"/>
      <c r="S38" s="3"/>
      <c r="T38" s="3"/>
      <c r="U38" s="3"/>
      <c r="V38" s="3"/>
      <c r="W38" s="2"/>
      <c r="X38" s="2"/>
      <c r="Y38" s="2"/>
      <c r="Z38" s="2"/>
      <c r="AA38" s="2"/>
    </row>
    <row r="39" spans="1:27" s="1" customFormat="1" ht="30" customHeight="1" thickTop="1">
      <c r="A39" s="58"/>
      <c r="B39" s="59"/>
      <c r="C39" s="59" t="s">
        <v>11</v>
      </c>
      <c r="D39" s="60"/>
      <c r="E39" s="151"/>
      <c r="F39" s="151"/>
      <c r="G39" s="151"/>
      <c r="H39" s="151"/>
      <c r="I39" s="151"/>
      <c r="J39" s="25"/>
      <c r="K39" s="25"/>
      <c r="L39" s="25"/>
      <c r="M39" s="27"/>
      <c r="N39" s="66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s="1" customFormat="1" ht="30" customHeight="1" thickBot="1">
      <c r="A40" s="61"/>
      <c r="B40" s="62"/>
      <c r="C40" s="62" t="s">
        <v>5</v>
      </c>
      <c r="D40" s="62"/>
      <c r="E40" s="152"/>
      <c r="F40" s="152"/>
      <c r="G40" s="152"/>
      <c r="H40" s="152"/>
      <c r="I40" s="153" t="s">
        <v>22</v>
      </c>
      <c r="J40" s="153"/>
      <c r="K40" s="153"/>
      <c r="L40" s="14"/>
      <c r="M40" s="70">
        <f ca="1">TODAY()</f>
        <v>40988</v>
      </c>
      <c r="N40" s="66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s="1" customFormat="1" ht="30" customHeight="1">
      <c r="A41" s="47" t="s">
        <v>18</v>
      </c>
      <c r="B41" s="138" t="s">
        <v>0</v>
      </c>
      <c r="C41" s="138"/>
      <c r="D41" s="138"/>
      <c r="E41" s="139"/>
      <c r="F41" s="48" t="s">
        <v>1</v>
      </c>
      <c r="G41" s="49" t="s">
        <v>9</v>
      </c>
      <c r="H41" s="50" t="s">
        <v>2</v>
      </c>
      <c r="I41" s="51" t="s">
        <v>6</v>
      </c>
      <c r="J41" s="52" t="s">
        <v>8</v>
      </c>
      <c r="K41" s="52" t="s">
        <v>3</v>
      </c>
      <c r="L41" s="52" t="s">
        <v>7</v>
      </c>
      <c r="M41" s="53" t="s">
        <v>4</v>
      </c>
      <c r="N41" s="6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s="1" customFormat="1" ht="30" customHeight="1">
      <c r="A42" s="28">
        <v>1</v>
      </c>
      <c r="B42" s="136"/>
      <c r="C42" s="136"/>
      <c r="D42" s="136"/>
      <c r="E42" s="137"/>
      <c r="F42" s="29">
        <f>$H42-$G42</f>
        <v>0</v>
      </c>
      <c r="G42" s="30"/>
      <c r="H42" s="54"/>
      <c r="I42" s="31"/>
      <c r="J42" s="56">
        <v>2</v>
      </c>
      <c r="K42" s="32"/>
      <c r="L42" s="32"/>
      <c r="M42" s="33"/>
      <c r="N42" s="66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s="1" customFormat="1" ht="30" customHeight="1">
      <c r="A43" s="34">
        <v>2</v>
      </c>
      <c r="B43" s="135"/>
      <c r="C43" s="136"/>
      <c r="D43" s="136"/>
      <c r="E43" s="137"/>
      <c r="F43" s="29">
        <f>$H43-$G43</f>
        <v>0</v>
      </c>
      <c r="G43" s="30"/>
      <c r="H43" s="54"/>
      <c r="I43" s="31"/>
      <c r="J43" s="56">
        <v>2</v>
      </c>
      <c r="K43" s="32"/>
      <c r="L43" s="32"/>
      <c r="M43" s="33"/>
      <c r="N43" s="2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30" customHeight="1">
      <c r="A44" s="34">
        <v>3</v>
      </c>
      <c r="B44" s="135"/>
      <c r="C44" s="136"/>
      <c r="D44" s="136"/>
      <c r="E44" s="137"/>
      <c r="F44" s="29">
        <f>$H44-$G44</f>
        <v>0</v>
      </c>
      <c r="G44" s="30"/>
      <c r="H44" s="54"/>
      <c r="I44" s="31"/>
      <c r="J44" s="56">
        <v>2</v>
      </c>
      <c r="K44" s="32"/>
      <c r="L44" s="32"/>
      <c r="M44" s="33"/>
      <c r="N44" s="1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30" customHeight="1" thickBot="1">
      <c r="A45" s="35">
        <v>4</v>
      </c>
      <c r="B45" s="135"/>
      <c r="C45" s="136"/>
      <c r="D45" s="136"/>
      <c r="E45" s="137"/>
      <c r="F45" s="29">
        <f>$H45-$G45</f>
        <v>0</v>
      </c>
      <c r="G45" s="30"/>
      <c r="H45" s="54"/>
      <c r="I45" s="31"/>
      <c r="J45" s="56">
        <v>2</v>
      </c>
      <c r="K45" s="36"/>
      <c r="L45" s="37"/>
      <c r="M45" s="38"/>
      <c r="N45" s="11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30" customHeight="1" thickBot="1">
      <c r="A46" s="148" t="s">
        <v>17</v>
      </c>
      <c r="B46" s="149"/>
      <c r="C46" s="149"/>
      <c r="D46" s="149"/>
      <c r="E46" s="150"/>
      <c r="F46" s="39">
        <f>SUM(F42:F45)</f>
        <v>0</v>
      </c>
      <c r="G46" s="40">
        <f>SUM(G42:G45)</f>
        <v>0</v>
      </c>
      <c r="H46" s="55">
        <f>SUM(H42:H45)</f>
        <v>0</v>
      </c>
      <c r="I46" s="41"/>
      <c r="J46" s="42"/>
      <c r="K46" s="42"/>
      <c r="L46" s="42"/>
      <c r="M46" s="43"/>
      <c r="N46" s="5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7.25" customHeight="1" thickBot="1">
      <c r="A47" s="97"/>
      <c r="B47" s="98" t="s">
        <v>30</v>
      </c>
      <c r="C47" s="98"/>
      <c r="D47" s="98"/>
      <c r="E47" s="100" t="s">
        <v>14</v>
      </c>
      <c r="F47" s="101"/>
      <c r="G47" s="101"/>
      <c r="H47" s="101"/>
      <c r="I47" s="101"/>
      <c r="J47" s="101"/>
      <c r="K47" s="101"/>
      <c r="L47" s="101"/>
      <c r="M47" s="102"/>
      <c r="N47" s="5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>
      <c r="A48" s="86" t="s">
        <v>34</v>
      </c>
      <c r="B48" s="84"/>
      <c r="C48" s="84"/>
      <c r="D48" s="84"/>
      <c r="E48" s="103" t="s">
        <v>32</v>
      </c>
      <c r="F48" s="104"/>
      <c r="G48" s="104"/>
      <c r="H48" s="105"/>
      <c r="I48" s="109" t="str">
        <f>"I certify that the sum of "&amp;TEXT( H46, "$0.00")&amp;"                         is due and payable to me and I acknowledge receipt of that sum in accordance with Section 3.5 of the"</f>
        <v>I certify that the sum of $0.00                         is due and payable to me and I acknowledge receipt of that sum in accordance with Section 3.5 of the</v>
      </c>
      <c r="J48" s="110"/>
      <c r="K48" s="110"/>
      <c r="L48" s="110"/>
      <c r="M48" s="111"/>
      <c r="N48" s="5"/>
      <c r="O48" s="2"/>
      <c r="P48" s="2"/>
      <c r="Q48" s="2"/>
      <c r="R48" s="6"/>
      <c r="S48" s="2"/>
      <c r="T48" s="2"/>
      <c r="U48" s="2"/>
      <c r="V48" s="2"/>
      <c r="W48" s="2"/>
      <c r="X48" s="2"/>
      <c r="Y48" s="2"/>
      <c r="Z48" s="2"/>
      <c r="AA48" s="2"/>
    </row>
    <row r="49" spans="1:27" ht="27" customHeight="1">
      <c r="A49" s="86"/>
      <c r="B49" s="87"/>
      <c r="C49" s="87"/>
      <c r="D49" s="87"/>
      <c r="E49" s="106"/>
      <c r="F49" s="107"/>
      <c r="G49" s="107"/>
      <c r="H49" s="108"/>
      <c r="I49" s="112"/>
      <c r="J49" s="113"/>
      <c r="K49" s="113"/>
      <c r="L49" s="113"/>
      <c r="M49" s="114"/>
      <c r="N49" s="7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6.5" customHeight="1">
      <c r="A50" s="86" t="s">
        <v>23</v>
      </c>
      <c r="B50" s="84"/>
      <c r="C50" s="131" t="s">
        <v>24</v>
      </c>
      <c r="D50" s="132"/>
      <c r="E50" s="106"/>
      <c r="F50" s="107"/>
      <c r="G50" s="107"/>
      <c r="H50" s="108"/>
      <c r="I50" s="112"/>
      <c r="J50" s="113"/>
      <c r="K50" s="113"/>
      <c r="L50" s="113"/>
      <c r="M50" s="114"/>
      <c r="N50" s="67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8" customHeight="1">
      <c r="A51" s="86"/>
      <c r="B51" s="87"/>
      <c r="C51" s="133" t="s">
        <v>25</v>
      </c>
      <c r="D51" s="134"/>
      <c r="E51" s="93"/>
      <c r="F51" s="118" t="s">
        <v>15</v>
      </c>
      <c r="G51" s="118"/>
      <c r="H51" s="76"/>
      <c r="I51" s="78"/>
      <c r="J51" s="115" t="s">
        <v>15</v>
      </c>
      <c r="K51" s="115"/>
      <c r="L51" s="115"/>
      <c r="M51" s="116"/>
      <c r="N51" s="67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21.75" customHeight="1">
      <c r="A52" s="88" t="s">
        <v>26</v>
      </c>
      <c r="B52" s="89"/>
      <c r="C52" s="89"/>
      <c r="D52" s="89"/>
      <c r="E52" s="93"/>
      <c r="F52" s="94"/>
      <c r="G52" s="94"/>
      <c r="H52" s="76"/>
      <c r="I52" s="78"/>
      <c r="J52" s="82"/>
      <c r="K52" s="82"/>
      <c r="L52" s="82"/>
      <c r="M52" s="83"/>
      <c r="N52" s="67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>
      <c r="A53" s="95" t="s">
        <v>36</v>
      </c>
      <c r="B53" s="87"/>
      <c r="C53" s="87"/>
      <c r="D53" s="84"/>
      <c r="E53" s="86"/>
      <c r="F53" s="79"/>
      <c r="G53" s="79"/>
      <c r="H53" s="87"/>
      <c r="I53" s="71"/>
      <c r="J53" s="87"/>
      <c r="K53" s="117"/>
      <c r="L53" s="117"/>
      <c r="M53" s="85"/>
      <c r="N53" s="6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24" customHeight="1">
      <c r="A54" s="120" t="s">
        <v>33</v>
      </c>
      <c r="B54" s="121"/>
      <c r="C54" s="121"/>
      <c r="D54" s="122"/>
      <c r="E54" s="86"/>
      <c r="F54" s="87"/>
      <c r="G54" s="87"/>
      <c r="H54" s="87"/>
      <c r="I54" s="123"/>
      <c r="J54" s="124"/>
      <c r="K54" s="124"/>
      <c r="L54" s="124"/>
      <c r="M54" s="125"/>
      <c r="N54" s="15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6.5" customHeight="1">
      <c r="A55" s="119" t="s">
        <v>31</v>
      </c>
      <c r="B55" s="118"/>
      <c r="C55" s="118"/>
      <c r="D55" s="77"/>
      <c r="E55" s="72"/>
      <c r="F55" s="87"/>
      <c r="G55" s="87"/>
      <c r="H55" s="87"/>
      <c r="I55" s="73"/>
      <c r="J55" s="87"/>
      <c r="K55" s="87"/>
      <c r="L55" s="87"/>
      <c r="M55" s="85"/>
      <c r="N55" s="11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27.75" customHeight="1">
      <c r="A56" s="88" t="s">
        <v>27</v>
      </c>
      <c r="B56" s="89"/>
      <c r="C56" s="89"/>
      <c r="D56" s="89"/>
      <c r="E56" s="88" t="s">
        <v>13</v>
      </c>
      <c r="F56" s="96"/>
      <c r="G56" s="84"/>
      <c r="H56" s="84"/>
      <c r="I56" s="71" t="s">
        <v>12</v>
      </c>
      <c r="J56" s="89"/>
      <c r="K56" s="89"/>
      <c r="L56" s="89"/>
      <c r="M56" s="74"/>
      <c r="N56" s="1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126" t="s">
        <v>28</v>
      </c>
      <c r="B57" s="127"/>
      <c r="C57" s="127"/>
      <c r="D57" s="127"/>
      <c r="E57" s="126" t="s">
        <v>29</v>
      </c>
      <c r="F57" s="127"/>
      <c r="G57" s="127"/>
      <c r="H57" s="128"/>
      <c r="I57" s="129" t="s">
        <v>10</v>
      </c>
      <c r="J57" s="127"/>
      <c r="K57" s="127"/>
      <c r="L57" s="127"/>
      <c r="M57" s="130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.5" thickBot="1">
      <c r="A58" s="90"/>
      <c r="B58" s="91"/>
      <c r="C58" s="91"/>
      <c r="D58" s="91"/>
      <c r="E58" s="90"/>
      <c r="F58" s="91"/>
      <c r="G58" s="91"/>
      <c r="H58" s="75"/>
      <c r="I58" s="91"/>
      <c r="J58" s="91"/>
      <c r="K58" s="91"/>
      <c r="L58" s="91"/>
      <c r="M58" s="92"/>
    </row>
    <row r="59" spans="1:27" ht="13.5" thickTop="1"/>
  </sheetData>
  <sheetProtection password="9B65" sheet="1" objects="1" scenarios="1" insertRows="0" deleteRows="0" selectLockedCells="1"/>
  <mergeCells count="54">
    <mergeCell ref="E39:I39"/>
    <mergeCell ref="I40:K40"/>
    <mergeCell ref="B45:E45"/>
    <mergeCell ref="A46:E46"/>
    <mergeCell ref="B43:E43"/>
    <mergeCell ref="B44:E44"/>
    <mergeCell ref="A2:M2"/>
    <mergeCell ref="B11:E11"/>
    <mergeCell ref="A5:M5"/>
    <mergeCell ref="A3:B3"/>
    <mergeCell ref="C3:K3"/>
    <mergeCell ref="E7:I7"/>
    <mergeCell ref="E8:H8"/>
    <mergeCell ref="I8:K8"/>
    <mergeCell ref="B9:E9"/>
    <mergeCell ref="B10:E10"/>
    <mergeCell ref="A34:M34"/>
    <mergeCell ref="A35:B35"/>
    <mergeCell ref="C35:K35"/>
    <mergeCell ref="B13:E13"/>
    <mergeCell ref="A14:E14"/>
    <mergeCell ref="C18:D18"/>
    <mergeCell ref="C19:D19"/>
    <mergeCell ref="A22:D22"/>
    <mergeCell ref="I22:M22"/>
    <mergeCell ref="B12:E12"/>
    <mergeCell ref="A23:C23"/>
    <mergeCell ref="A54:D54"/>
    <mergeCell ref="I54:M54"/>
    <mergeCell ref="A57:D57"/>
    <mergeCell ref="E57:H57"/>
    <mergeCell ref="I57:M57"/>
    <mergeCell ref="A55:C55"/>
    <mergeCell ref="A25:D25"/>
    <mergeCell ref="E25:H25"/>
    <mergeCell ref="I25:M25"/>
    <mergeCell ref="C50:D50"/>
    <mergeCell ref="C51:D51"/>
    <mergeCell ref="B42:E42"/>
    <mergeCell ref="B41:E41"/>
    <mergeCell ref="A37:M37"/>
    <mergeCell ref="E40:H40"/>
    <mergeCell ref="E47:M47"/>
    <mergeCell ref="E48:H50"/>
    <mergeCell ref="I48:M50"/>
    <mergeCell ref="F51:G51"/>
    <mergeCell ref="K53:L53"/>
    <mergeCell ref="J51:M51"/>
    <mergeCell ref="E15:M15"/>
    <mergeCell ref="E16:H18"/>
    <mergeCell ref="I16:M18"/>
    <mergeCell ref="K19:M19"/>
    <mergeCell ref="K21:L21"/>
    <mergeCell ref="F19:G19"/>
  </mergeCells>
  <phoneticPr fontId="6" type="noConversion"/>
  <conditionalFormatting sqref="M39:N42 M41:M45 I39:I45 M8:N11 M10:M13 I8:I13">
    <cfRule type="cellIs" dxfId="1" priority="5" stopIfTrue="1" operator="equal">
      <formula>0</formula>
    </cfRule>
  </conditionalFormatting>
  <hyperlinks>
    <hyperlink ref="F19" r:id="rId1"/>
    <hyperlink ref="A23" r:id="rId2" display="USQ Petty Cash Policy"/>
    <hyperlink ref="K19" r:id="rId3"/>
    <hyperlink ref="F51" r:id="rId4"/>
    <hyperlink ref="A55" r:id="rId5" display="USQ Petty Cash Policy"/>
    <hyperlink ref="J51" r:id="rId6"/>
  </hyperlinks>
  <pageMargins left="0.35433070866141736" right="0.19685039370078741" top="0.35433070866141736" bottom="0.31496062992125984" header="0.31496062992125984" footer="0"/>
  <pageSetup paperSize="9" scale="63" orientation="portrait" r:id="rId7"/>
  <headerFooter alignWithMargins="0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Single Voucher</vt:lpstr>
      <vt:lpstr>Voucher x 2</vt:lpstr>
      <vt:lpstr>'Single Voucher'!Print_Area</vt:lpstr>
      <vt:lpstr>'Voucher x 2'!Print_Area</vt:lpstr>
    </vt:vector>
  </TitlesOfParts>
  <Company>University of Southern Queensland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Simons</dc:creator>
  <cp:lastModifiedBy>Sandra Henry</cp:lastModifiedBy>
  <cp:lastPrinted>2012-03-20T05:49:03Z</cp:lastPrinted>
  <dcterms:created xsi:type="dcterms:W3CDTF">2005-09-07T03:41:08Z</dcterms:created>
  <dcterms:modified xsi:type="dcterms:W3CDTF">2012-03-20T05:56:30Z</dcterms:modified>
</cp:coreProperties>
</file>